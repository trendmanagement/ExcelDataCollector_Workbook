
<file path=[Content_Types].xml><?xml version="1.0" encoding="utf-8"?>
<Types xmlns="http://schemas.openxmlformats.org/package/2006/content-types">
  <Default Extension="bin" ContentType="application/vnd.ms-office.activeX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chartsheets/sheet1.xml" ContentType="application/vnd.openxmlformats-officedocument.spreadsheetml.chartsheet+xml"/>
  <Override PartName="/xl/chartsheets/sheet2.xml" ContentType="application/vnd.openxmlformats-officedocument.spreadsheetml.chartsheet+xml"/>
  <Override PartName="/xl/chartsheets/sheet3.xml" ContentType="application/vnd.openxmlformats-officedocument.spreadsheetml.chartsheet+xml"/>
  <Override PartName="/xl/chartsheets/sheet4.xml" ContentType="application/vnd.openxmlformats-officedocument.spreadsheetml.chartsheet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4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5.xml" ContentType="application/vnd.openxmlformats-officedocument.drawing+xml"/>
  <Override PartName="/xl/activeX/activeX1.xml" ContentType="application/vnd.ms-office.activeX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7127" codeName="{1563B04E-AB91-75FE-B8BC-B18F01832D57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Steve Pickering\Desktop\"/>
    </mc:Choice>
  </mc:AlternateContent>
  <bookViews>
    <workbookView xWindow="0" yWindow="0" windowWidth="28800" windowHeight="13530" tabRatio="658" activeTab="4"/>
  </bookViews>
  <sheets>
    <sheet name="Long Futures" sheetId="4" r:id="rId1"/>
    <sheet name="Long and Short Futures" sheetId="10" r:id="rId2"/>
    <sheet name="DHP" sheetId="9" r:id="rId3"/>
    <sheet name="DHP and Futures" sheetId="7" r:id="rId4"/>
    <sheet name="Data" sheetId="1" r:id="rId5"/>
    <sheet name="selectionData" sheetId="8" r:id="rId6"/>
  </sheets>
  <functionGroups builtInGroupCount="18"/>
  <definedNames>
    <definedName name="_xlnm._FilterDatabase" localSheetId="4" hidden="1">Data!$H$11:$L$982</definedName>
    <definedName name="CampaignId">Data!$B$4</definedName>
    <definedName name="dateRange">OFFSET(Data!$H$12,0,0,minRowCount,1)</definedName>
    <definedName name="DHP">selectionData!$A$2:$B$19</definedName>
    <definedName name="dhpLongFuturesExoRange">OFFSET(Data!$L$12,0,0,minRowCount,1)</definedName>
    <definedName name="dhpName">Data!$B$3</definedName>
    <definedName name="DHPnames">selectionData!$A$2:$A$19</definedName>
    <definedName name="DHPnumbers">selectionData!$B$2:$B$19</definedName>
    <definedName name="dhpRange">OFFSET(Data!$I$12,0,0,minRowCount,1)</definedName>
    <definedName name="ExoId">Data!$B$5</definedName>
    <definedName name="FutureCompareRange">OFFSET(Data!$M$12,0,0,minRowCount,1)</definedName>
    <definedName name="longExoRange">OFFSET(Data!$J$12,0,0,minRowCount,1)</definedName>
    <definedName name="minRowCount">Data!$G$11</definedName>
    <definedName name="Outright">selectionData!$C$2:$D$13</definedName>
    <definedName name="OutrightName">selectionData!$C$2:$C$13</definedName>
    <definedName name="OutrightNumber">selectionData!$D$2:$D$13</definedName>
    <definedName name="percentSavingsParticipation">Data!$E$3</definedName>
    <definedName name="profitParticipation">Data!$E$2</definedName>
    <definedName name="shortExoRange">OFFSET(Data!$K$12,0,0,minRowCount,1)</definedName>
    <definedName name="StartDate">Data!$B$6</definedName>
    <definedName name="startingDHPDollars">Data!$B$7</definedName>
    <definedName name="underlyingName">Data!$B$2</definedName>
    <definedName name="unitsFuturesCompare">Data!$B$10</definedName>
    <definedName name="unitsOfDHp">Data!$B$8</definedName>
    <definedName name="unitsOfExo">Data!$B$9</definedName>
  </definedNames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H13" i="1" l="1"/>
  <c r="H14" i="1"/>
  <c r="H15" i="1"/>
  <c r="H16" i="1"/>
  <c r="H17" i="1"/>
  <c r="H18" i="1"/>
  <c r="H19" i="1"/>
  <c r="H20" i="1"/>
  <c r="H21" i="1"/>
  <c r="H22" i="1"/>
  <c r="H23" i="1"/>
  <c r="H24" i="1"/>
  <c r="H25" i="1"/>
  <c r="H26" i="1"/>
  <c r="H27" i="1"/>
  <c r="H28" i="1"/>
  <c r="H29" i="1"/>
  <c r="H30" i="1"/>
  <c r="H31" i="1"/>
  <c r="H32" i="1"/>
  <c r="H33" i="1"/>
  <c r="H34" i="1"/>
  <c r="H35" i="1"/>
  <c r="H36" i="1"/>
  <c r="H37" i="1"/>
  <c r="H38" i="1"/>
  <c r="H39" i="1"/>
  <c r="H40" i="1"/>
  <c r="H41" i="1"/>
  <c r="H42" i="1"/>
  <c r="H43" i="1"/>
  <c r="H44" i="1"/>
  <c r="H45" i="1"/>
  <c r="H46" i="1"/>
  <c r="H47" i="1"/>
  <c r="H48" i="1"/>
  <c r="H49" i="1"/>
  <c r="H50" i="1"/>
  <c r="H51" i="1"/>
  <c r="H52" i="1"/>
  <c r="H53" i="1"/>
  <c r="H54" i="1"/>
  <c r="H55" i="1"/>
  <c r="H56" i="1"/>
  <c r="H57" i="1"/>
  <c r="H58" i="1"/>
  <c r="H59" i="1"/>
  <c r="H60" i="1"/>
  <c r="H61" i="1"/>
  <c r="H62" i="1"/>
  <c r="H63" i="1"/>
  <c r="H64" i="1"/>
  <c r="H65" i="1"/>
  <c r="H66" i="1"/>
  <c r="H67" i="1"/>
  <c r="H68" i="1"/>
  <c r="H69" i="1"/>
  <c r="H70" i="1"/>
  <c r="H71" i="1"/>
  <c r="H72" i="1"/>
  <c r="H73" i="1"/>
  <c r="H74" i="1"/>
  <c r="H75" i="1"/>
  <c r="H76" i="1"/>
  <c r="H77" i="1"/>
  <c r="H78" i="1"/>
  <c r="H79" i="1"/>
  <c r="H80" i="1"/>
  <c r="H81" i="1"/>
  <c r="H82" i="1"/>
  <c r="H83" i="1"/>
  <c r="H84" i="1"/>
  <c r="H85" i="1"/>
  <c r="H86" i="1"/>
  <c r="H87" i="1"/>
  <c r="H88" i="1"/>
  <c r="H89" i="1"/>
  <c r="H90" i="1"/>
  <c r="H91" i="1"/>
  <c r="H92" i="1"/>
  <c r="H93" i="1"/>
  <c r="H94" i="1"/>
  <c r="H95" i="1"/>
  <c r="H96" i="1"/>
  <c r="H97" i="1"/>
  <c r="H98" i="1"/>
  <c r="H99" i="1"/>
  <c r="H100" i="1"/>
  <c r="H101" i="1"/>
  <c r="H102" i="1"/>
  <c r="H103" i="1"/>
  <c r="H104" i="1"/>
  <c r="H105" i="1"/>
  <c r="H106" i="1"/>
  <c r="H107" i="1"/>
  <c r="H108" i="1"/>
  <c r="H109" i="1"/>
  <c r="H110" i="1"/>
  <c r="H111" i="1"/>
  <c r="H112" i="1"/>
  <c r="H113" i="1"/>
  <c r="H114" i="1"/>
  <c r="H115" i="1"/>
  <c r="H116" i="1"/>
  <c r="H117" i="1"/>
  <c r="H118" i="1"/>
  <c r="H119" i="1"/>
  <c r="H120" i="1"/>
  <c r="H121" i="1"/>
  <c r="H122" i="1"/>
  <c r="H123" i="1"/>
  <c r="H124" i="1"/>
  <c r="H125" i="1"/>
  <c r="H126" i="1"/>
  <c r="H127" i="1"/>
  <c r="H128" i="1"/>
  <c r="H129" i="1"/>
  <c r="H130" i="1"/>
  <c r="H131" i="1"/>
  <c r="H132" i="1"/>
  <c r="H133" i="1"/>
  <c r="H134" i="1"/>
  <c r="H135" i="1"/>
  <c r="H136" i="1"/>
  <c r="H137" i="1"/>
  <c r="H138" i="1"/>
  <c r="H139" i="1"/>
  <c r="H140" i="1"/>
  <c r="H141" i="1"/>
  <c r="H142" i="1"/>
  <c r="H143" i="1"/>
  <c r="H144" i="1"/>
  <c r="H145" i="1"/>
  <c r="H146" i="1"/>
  <c r="H147" i="1"/>
  <c r="H148" i="1"/>
  <c r="H149" i="1"/>
  <c r="H150" i="1"/>
  <c r="H151" i="1"/>
  <c r="H152" i="1"/>
  <c r="H153" i="1"/>
  <c r="H154" i="1"/>
  <c r="H155" i="1"/>
  <c r="H156" i="1"/>
  <c r="H157" i="1"/>
  <c r="H158" i="1"/>
  <c r="H159" i="1"/>
  <c r="H160" i="1"/>
  <c r="H161" i="1"/>
  <c r="H162" i="1"/>
  <c r="H163" i="1"/>
  <c r="H164" i="1"/>
  <c r="H165" i="1"/>
  <c r="H166" i="1"/>
  <c r="H167" i="1"/>
  <c r="H168" i="1"/>
  <c r="H169" i="1"/>
  <c r="H170" i="1"/>
  <c r="H171" i="1"/>
  <c r="H172" i="1"/>
  <c r="H173" i="1"/>
  <c r="H174" i="1"/>
  <c r="H175" i="1"/>
  <c r="H176" i="1"/>
  <c r="H177" i="1"/>
  <c r="H178" i="1"/>
  <c r="H179" i="1"/>
  <c r="H180" i="1"/>
  <c r="H181" i="1"/>
  <c r="H182" i="1"/>
  <c r="H183" i="1"/>
  <c r="H184" i="1"/>
  <c r="H185" i="1"/>
  <c r="H186" i="1"/>
  <c r="H187" i="1"/>
  <c r="H188" i="1"/>
  <c r="H189" i="1"/>
  <c r="H190" i="1"/>
  <c r="H191" i="1"/>
  <c r="H192" i="1"/>
  <c r="H193" i="1"/>
  <c r="H194" i="1"/>
  <c r="H195" i="1"/>
  <c r="H196" i="1"/>
  <c r="H197" i="1"/>
  <c r="H198" i="1"/>
  <c r="H199" i="1"/>
  <c r="H200" i="1"/>
  <c r="H201" i="1"/>
  <c r="H202" i="1"/>
  <c r="H203" i="1"/>
  <c r="H204" i="1"/>
  <c r="H205" i="1"/>
  <c r="H206" i="1"/>
  <c r="H207" i="1"/>
  <c r="H208" i="1"/>
  <c r="H209" i="1"/>
  <c r="H210" i="1"/>
  <c r="H211" i="1"/>
  <c r="H212" i="1"/>
  <c r="H213" i="1"/>
  <c r="H214" i="1"/>
  <c r="H215" i="1"/>
  <c r="H216" i="1"/>
  <c r="H217" i="1"/>
  <c r="H218" i="1"/>
  <c r="H219" i="1"/>
  <c r="H220" i="1"/>
  <c r="H221" i="1"/>
  <c r="H222" i="1"/>
  <c r="H223" i="1"/>
  <c r="H224" i="1"/>
  <c r="H225" i="1"/>
  <c r="H226" i="1"/>
  <c r="H227" i="1"/>
  <c r="H228" i="1"/>
  <c r="H229" i="1"/>
  <c r="H230" i="1"/>
  <c r="H231" i="1"/>
  <c r="H232" i="1"/>
  <c r="H233" i="1"/>
  <c r="H234" i="1"/>
  <c r="H235" i="1"/>
  <c r="H236" i="1"/>
  <c r="H237" i="1"/>
  <c r="H238" i="1"/>
  <c r="H239" i="1"/>
  <c r="H240" i="1"/>
  <c r="H241" i="1"/>
  <c r="H242" i="1"/>
  <c r="H243" i="1"/>
  <c r="H244" i="1"/>
  <c r="H245" i="1"/>
  <c r="H246" i="1"/>
  <c r="H247" i="1"/>
  <c r="H248" i="1"/>
  <c r="H249" i="1"/>
  <c r="H250" i="1"/>
  <c r="H251" i="1"/>
  <c r="H252" i="1"/>
  <c r="H253" i="1"/>
  <c r="H254" i="1"/>
  <c r="H255" i="1"/>
  <c r="H256" i="1"/>
  <c r="H257" i="1"/>
  <c r="H258" i="1"/>
  <c r="H259" i="1"/>
  <c r="H260" i="1"/>
  <c r="H261" i="1"/>
  <c r="H262" i="1"/>
  <c r="H263" i="1"/>
  <c r="H264" i="1"/>
  <c r="H265" i="1"/>
  <c r="H266" i="1"/>
  <c r="H267" i="1"/>
  <c r="H268" i="1"/>
  <c r="H269" i="1"/>
  <c r="H270" i="1"/>
  <c r="H271" i="1"/>
  <c r="H272" i="1"/>
  <c r="H273" i="1"/>
  <c r="H274" i="1"/>
  <c r="H275" i="1"/>
  <c r="H276" i="1"/>
  <c r="H277" i="1"/>
  <c r="H278" i="1"/>
  <c r="H279" i="1"/>
  <c r="H280" i="1"/>
  <c r="H281" i="1"/>
  <c r="H282" i="1"/>
  <c r="H283" i="1"/>
  <c r="H284" i="1"/>
  <c r="H285" i="1"/>
  <c r="H286" i="1"/>
  <c r="H287" i="1"/>
  <c r="H288" i="1"/>
  <c r="H289" i="1"/>
  <c r="H290" i="1"/>
  <c r="H291" i="1"/>
  <c r="H292" i="1"/>
  <c r="H293" i="1"/>
  <c r="H294" i="1"/>
  <c r="H295" i="1"/>
  <c r="H296" i="1"/>
  <c r="H297" i="1"/>
  <c r="H298" i="1"/>
  <c r="H299" i="1"/>
  <c r="H300" i="1"/>
  <c r="H301" i="1"/>
  <c r="H302" i="1"/>
  <c r="H303" i="1"/>
  <c r="H304" i="1"/>
  <c r="H305" i="1"/>
  <c r="H306" i="1"/>
  <c r="H307" i="1"/>
  <c r="H308" i="1"/>
  <c r="H309" i="1"/>
  <c r="H310" i="1"/>
  <c r="H311" i="1"/>
  <c r="H312" i="1"/>
  <c r="H313" i="1"/>
  <c r="H314" i="1"/>
  <c r="H315" i="1"/>
  <c r="H316" i="1"/>
  <c r="H317" i="1"/>
  <c r="H318" i="1"/>
  <c r="H319" i="1"/>
  <c r="H320" i="1"/>
  <c r="H321" i="1"/>
  <c r="H322" i="1"/>
  <c r="H323" i="1"/>
  <c r="H324" i="1"/>
  <c r="H325" i="1"/>
  <c r="H326" i="1"/>
  <c r="H327" i="1"/>
  <c r="H328" i="1"/>
  <c r="H329" i="1"/>
  <c r="H330" i="1"/>
  <c r="H331" i="1"/>
  <c r="H332" i="1"/>
  <c r="H333" i="1"/>
  <c r="H334" i="1"/>
  <c r="H335" i="1"/>
  <c r="H336" i="1"/>
  <c r="H337" i="1"/>
  <c r="H338" i="1"/>
  <c r="H339" i="1"/>
  <c r="H340" i="1"/>
  <c r="H341" i="1"/>
  <c r="H342" i="1"/>
  <c r="H343" i="1"/>
  <c r="H344" i="1"/>
  <c r="H345" i="1"/>
  <c r="H346" i="1"/>
  <c r="H347" i="1"/>
  <c r="H348" i="1"/>
  <c r="H349" i="1"/>
  <c r="H350" i="1"/>
  <c r="H351" i="1"/>
  <c r="H352" i="1"/>
  <c r="H353" i="1"/>
  <c r="H354" i="1"/>
  <c r="H355" i="1"/>
  <c r="H356" i="1"/>
  <c r="H357" i="1"/>
  <c r="H358" i="1"/>
  <c r="H359" i="1"/>
  <c r="H360" i="1"/>
  <c r="H361" i="1"/>
  <c r="H362" i="1"/>
  <c r="H363" i="1"/>
  <c r="H364" i="1"/>
  <c r="H365" i="1"/>
  <c r="H366" i="1"/>
  <c r="H367" i="1"/>
  <c r="H368" i="1"/>
  <c r="H369" i="1"/>
  <c r="H370" i="1"/>
  <c r="H371" i="1"/>
  <c r="H372" i="1"/>
  <c r="H373" i="1"/>
  <c r="H374" i="1"/>
  <c r="H375" i="1"/>
  <c r="H376" i="1"/>
  <c r="H377" i="1"/>
  <c r="H378" i="1"/>
  <c r="H379" i="1"/>
  <c r="H380" i="1"/>
  <c r="H381" i="1"/>
  <c r="H382" i="1"/>
  <c r="H383" i="1"/>
  <c r="H384" i="1"/>
  <c r="H385" i="1"/>
  <c r="H386" i="1"/>
  <c r="H387" i="1"/>
  <c r="H388" i="1"/>
  <c r="H389" i="1"/>
  <c r="H390" i="1"/>
  <c r="H391" i="1"/>
  <c r="H392" i="1"/>
  <c r="H393" i="1"/>
  <c r="H394" i="1"/>
  <c r="H395" i="1"/>
  <c r="H396" i="1"/>
  <c r="H397" i="1"/>
  <c r="H398" i="1"/>
  <c r="H399" i="1"/>
  <c r="H400" i="1"/>
  <c r="H401" i="1"/>
  <c r="H402" i="1"/>
  <c r="H403" i="1"/>
  <c r="H404" i="1"/>
  <c r="H405" i="1"/>
  <c r="H406" i="1"/>
  <c r="H407" i="1"/>
  <c r="H408" i="1"/>
  <c r="H409" i="1"/>
  <c r="H410" i="1"/>
  <c r="H411" i="1"/>
  <c r="H412" i="1"/>
  <c r="H413" i="1"/>
  <c r="H414" i="1"/>
  <c r="H415" i="1"/>
  <c r="H416" i="1"/>
  <c r="H417" i="1"/>
  <c r="H418" i="1"/>
  <c r="H419" i="1"/>
  <c r="H420" i="1"/>
  <c r="H421" i="1"/>
  <c r="H422" i="1"/>
  <c r="H423" i="1"/>
  <c r="H424" i="1"/>
  <c r="H425" i="1"/>
  <c r="H426" i="1"/>
  <c r="H427" i="1"/>
  <c r="H428" i="1"/>
  <c r="H429" i="1"/>
  <c r="H430" i="1"/>
  <c r="H431" i="1"/>
  <c r="H432" i="1"/>
  <c r="H433" i="1"/>
  <c r="H434" i="1"/>
  <c r="H435" i="1"/>
  <c r="H436" i="1"/>
  <c r="H437" i="1"/>
  <c r="H438" i="1"/>
  <c r="H439" i="1"/>
  <c r="H440" i="1"/>
  <c r="H441" i="1"/>
  <c r="H442" i="1"/>
  <c r="H443" i="1"/>
  <c r="H444" i="1"/>
  <c r="H445" i="1"/>
  <c r="H446" i="1"/>
  <c r="H447" i="1"/>
  <c r="H448" i="1"/>
  <c r="H449" i="1"/>
  <c r="H450" i="1"/>
  <c r="H451" i="1"/>
  <c r="H452" i="1"/>
  <c r="H453" i="1"/>
  <c r="H454" i="1"/>
  <c r="H455" i="1"/>
  <c r="H456" i="1"/>
  <c r="H457" i="1"/>
  <c r="H458" i="1"/>
  <c r="H459" i="1"/>
  <c r="H460" i="1"/>
  <c r="H461" i="1"/>
  <c r="H462" i="1"/>
  <c r="H463" i="1"/>
  <c r="H464" i="1"/>
  <c r="H465" i="1"/>
  <c r="H466" i="1"/>
  <c r="H467" i="1"/>
  <c r="H468" i="1"/>
  <c r="H469" i="1"/>
  <c r="H470" i="1"/>
  <c r="H471" i="1"/>
  <c r="H472" i="1"/>
  <c r="H473" i="1"/>
  <c r="H474" i="1"/>
  <c r="H475" i="1"/>
  <c r="H476" i="1"/>
  <c r="H477" i="1"/>
  <c r="H478" i="1"/>
  <c r="H479" i="1"/>
  <c r="H480" i="1"/>
  <c r="H481" i="1"/>
  <c r="H482" i="1"/>
  <c r="H483" i="1"/>
  <c r="H484" i="1"/>
  <c r="H485" i="1"/>
  <c r="H486" i="1"/>
  <c r="H487" i="1"/>
  <c r="H488" i="1"/>
  <c r="H489" i="1"/>
  <c r="H490" i="1"/>
  <c r="H491" i="1"/>
  <c r="H492" i="1"/>
  <c r="H493" i="1"/>
  <c r="H494" i="1"/>
  <c r="H495" i="1"/>
  <c r="H496" i="1"/>
  <c r="H497" i="1"/>
  <c r="H498" i="1"/>
  <c r="H499" i="1"/>
  <c r="H500" i="1"/>
  <c r="H501" i="1"/>
  <c r="H502" i="1"/>
  <c r="H503" i="1"/>
  <c r="H504" i="1"/>
  <c r="H505" i="1"/>
  <c r="H506" i="1"/>
  <c r="H507" i="1"/>
  <c r="H508" i="1"/>
  <c r="H509" i="1"/>
  <c r="H510" i="1"/>
  <c r="H511" i="1"/>
  <c r="H512" i="1"/>
  <c r="H513" i="1"/>
  <c r="H514" i="1"/>
  <c r="H515" i="1"/>
  <c r="H516" i="1"/>
  <c r="H517" i="1"/>
  <c r="H518" i="1"/>
  <c r="H519" i="1"/>
  <c r="H520" i="1"/>
  <c r="H521" i="1"/>
  <c r="H522" i="1"/>
  <c r="H523" i="1"/>
  <c r="H524" i="1"/>
  <c r="H525" i="1"/>
  <c r="H526" i="1"/>
  <c r="H527" i="1"/>
  <c r="H528" i="1"/>
  <c r="H529" i="1"/>
  <c r="H530" i="1"/>
  <c r="H531" i="1"/>
  <c r="H532" i="1"/>
  <c r="H533" i="1"/>
  <c r="H534" i="1"/>
  <c r="H535" i="1"/>
  <c r="H536" i="1"/>
  <c r="H537" i="1"/>
  <c r="H538" i="1"/>
  <c r="H539" i="1"/>
  <c r="H540" i="1"/>
  <c r="H541" i="1"/>
  <c r="H542" i="1"/>
  <c r="H543" i="1"/>
  <c r="H544" i="1"/>
  <c r="H545" i="1"/>
  <c r="H546" i="1"/>
  <c r="H547" i="1"/>
  <c r="H548" i="1"/>
  <c r="H549" i="1"/>
  <c r="H550" i="1"/>
  <c r="H551" i="1"/>
  <c r="H552" i="1"/>
  <c r="H553" i="1"/>
  <c r="H554" i="1"/>
  <c r="H555" i="1"/>
  <c r="H556" i="1"/>
  <c r="H557" i="1"/>
  <c r="H558" i="1"/>
  <c r="H559" i="1"/>
  <c r="H560" i="1"/>
  <c r="H561" i="1"/>
  <c r="H562" i="1"/>
  <c r="H563" i="1"/>
  <c r="H564" i="1"/>
  <c r="H565" i="1"/>
  <c r="H566" i="1"/>
  <c r="H567" i="1"/>
  <c r="H568" i="1"/>
  <c r="H569" i="1"/>
  <c r="H570" i="1"/>
  <c r="H571" i="1"/>
  <c r="H572" i="1"/>
  <c r="H573" i="1"/>
  <c r="H574" i="1"/>
  <c r="H575" i="1"/>
  <c r="H576" i="1"/>
  <c r="H577" i="1"/>
  <c r="H578" i="1"/>
  <c r="H579" i="1"/>
  <c r="H580" i="1"/>
  <c r="H581" i="1"/>
  <c r="H582" i="1"/>
  <c r="H583" i="1"/>
  <c r="H584" i="1"/>
  <c r="H585" i="1"/>
  <c r="H586" i="1"/>
  <c r="H587" i="1"/>
  <c r="H588" i="1"/>
  <c r="H589" i="1"/>
  <c r="H590" i="1"/>
  <c r="H591" i="1"/>
  <c r="H592" i="1"/>
  <c r="H593" i="1"/>
  <c r="H594" i="1"/>
  <c r="H595" i="1"/>
  <c r="H596" i="1"/>
  <c r="H597" i="1"/>
  <c r="H598" i="1"/>
  <c r="H599" i="1"/>
  <c r="H600" i="1"/>
  <c r="H601" i="1"/>
  <c r="H602" i="1"/>
  <c r="H603" i="1"/>
  <c r="H604" i="1"/>
  <c r="H605" i="1"/>
  <c r="H606" i="1"/>
  <c r="H607" i="1"/>
  <c r="H608" i="1"/>
  <c r="H609" i="1"/>
  <c r="H610" i="1"/>
  <c r="H611" i="1"/>
  <c r="H612" i="1"/>
  <c r="H613" i="1"/>
  <c r="H614" i="1"/>
  <c r="H615" i="1"/>
  <c r="H616" i="1"/>
  <c r="H617" i="1"/>
  <c r="H618" i="1"/>
  <c r="H619" i="1"/>
  <c r="H620" i="1"/>
  <c r="H621" i="1"/>
  <c r="H622" i="1"/>
  <c r="H623" i="1"/>
  <c r="H624" i="1"/>
  <c r="H625" i="1"/>
  <c r="H626" i="1"/>
  <c r="H627" i="1"/>
  <c r="H628" i="1"/>
  <c r="H629" i="1"/>
  <c r="H630" i="1"/>
  <c r="H631" i="1"/>
  <c r="H632" i="1"/>
  <c r="H633" i="1"/>
  <c r="H634" i="1"/>
  <c r="H635" i="1"/>
  <c r="H636" i="1"/>
  <c r="H637" i="1"/>
  <c r="H638" i="1"/>
  <c r="H639" i="1"/>
  <c r="H640" i="1"/>
  <c r="H641" i="1"/>
  <c r="H642" i="1"/>
  <c r="H643" i="1"/>
  <c r="H644" i="1"/>
  <c r="H645" i="1"/>
  <c r="H646" i="1"/>
  <c r="H647" i="1"/>
  <c r="H648" i="1"/>
  <c r="H649" i="1"/>
  <c r="H650" i="1"/>
  <c r="H651" i="1"/>
  <c r="H652" i="1"/>
  <c r="H653" i="1"/>
  <c r="H654" i="1"/>
  <c r="H655" i="1"/>
  <c r="H656" i="1"/>
  <c r="H657" i="1"/>
  <c r="H658" i="1"/>
  <c r="H659" i="1"/>
  <c r="H660" i="1"/>
  <c r="H661" i="1"/>
  <c r="H662" i="1"/>
  <c r="H663" i="1"/>
  <c r="H664" i="1"/>
  <c r="H665" i="1"/>
  <c r="H666" i="1"/>
  <c r="H667" i="1"/>
  <c r="H668" i="1"/>
  <c r="H669" i="1"/>
  <c r="H670" i="1"/>
  <c r="H671" i="1"/>
  <c r="H672" i="1"/>
  <c r="H673" i="1"/>
  <c r="H674" i="1"/>
  <c r="H675" i="1"/>
  <c r="H676" i="1"/>
  <c r="H677" i="1"/>
  <c r="H678" i="1"/>
  <c r="H679" i="1"/>
  <c r="H680" i="1"/>
  <c r="H681" i="1"/>
  <c r="H682" i="1"/>
  <c r="H683" i="1"/>
  <c r="H684" i="1"/>
  <c r="H685" i="1"/>
  <c r="H686" i="1"/>
  <c r="H687" i="1"/>
  <c r="H688" i="1"/>
  <c r="H689" i="1"/>
  <c r="H690" i="1"/>
  <c r="H691" i="1"/>
  <c r="H692" i="1"/>
  <c r="H693" i="1"/>
  <c r="H694" i="1"/>
  <c r="H695" i="1"/>
  <c r="H696" i="1"/>
  <c r="H697" i="1"/>
  <c r="H698" i="1"/>
  <c r="H699" i="1"/>
  <c r="H700" i="1"/>
  <c r="H701" i="1"/>
  <c r="H702" i="1"/>
  <c r="H703" i="1"/>
  <c r="H704" i="1"/>
  <c r="H705" i="1"/>
  <c r="H706" i="1"/>
  <c r="H707" i="1"/>
  <c r="H708" i="1"/>
  <c r="H709" i="1"/>
  <c r="H710" i="1"/>
  <c r="H711" i="1"/>
  <c r="H712" i="1"/>
  <c r="H713" i="1"/>
  <c r="H714" i="1"/>
  <c r="H715" i="1"/>
  <c r="H716" i="1"/>
  <c r="H717" i="1"/>
  <c r="H718" i="1"/>
  <c r="H719" i="1"/>
  <c r="H720" i="1"/>
  <c r="H721" i="1"/>
  <c r="H722" i="1"/>
  <c r="H723" i="1"/>
  <c r="H724" i="1"/>
  <c r="H725" i="1"/>
  <c r="H726" i="1"/>
  <c r="H727" i="1"/>
  <c r="H728" i="1"/>
  <c r="H729" i="1"/>
  <c r="H730" i="1"/>
  <c r="H731" i="1"/>
  <c r="H732" i="1"/>
  <c r="H733" i="1"/>
  <c r="H734" i="1"/>
  <c r="H735" i="1"/>
  <c r="H736" i="1"/>
  <c r="H737" i="1"/>
  <c r="H738" i="1"/>
  <c r="H739" i="1"/>
  <c r="H740" i="1"/>
  <c r="H741" i="1"/>
  <c r="H742" i="1"/>
  <c r="H743" i="1"/>
  <c r="H744" i="1"/>
  <c r="H745" i="1"/>
  <c r="H746" i="1"/>
  <c r="H747" i="1"/>
  <c r="H748" i="1"/>
  <c r="H749" i="1"/>
  <c r="H750" i="1"/>
  <c r="H751" i="1"/>
  <c r="H752" i="1"/>
  <c r="H753" i="1"/>
  <c r="H754" i="1"/>
  <c r="H755" i="1"/>
  <c r="H756" i="1"/>
  <c r="H757" i="1"/>
  <c r="H758" i="1"/>
  <c r="H759" i="1"/>
  <c r="H760" i="1"/>
  <c r="H761" i="1"/>
  <c r="H762" i="1"/>
  <c r="H763" i="1"/>
  <c r="H764" i="1"/>
  <c r="H765" i="1"/>
  <c r="H766" i="1"/>
  <c r="H767" i="1"/>
  <c r="H768" i="1"/>
  <c r="H769" i="1"/>
  <c r="H770" i="1"/>
  <c r="H771" i="1"/>
  <c r="H772" i="1"/>
  <c r="H773" i="1"/>
  <c r="H774" i="1"/>
  <c r="H775" i="1"/>
  <c r="H776" i="1"/>
  <c r="H777" i="1"/>
  <c r="H778" i="1"/>
  <c r="H779" i="1"/>
  <c r="H780" i="1"/>
  <c r="H781" i="1"/>
  <c r="H782" i="1"/>
  <c r="H783" i="1"/>
  <c r="H784" i="1"/>
  <c r="H785" i="1"/>
  <c r="H786" i="1"/>
  <c r="H787" i="1"/>
  <c r="H788" i="1"/>
  <c r="H789" i="1"/>
  <c r="H790" i="1"/>
  <c r="H791" i="1"/>
  <c r="H792" i="1"/>
  <c r="H793" i="1"/>
  <c r="H794" i="1"/>
  <c r="H795" i="1"/>
  <c r="H796" i="1"/>
  <c r="H797" i="1"/>
  <c r="H798" i="1"/>
  <c r="H799" i="1"/>
  <c r="H800" i="1"/>
  <c r="H801" i="1"/>
  <c r="H802" i="1"/>
  <c r="H803" i="1"/>
  <c r="H804" i="1"/>
  <c r="H805" i="1"/>
  <c r="H806" i="1"/>
  <c r="H807" i="1"/>
  <c r="H808" i="1"/>
  <c r="H809" i="1"/>
  <c r="H810" i="1"/>
  <c r="H811" i="1"/>
  <c r="H812" i="1"/>
  <c r="H813" i="1"/>
  <c r="H814" i="1"/>
  <c r="H815" i="1"/>
  <c r="H816" i="1"/>
  <c r="H817" i="1"/>
  <c r="H818" i="1"/>
  <c r="H819" i="1"/>
  <c r="H820" i="1"/>
  <c r="H821" i="1"/>
  <c r="H822" i="1"/>
  <c r="H823" i="1"/>
  <c r="H824" i="1"/>
  <c r="H825" i="1"/>
  <c r="H826" i="1"/>
  <c r="H827" i="1"/>
  <c r="H828" i="1"/>
  <c r="H829" i="1"/>
  <c r="H830" i="1"/>
  <c r="H831" i="1"/>
  <c r="H832" i="1"/>
  <c r="H833" i="1"/>
  <c r="H834" i="1"/>
  <c r="H835" i="1"/>
  <c r="H836" i="1"/>
  <c r="H837" i="1"/>
  <c r="H838" i="1"/>
  <c r="H839" i="1"/>
  <c r="H840" i="1"/>
  <c r="H841" i="1"/>
  <c r="H842" i="1"/>
  <c r="H843" i="1"/>
  <c r="H844" i="1"/>
  <c r="H845" i="1"/>
  <c r="H846" i="1"/>
  <c r="H847" i="1"/>
  <c r="H848" i="1"/>
  <c r="H849" i="1"/>
  <c r="H850" i="1"/>
  <c r="H851" i="1"/>
  <c r="H852" i="1"/>
  <c r="H853" i="1"/>
  <c r="H854" i="1"/>
  <c r="H855" i="1"/>
  <c r="H856" i="1"/>
  <c r="H857" i="1"/>
  <c r="H858" i="1"/>
  <c r="H859" i="1"/>
  <c r="H860" i="1"/>
  <c r="H861" i="1"/>
  <c r="H862" i="1"/>
  <c r="H863" i="1"/>
  <c r="H864" i="1"/>
  <c r="H865" i="1"/>
  <c r="H866" i="1"/>
  <c r="H867" i="1"/>
  <c r="H868" i="1"/>
  <c r="H869" i="1"/>
  <c r="H870" i="1"/>
  <c r="H871" i="1"/>
  <c r="H872" i="1"/>
  <c r="H873" i="1"/>
  <c r="H874" i="1"/>
  <c r="H875" i="1"/>
  <c r="H876" i="1"/>
  <c r="H877" i="1"/>
  <c r="H878" i="1"/>
  <c r="H879" i="1"/>
  <c r="H880" i="1"/>
  <c r="H881" i="1"/>
  <c r="H882" i="1"/>
  <c r="H883" i="1"/>
  <c r="H884" i="1"/>
  <c r="H885" i="1"/>
  <c r="H886" i="1"/>
  <c r="H887" i="1"/>
  <c r="H888" i="1"/>
  <c r="H889" i="1"/>
  <c r="H890" i="1"/>
  <c r="H891" i="1"/>
  <c r="H892" i="1"/>
  <c r="H893" i="1"/>
  <c r="H894" i="1"/>
  <c r="H895" i="1"/>
  <c r="H896" i="1"/>
  <c r="H897" i="1"/>
  <c r="H898" i="1"/>
  <c r="H899" i="1"/>
  <c r="H900" i="1"/>
  <c r="H901" i="1"/>
  <c r="H902" i="1"/>
  <c r="H903" i="1"/>
  <c r="H904" i="1"/>
  <c r="H905" i="1"/>
  <c r="H906" i="1"/>
  <c r="H907" i="1"/>
  <c r="H908" i="1"/>
  <c r="H909" i="1"/>
  <c r="H910" i="1"/>
  <c r="H911" i="1"/>
  <c r="H912" i="1"/>
  <c r="H913" i="1"/>
  <c r="H914" i="1"/>
  <c r="H915" i="1"/>
  <c r="H916" i="1"/>
  <c r="H917" i="1"/>
  <c r="H918" i="1"/>
  <c r="H919" i="1"/>
  <c r="H920" i="1"/>
  <c r="H921" i="1"/>
  <c r="H922" i="1"/>
  <c r="H923" i="1"/>
  <c r="H924" i="1"/>
  <c r="H925" i="1"/>
  <c r="H926" i="1"/>
  <c r="H927" i="1"/>
  <c r="H928" i="1"/>
  <c r="H929" i="1"/>
  <c r="H930" i="1"/>
  <c r="H931" i="1"/>
  <c r="H932" i="1"/>
  <c r="H933" i="1"/>
  <c r="H934" i="1"/>
  <c r="H935" i="1"/>
  <c r="H936" i="1"/>
  <c r="H937" i="1"/>
  <c r="H938" i="1"/>
  <c r="H939" i="1"/>
  <c r="H940" i="1"/>
  <c r="H941" i="1"/>
  <c r="H942" i="1"/>
  <c r="H943" i="1"/>
  <c r="H944" i="1"/>
  <c r="H945" i="1"/>
  <c r="H946" i="1"/>
  <c r="H947" i="1"/>
  <c r="H948" i="1"/>
  <c r="H949" i="1"/>
  <c r="H950" i="1"/>
  <c r="H951" i="1"/>
  <c r="H952" i="1"/>
  <c r="H953" i="1"/>
  <c r="H954" i="1"/>
  <c r="H955" i="1"/>
  <c r="H956" i="1"/>
  <c r="H957" i="1"/>
  <c r="H958" i="1"/>
  <c r="H959" i="1"/>
  <c r="H960" i="1"/>
  <c r="H961" i="1"/>
  <c r="H962" i="1"/>
  <c r="H963" i="1"/>
  <c r="H964" i="1"/>
  <c r="H965" i="1"/>
  <c r="H966" i="1"/>
  <c r="H967" i="1"/>
  <c r="H968" i="1"/>
  <c r="H969" i="1"/>
  <c r="H970" i="1"/>
  <c r="H971" i="1"/>
  <c r="H972" i="1"/>
  <c r="H973" i="1"/>
  <c r="H974" i="1"/>
  <c r="H975" i="1"/>
  <c r="H976" i="1"/>
  <c r="H977" i="1"/>
  <c r="H978" i="1"/>
  <c r="H979" i="1"/>
  <c r="H980" i="1"/>
  <c r="H981" i="1"/>
  <c r="H982" i="1"/>
  <c r="R12" i="1"/>
  <c r="E6" i="1"/>
  <c r="E8" i="1" s="1"/>
  <c r="M13" i="1"/>
  <c r="M14" i="1"/>
  <c r="M15" i="1"/>
  <c r="M16" i="1" s="1"/>
  <c r="M17" i="1" s="1"/>
  <c r="M18" i="1" s="1"/>
  <c r="M19" i="1" s="1"/>
  <c r="M20" i="1" s="1"/>
  <c r="M21" i="1" s="1"/>
  <c r="M22" i="1" s="1"/>
  <c r="M23" i="1"/>
  <c r="M24" i="1" s="1"/>
  <c r="M25" i="1" s="1"/>
  <c r="M26" i="1" s="1"/>
  <c r="M27" i="1" s="1"/>
  <c r="M28" i="1" s="1"/>
  <c r="M29" i="1" s="1"/>
  <c r="M30" i="1" s="1"/>
  <c r="M31" i="1"/>
  <c r="M32" i="1" s="1"/>
  <c r="M33" i="1" s="1"/>
  <c r="M34" i="1" s="1"/>
  <c r="M35" i="1" s="1"/>
  <c r="M36" i="1" s="1"/>
  <c r="M37" i="1" s="1"/>
  <c r="M38" i="1" s="1"/>
  <c r="M39" i="1"/>
  <c r="M40" i="1" s="1"/>
  <c r="M41" i="1" s="1"/>
  <c r="M42" i="1" s="1"/>
  <c r="M43" i="1" s="1"/>
  <c r="M44" i="1" s="1"/>
  <c r="M45" i="1" s="1"/>
  <c r="M46" i="1" s="1"/>
  <c r="M47" i="1"/>
  <c r="M48" i="1" s="1"/>
  <c r="M49" i="1" s="1"/>
  <c r="M50" i="1" s="1"/>
  <c r="M51" i="1" s="1"/>
  <c r="M52" i="1" s="1"/>
  <c r="M53" i="1" s="1"/>
  <c r="M54" i="1" s="1"/>
  <c r="M55" i="1"/>
  <c r="M56" i="1" s="1"/>
  <c r="M57" i="1" s="1"/>
  <c r="M58" i="1" s="1"/>
  <c r="M59" i="1" s="1"/>
  <c r="M60" i="1" s="1"/>
  <c r="M61" i="1" s="1"/>
  <c r="M62" i="1" s="1"/>
  <c r="M63" i="1"/>
  <c r="M64" i="1" s="1"/>
  <c r="M65" i="1" s="1"/>
  <c r="M66" i="1" s="1"/>
  <c r="M67" i="1" s="1"/>
  <c r="M68" i="1" s="1"/>
  <c r="M69" i="1" s="1"/>
  <c r="M70" i="1" s="1"/>
  <c r="M71" i="1"/>
  <c r="M72" i="1" s="1"/>
  <c r="M73" i="1" s="1"/>
  <c r="M74" i="1" s="1"/>
  <c r="M75" i="1" s="1"/>
  <c r="M76" i="1" s="1"/>
  <c r="M77" i="1" s="1"/>
  <c r="M78" i="1" s="1"/>
  <c r="M79" i="1"/>
  <c r="M80" i="1" s="1"/>
  <c r="M81" i="1" s="1"/>
  <c r="M82" i="1" s="1"/>
  <c r="M83" i="1" s="1"/>
  <c r="M84" i="1" s="1"/>
  <c r="M85" i="1" s="1"/>
  <c r="M86" i="1" s="1"/>
  <c r="M87" i="1"/>
  <c r="M88" i="1" s="1"/>
  <c r="M89" i="1" s="1"/>
  <c r="M90" i="1" s="1"/>
  <c r="M91" i="1" s="1"/>
  <c r="M92" i="1" s="1"/>
  <c r="M93" i="1" s="1"/>
  <c r="M94" i="1" s="1"/>
  <c r="M95" i="1"/>
  <c r="M96" i="1" s="1"/>
  <c r="M97" i="1" s="1"/>
  <c r="M98" i="1" s="1"/>
  <c r="M99" i="1" s="1"/>
  <c r="M100" i="1" s="1"/>
  <c r="M101" i="1" s="1"/>
  <c r="M102" i="1" s="1"/>
  <c r="M103" i="1"/>
  <c r="M104" i="1" s="1"/>
  <c r="M105" i="1" s="1"/>
  <c r="M106" i="1" s="1"/>
  <c r="M107" i="1" s="1"/>
  <c r="M108" i="1" s="1"/>
  <c r="M109" i="1" s="1"/>
  <c r="M110" i="1" s="1"/>
  <c r="M111" i="1"/>
  <c r="M112" i="1" s="1"/>
  <c r="M113" i="1" s="1"/>
  <c r="M114" i="1" s="1"/>
  <c r="M115" i="1" s="1"/>
  <c r="M116" i="1" s="1"/>
  <c r="M117" i="1" s="1"/>
  <c r="M118" i="1" s="1"/>
  <c r="M119" i="1"/>
  <c r="M120" i="1" s="1"/>
  <c r="M121" i="1" s="1"/>
  <c r="M122" i="1" s="1"/>
  <c r="M123" i="1" s="1"/>
  <c r="M124" i="1" s="1"/>
  <c r="M125" i="1" s="1"/>
  <c r="M126" i="1" s="1"/>
  <c r="M127" i="1"/>
  <c r="M128" i="1" s="1"/>
  <c r="M129" i="1" s="1"/>
  <c r="M130" i="1" s="1"/>
  <c r="M131" i="1" s="1"/>
  <c r="M132" i="1" s="1"/>
  <c r="M133" i="1" s="1"/>
  <c r="M134" i="1" s="1"/>
  <c r="M135" i="1"/>
  <c r="M136" i="1" s="1"/>
  <c r="M137" i="1" s="1"/>
  <c r="M138" i="1" s="1"/>
  <c r="M139" i="1" s="1"/>
  <c r="M140" i="1" s="1"/>
  <c r="M141" i="1" s="1"/>
  <c r="M142" i="1" s="1"/>
  <c r="M143" i="1"/>
  <c r="M144" i="1" s="1"/>
  <c r="M145" i="1" s="1"/>
  <c r="M146" i="1" s="1"/>
  <c r="M147" i="1" s="1"/>
  <c r="M148" i="1" s="1"/>
  <c r="M149" i="1" s="1"/>
  <c r="M150" i="1" s="1"/>
  <c r="M151" i="1"/>
  <c r="M152" i="1" s="1"/>
  <c r="M153" i="1" s="1"/>
  <c r="M154" i="1" s="1"/>
  <c r="M155" i="1" s="1"/>
  <c r="M156" i="1" s="1"/>
  <c r="M157" i="1" s="1"/>
  <c r="M158" i="1" s="1"/>
  <c r="M159" i="1"/>
  <c r="M160" i="1" s="1"/>
  <c r="M161" i="1" s="1"/>
  <c r="M162" i="1" s="1"/>
  <c r="M163" i="1" s="1"/>
  <c r="M164" i="1" s="1"/>
  <c r="M165" i="1" s="1"/>
  <c r="M166" i="1" s="1"/>
  <c r="M167" i="1"/>
  <c r="M168" i="1" s="1"/>
  <c r="M169" i="1" s="1"/>
  <c r="M170" i="1" s="1"/>
  <c r="M171" i="1" s="1"/>
  <c r="M172" i="1" s="1"/>
  <c r="M173" i="1" s="1"/>
  <c r="M174" i="1" s="1"/>
  <c r="M175" i="1"/>
  <c r="M176" i="1" s="1"/>
  <c r="M177" i="1" s="1"/>
  <c r="M178" i="1" s="1"/>
  <c r="M179" i="1" s="1"/>
  <c r="M180" i="1" s="1"/>
  <c r="M181" i="1" s="1"/>
  <c r="M182" i="1" s="1"/>
  <c r="M183" i="1"/>
  <c r="M184" i="1" s="1"/>
  <c r="M185" i="1" s="1"/>
  <c r="M186" i="1" s="1"/>
  <c r="M187" i="1" s="1"/>
  <c r="M188" i="1" s="1"/>
  <c r="M189" i="1" s="1"/>
  <c r="M190" i="1" s="1"/>
  <c r="M191" i="1"/>
  <c r="M192" i="1" s="1"/>
  <c r="M193" i="1" s="1"/>
  <c r="M194" i="1" s="1"/>
  <c r="M195" i="1" s="1"/>
  <c r="M196" i="1" s="1"/>
  <c r="M197" i="1" s="1"/>
  <c r="M198" i="1" s="1"/>
  <c r="M199" i="1"/>
  <c r="M200" i="1" s="1"/>
  <c r="M201" i="1" s="1"/>
  <c r="M202" i="1" s="1"/>
  <c r="M203" i="1" s="1"/>
  <c r="M204" i="1" s="1"/>
  <c r="M205" i="1" s="1"/>
  <c r="M206" i="1" s="1"/>
  <c r="M207" i="1"/>
  <c r="M208" i="1" s="1"/>
  <c r="M209" i="1" s="1"/>
  <c r="M210" i="1" s="1"/>
  <c r="M211" i="1" s="1"/>
  <c r="M212" i="1" s="1"/>
  <c r="M213" i="1" s="1"/>
  <c r="M214" i="1" s="1"/>
  <c r="M215" i="1"/>
  <c r="M216" i="1" s="1"/>
  <c r="M217" i="1" s="1"/>
  <c r="M218" i="1" s="1"/>
  <c r="M219" i="1" s="1"/>
  <c r="M220" i="1" s="1"/>
  <c r="M221" i="1" s="1"/>
  <c r="M222" i="1" s="1"/>
  <c r="M223" i="1"/>
  <c r="M224" i="1" s="1"/>
  <c r="M225" i="1" s="1"/>
  <c r="M226" i="1" s="1"/>
  <c r="M227" i="1" s="1"/>
  <c r="M228" i="1" s="1"/>
  <c r="M229" i="1" s="1"/>
  <c r="M230" i="1" s="1"/>
  <c r="M231" i="1"/>
  <c r="M232" i="1" s="1"/>
  <c r="M233" i="1" s="1"/>
  <c r="M234" i="1" s="1"/>
  <c r="M235" i="1" s="1"/>
  <c r="M236" i="1" s="1"/>
  <c r="M237" i="1" s="1"/>
  <c r="M238" i="1" s="1"/>
  <c r="M239" i="1"/>
  <c r="M240" i="1" s="1"/>
  <c r="M241" i="1" s="1"/>
  <c r="M242" i="1" s="1"/>
  <c r="M243" i="1" s="1"/>
  <c r="M244" i="1" s="1"/>
  <c r="M245" i="1" s="1"/>
  <c r="M246" i="1" s="1"/>
  <c r="M247" i="1"/>
  <c r="M248" i="1" s="1"/>
  <c r="M249" i="1" s="1"/>
  <c r="M250" i="1" s="1"/>
  <c r="M251" i="1" s="1"/>
  <c r="M252" i="1" s="1"/>
  <c r="M253" i="1" s="1"/>
  <c r="M254" i="1" s="1"/>
  <c r="M255" i="1"/>
  <c r="M256" i="1" s="1"/>
  <c r="M257" i="1" s="1"/>
  <c r="M258" i="1" s="1"/>
  <c r="M259" i="1" s="1"/>
  <c r="M260" i="1" s="1"/>
  <c r="M261" i="1" s="1"/>
  <c r="M262" i="1" s="1"/>
  <c r="M263" i="1"/>
  <c r="M264" i="1" s="1"/>
  <c r="M265" i="1" s="1"/>
  <c r="M266" i="1" s="1"/>
  <c r="M267" i="1" s="1"/>
  <c r="M268" i="1" s="1"/>
  <c r="M269" i="1" s="1"/>
  <c r="M270" i="1" s="1"/>
  <c r="M271" i="1"/>
  <c r="M272" i="1" s="1"/>
  <c r="M273" i="1" s="1"/>
  <c r="M274" i="1" s="1"/>
  <c r="M275" i="1" s="1"/>
  <c r="M276" i="1" s="1"/>
  <c r="M277" i="1" s="1"/>
  <c r="M278" i="1" s="1"/>
  <c r="M279" i="1"/>
  <c r="M280" i="1" s="1"/>
  <c r="M281" i="1" s="1"/>
  <c r="M282" i="1" s="1"/>
  <c r="M283" i="1" s="1"/>
  <c r="M284" i="1" s="1"/>
  <c r="M285" i="1" s="1"/>
  <c r="M286" i="1" s="1"/>
  <c r="M287" i="1"/>
  <c r="M288" i="1" s="1"/>
  <c r="M289" i="1" s="1"/>
  <c r="M290" i="1" s="1"/>
  <c r="M291" i="1" s="1"/>
  <c r="M292" i="1" s="1"/>
  <c r="M293" i="1" s="1"/>
  <c r="M294" i="1" s="1"/>
  <c r="M295" i="1"/>
  <c r="M296" i="1" s="1"/>
  <c r="M297" i="1" s="1"/>
  <c r="M298" i="1" s="1"/>
  <c r="M299" i="1" s="1"/>
  <c r="M300" i="1" s="1"/>
  <c r="M301" i="1" s="1"/>
  <c r="M302" i="1" s="1"/>
  <c r="M303" i="1"/>
  <c r="M304" i="1" s="1"/>
  <c r="M305" i="1" s="1"/>
  <c r="M306" i="1" s="1"/>
  <c r="M307" i="1" s="1"/>
  <c r="M308" i="1" s="1"/>
  <c r="M309" i="1" s="1"/>
  <c r="M310" i="1" s="1"/>
  <c r="M311" i="1"/>
  <c r="M312" i="1" s="1"/>
  <c r="M313" i="1" s="1"/>
  <c r="M314" i="1" s="1"/>
  <c r="M315" i="1" s="1"/>
  <c r="M316" i="1" s="1"/>
  <c r="M317" i="1" s="1"/>
  <c r="M318" i="1" s="1"/>
  <c r="M319" i="1"/>
  <c r="M320" i="1" s="1"/>
  <c r="M321" i="1" s="1"/>
  <c r="M322" i="1" s="1"/>
  <c r="M323" i="1" s="1"/>
  <c r="M324" i="1" s="1"/>
  <c r="M325" i="1" s="1"/>
  <c r="M326" i="1" s="1"/>
  <c r="M327" i="1"/>
  <c r="M328" i="1" s="1"/>
  <c r="M329" i="1" s="1"/>
  <c r="M330" i="1" s="1"/>
  <c r="M331" i="1" s="1"/>
  <c r="M332" i="1" s="1"/>
  <c r="M333" i="1" s="1"/>
  <c r="M334" i="1" s="1"/>
  <c r="M335" i="1"/>
  <c r="M336" i="1" s="1"/>
  <c r="M337" i="1" s="1"/>
  <c r="M338" i="1" s="1"/>
  <c r="M339" i="1" s="1"/>
  <c r="M340" i="1" s="1"/>
  <c r="M341" i="1" s="1"/>
  <c r="M342" i="1" s="1"/>
  <c r="M343" i="1"/>
  <c r="M344" i="1" s="1"/>
  <c r="M345" i="1" s="1"/>
  <c r="M346" i="1" s="1"/>
  <c r="M347" i="1" s="1"/>
  <c r="M348" i="1" s="1"/>
  <c r="M349" i="1" s="1"/>
  <c r="M350" i="1" s="1"/>
  <c r="M351" i="1"/>
  <c r="M352" i="1" s="1"/>
  <c r="M353" i="1" s="1"/>
  <c r="M354" i="1" s="1"/>
  <c r="M355" i="1" s="1"/>
  <c r="M356" i="1" s="1"/>
  <c r="M357" i="1" s="1"/>
  <c r="M358" i="1" s="1"/>
  <c r="M359" i="1"/>
  <c r="M360" i="1" s="1"/>
  <c r="M361" i="1" s="1"/>
  <c r="M362" i="1" s="1"/>
  <c r="M363" i="1" s="1"/>
  <c r="M364" i="1" s="1"/>
  <c r="M365" i="1" s="1"/>
  <c r="M366" i="1" s="1"/>
  <c r="M367" i="1"/>
  <c r="M368" i="1" s="1"/>
  <c r="M369" i="1" s="1"/>
  <c r="M370" i="1" s="1"/>
  <c r="M371" i="1" s="1"/>
  <c r="M372" i="1" s="1"/>
  <c r="M373" i="1" s="1"/>
  <c r="M374" i="1" s="1"/>
  <c r="M375" i="1"/>
  <c r="M376" i="1" s="1"/>
  <c r="M377" i="1" s="1"/>
  <c r="M378" i="1" s="1"/>
  <c r="M379" i="1" s="1"/>
  <c r="M380" i="1" s="1"/>
  <c r="M381" i="1" s="1"/>
  <c r="M382" i="1" s="1"/>
  <c r="M383" i="1"/>
  <c r="M384" i="1" s="1"/>
  <c r="M385" i="1" s="1"/>
  <c r="M386" i="1" s="1"/>
  <c r="M387" i="1" s="1"/>
  <c r="M388" i="1" s="1"/>
  <c r="M389" i="1" s="1"/>
  <c r="M390" i="1" s="1"/>
  <c r="M391" i="1"/>
  <c r="M392" i="1" s="1"/>
  <c r="M393" i="1" s="1"/>
  <c r="M394" i="1" s="1"/>
  <c r="M395" i="1" s="1"/>
  <c r="M396" i="1" s="1"/>
  <c r="M397" i="1" s="1"/>
  <c r="M398" i="1" s="1"/>
  <c r="M399" i="1"/>
  <c r="M400" i="1" s="1"/>
  <c r="M401" i="1" s="1"/>
  <c r="M402" i="1" s="1"/>
  <c r="M403" i="1" s="1"/>
  <c r="M404" i="1" s="1"/>
  <c r="M405" i="1" s="1"/>
  <c r="M406" i="1" s="1"/>
  <c r="M407" i="1"/>
  <c r="M408" i="1" s="1"/>
  <c r="M409" i="1" s="1"/>
  <c r="M410" i="1" s="1"/>
  <c r="M411" i="1" s="1"/>
  <c r="M412" i="1" s="1"/>
  <c r="M413" i="1" s="1"/>
  <c r="M414" i="1" s="1"/>
  <c r="M415" i="1"/>
  <c r="M416" i="1" s="1"/>
  <c r="M417" i="1" s="1"/>
  <c r="M418" i="1" s="1"/>
  <c r="M419" i="1" s="1"/>
  <c r="M420" i="1" s="1"/>
  <c r="M421" i="1" s="1"/>
  <c r="M422" i="1" s="1"/>
  <c r="M423" i="1"/>
  <c r="M424" i="1" s="1"/>
  <c r="M425" i="1" s="1"/>
  <c r="M426" i="1" s="1"/>
  <c r="M427" i="1" s="1"/>
  <c r="M428" i="1" s="1"/>
  <c r="M429" i="1" s="1"/>
  <c r="M430" i="1" s="1"/>
  <c r="M431" i="1"/>
  <c r="M432" i="1" s="1"/>
  <c r="M433" i="1" s="1"/>
  <c r="M434" i="1" s="1"/>
  <c r="M435" i="1" s="1"/>
  <c r="M436" i="1" s="1"/>
  <c r="M437" i="1" s="1"/>
  <c r="M438" i="1" s="1"/>
  <c r="M439" i="1"/>
  <c r="M440" i="1" s="1"/>
  <c r="M441" i="1" s="1"/>
  <c r="M442" i="1" s="1"/>
  <c r="M443" i="1" s="1"/>
  <c r="M444" i="1" s="1"/>
  <c r="M445" i="1" s="1"/>
  <c r="M446" i="1" s="1"/>
  <c r="M447" i="1"/>
  <c r="M448" i="1" s="1"/>
  <c r="M449" i="1" s="1"/>
  <c r="M450" i="1" s="1"/>
  <c r="M451" i="1" s="1"/>
  <c r="M452" i="1" s="1"/>
  <c r="M453" i="1" s="1"/>
  <c r="M454" i="1" s="1"/>
  <c r="M455" i="1"/>
  <c r="M456" i="1" s="1"/>
  <c r="M457" i="1" s="1"/>
  <c r="M458" i="1" s="1"/>
  <c r="M459" i="1" s="1"/>
  <c r="M460" i="1" s="1"/>
  <c r="M461" i="1" s="1"/>
  <c r="M462" i="1" s="1"/>
  <c r="M463" i="1"/>
  <c r="M464" i="1" s="1"/>
  <c r="M465" i="1" s="1"/>
  <c r="M466" i="1" s="1"/>
  <c r="M467" i="1" s="1"/>
  <c r="M468" i="1" s="1"/>
  <c r="M469" i="1" s="1"/>
  <c r="M470" i="1" s="1"/>
  <c r="M471" i="1"/>
  <c r="M472" i="1" s="1"/>
  <c r="M473" i="1" s="1"/>
  <c r="M474" i="1" s="1"/>
  <c r="M475" i="1" s="1"/>
  <c r="M476" i="1" s="1"/>
  <c r="M477" i="1" s="1"/>
  <c r="M478" i="1" s="1"/>
  <c r="M479" i="1"/>
  <c r="M480" i="1" s="1"/>
  <c r="M481" i="1" s="1"/>
  <c r="M482" i="1" s="1"/>
  <c r="M483" i="1" s="1"/>
  <c r="M484" i="1" s="1"/>
  <c r="M485" i="1" s="1"/>
  <c r="M486" i="1" s="1"/>
  <c r="M487" i="1"/>
  <c r="M488" i="1" s="1"/>
  <c r="M489" i="1" s="1"/>
  <c r="M490" i="1" s="1"/>
  <c r="M491" i="1" s="1"/>
  <c r="M492" i="1" s="1"/>
  <c r="M493" i="1" s="1"/>
  <c r="M494" i="1" s="1"/>
  <c r="M495" i="1"/>
  <c r="M496" i="1" s="1"/>
  <c r="M497" i="1" s="1"/>
  <c r="M498" i="1" s="1"/>
  <c r="M499" i="1" s="1"/>
  <c r="M500" i="1" s="1"/>
  <c r="M501" i="1" s="1"/>
  <c r="M502" i="1" s="1"/>
  <c r="M503" i="1"/>
  <c r="M504" i="1" s="1"/>
  <c r="M505" i="1" s="1"/>
  <c r="M506" i="1" s="1"/>
  <c r="M507" i="1" s="1"/>
  <c r="M508" i="1" s="1"/>
  <c r="M509" i="1" s="1"/>
  <c r="M510" i="1" s="1"/>
  <c r="M511" i="1"/>
  <c r="M512" i="1" s="1"/>
  <c r="M513" i="1" s="1"/>
  <c r="M514" i="1" s="1"/>
  <c r="M515" i="1" s="1"/>
  <c r="M516" i="1" s="1"/>
  <c r="M517" i="1" s="1"/>
  <c r="M518" i="1" s="1"/>
  <c r="M519" i="1"/>
  <c r="M520" i="1" s="1"/>
  <c r="M521" i="1" s="1"/>
  <c r="M522" i="1" s="1"/>
  <c r="M523" i="1" s="1"/>
  <c r="M524" i="1" s="1"/>
  <c r="M525" i="1" s="1"/>
  <c r="M526" i="1" s="1"/>
  <c r="M527" i="1"/>
  <c r="M528" i="1" s="1"/>
  <c r="M529" i="1" s="1"/>
  <c r="M530" i="1" s="1"/>
  <c r="M531" i="1" s="1"/>
  <c r="M532" i="1" s="1"/>
  <c r="M533" i="1" s="1"/>
  <c r="M534" i="1" s="1"/>
  <c r="M535" i="1"/>
  <c r="M536" i="1" s="1"/>
  <c r="M537" i="1" s="1"/>
  <c r="M538" i="1" s="1"/>
  <c r="M539" i="1" s="1"/>
  <c r="M540" i="1" s="1"/>
  <c r="M541" i="1" s="1"/>
  <c r="M542" i="1" s="1"/>
  <c r="M543" i="1"/>
  <c r="M544" i="1" s="1"/>
  <c r="M545" i="1" s="1"/>
  <c r="M546" i="1" s="1"/>
  <c r="M547" i="1" s="1"/>
  <c r="M548" i="1" s="1"/>
  <c r="M549" i="1" s="1"/>
  <c r="M550" i="1" s="1"/>
  <c r="M551" i="1"/>
  <c r="M552" i="1" s="1"/>
  <c r="M553" i="1" s="1"/>
  <c r="M554" i="1" s="1"/>
  <c r="M555" i="1" s="1"/>
  <c r="M556" i="1" s="1"/>
  <c r="M557" i="1" s="1"/>
  <c r="M558" i="1" s="1"/>
  <c r="M559" i="1"/>
  <c r="M560" i="1" s="1"/>
  <c r="M561" i="1" s="1"/>
  <c r="M562" i="1" s="1"/>
  <c r="M563" i="1" s="1"/>
  <c r="M564" i="1" s="1"/>
  <c r="M565" i="1" s="1"/>
  <c r="M566" i="1" s="1"/>
  <c r="M567" i="1"/>
  <c r="M568" i="1" s="1"/>
  <c r="M569" i="1" s="1"/>
  <c r="M570" i="1" s="1"/>
  <c r="M571" i="1" s="1"/>
  <c r="M572" i="1" s="1"/>
  <c r="M573" i="1" s="1"/>
  <c r="M574" i="1" s="1"/>
  <c r="M575" i="1"/>
  <c r="M576" i="1" s="1"/>
  <c r="M577" i="1" s="1"/>
  <c r="M578" i="1" s="1"/>
  <c r="M579" i="1" s="1"/>
  <c r="M580" i="1" s="1"/>
  <c r="M581" i="1" s="1"/>
  <c r="M582" i="1" s="1"/>
  <c r="M583" i="1"/>
  <c r="M584" i="1" s="1"/>
  <c r="M585" i="1" s="1"/>
  <c r="M586" i="1" s="1"/>
  <c r="M587" i="1" s="1"/>
  <c r="M588" i="1" s="1"/>
  <c r="M589" i="1" s="1"/>
  <c r="M590" i="1" s="1"/>
  <c r="M591" i="1"/>
  <c r="M592" i="1" s="1"/>
  <c r="M593" i="1" s="1"/>
  <c r="M594" i="1" s="1"/>
  <c r="M595" i="1" s="1"/>
  <c r="M596" i="1" s="1"/>
  <c r="M597" i="1" s="1"/>
  <c r="M598" i="1" s="1"/>
  <c r="M599" i="1"/>
  <c r="M600" i="1" s="1"/>
  <c r="M601" i="1" s="1"/>
  <c r="M602" i="1" s="1"/>
  <c r="M603" i="1" s="1"/>
  <c r="M604" i="1" s="1"/>
  <c r="M605" i="1" s="1"/>
  <c r="M606" i="1" s="1"/>
  <c r="M607" i="1"/>
  <c r="M608" i="1" s="1"/>
  <c r="M609" i="1" s="1"/>
  <c r="M610" i="1" s="1"/>
  <c r="M611" i="1" s="1"/>
  <c r="M612" i="1" s="1"/>
  <c r="M613" i="1" s="1"/>
  <c r="M614" i="1" s="1"/>
  <c r="M615" i="1"/>
  <c r="M616" i="1" s="1"/>
  <c r="M617" i="1" s="1"/>
  <c r="M618" i="1" s="1"/>
  <c r="M619" i="1" s="1"/>
  <c r="M620" i="1" s="1"/>
  <c r="M621" i="1" s="1"/>
  <c r="M622" i="1" s="1"/>
  <c r="M623" i="1"/>
  <c r="M624" i="1" s="1"/>
  <c r="M625" i="1" s="1"/>
  <c r="M626" i="1" s="1"/>
  <c r="M627" i="1" s="1"/>
  <c r="M628" i="1" s="1"/>
  <c r="M629" i="1" s="1"/>
  <c r="M630" i="1" s="1"/>
  <c r="M631" i="1"/>
  <c r="M632" i="1" s="1"/>
  <c r="M633" i="1" s="1"/>
  <c r="M634" i="1" s="1"/>
  <c r="M635" i="1" s="1"/>
  <c r="M636" i="1" s="1"/>
  <c r="M637" i="1" s="1"/>
  <c r="M638" i="1" s="1"/>
  <c r="M639" i="1"/>
  <c r="M640" i="1" s="1"/>
  <c r="M641" i="1" s="1"/>
  <c r="M642" i="1" s="1"/>
  <c r="M643" i="1" s="1"/>
  <c r="M644" i="1" s="1"/>
  <c r="M645" i="1" s="1"/>
  <c r="M646" i="1" s="1"/>
  <c r="M647" i="1"/>
  <c r="M648" i="1" s="1"/>
  <c r="M649" i="1" s="1"/>
  <c r="M650" i="1" s="1"/>
  <c r="M651" i="1" s="1"/>
  <c r="M652" i="1" s="1"/>
  <c r="M653" i="1" s="1"/>
  <c r="M654" i="1" s="1"/>
  <c r="M655" i="1"/>
  <c r="M656" i="1" s="1"/>
  <c r="M657" i="1" s="1"/>
  <c r="M658" i="1" s="1"/>
  <c r="M659" i="1" s="1"/>
  <c r="M660" i="1" s="1"/>
  <c r="M661" i="1" s="1"/>
  <c r="M662" i="1" s="1"/>
  <c r="M663" i="1"/>
  <c r="M664" i="1" s="1"/>
  <c r="M665" i="1" s="1"/>
  <c r="M666" i="1" s="1"/>
  <c r="M667" i="1" s="1"/>
  <c r="M668" i="1" s="1"/>
  <c r="M669" i="1" s="1"/>
  <c r="M670" i="1" s="1"/>
  <c r="M671" i="1"/>
  <c r="M672" i="1" s="1"/>
  <c r="M673" i="1" s="1"/>
  <c r="M674" i="1" s="1"/>
  <c r="M675" i="1" s="1"/>
  <c r="M676" i="1" s="1"/>
  <c r="M677" i="1" s="1"/>
  <c r="M678" i="1" s="1"/>
  <c r="M679" i="1"/>
  <c r="M680" i="1" s="1"/>
  <c r="M681" i="1" s="1"/>
  <c r="M682" i="1" s="1"/>
  <c r="M683" i="1" s="1"/>
  <c r="M684" i="1" s="1"/>
  <c r="M685" i="1" s="1"/>
  <c r="M686" i="1" s="1"/>
  <c r="M687" i="1"/>
  <c r="M688" i="1" s="1"/>
  <c r="M689" i="1" s="1"/>
  <c r="M690" i="1" s="1"/>
  <c r="M691" i="1" s="1"/>
  <c r="M692" i="1" s="1"/>
  <c r="M693" i="1" s="1"/>
  <c r="M694" i="1" s="1"/>
  <c r="M695" i="1"/>
  <c r="M696" i="1" s="1"/>
  <c r="M697" i="1" s="1"/>
  <c r="M698" i="1" s="1"/>
  <c r="M699" i="1" s="1"/>
  <c r="M700" i="1" s="1"/>
  <c r="M701" i="1" s="1"/>
  <c r="M702" i="1" s="1"/>
  <c r="M703" i="1"/>
  <c r="M704" i="1" s="1"/>
  <c r="M705" i="1" s="1"/>
  <c r="M706" i="1" s="1"/>
  <c r="M707" i="1" s="1"/>
  <c r="M708" i="1" s="1"/>
  <c r="M709" i="1" s="1"/>
  <c r="M710" i="1" s="1"/>
  <c r="M711" i="1"/>
  <c r="M712" i="1" s="1"/>
  <c r="M713" i="1" s="1"/>
  <c r="M714" i="1" s="1"/>
  <c r="M715" i="1" s="1"/>
  <c r="M716" i="1" s="1"/>
  <c r="M717" i="1" s="1"/>
  <c r="M718" i="1" s="1"/>
  <c r="M719" i="1"/>
  <c r="M720" i="1" s="1"/>
  <c r="M721" i="1" s="1"/>
  <c r="M722" i="1" s="1"/>
  <c r="M723" i="1" s="1"/>
  <c r="M724" i="1" s="1"/>
  <c r="M725" i="1" s="1"/>
  <c r="M726" i="1" s="1"/>
  <c r="M727" i="1"/>
  <c r="M728" i="1" s="1"/>
  <c r="M729" i="1" s="1"/>
  <c r="M730" i="1" s="1"/>
  <c r="M731" i="1" s="1"/>
  <c r="M732" i="1" s="1"/>
  <c r="M733" i="1" s="1"/>
  <c r="M734" i="1" s="1"/>
  <c r="M735" i="1"/>
  <c r="M736" i="1" s="1"/>
  <c r="M737" i="1" s="1"/>
  <c r="M738" i="1" s="1"/>
  <c r="M739" i="1" s="1"/>
  <c r="M740" i="1" s="1"/>
  <c r="M741" i="1" s="1"/>
  <c r="M742" i="1" s="1"/>
  <c r="M743" i="1"/>
  <c r="M744" i="1" s="1"/>
  <c r="M745" i="1" s="1"/>
  <c r="M746" i="1" s="1"/>
  <c r="M747" i="1" s="1"/>
  <c r="M748" i="1" s="1"/>
  <c r="M749" i="1" s="1"/>
  <c r="M750" i="1" s="1"/>
  <c r="M751" i="1"/>
  <c r="M752" i="1" s="1"/>
  <c r="M753" i="1" s="1"/>
  <c r="M754" i="1" s="1"/>
  <c r="M755" i="1" s="1"/>
  <c r="M756" i="1" s="1"/>
  <c r="M757" i="1" s="1"/>
  <c r="M758" i="1" s="1"/>
  <c r="M759" i="1"/>
  <c r="M760" i="1" s="1"/>
  <c r="M761" i="1" s="1"/>
  <c r="M762" i="1" s="1"/>
  <c r="M763" i="1" s="1"/>
  <c r="M764" i="1" s="1"/>
  <c r="M765" i="1" s="1"/>
  <c r="M766" i="1" s="1"/>
  <c r="M767" i="1"/>
  <c r="M768" i="1" s="1"/>
  <c r="M769" i="1" s="1"/>
  <c r="M770" i="1" s="1"/>
  <c r="M771" i="1" s="1"/>
  <c r="M772" i="1" s="1"/>
  <c r="M773" i="1" s="1"/>
  <c r="M774" i="1" s="1"/>
  <c r="M775" i="1"/>
  <c r="M776" i="1" s="1"/>
  <c r="M777" i="1" s="1"/>
  <c r="M778" i="1" s="1"/>
  <c r="M779" i="1" s="1"/>
  <c r="M780" i="1" s="1"/>
  <c r="M781" i="1" s="1"/>
  <c r="M782" i="1" s="1"/>
  <c r="M783" i="1"/>
  <c r="M784" i="1" s="1"/>
  <c r="M785" i="1" s="1"/>
  <c r="M786" i="1" s="1"/>
  <c r="M787" i="1" s="1"/>
  <c r="M788" i="1" s="1"/>
  <c r="M789" i="1" s="1"/>
  <c r="M790" i="1" s="1"/>
  <c r="M791" i="1"/>
  <c r="M792" i="1" s="1"/>
  <c r="M793" i="1" s="1"/>
  <c r="M794" i="1" s="1"/>
  <c r="M795" i="1" s="1"/>
  <c r="M796" i="1" s="1"/>
  <c r="M797" i="1" s="1"/>
  <c r="M798" i="1" s="1"/>
  <c r="M799" i="1"/>
  <c r="M800" i="1" s="1"/>
  <c r="M801" i="1" s="1"/>
  <c r="M802" i="1" s="1"/>
  <c r="M803" i="1" s="1"/>
  <c r="M804" i="1" s="1"/>
  <c r="M805" i="1" s="1"/>
  <c r="M806" i="1" s="1"/>
  <c r="M807" i="1"/>
  <c r="M808" i="1" s="1"/>
  <c r="M809" i="1" s="1"/>
  <c r="M810" i="1" s="1"/>
  <c r="M811" i="1" s="1"/>
  <c r="M812" i="1" s="1"/>
  <c r="M813" i="1" s="1"/>
  <c r="M814" i="1" s="1"/>
  <c r="M815" i="1"/>
  <c r="M816" i="1" s="1"/>
  <c r="M817" i="1" s="1"/>
  <c r="M818" i="1" s="1"/>
  <c r="M819" i="1" s="1"/>
  <c r="M820" i="1" s="1"/>
  <c r="M821" i="1" s="1"/>
  <c r="M822" i="1" s="1"/>
  <c r="M823" i="1"/>
  <c r="M824" i="1" s="1"/>
  <c r="M825" i="1" s="1"/>
  <c r="M826" i="1" s="1"/>
  <c r="M827" i="1" s="1"/>
  <c r="M828" i="1" s="1"/>
  <c r="M829" i="1" s="1"/>
  <c r="M830" i="1" s="1"/>
  <c r="M831" i="1"/>
  <c r="M832" i="1" s="1"/>
  <c r="M833" i="1" s="1"/>
  <c r="M834" i="1" s="1"/>
  <c r="M835" i="1" s="1"/>
  <c r="M836" i="1" s="1"/>
  <c r="M837" i="1" s="1"/>
  <c r="M838" i="1" s="1"/>
  <c r="M839" i="1"/>
  <c r="M840" i="1" s="1"/>
  <c r="M841" i="1" s="1"/>
  <c r="M842" i="1" s="1"/>
  <c r="M843" i="1" s="1"/>
  <c r="M844" i="1" s="1"/>
  <c r="M845" i="1" s="1"/>
  <c r="M846" i="1" s="1"/>
  <c r="M847" i="1"/>
  <c r="M848" i="1" s="1"/>
  <c r="M849" i="1" s="1"/>
  <c r="M850" i="1" s="1"/>
  <c r="M851" i="1" s="1"/>
  <c r="M852" i="1" s="1"/>
  <c r="M853" i="1" s="1"/>
  <c r="M854" i="1" s="1"/>
  <c r="M855" i="1"/>
  <c r="M856" i="1" s="1"/>
  <c r="M857" i="1" s="1"/>
  <c r="M858" i="1" s="1"/>
  <c r="M859" i="1" s="1"/>
  <c r="M860" i="1" s="1"/>
  <c r="M861" i="1" s="1"/>
  <c r="M862" i="1" s="1"/>
  <c r="M863" i="1"/>
  <c r="M864" i="1" s="1"/>
  <c r="M865" i="1" s="1"/>
  <c r="M866" i="1" s="1"/>
  <c r="M867" i="1" s="1"/>
  <c r="M868" i="1" s="1"/>
  <c r="M869" i="1" s="1"/>
  <c r="M870" i="1" s="1"/>
  <c r="M871" i="1"/>
  <c r="M872" i="1" s="1"/>
  <c r="M873" i="1" s="1"/>
  <c r="M874" i="1" s="1"/>
  <c r="M875" i="1" s="1"/>
  <c r="M876" i="1" s="1"/>
  <c r="M877" i="1" s="1"/>
  <c r="M878" i="1" s="1"/>
  <c r="M879" i="1"/>
  <c r="M880" i="1" s="1"/>
  <c r="M881" i="1" s="1"/>
  <c r="M882" i="1" s="1"/>
  <c r="M883" i="1" s="1"/>
  <c r="M884" i="1" s="1"/>
  <c r="M885" i="1" s="1"/>
  <c r="M886" i="1" s="1"/>
  <c r="M887" i="1"/>
  <c r="M888" i="1" s="1"/>
  <c r="M889" i="1" s="1"/>
  <c r="M890" i="1" s="1"/>
  <c r="M891" i="1" s="1"/>
  <c r="M892" i="1" s="1"/>
  <c r="M893" i="1" s="1"/>
  <c r="M894" i="1" s="1"/>
  <c r="M895" i="1"/>
  <c r="M896" i="1" s="1"/>
  <c r="M897" i="1" s="1"/>
  <c r="M898" i="1" s="1"/>
  <c r="M899" i="1" s="1"/>
  <c r="M900" i="1" s="1"/>
  <c r="M901" i="1" s="1"/>
  <c r="M902" i="1" s="1"/>
  <c r="M903" i="1"/>
  <c r="M904" i="1" s="1"/>
  <c r="M905" i="1" s="1"/>
  <c r="M906" i="1" s="1"/>
  <c r="M907" i="1" s="1"/>
  <c r="M908" i="1" s="1"/>
  <c r="M909" i="1" s="1"/>
  <c r="M910" i="1" s="1"/>
  <c r="M911" i="1"/>
  <c r="M912" i="1" s="1"/>
  <c r="M913" i="1" s="1"/>
  <c r="M914" i="1" s="1"/>
  <c r="M915" i="1" s="1"/>
  <c r="M916" i="1" s="1"/>
  <c r="M917" i="1" s="1"/>
  <c r="M918" i="1" s="1"/>
  <c r="M919" i="1"/>
  <c r="M920" i="1" s="1"/>
  <c r="M921" i="1" s="1"/>
  <c r="M922" i="1" s="1"/>
  <c r="M923" i="1" s="1"/>
  <c r="M924" i="1" s="1"/>
  <c r="M925" i="1" s="1"/>
  <c r="M926" i="1" s="1"/>
  <c r="M927" i="1"/>
  <c r="M928" i="1" s="1"/>
  <c r="M929" i="1" s="1"/>
  <c r="M930" i="1" s="1"/>
  <c r="M931" i="1" s="1"/>
  <c r="M932" i="1" s="1"/>
  <c r="M933" i="1" s="1"/>
  <c r="M934" i="1" s="1"/>
  <c r="M935" i="1"/>
  <c r="M936" i="1" s="1"/>
  <c r="M937" i="1" s="1"/>
  <c r="M938" i="1" s="1"/>
  <c r="M939" i="1" s="1"/>
  <c r="M940" i="1" s="1"/>
  <c r="M941" i="1" s="1"/>
  <c r="M942" i="1" s="1"/>
  <c r="M943" i="1"/>
  <c r="M944" i="1" s="1"/>
  <c r="M945" i="1" s="1"/>
  <c r="M946" i="1" s="1"/>
  <c r="M947" i="1" s="1"/>
  <c r="M948" i="1" s="1"/>
  <c r="M949" i="1" s="1"/>
  <c r="M950" i="1" s="1"/>
  <c r="M951" i="1"/>
  <c r="M952" i="1" s="1"/>
  <c r="M953" i="1" s="1"/>
  <c r="M954" i="1" s="1"/>
  <c r="M955" i="1" s="1"/>
  <c r="M956" i="1" s="1"/>
  <c r="M957" i="1" s="1"/>
  <c r="M958" i="1" s="1"/>
  <c r="M959" i="1"/>
  <c r="M960" i="1" s="1"/>
  <c r="M961" i="1" s="1"/>
  <c r="M962" i="1" s="1"/>
  <c r="M963" i="1" s="1"/>
  <c r="M964" i="1" s="1"/>
  <c r="M965" i="1" s="1"/>
  <c r="M966" i="1" s="1"/>
  <c r="M967" i="1"/>
  <c r="M968" i="1" s="1"/>
  <c r="M969" i="1" s="1"/>
  <c r="M970" i="1" s="1"/>
  <c r="M971" i="1" s="1"/>
  <c r="M972" i="1" s="1"/>
  <c r="M973" i="1" s="1"/>
  <c r="M974" i="1" s="1"/>
  <c r="M975" i="1"/>
  <c r="M976" i="1" s="1"/>
  <c r="M977" i="1" s="1"/>
  <c r="M978" i="1" s="1"/>
  <c r="M979" i="1" s="1"/>
  <c r="M980" i="1" s="1"/>
  <c r="M981" i="1" s="1"/>
  <c r="M982" i="1" s="1"/>
  <c r="J13" i="1"/>
  <c r="J14" i="1"/>
  <c r="J15" i="1"/>
  <c r="I13" i="1"/>
  <c r="J16" i="1"/>
  <c r="I14" i="1"/>
  <c r="J17" i="1"/>
  <c r="I15" i="1"/>
  <c r="J18" i="1"/>
  <c r="I16" i="1"/>
  <c r="J19" i="1"/>
  <c r="I17" i="1"/>
  <c r="J20" i="1"/>
  <c r="I18" i="1"/>
  <c r="J21" i="1"/>
  <c r="I19" i="1"/>
  <c r="J22" i="1"/>
  <c r="I20" i="1"/>
  <c r="J23" i="1"/>
  <c r="I21" i="1"/>
  <c r="J24" i="1"/>
  <c r="I22" i="1"/>
  <c r="J25" i="1"/>
  <c r="I23" i="1"/>
  <c r="J26" i="1"/>
  <c r="I24" i="1"/>
  <c r="J27" i="1"/>
  <c r="I25" i="1"/>
  <c r="J28" i="1"/>
  <c r="I26" i="1"/>
  <c r="J29" i="1"/>
  <c r="I27" i="1"/>
  <c r="J30" i="1"/>
  <c r="I28" i="1"/>
  <c r="J31" i="1"/>
  <c r="I29" i="1"/>
  <c r="J32" i="1"/>
  <c r="I30" i="1"/>
  <c r="J33" i="1"/>
  <c r="I31" i="1"/>
  <c r="J34" i="1"/>
  <c r="I32" i="1"/>
  <c r="J35" i="1"/>
  <c r="I33" i="1"/>
  <c r="J36" i="1"/>
  <c r="I34" i="1"/>
  <c r="J37" i="1"/>
  <c r="I35" i="1"/>
  <c r="J38" i="1"/>
  <c r="I36" i="1"/>
  <c r="J39" i="1"/>
  <c r="I37" i="1"/>
  <c r="J40" i="1"/>
  <c r="I38" i="1"/>
  <c r="J41" i="1"/>
  <c r="I39" i="1"/>
  <c r="J42" i="1"/>
  <c r="I40" i="1"/>
  <c r="J43" i="1"/>
  <c r="I41" i="1"/>
  <c r="J44" i="1"/>
  <c r="I42" i="1"/>
  <c r="J45" i="1"/>
  <c r="I43" i="1"/>
  <c r="J46" i="1"/>
  <c r="I44" i="1"/>
  <c r="J47" i="1"/>
  <c r="I45" i="1"/>
  <c r="J48" i="1"/>
  <c r="I46" i="1"/>
  <c r="J49" i="1"/>
  <c r="I47" i="1"/>
  <c r="J50" i="1"/>
  <c r="I48" i="1"/>
  <c r="J51" i="1"/>
  <c r="I49" i="1"/>
  <c r="J52" i="1"/>
  <c r="I50" i="1"/>
  <c r="J53" i="1"/>
  <c r="I51" i="1"/>
  <c r="J54" i="1"/>
  <c r="I52" i="1"/>
  <c r="J55" i="1"/>
  <c r="I53" i="1"/>
  <c r="J56" i="1"/>
  <c r="I54" i="1"/>
  <c r="J57" i="1"/>
  <c r="I55" i="1"/>
  <c r="J58" i="1"/>
  <c r="I56" i="1"/>
  <c r="J59" i="1"/>
  <c r="I57" i="1"/>
  <c r="J60" i="1"/>
  <c r="I58" i="1"/>
  <c r="J61" i="1"/>
  <c r="I59" i="1"/>
  <c r="J62" i="1"/>
  <c r="I60" i="1"/>
  <c r="J63" i="1"/>
  <c r="I61" i="1"/>
  <c r="J64" i="1"/>
  <c r="I62" i="1"/>
  <c r="J65" i="1"/>
  <c r="I63" i="1"/>
  <c r="J66" i="1"/>
  <c r="I64" i="1"/>
  <c r="J67" i="1"/>
  <c r="I65" i="1"/>
  <c r="J68" i="1"/>
  <c r="I66" i="1"/>
  <c r="J69" i="1"/>
  <c r="I67" i="1"/>
  <c r="J70" i="1"/>
  <c r="I68" i="1"/>
  <c r="J71" i="1"/>
  <c r="I69" i="1"/>
  <c r="J72" i="1"/>
  <c r="I70" i="1"/>
  <c r="J73" i="1"/>
  <c r="I71" i="1"/>
  <c r="J74" i="1"/>
  <c r="I72" i="1"/>
  <c r="J75" i="1"/>
  <c r="I73" i="1"/>
  <c r="J76" i="1"/>
  <c r="I74" i="1"/>
  <c r="J77" i="1"/>
  <c r="I75" i="1"/>
  <c r="J78" i="1"/>
  <c r="I76" i="1"/>
  <c r="J79" i="1"/>
  <c r="I77" i="1"/>
  <c r="J80" i="1"/>
  <c r="I78" i="1"/>
  <c r="J81" i="1"/>
  <c r="I79" i="1"/>
  <c r="J82" i="1"/>
  <c r="I80" i="1"/>
  <c r="J83" i="1"/>
  <c r="I81" i="1"/>
  <c r="J84" i="1"/>
  <c r="I82" i="1"/>
  <c r="J85" i="1"/>
  <c r="I83" i="1"/>
  <c r="J86" i="1"/>
  <c r="I84" i="1"/>
  <c r="J87" i="1"/>
  <c r="I85" i="1"/>
  <c r="J88" i="1"/>
  <c r="I86" i="1"/>
  <c r="J89" i="1"/>
  <c r="I87" i="1"/>
  <c r="J90" i="1"/>
  <c r="I88" i="1"/>
  <c r="J91" i="1"/>
  <c r="I89" i="1"/>
  <c r="J92" i="1"/>
  <c r="I90" i="1"/>
  <c r="J93" i="1"/>
  <c r="I91" i="1"/>
  <c r="J94" i="1"/>
  <c r="I92" i="1"/>
  <c r="J95" i="1"/>
  <c r="I93" i="1"/>
  <c r="J96" i="1"/>
  <c r="I94" i="1"/>
  <c r="J97" i="1"/>
  <c r="I95" i="1"/>
  <c r="J98" i="1"/>
  <c r="I96" i="1"/>
  <c r="J99" i="1"/>
  <c r="I97" i="1"/>
  <c r="J100" i="1"/>
  <c r="I98" i="1"/>
  <c r="J101" i="1"/>
  <c r="I99" i="1"/>
  <c r="J102" i="1"/>
  <c r="I100" i="1"/>
  <c r="J103" i="1"/>
  <c r="I101" i="1"/>
  <c r="J104" i="1"/>
  <c r="I102" i="1"/>
  <c r="J105" i="1"/>
  <c r="I103" i="1"/>
  <c r="J106" i="1"/>
  <c r="I104" i="1"/>
  <c r="J107" i="1"/>
  <c r="I105" i="1"/>
  <c r="J108" i="1"/>
  <c r="I106" i="1"/>
  <c r="J109" i="1"/>
  <c r="I107" i="1"/>
  <c r="J110" i="1"/>
  <c r="I108" i="1"/>
  <c r="J111" i="1"/>
  <c r="I109" i="1"/>
  <c r="J112" i="1"/>
  <c r="I110" i="1"/>
  <c r="J113" i="1"/>
  <c r="I111" i="1"/>
  <c r="J114" i="1"/>
  <c r="I112" i="1"/>
  <c r="J115" i="1"/>
  <c r="I113" i="1"/>
  <c r="J116" i="1"/>
  <c r="I114" i="1"/>
  <c r="J117" i="1"/>
  <c r="I115" i="1"/>
  <c r="J118" i="1"/>
  <c r="I116" i="1"/>
  <c r="J119" i="1"/>
  <c r="I117" i="1"/>
  <c r="J120" i="1"/>
  <c r="I118" i="1"/>
  <c r="J121" i="1"/>
  <c r="I119" i="1"/>
  <c r="J122" i="1"/>
  <c r="I120" i="1"/>
  <c r="J123" i="1"/>
  <c r="I121" i="1"/>
  <c r="J124" i="1"/>
  <c r="I122" i="1"/>
  <c r="J125" i="1"/>
  <c r="I123" i="1"/>
  <c r="J126" i="1"/>
  <c r="I124" i="1"/>
  <c r="J127" i="1"/>
  <c r="I125" i="1"/>
  <c r="J128" i="1"/>
  <c r="I126" i="1"/>
  <c r="J129" i="1"/>
  <c r="I127" i="1"/>
  <c r="J130" i="1"/>
  <c r="I128" i="1"/>
  <c r="J131" i="1"/>
  <c r="I129" i="1"/>
  <c r="J132" i="1"/>
  <c r="I130" i="1"/>
  <c r="J133" i="1"/>
  <c r="I131" i="1"/>
  <c r="J134" i="1"/>
  <c r="I132" i="1"/>
  <c r="J135" i="1"/>
  <c r="I133" i="1"/>
  <c r="J136" i="1"/>
  <c r="I134" i="1"/>
  <c r="J137" i="1"/>
  <c r="I135" i="1"/>
  <c r="J138" i="1"/>
  <c r="I136" i="1"/>
  <c r="J139" i="1"/>
  <c r="I137" i="1"/>
  <c r="J140" i="1"/>
  <c r="I138" i="1"/>
  <c r="J141" i="1"/>
  <c r="I139" i="1"/>
  <c r="J142" i="1"/>
  <c r="I140" i="1"/>
  <c r="J143" i="1"/>
  <c r="I141" i="1"/>
  <c r="J144" i="1"/>
  <c r="I142" i="1"/>
  <c r="J145" i="1"/>
  <c r="I143" i="1"/>
  <c r="J146" i="1"/>
  <c r="I144" i="1"/>
  <c r="J147" i="1"/>
  <c r="I145" i="1"/>
  <c r="J148" i="1"/>
  <c r="I146" i="1"/>
  <c r="J149" i="1"/>
  <c r="I147" i="1"/>
  <c r="J150" i="1"/>
  <c r="I148" i="1"/>
  <c r="J151" i="1"/>
  <c r="I149" i="1"/>
  <c r="J152" i="1"/>
  <c r="I150" i="1"/>
  <c r="J153" i="1"/>
  <c r="I151" i="1"/>
  <c r="J154" i="1"/>
  <c r="I152" i="1"/>
  <c r="J155" i="1"/>
  <c r="I153" i="1"/>
  <c r="J156" i="1"/>
  <c r="I154" i="1"/>
  <c r="J157" i="1"/>
  <c r="I155" i="1"/>
  <c r="J158" i="1"/>
  <c r="I156" i="1"/>
  <c r="J159" i="1"/>
  <c r="I157" i="1"/>
  <c r="J160" i="1"/>
  <c r="I158" i="1"/>
  <c r="J161" i="1"/>
  <c r="I159" i="1"/>
  <c r="J162" i="1"/>
  <c r="I160" i="1"/>
  <c r="J163" i="1"/>
  <c r="I161" i="1"/>
  <c r="J164" i="1"/>
  <c r="I162" i="1"/>
  <c r="J165" i="1"/>
  <c r="I163" i="1"/>
  <c r="J166" i="1"/>
  <c r="I164" i="1"/>
  <c r="J167" i="1"/>
  <c r="I165" i="1"/>
  <c r="J168" i="1"/>
  <c r="I166" i="1"/>
  <c r="J169" i="1"/>
  <c r="I167" i="1"/>
  <c r="J170" i="1"/>
  <c r="I168" i="1"/>
  <c r="J171" i="1"/>
  <c r="I169" i="1"/>
  <c r="J172" i="1"/>
  <c r="I170" i="1"/>
  <c r="J173" i="1"/>
  <c r="I171" i="1"/>
  <c r="J174" i="1"/>
  <c r="I172" i="1"/>
  <c r="J175" i="1"/>
  <c r="I173" i="1"/>
  <c r="J176" i="1"/>
  <c r="I174" i="1"/>
  <c r="J177" i="1"/>
  <c r="I175" i="1"/>
  <c r="J178" i="1"/>
  <c r="I176" i="1"/>
  <c r="J179" i="1"/>
  <c r="I177" i="1"/>
  <c r="J180" i="1"/>
  <c r="I178" i="1"/>
  <c r="J181" i="1"/>
  <c r="I179" i="1"/>
  <c r="J182" i="1"/>
  <c r="I180" i="1"/>
  <c r="J183" i="1"/>
  <c r="I181" i="1"/>
  <c r="J184" i="1"/>
  <c r="I182" i="1"/>
  <c r="J185" i="1"/>
  <c r="I183" i="1"/>
  <c r="J186" i="1"/>
  <c r="I184" i="1"/>
  <c r="J187" i="1"/>
  <c r="I185" i="1"/>
  <c r="J188" i="1"/>
  <c r="I186" i="1"/>
  <c r="J189" i="1"/>
  <c r="I187" i="1"/>
  <c r="J190" i="1"/>
  <c r="I188" i="1"/>
  <c r="J191" i="1"/>
  <c r="I189" i="1"/>
  <c r="J192" i="1"/>
  <c r="I190" i="1"/>
  <c r="J193" i="1"/>
  <c r="I191" i="1"/>
  <c r="J194" i="1"/>
  <c r="I192" i="1"/>
  <c r="J195" i="1"/>
  <c r="I193" i="1"/>
  <c r="J196" i="1"/>
  <c r="I194" i="1"/>
  <c r="J197" i="1"/>
  <c r="I195" i="1"/>
  <c r="J198" i="1"/>
  <c r="I196" i="1"/>
  <c r="J199" i="1"/>
  <c r="I197" i="1"/>
  <c r="J200" i="1"/>
  <c r="I198" i="1"/>
  <c r="J201" i="1"/>
  <c r="I199" i="1"/>
  <c r="J202" i="1"/>
  <c r="I200" i="1"/>
  <c r="J203" i="1"/>
  <c r="I201" i="1"/>
  <c r="J204" i="1"/>
  <c r="I202" i="1"/>
  <c r="J205" i="1"/>
  <c r="I203" i="1"/>
  <c r="J206" i="1"/>
  <c r="I204" i="1"/>
  <c r="J207" i="1"/>
  <c r="I205" i="1"/>
  <c r="J208" i="1"/>
  <c r="I206" i="1"/>
  <c r="J209" i="1"/>
  <c r="I207" i="1"/>
  <c r="J210" i="1"/>
  <c r="I208" i="1"/>
  <c r="J211" i="1"/>
  <c r="I209" i="1"/>
  <c r="J212" i="1"/>
  <c r="I210" i="1"/>
  <c r="J213" i="1"/>
  <c r="I211" i="1"/>
  <c r="J214" i="1"/>
  <c r="I212" i="1"/>
  <c r="J215" i="1"/>
  <c r="I213" i="1"/>
  <c r="J216" i="1"/>
  <c r="I214" i="1"/>
  <c r="J217" i="1"/>
  <c r="I215" i="1"/>
  <c r="J218" i="1"/>
  <c r="I216" i="1"/>
  <c r="J219" i="1"/>
  <c r="I217" i="1"/>
  <c r="J220" i="1"/>
  <c r="I218" i="1"/>
  <c r="J221" i="1"/>
  <c r="I219" i="1"/>
  <c r="J222" i="1"/>
  <c r="I220" i="1"/>
  <c r="J223" i="1"/>
  <c r="I221" i="1"/>
  <c r="J224" i="1"/>
  <c r="I222" i="1"/>
  <c r="J225" i="1"/>
  <c r="I223" i="1"/>
  <c r="J226" i="1"/>
  <c r="I224" i="1"/>
  <c r="J227" i="1"/>
  <c r="I225" i="1"/>
  <c r="J228" i="1"/>
  <c r="I226" i="1"/>
  <c r="J229" i="1"/>
  <c r="I227" i="1"/>
  <c r="J230" i="1"/>
  <c r="I228" i="1"/>
  <c r="J231" i="1"/>
  <c r="I229" i="1"/>
  <c r="J232" i="1"/>
  <c r="I230" i="1"/>
  <c r="J233" i="1"/>
  <c r="I231" i="1"/>
  <c r="J234" i="1"/>
  <c r="I232" i="1"/>
  <c r="J235" i="1"/>
  <c r="I233" i="1"/>
  <c r="J236" i="1"/>
  <c r="I234" i="1"/>
  <c r="J237" i="1"/>
  <c r="I235" i="1"/>
  <c r="J238" i="1"/>
  <c r="I236" i="1"/>
  <c r="J239" i="1"/>
  <c r="I237" i="1"/>
  <c r="J240" i="1"/>
  <c r="I238" i="1"/>
  <c r="J241" i="1"/>
  <c r="I239" i="1"/>
  <c r="J242" i="1"/>
  <c r="I240" i="1"/>
  <c r="J243" i="1"/>
  <c r="I241" i="1"/>
  <c r="J244" i="1"/>
  <c r="I242" i="1"/>
  <c r="J245" i="1"/>
  <c r="I243" i="1"/>
  <c r="J246" i="1"/>
  <c r="I244" i="1"/>
  <c r="J247" i="1"/>
  <c r="I245" i="1"/>
  <c r="J248" i="1"/>
  <c r="I246" i="1"/>
  <c r="J249" i="1"/>
  <c r="I247" i="1"/>
  <c r="J250" i="1"/>
  <c r="I248" i="1"/>
  <c r="J251" i="1"/>
  <c r="I249" i="1"/>
  <c r="J252" i="1"/>
  <c r="I250" i="1"/>
  <c r="J253" i="1"/>
  <c r="I251" i="1"/>
  <c r="J254" i="1"/>
  <c r="I252" i="1"/>
  <c r="J255" i="1"/>
  <c r="I253" i="1"/>
  <c r="J256" i="1"/>
  <c r="I254" i="1"/>
  <c r="J257" i="1"/>
  <c r="I255" i="1"/>
  <c r="J258" i="1"/>
  <c r="I256" i="1"/>
  <c r="J259" i="1"/>
  <c r="I257" i="1"/>
  <c r="J260" i="1"/>
  <c r="I258" i="1"/>
  <c r="J261" i="1"/>
  <c r="I259" i="1"/>
  <c r="J262" i="1"/>
  <c r="I260" i="1"/>
  <c r="J263" i="1"/>
  <c r="I261" i="1"/>
  <c r="J264" i="1"/>
  <c r="I262" i="1"/>
  <c r="J265" i="1"/>
  <c r="I263" i="1"/>
  <c r="J266" i="1"/>
  <c r="I264" i="1"/>
  <c r="J267" i="1"/>
  <c r="I265" i="1"/>
  <c r="J268" i="1"/>
  <c r="I266" i="1"/>
  <c r="J269" i="1"/>
  <c r="I267" i="1"/>
  <c r="J270" i="1"/>
  <c r="I268" i="1"/>
  <c r="J271" i="1"/>
  <c r="I269" i="1"/>
  <c r="J272" i="1"/>
  <c r="I270" i="1"/>
  <c r="J273" i="1"/>
  <c r="I271" i="1"/>
  <c r="J274" i="1"/>
  <c r="I272" i="1"/>
  <c r="J275" i="1"/>
  <c r="I273" i="1"/>
  <c r="J276" i="1"/>
  <c r="I274" i="1"/>
  <c r="J277" i="1"/>
  <c r="I275" i="1"/>
  <c r="J278" i="1"/>
  <c r="I276" i="1"/>
  <c r="J279" i="1"/>
  <c r="I277" i="1"/>
  <c r="J280" i="1"/>
  <c r="I278" i="1"/>
  <c r="J281" i="1"/>
  <c r="I279" i="1"/>
  <c r="J282" i="1"/>
  <c r="I280" i="1"/>
  <c r="J283" i="1"/>
  <c r="I281" i="1"/>
  <c r="J284" i="1"/>
  <c r="I282" i="1"/>
  <c r="J285" i="1"/>
  <c r="I283" i="1"/>
  <c r="J286" i="1"/>
  <c r="I284" i="1"/>
  <c r="J287" i="1"/>
  <c r="I285" i="1"/>
  <c r="J288" i="1"/>
  <c r="I286" i="1"/>
  <c r="J289" i="1"/>
  <c r="I287" i="1"/>
  <c r="J290" i="1"/>
  <c r="I288" i="1"/>
  <c r="J291" i="1"/>
  <c r="I289" i="1"/>
  <c r="J292" i="1"/>
  <c r="I290" i="1"/>
  <c r="J293" i="1"/>
  <c r="I291" i="1"/>
  <c r="J294" i="1"/>
  <c r="I292" i="1"/>
  <c r="J295" i="1"/>
  <c r="I293" i="1"/>
  <c r="J296" i="1"/>
  <c r="I294" i="1"/>
  <c r="J297" i="1"/>
  <c r="I295" i="1"/>
  <c r="J298" i="1"/>
  <c r="I296" i="1"/>
  <c r="J299" i="1"/>
  <c r="I297" i="1"/>
  <c r="J300" i="1"/>
  <c r="I298" i="1"/>
  <c r="J301" i="1"/>
  <c r="I299" i="1"/>
  <c r="J302" i="1"/>
  <c r="I300" i="1"/>
  <c r="J303" i="1"/>
  <c r="I301" i="1"/>
  <c r="J304" i="1"/>
  <c r="I302" i="1"/>
  <c r="J305" i="1"/>
  <c r="I303" i="1"/>
  <c r="J306" i="1"/>
  <c r="I304" i="1"/>
  <c r="J307" i="1"/>
  <c r="I305" i="1"/>
  <c r="J308" i="1"/>
  <c r="I306" i="1"/>
  <c r="J309" i="1"/>
  <c r="I307" i="1"/>
  <c r="J310" i="1"/>
  <c r="I308" i="1"/>
  <c r="J311" i="1"/>
  <c r="I309" i="1"/>
  <c r="J312" i="1"/>
  <c r="I310" i="1"/>
  <c r="J313" i="1"/>
  <c r="I311" i="1"/>
  <c r="J314" i="1"/>
  <c r="I312" i="1"/>
  <c r="J315" i="1"/>
  <c r="I313" i="1"/>
  <c r="J316" i="1"/>
  <c r="I314" i="1"/>
  <c r="J317" i="1"/>
  <c r="I315" i="1"/>
  <c r="J318" i="1"/>
  <c r="I316" i="1"/>
  <c r="J319" i="1"/>
  <c r="I317" i="1"/>
  <c r="J320" i="1"/>
  <c r="I318" i="1"/>
  <c r="J321" i="1"/>
  <c r="I319" i="1"/>
  <c r="J322" i="1"/>
  <c r="I320" i="1"/>
  <c r="J323" i="1"/>
  <c r="I321" i="1"/>
  <c r="J324" i="1"/>
  <c r="I322" i="1"/>
  <c r="J325" i="1"/>
  <c r="I323" i="1"/>
  <c r="J326" i="1"/>
  <c r="I324" i="1"/>
  <c r="J327" i="1"/>
  <c r="I325" i="1"/>
  <c r="J328" i="1"/>
  <c r="I326" i="1"/>
  <c r="J329" i="1"/>
  <c r="I327" i="1"/>
  <c r="J330" i="1"/>
  <c r="I328" i="1"/>
  <c r="J331" i="1"/>
  <c r="I329" i="1"/>
  <c r="J332" i="1"/>
  <c r="I330" i="1"/>
  <c r="J333" i="1"/>
  <c r="I331" i="1"/>
  <c r="J334" i="1"/>
  <c r="I332" i="1"/>
  <c r="J335" i="1"/>
  <c r="I333" i="1"/>
  <c r="J336" i="1"/>
  <c r="I334" i="1"/>
  <c r="J337" i="1"/>
  <c r="I335" i="1"/>
  <c r="J338" i="1"/>
  <c r="I336" i="1"/>
  <c r="J339" i="1"/>
  <c r="I337" i="1"/>
  <c r="J340" i="1"/>
  <c r="I338" i="1"/>
  <c r="J341" i="1"/>
  <c r="I339" i="1"/>
  <c r="J342" i="1"/>
  <c r="I340" i="1"/>
  <c r="J343" i="1"/>
  <c r="I341" i="1"/>
  <c r="J344" i="1"/>
  <c r="I342" i="1"/>
  <c r="J345" i="1"/>
  <c r="I343" i="1"/>
  <c r="J346" i="1"/>
  <c r="I344" i="1"/>
  <c r="J347" i="1"/>
  <c r="I345" i="1"/>
  <c r="J348" i="1"/>
  <c r="I346" i="1"/>
  <c r="J349" i="1"/>
  <c r="I347" i="1"/>
  <c r="J350" i="1"/>
  <c r="I348" i="1"/>
  <c r="J351" i="1"/>
  <c r="I349" i="1"/>
  <c r="J352" i="1"/>
  <c r="I350" i="1"/>
  <c r="J353" i="1"/>
  <c r="I351" i="1"/>
  <c r="J354" i="1"/>
  <c r="I352" i="1"/>
  <c r="J355" i="1"/>
  <c r="I353" i="1"/>
  <c r="J356" i="1"/>
  <c r="I354" i="1"/>
  <c r="J357" i="1"/>
  <c r="I355" i="1"/>
  <c r="J358" i="1"/>
  <c r="I356" i="1"/>
  <c r="J359" i="1"/>
  <c r="I357" i="1"/>
  <c r="J360" i="1"/>
  <c r="I358" i="1"/>
  <c r="J361" i="1"/>
  <c r="I359" i="1"/>
  <c r="J362" i="1"/>
  <c r="I360" i="1"/>
  <c r="J363" i="1"/>
  <c r="I361" i="1"/>
  <c r="J364" i="1"/>
  <c r="I362" i="1"/>
  <c r="J365" i="1"/>
  <c r="I363" i="1"/>
  <c r="J366" i="1"/>
  <c r="I364" i="1"/>
  <c r="J367" i="1"/>
  <c r="I365" i="1"/>
  <c r="J368" i="1"/>
  <c r="I366" i="1"/>
  <c r="J369" i="1"/>
  <c r="I367" i="1"/>
  <c r="J370" i="1"/>
  <c r="I368" i="1"/>
  <c r="J371" i="1"/>
  <c r="I369" i="1"/>
  <c r="J372" i="1"/>
  <c r="I370" i="1"/>
  <c r="J373" i="1"/>
  <c r="I371" i="1"/>
  <c r="J374" i="1"/>
  <c r="I372" i="1"/>
  <c r="J375" i="1"/>
  <c r="I373" i="1"/>
  <c r="J376" i="1"/>
  <c r="I374" i="1"/>
  <c r="J377" i="1"/>
  <c r="I375" i="1"/>
  <c r="J378" i="1"/>
  <c r="I376" i="1"/>
  <c r="J379" i="1"/>
  <c r="I377" i="1"/>
  <c r="J380" i="1"/>
  <c r="I378" i="1"/>
  <c r="J381" i="1"/>
  <c r="I379" i="1"/>
  <c r="J382" i="1"/>
  <c r="I380" i="1"/>
  <c r="J383" i="1"/>
  <c r="I381" i="1"/>
  <c r="J384" i="1"/>
  <c r="I382" i="1"/>
  <c r="J385" i="1"/>
  <c r="I383" i="1"/>
  <c r="J386" i="1"/>
  <c r="I384" i="1"/>
  <c r="J387" i="1"/>
  <c r="I385" i="1"/>
  <c r="J388" i="1"/>
  <c r="I386" i="1"/>
  <c r="J389" i="1"/>
  <c r="I387" i="1"/>
  <c r="J390" i="1"/>
  <c r="I388" i="1"/>
  <c r="J391" i="1"/>
  <c r="I389" i="1"/>
  <c r="J392" i="1"/>
  <c r="I390" i="1"/>
  <c r="J393" i="1"/>
  <c r="I391" i="1"/>
  <c r="J394" i="1"/>
  <c r="I392" i="1"/>
  <c r="J395" i="1"/>
  <c r="I393" i="1"/>
  <c r="J396" i="1"/>
  <c r="I394" i="1"/>
  <c r="J397" i="1"/>
  <c r="I395" i="1"/>
  <c r="J398" i="1"/>
  <c r="I396" i="1"/>
  <c r="J399" i="1"/>
  <c r="I397" i="1"/>
  <c r="J400" i="1"/>
  <c r="I398" i="1"/>
  <c r="J401" i="1"/>
  <c r="I399" i="1"/>
  <c r="J402" i="1"/>
  <c r="I400" i="1"/>
  <c r="J403" i="1"/>
  <c r="I401" i="1"/>
  <c r="J404" i="1"/>
  <c r="I402" i="1"/>
  <c r="J405" i="1"/>
  <c r="I403" i="1"/>
  <c r="J406" i="1"/>
  <c r="I404" i="1"/>
  <c r="J407" i="1"/>
  <c r="I405" i="1"/>
  <c r="J408" i="1"/>
  <c r="I406" i="1"/>
  <c r="J409" i="1"/>
  <c r="I407" i="1"/>
  <c r="J410" i="1"/>
  <c r="I408" i="1"/>
  <c r="J411" i="1"/>
  <c r="I409" i="1"/>
  <c r="J412" i="1"/>
  <c r="I410" i="1"/>
  <c r="J413" i="1"/>
  <c r="I411" i="1"/>
  <c r="J414" i="1"/>
  <c r="I412" i="1"/>
  <c r="J415" i="1"/>
  <c r="I413" i="1"/>
  <c r="J416" i="1"/>
  <c r="I414" i="1"/>
  <c r="J417" i="1"/>
  <c r="I415" i="1"/>
  <c r="J418" i="1"/>
  <c r="I416" i="1"/>
  <c r="J419" i="1"/>
  <c r="I417" i="1"/>
  <c r="J420" i="1"/>
  <c r="I418" i="1"/>
  <c r="J421" i="1"/>
  <c r="I419" i="1"/>
  <c r="J422" i="1"/>
  <c r="I420" i="1"/>
  <c r="J423" i="1"/>
  <c r="I421" i="1"/>
  <c r="J424" i="1"/>
  <c r="I422" i="1"/>
  <c r="J425" i="1"/>
  <c r="I423" i="1"/>
  <c r="J426" i="1"/>
  <c r="I424" i="1"/>
  <c r="J427" i="1"/>
  <c r="I425" i="1"/>
  <c r="J428" i="1"/>
  <c r="I426" i="1"/>
  <c r="J429" i="1"/>
  <c r="I427" i="1"/>
  <c r="J430" i="1"/>
  <c r="I428" i="1"/>
  <c r="J431" i="1"/>
  <c r="I429" i="1"/>
  <c r="J432" i="1"/>
  <c r="I430" i="1"/>
  <c r="J433" i="1"/>
  <c r="I431" i="1"/>
  <c r="J434" i="1"/>
  <c r="I432" i="1"/>
  <c r="J435" i="1"/>
  <c r="I433" i="1"/>
  <c r="J436" i="1"/>
  <c r="I434" i="1"/>
  <c r="J437" i="1"/>
  <c r="I435" i="1"/>
  <c r="J438" i="1"/>
  <c r="I436" i="1"/>
  <c r="J439" i="1"/>
  <c r="I437" i="1"/>
  <c r="J440" i="1"/>
  <c r="I438" i="1"/>
  <c r="J441" i="1"/>
  <c r="I439" i="1"/>
  <c r="J442" i="1"/>
  <c r="I440" i="1"/>
  <c r="J443" i="1"/>
  <c r="I441" i="1"/>
  <c r="J444" i="1"/>
  <c r="I442" i="1"/>
  <c r="J445" i="1"/>
  <c r="I443" i="1"/>
  <c r="J446" i="1"/>
  <c r="I444" i="1"/>
  <c r="J447" i="1"/>
  <c r="I445" i="1"/>
  <c r="J448" i="1"/>
  <c r="I446" i="1"/>
  <c r="J449" i="1"/>
  <c r="I447" i="1"/>
  <c r="J450" i="1"/>
  <c r="I448" i="1"/>
  <c r="J451" i="1"/>
  <c r="I449" i="1"/>
  <c r="J452" i="1"/>
  <c r="I450" i="1"/>
  <c r="J453" i="1"/>
  <c r="I451" i="1"/>
  <c r="J454" i="1"/>
  <c r="I452" i="1"/>
  <c r="J455" i="1"/>
  <c r="I453" i="1"/>
  <c r="J456" i="1"/>
  <c r="I454" i="1"/>
  <c r="J457" i="1"/>
  <c r="I455" i="1"/>
  <c r="J458" i="1"/>
  <c r="I456" i="1"/>
  <c r="J459" i="1"/>
  <c r="I457" i="1"/>
  <c r="J460" i="1"/>
  <c r="I458" i="1"/>
  <c r="J461" i="1"/>
  <c r="I459" i="1"/>
  <c r="J462" i="1"/>
  <c r="I460" i="1"/>
  <c r="J463" i="1"/>
  <c r="I461" i="1"/>
  <c r="J464" i="1"/>
  <c r="I462" i="1"/>
  <c r="J465" i="1"/>
  <c r="I463" i="1"/>
  <c r="J466" i="1"/>
  <c r="I464" i="1"/>
  <c r="J467" i="1"/>
  <c r="I465" i="1"/>
  <c r="J468" i="1"/>
  <c r="I466" i="1"/>
  <c r="J469" i="1"/>
  <c r="I467" i="1"/>
  <c r="J470" i="1"/>
  <c r="I468" i="1"/>
  <c r="J471" i="1"/>
  <c r="I469" i="1"/>
  <c r="J472" i="1"/>
  <c r="I470" i="1"/>
  <c r="J473" i="1"/>
  <c r="I471" i="1"/>
  <c r="J474" i="1"/>
  <c r="I472" i="1"/>
  <c r="J475" i="1"/>
  <c r="I473" i="1"/>
  <c r="J476" i="1"/>
  <c r="I474" i="1"/>
  <c r="J477" i="1"/>
  <c r="I475" i="1"/>
  <c r="J478" i="1"/>
  <c r="I476" i="1"/>
  <c r="J479" i="1"/>
  <c r="I477" i="1"/>
  <c r="J480" i="1"/>
  <c r="I478" i="1"/>
  <c r="J481" i="1"/>
  <c r="I479" i="1"/>
  <c r="J482" i="1"/>
  <c r="I480" i="1"/>
  <c r="J483" i="1"/>
  <c r="I481" i="1"/>
  <c r="J484" i="1"/>
  <c r="I482" i="1"/>
  <c r="J485" i="1"/>
  <c r="I483" i="1"/>
  <c r="J486" i="1"/>
  <c r="I484" i="1"/>
  <c r="J487" i="1"/>
  <c r="I485" i="1"/>
  <c r="J488" i="1"/>
  <c r="I486" i="1"/>
  <c r="J489" i="1"/>
  <c r="I487" i="1"/>
  <c r="J490" i="1"/>
  <c r="I488" i="1"/>
  <c r="J491" i="1"/>
  <c r="I489" i="1"/>
  <c r="J492" i="1"/>
  <c r="I490" i="1"/>
  <c r="J493" i="1"/>
  <c r="I491" i="1"/>
  <c r="J494" i="1"/>
  <c r="I492" i="1"/>
  <c r="J495" i="1"/>
  <c r="I493" i="1"/>
  <c r="J496" i="1"/>
  <c r="I494" i="1"/>
  <c r="J497" i="1"/>
  <c r="I495" i="1"/>
  <c r="J498" i="1"/>
  <c r="I496" i="1"/>
  <c r="J499" i="1"/>
  <c r="I497" i="1"/>
  <c r="J500" i="1"/>
  <c r="I498" i="1"/>
  <c r="J501" i="1"/>
  <c r="I499" i="1"/>
  <c r="J502" i="1"/>
  <c r="I500" i="1"/>
  <c r="J503" i="1"/>
  <c r="I501" i="1"/>
  <c r="J504" i="1"/>
  <c r="I502" i="1"/>
  <c r="J505" i="1"/>
  <c r="I503" i="1"/>
  <c r="J506" i="1"/>
  <c r="I504" i="1"/>
  <c r="J507" i="1"/>
  <c r="I505" i="1"/>
  <c r="J508" i="1"/>
  <c r="I506" i="1"/>
  <c r="J509" i="1"/>
  <c r="I507" i="1"/>
  <c r="J510" i="1"/>
  <c r="I508" i="1"/>
  <c r="J511" i="1"/>
  <c r="I509" i="1"/>
  <c r="J512" i="1"/>
  <c r="I510" i="1"/>
  <c r="J513" i="1"/>
  <c r="I511" i="1"/>
  <c r="J514" i="1"/>
  <c r="I512" i="1"/>
  <c r="J515" i="1"/>
  <c r="I513" i="1"/>
  <c r="J516" i="1"/>
  <c r="I514" i="1"/>
  <c r="J517" i="1"/>
  <c r="I515" i="1"/>
  <c r="J518" i="1"/>
  <c r="I516" i="1"/>
  <c r="J519" i="1"/>
  <c r="I517" i="1"/>
  <c r="J520" i="1"/>
  <c r="I518" i="1"/>
  <c r="J521" i="1"/>
  <c r="I519" i="1"/>
  <c r="J522" i="1"/>
  <c r="I520" i="1"/>
  <c r="J523" i="1"/>
  <c r="I521" i="1"/>
  <c r="J524" i="1"/>
  <c r="I522" i="1"/>
  <c r="J525" i="1"/>
  <c r="I523" i="1"/>
  <c r="J526" i="1"/>
  <c r="I524" i="1"/>
  <c r="J527" i="1"/>
  <c r="I525" i="1"/>
  <c r="J528" i="1"/>
  <c r="I526" i="1"/>
  <c r="J529" i="1"/>
  <c r="I527" i="1"/>
  <c r="J530" i="1"/>
  <c r="I528" i="1"/>
  <c r="J531" i="1"/>
  <c r="I529" i="1"/>
  <c r="J532" i="1"/>
  <c r="I530" i="1"/>
  <c r="J533" i="1"/>
  <c r="I531" i="1"/>
  <c r="J534" i="1"/>
  <c r="I532" i="1"/>
  <c r="J535" i="1"/>
  <c r="I533" i="1"/>
  <c r="J536" i="1"/>
  <c r="I534" i="1"/>
  <c r="J537" i="1"/>
  <c r="I535" i="1"/>
  <c r="J538" i="1"/>
  <c r="I536" i="1"/>
  <c r="J539" i="1"/>
  <c r="I537" i="1"/>
  <c r="J540" i="1"/>
  <c r="I538" i="1"/>
  <c r="J541" i="1"/>
  <c r="I539" i="1"/>
  <c r="J542" i="1"/>
  <c r="I540" i="1"/>
  <c r="J543" i="1"/>
  <c r="I541" i="1"/>
  <c r="J544" i="1"/>
  <c r="I542" i="1"/>
  <c r="J545" i="1"/>
  <c r="I543" i="1"/>
  <c r="J546" i="1"/>
  <c r="I544" i="1"/>
  <c r="J547" i="1"/>
  <c r="I545" i="1"/>
  <c r="J548" i="1"/>
  <c r="I546" i="1"/>
  <c r="J549" i="1"/>
  <c r="I547" i="1"/>
  <c r="J550" i="1"/>
  <c r="I548" i="1"/>
  <c r="J551" i="1"/>
  <c r="I549" i="1"/>
  <c r="J552" i="1"/>
  <c r="I550" i="1"/>
  <c r="J553" i="1"/>
  <c r="I551" i="1"/>
  <c r="J554" i="1"/>
  <c r="I552" i="1"/>
  <c r="J555" i="1"/>
  <c r="I553" i="1"/>
  <c r="J556" i="1"/>
  <c r="I554" i="1"/>
  <c r="J557" i="1"/>
  <c r="I555" i="1"/>
  <c r="J558" i="1"/>
  <c r="I556" i="1"/>
  <c r="J559" i="1"/>
  <c r="I557" i="1"/>
  <c r="J560" i="1"/>
  <c r="I558" i="1"/>
  <c r="J561" i="1"/>
  <c r="I559" i="1"/>
  <c r="J562" i="1"/>
  <c r="I560" i="1"/>
  <c r="J563" i="1"/>
  <c r="I561" i="1"/>
  <c r="J564" i="1"/>
  <c r="I562" i="1"/>
  <c r="J565" i="1"/>
  <c r="I563" i="1"/>
  <c r="J566" i="1"/>
  <c r="I564" i="1"/>
  <c r="J567" i="1"/>
  <c r="I565" i="1"/>
  <c r="J568" i="1"/>
  <c r="I566" i="1"/>
  <c r="J569" i="1"/>
  <c r="I567" i="1"/>
  <c r="J570" i="1"/>
  <c r="I568" i="1"/>
  <c r="J571" i="1"/>
  <c r="I569" i="1"/>
  <c r="J572" i="1"/>
  <c r="I570" i="1"/>
  <c r="J573" i="1"/>
  <c r="I571" i="1"/>
  <c r="J574" i="1"/>
  <c r="I572" i="1"/>
  <c r="J575" i="1"/>
  <c r="I573" i="1"/>
  <c r="J576" i="1"/>
  <c r="I574" i="1"/>
  <c r="J577" i="1"/>
  <c r="I575" i="1"/>
  <c r="J578" i="1"/>
  <c r="I576" i="1"/>
  <c r="J579" i="1"/>
  <c r="I577" i="1"/>
  <c r="J580" i="1"/>
  <c r="I578" i="1"/>
  <c r="J581" i="1"/>
  <c r="I579" i="1"/>
  <c r="J582" i="1"/>
  <c r="I580" i="1"/>
  <c r="J583" i="1"/>
  <c r="I581" i="1"/>
  <c r="J584" i="1"/>
  <c r="I582" i="1"/>
  <c r="J585" i="1"/>
  <c r="I583" i="1"/>
  <c r="J586" i="1"/>
  <c r="I584" i="1"/>
  <c r="J587" i="1"/>
  <c r="I585" i="1"/>
  <c r="J588" i="1"/>
  <c r="I586" i="1"/>
  <c r="J589" i="1"/>
  <c r="I587" i="1"/>
  <c r="J590" i="1"/>
  <c r="I588" i="1"/>
  <c r="J591" i="1"/>
  <c r="I589" i="1"/>
  <c r="J592" i="1"/>
  <c r="I590" i="1"/>
  <c r="J593" i="1"/>
  <c r="I591" i="1"/>
  <c r="J594" i="1"/>
  <c r="I592" i="1"/>
  <c r="J595" i="1"/>
  <c r="I593" i="1"/>
  <c r="J596" i="1"/>
  <c r="I594" i="1"/>
  <c r="J597" i="1"/>
  <c r="I595" i="1"/>
  <c r="J598" i="1"/>
  <c r="I596" i="1"/>
  <c r="J599" i="1"/>
  <c r="I597" i="1"/>
  <c r="J600" i="1"/>
  <c r="I598" i="1"/>
  <c r="J601" i="1"/>
  <c r="I599" i="1"/>
  <c r="J602" i="1"/>
  <c r="I600" i="1"/>
  <c r="J603" i="1"/>
  <c r="I601" i="1"/>
  <c r="J604" i="1"/>
  <c r="I602" i="1"/>
  <c r="J605" i="1"/>
  <c r="I603" i="1"/>
  <c r="J606" i="1"/>
  <c r="I604" i="1"/>
  <c r="J607" i="1"/>
  <c r="I605" i="1"/>
  <c r="J608" i="1"/>
  <c r="I606" i="1"/>
  <c r="J609" i="1"/>
  <c r="I607" i="1"/>
  <c r="J610" i="1"/>
  <c r="I608" i="1"/>
  <c r="J611" i="1"/>
  <c r="I609" i="1"/>
  <c r="J612" i="1"/>
  <c r="I610" i="1"/>
  <c r="J613" i="1"/>
  <c r="I611" i="1"/>
  <c r="J614" i="1"/>
  <c r="I612" i="1"/>
  <c r="J615" i="1"/>
  <c r="I613" i="1"/>
  <c r="J616" i="1"/>
  <c r="I614" i="1"/>
  <c r="J617" i="1"/>
  <c r="I615" i="1"/>
  <c r="J618" i="1"/>
  <c r="I616" i="1"/>
  <c r="J619" i="1"/>
  <c r="I617" i="1"/>
  <c r="J620" i="1"/>
  <c r="I618" i="1"/>
  <c r="J621" i="1"/>
  <c r="I619" i="1"/>
  <c r="J622" i="1"/>
  <c r="I620" i="1"/>
  <c r="J623" i="1"/>
  <c r="I621" i="1"/>
  <c r="J624" i="1"/>
  <c r="I622" i="1"/>
  <c r="J625" i="1"/>
  <c r="I623" i="1"/>
  <c r="J626" i="1"/>
  <c r="I624" i="1"/>
  <c r="J627" i="1"/>
  <c r="I625" i="1"/>
  <c r="J628" i="1"/>
  <c r="I626" i="1"/>
  <c r="J629" i="1"/>
  <c r="I627" i="1"/>
  <c r="J630" i="1"/>
  <c r="I628" i="1"/>
  <c r="J631" i="1"/>
  <c r="I629" i="1"/>
  <c r="J632" i="1"/>
  <c r="I630" i="1"/>
  <c r="J633" i="1"/>
  <c r="I631" i="1"/>
  <c r="J634" i="1"/>
  <c r="I632" i="1"/>
  <c r="J635" i="1"/>
  <c r="I633" i="1"/>
  <c r="J636" i="1"/>
  <c r="I634" i="1"/>
  <c r="J637" i="1"/>
  <c r="I635" i="1"/>
  <c r="J638" i="1"/>
  <c r="I636" i="1"/>
  <c r="J639" i="1"/>
  <c r="I637" i="1"/>
  <c r="J640" i="1"/>
  <c r="I638" i="1"/>
  <c r="J641" i="1"/>
  <c r="I639" i="1"/>
  <c r="J642" i="1"/>
  <c r="I640" i="1"/>
  <c r="J643" i="1"/>
  <c r="I641" i="1"/>
  <c r="J644" i="1"/>
  <c r="I642" i="1"/>
  <c r="J645" i="1"/>
  <c r="I643" i="1"/>
  <c r="J646" i="1"/>
  <c r="I644" i="1"/>
  <c r="J647" i="1"/>
  <c r="I645" i="1"/>
  <c r="J648" i="1"/>
  <c r="I646" i="1"/>
  <c r="J649" i="1"/>
  <c r="I647" i="1"/>
  <c r="J650" i="1"/>
  <c r="I648" i="1"/>
  <c r="J651" i="1"/>
  <c r="I649" i="1"/>
  <c r="J652" i="1"/>
  <c r="I650" i="1"/>
  <c r="J653" i="1"/>
  <c r="I651" i="1"/>
  <c r="J654" i="1"/>
  <c r="I652" i="1"/>
  <c r="J655" i="1"/>
  <c r="I653" i="1"/>
  <c r="J656" i="1"/>
  <c r="I654" i="1"/>
  <c r="J657" i="1"/>
  <c r="I655" i="1"/>
  <c r="J658" i="1"/>
  <c r="I656" i="1"/>
  <c r="J659" i="1"/>
  <c r="I657" i="1"/>
  <c r="J660" i="1"/>
  <c r="I658" i="1"/>
  <c r="J661" i="1"/>
  <c r="I659" i="1"/>
  <c r="J662" i="1"/>
  <c r="I660" i="1"/>
  <c r="J663" i="1"/>
  <c r="I661" i="1"/>
  <c r="J664" i="1"/>
  <c r="I662" i="1"/>
  <c r="J665" i="1"/>
  <c r="I663" i="1"/>
  <c r="J666" i="1"/>
  <c r="I664" i="1"/>
  <c r="J667" i="1"/>
  <c r="I665" i="1"/>
  <c r="J668" i="1"/>
  <c r="I666" i="1"/>
  <c r="J669" i="1"/>
  <c r="I667" i="1"/>
  <c r="J670" i="1"/>
  <c r="I668" i="1"/>
  <c r="J671" i="1"/>
  <c r="I669" i="1"/>
  <c r="J672" i="1"/>
  <c r="I670" i="1"/>
  <c r="J673" i="1"/>
  <c r="I671" i="1"/>
  <c r="J674" i="1"/>
  <c r="I672" i="1"/>
  <c r="J675" i="1"/>
  <c r="I673" i="1"/>
  <c r="J676" i="1"/>
  <c r="I674" i="1"/>
  <c r="J677" i="1"/>
  <c r="I675" i="1"/>
  <c r="J678" i="1"/>
  <c r="I676" i="1"/>
  <c r="J679" i="1"/>
  <c r="I677" i="1"/>
  <c r="J680" i="1"/>
  <c r="I678" i="1"/>
  <c r="J681" i="1"/>
  <c r="I679" i="1"/>
  <c r="J682" i="1"/>
  <c r="I680" i="1"/>
  <c r="J683" i="1"/>
  <c r="I681" i="1"/>
  <c r="J684" i="1"/>
  <c r="I682" i="1"/>
  <c r="J685" i="1"/>
  <c r="I683" i="1"/>
  <c r="J686" i="1"/>
  <c r="I684" i="1"/>
  <c r="J687" i="1"/>
  <c r="I685" i="1"/>
  <c r="J688" i="1"/>
  <c r="I686" i="1"/>
  <c r="J689" i="1"/>
  <c r="I687" i="1"/>
  <c r="J690" i="1"/>
  <c r="I688" i="1"/>
  <c r="J691" i="1"/>
  <c r="I689" i="1"/>
  <c r="J692" i="1"/>
  <c r="I690" i="1"/>
  <c r="J693" i="1"/>
  <c r="I691" i="1"/>
  <c r="J694" i="1"/>
  <c r="I692" i="1"/>
  <c r="J695" i="1"/>
  <c r="I693" i="1"/>
  <c r="J696" i="1"/>
  <c r="I694" i="1"/>
  <c r="J697" i="1"/>
  <c r="I695" i="1"/>
  <c r="J698" i="1"/>
  <c r="I696" i="1"/>
  <c r="J699" i="1"/>
  <c r="I697" i="1"/>
  <c r="J700" i="1"/>
  <c r="I698" i="1"/>
  <c r="J701" i="1"/>
  <c r="I699" i="1"/>
  <c r="J702" i="1"/>
  <c r="I700" i="1"/>
  <c r="J703" i="1"/>
  <c r="I701" i="1"/>
  <c r="J704" i="1"/>
  <c r="I702" i="1"/>
  <c r="J705" i="1"/>
  <c r="I703" i="1"/>
  <c r="J706" i="1"/>
  <c r="I704" i="1"/>
  <c r="J707" i="1"/>
  <c r="I705" i="1"/>
  <c r="J708" i="1"/>
  <c r="I706" i="1"/>
  <c r="J709" i="1"/>
  <c r="I707" i="1"/>
  <c r="J710" i="1"/>
  <c r="I708" i="1"/>
  <c r="J711" i="1"/>
  <c r="I709" i="1"/>
  <c r="J712" i="1"/>
  <c r="I710" i="1"/>
  <c r="J713" i="1"/>
  <c r="I711" i="1"/>
  <c r="J714" i="1"/>
  <c r="I712" i="1"/>
  <c r="J715" i="1"/>
  <c r="I713" i="1"/>
  <c r="J716" i="1"/>
  <c r="I714" i="1"/>
  <c r="J717" i="1"/>
  <c r="I715" i="1"/>
  <c r="J718" i="1"/>
  <c r="I716" i="1"/>
  <c r="J719" i="1"/>
  <c r="I717" i="1"/>
  <c r="J720" i="1"/>
  <c r="I718" i="1"/>
  <c r="J721" i="1"/>
  <c r="I719" i="1"/>
  <c r="J722" i="1"/>
  <c r="I720" i="1"/>
  <c r="J723" i="1"/>
  <c r="I721" i="1"/>
  <c r="J724" i="1"/>
  <c r="I722" i="1"/>
  <c r="J725" i="1"/>
  <c r="I723" i="1"/>
  <c r="J726" i="1"/>
  <c r="I724" i="1"/>
  <c r="J727" i="1"/>
  <c r="I725" i="1"/>
  <c r="J728" i="1"/>
  <c r="I726" i="1"/>
  <c r="J729" i="1"/>
  <c r="I727" i="1"/>
  <c r="J730" i="1"/>
  <c r="I728" i="1"/>
  <c r="J731" i="1"/>
  <c r="I729" i="1"/>
  <c r="J732" i="1"/>
  <c r="I730" i="1"/>
  <c r="J733" i="1"/>
  <c r="I731" i="1"/>
  <c r="J734" i="1"/>
  <c r="I732" i="1"/>
  <c r="J735" i="1"/>
  <c r="I733" i="1"/>
  <c r="J736" i="1"/>
  <c r="I734" i="1"/>
  <c r="J737" i="1"/>
  <c r="I735" i="1"/>
  <c r="J738" i="1"/>
  <c r="I736" i="1"/>
  <c r="J739" i="1"/>
  <c r="I737" i="1"/>
  <c r="J740" i="1"/>
  <c r="I738" i="1"/>
  <c r="J741" i="1"/>
  <c r="I739" i="1"/>
  <c r="J742" i="1"/>
  <c r="I740" i="1"/>
  <c r="J743" i="1"/>
  <c r="I741" i="1"/>
  <c r="J744" i="1"/>
  <c r="I742" i="1"/>
  <c r="J745" i="1"/>
  <c r="I743" i="1"/>
  <c r="J746" i="1"/>
  <c r="I744" i="1"/>
  <c r="J747" i="1"/>
  <c r="I745" i="1"/>
  <c r="J748" i="1"/>
  <c r="I746" i="1"/>
  <c r="J749" i="1"/>
  <c r="I747" i="1"/>
  <c r="J750" i="1"/>
  <c r="I748" i="1"/>
  <c r="J751" i="1"/>
  <c r="I749" i="1"/>
  <c r="J752" i="1"/>
  <c r="I750" i="1"/>
  <c r="J753" i="1"/>
  <c r="I751" i="1"/>
  <c r="J754" i="1"/>
  <c r="I752" i="1"/>
  <c r="J755" i="1"/>
  <c r="I753" i="1"/>
  <c r="J756" i="1"/>
  <c r="I754" i="1"/>
  <c r="J757" i="1"/>
  <c r="I755" i="1"/>
  <c r="J758" i="1"/>
  <c r="I756" i="1"/>
  <c r="J759" i="1"/>
  <c r="I757" i="1"/>
  <c r="J760" i="1"/>
  <c r="I758" i="1"/>
  <c r="J761" i="1"/>
  <c r="I759" i="1"/>
  <c r="J762" i="1"/>
  <c r="I760" i="1"/>
  <c r="J763" i="1"/>
  <c r="I761" i="1"/>
  <c r="J764" i="1"/>
  <c r="I762" i="1"/>
  <c r="J765" i="1"/>
  <c r="I763" i="1"/>
  <c r="J766" i="1"/>
  <c r="I764" i="1"/>
  <c r="J767" i="1"/>
  <c r="I765" i="1"/>
  <c r="J768" i="1"/>
  <c r="I766" i="1"/>
  <c r="J769" i="1"/>
  <c r="I767" i="1"/>
  <c r="J770" i="1"/>
  <c r="I768" i="1"/>
  <c r="J771" i="1"/>
  <c r="I769" i="1"/>
  <c r="J772" i="1"/>
  <c r="I770" i="1"/>
  <c r="J773" i="1"/>
  <c r="I771" i="1"/>
  <c r="J774" i="1"/>
  <c r="I772" i="1"/>
  <c r="J775" i="1"/>
  <c r="I773" i="1"/>
  <c r="J776" i="1"/>
  <c r="I774" i="1"/>
  <c r="J777" i="1"/>
  <c r="I775" i="1"/>
  <c r="J778" i="1"/>
  <c r="I776" i="1"/>
  <c r="J779" i="1"/>
  <c r="I777" i="1"/>
  <c r="J780" i="1"/>
  <c r="I778" i="1"/>
  <c r="J781" i="1"/>
  <c r="I779" i="1"/>
  <c r="J782" i="1"/>
  <c r="I780" i="1"/>
  <c r="J783" i="1"/>
  <c r="I781" i="1"/>
  <c r="J784" i="1"/>
  <c r="I782" i="1"/>
  <c r="J785" i="1"/>
  <c r="I783" i="1"/>
  <c r="J786" i="1"/>
  <c r="I784" i="1"/>
  <c r="J787" i="1"/>
  <c r="I785" i="1"/>
  <c r="J788" i="1"/>
  <c r="I786" i="1"/>
  <c r="J789" i="1"/>
  <c r="I787" i="1"/>
  <c r="J790" i="1"/>
  <c r="I788" i="1"/>
  <c r="J791" i="1"/>
  <c r="I789" i="1"/>
  <c r="J792" i="1"/>
  <c r="I790" i="1"/>
  <c r="J793" i="1"/>
  <c r="I791" i="1"/>
  <c r="J794" i="1"/>
  <c r="I792" i="1"/>
  <c r="J795" i="1"/>
  <c r="I793" i="1"/>
  <c r="J796" i="1"/>
  <c r="I794" i="1"/>
  <c r="J797" i="1"/>
  <c r="I795" i="1"/>
  <c r="J798" i="1"/>
  <c r="I796" i="1"/>
  <c r="J799" i="1"/>
  <c r="I797" i="1"/>
  <c r="J800" i="1"/>
  <c r="I798" i="1"/>
  <c r="J801" i="1"/>
  <c r="I799" i="1"/>
  <c r="J802" i="1"/>
  <c r="I800" i="1"/>
  <c r="J803" i="1"/>
  <c r="I801" i="1"/>
  <c r="J804" i="1"/>
  <c r="I802" i="1"/>
  <c r="J805" i="1"/>
  <c r="I803" i="1"/>
  <c r="J806" i="1"/>
  <c r="I804" i="1"/>
  <c r="J807" i="1"/>
  <c r="I805" i="1"/>
  <c r="J808" i="1"/>
  <c r="I806" i="1"/>
  <c r="J809" i="1"/>
  <c r="I807" i="1"/>
  <c r="J810" i="1"/>
  <c r="I808" i="1"/>
  <c r="J811" i="1"/>
  <c r="I809" i="1"/>
  <c r="J812" i="1"/>
  <c r="I810" i="1"/>
  <c r="J813" i="1"/>
  <c r="I811" i="1"/>
  <c r="J814" i="1"/>
  <c r="I812" i="1"/>
  <c r="J815" i="1"/>
  <c r="I813" i="1"/>
  <c r="J816" i="1"/>
  <c r="I814" i="1"/>
  <c r="J817" i="1"/>
  <c r="I815" i="1"/>
  <c r="J818" i="1"/>
  <c r="I816" i="1"/>
  <c r="J819" i="1"/>
  <c r="I817" i="1"/>
  <c r="J820" i="1"/>
  <c r="I818" i="1"/>
  <c r="J821" i="1"/>
  <c r="I819" i="1"/>
  <c r="J822" i="1"/>
  <c r="I820" i="1"/>
  <c r="J823" i="1"/>
  <c r="I821" i="1"/>
  <c r="J824" i="1"/>
  <c r="I822" i="1"/>
  <c r="J825" i="1"/>
  <c r="I823" i="1"/>
  <c r="J826" i="1"/>
  <c r="I824" i="1"/>
  <c r="J827" i="1"/>
  <c r="I825" i="1"/>
  <c r="J828" i="1"/>
  <c r="I826" i="1"/>
  <c r="J829" i="1"/>
  <c r="I827" i="1"/>
  <c r="J830" i="1"/>
  <c r="I828" i="1"/>
  <c r="J831" i="1"/>
  <c r="I829" i="1"/>
  <c r="J832" i="1"/>
  <c r="I830" i="1"/>
  <c r="J833" i="1"/>
  <c r="I831" i="1"/>
  <c r="J834" i="1"/>
  <c r="I832" i="1"/>
  <c r="J835" i="1"/>
  <c r="I833" i="1"/>
  <c r="J836" i="1"/>
  <c r="I834" i="1"/>
  <c r="J837" i="1"/>
  <c r="I835" i="1"/>
  <c r="J838" i="1"/>
  <c r="I836" i="1"/>
  <c r="J839" i="1"/>
  <c r="I837" i="1"/>
  <c r="J840" i="1"/>
  <c r="I838" i="1"/>
  <c r="J841" i="1"/>
  <c r="I839" i="1"/>
  <c r="J842" i="1"/>
  <c r="I840" i="1"/>
  <c r="J843" i="1"/>
  <c r="I841" i="1"/>
  <c r="J844" i="1"/>
  <c r="I842" i="1"/>
  <c r="J845" i="1"/>
  <c r="I843" i="1"/>
  <c r="J846" i="1"/>
  <c r="I844" i="1"/>
  <c r="J847" i="1"/>
  <c r="I845" i="1"/>
  <c r="J848" i="1"/>
  <c r="I846" i="1"/>
  <c r="J849" i="1"/>
  <c r="I847" i="1"/>
  <c r="J850" i="1"/>
  <c r="I848" i="1"/>
  <c r="J851" i="1"/>
  <c r="I849" i="1"/>
  <c r="J852" i="1"/>
  <c r="I850" i="1"/>
  <c r="J853" i="1"/>
  <c r="I851" i="1"/>
  <c r="J854" i="1"/>
  <c r="I852" i="1"/>
  <c r="J855" i="1"/>
  <c r="I853" i="1"/>
  <c r="J856" i="1"/>
  <c r="I854" i="1"/>
  <c r="J857" i="1"/>
  <c r="I855" i="1"/>
  <c r="J858" i="1"/>
  <c r="I856" i="1"/>
  <c r="J859" i="1"/>
  <c r="I857" i="1"/>
  <c r="J860" i="1"/>
  <c r="I858" i="1"/>
  <c r="J861" i="1"/>
  <c r="I859" i="1"/>
  <c r="J862" i="1"/>
  <c r="I860" i="1"/>
  <c r="J863" i="1"/>
  <c r="I861" i="1"/>
  <c r="J864" i="1"/>
  <c r="I862" i="1"/>
  <c r="J865" i="1"/>
  <c r="I863" i="1"/>
  <c r="J866" i="1"/>
  <c r="I864" i="1"/>
  <c r="J867" i="1"/>
  <c r="I865" i="1"/>
  <c r="J868" i="1"/>
  <c r="I866" i="1"/>
  <c r="J869" i="1"/>
  <c r="I867" i="1"/>
  <c r="J870" i="1"/>
  <c r="I868" i="1"/>
  <c r="J871" i="1"/>
  <c r="I869" i="1"/>
  <c r="J872" i="1"/>
  <c r="I870" i="1"/>
  <c r="J873" i="1"/>
  <c r="I871" i="1"/>
  <c r="J874" i="1"/>
  <c r="I872" i="1"/>
  <c r="J875" i="1"/>
  <c r="I873" i="1"/>
  <c r="J876" i="1"/>
  <c r="I874" i="1"/>
  <c r="J877" i="1"/>
  <c r="I875" i="1"/>
  <c r="J878" i="1"/>
  <c r="I876" i="1"/>
  <c r="J879" i="1"/>
  <c r="I877" i="1"/>
  <c r="J880" i="1"/>
  <c r="I878" i="1"/>
  <c r="J881" i="1"/>
  <c r="I879" i="1"/>
  <c r="J882" i="1"/>
  <c r="I880" i="1"/>
  <c r="J883" i="1"/>
  <c r="I881" i="1"/>
  <c r="J884" i="1"/>
  <c r="I882" i="1"/>
  <c r="J885" i="1"/>
  <c r="I883" i="1"/>
  <c r="J886" i="1"/>
  <c r="I884" i="1"/>
  <c r="J887" i="1"/>
  <c r="I885" i="1"/>
  <c r="J888" i="1"/>
  <c r="I886" i="1"/>
  <c r="J889" i="1"/>
  <c r="I887" i="1"/>
  <c r="J890" i="1"/>
  <c r="I888" i="1"/>
  <c r="J891" i="1"/>
  <c r="I889" i="1"/>
  <c r="J892" i="1"/>
  <c r="I890" i="1"/>
  <c r="J893" i="1"/>
  <c r="I891" i="1"/>
  <c r="J894" i="1"/>
  <c r="I892" i="1"/>
  <c r="J895" i="1"/>
  <c r="I893" i="1"/>
  <c r="J896" i="1"/>
  <c r="I894" i="1"/>
  <c r="J897" i="1"/>
  <c r="I895" i="1"/>
  <c r="J898" i="1"/>
  <c r="I896" i="1"/>
  <c r="J899" i="1"/>
  <c r="I897" i="1"/>
  <c r="J900" i="1"/>
  <c r="I898" i="1"/>
  <c r="J901" i="1"/>
  <c r="I899" i="1"/>
  <c r="J902" i="1"/>
  <c r="I900" i="1"/>
  <c r="J903" i="1"/>
  <c r="I901" i="1"/>
  <c r="J904" i="1"/>
  <c r="I902" i="1"/>
  <c r="J905" i="1"/>
  <c r="I903" i="1"/>
  <c r="J906" i="1"/>
  <c r="I904" i="1"/>
  <c r="J907" i="1"/>
  <c r="I905" i="1"/>
  <c r="J908" i="1"/>
  <c r="I906" i="1"/>
  <c r="J909" i="1"/>
  <c r="I907" i="1"/>
  <c r="J910" i="1"/>
  <c r="I908" i="1"/>
  <c r="J911" i="1"/>
  <c r="I909" i="1"/>
  <c r="J912" i="1"/>
  <c r="I910" i="1"/>
  <c r="J913" i="1"/>
  <c r="I911" i="1"/>
  <c r="J914" i="1"/>
  <c r="I912" i="1"/>
  <c r="J915" i="1"/>
  <c r="I913" i="1"/>
  <c r="J916" i="1"/>
  <c r="I914" i="1"/>
  <c r="J917" i="1"/>
  <c r="I915" i="1"/>
  <c r="J918" i="1"/>
  <c r="I916" i="1"/>
  <c r="J919" i="1"/>
  <c r="I917" i="1"/>
  <c r="J920" i="1"/>
  <c r="I918" i="1"/>
  <c r="J921" i="1"/>
  <c r="I919" i="1"/>
  <c r="J922" i="1"/>
  <c r="I920" i="1"/>
  <c r="J923" i="1"/>
  <c r="I921" i="1"/>
  <c r="J924" i="1"/>
  <c r="I922" i="1"/>
  <c r="J925" i="1"/>
  <c r="I923" i="1"/>
  <c r="J926" i="1"/>
  <c r="I924" i="1"/>
  <c r="J927" i="1"/>
  <c r="I925" i="1"/>
  <c r="J928" i="1"/>
  <c r="I926" i="1"/>
  <c r="J929" i="1"/>
  <c r="I927" i="1"/>
  <c r="J930" i="1"/>
  <c r="I928" i="1"/>
  <c r="J931" i="1"/>
  <c r="I929" i="1"/>
  <c r="J932" i="1"/>
  <c r="I930" i="1"/>
  <c r="J933" i="1"/>
  <c r="I931" i="1"/>
  <c r="J934" i="1"/>
  <c r="I932" i="1"/>
  <c r="J935" i="1"/>
  <c r="I933" i="1"/>
  <c r="J936" i="1"/>
  <c r="I934" i="1"/>
  <c r="J937" i="1"/>
  <c r="I935" i="1"/>
  <c r="J938" i="1"/>
  <c r="I936" i="1"/>
  <c r="J939" i="1"/>
  <c r="I937" i="1"/>
  <c r="J940" i="1"/>
  <c r="I938" i="1"/>
  <c r="J941" i="1"/>
  <c r="I939" i="1"/>
  <c r="J942" i="1"/>
  <c r="I940" i="1"/>
  <c r="J943" i="1"/>
  <c r="I941" i="1"/>
  <c r="J944" i="1"/>
  <c r="I942" i="1"/>
  <c r="J945" i="1"/>
  <c r="I943" i="1"/>
  <c r="J946" i="1"/>
  <c r="I944" i="1"/>
  <c r="J947" i="1"/>
  <c r="I945" i="1"/>
  <c r="J948" i="1"/>
  <c r="I946" i="1"/>
  <c r="J949" i="1"/>
  <c r="I947" i="1"/>
  <c r="J950" i="1"/>
  <c r="I948" i="1"/>
  <c r="J951" i="1"/>
  <c r="I949" i="1"/>
  <c r="J952" i="1"/>
  <c r="I950" i="1"/>
  <c r="J953" i="1"/>
  <c r="I951" i="1"/>
  <c r="J954" i="1"/>
  <c r="I952" i="1"/>
  <c r="J955" i="1"/>
  <c r="I953" i="1"/>
  <c r="J956" i="1"/>
  <c r="I954" i="1"/>
  <c r="J957" i="1"/>
  <c r="I955" i="1"/>
  <c r="J958" i="1"/>
  <c r="I956" i="1"/>
  <c r="J959" i="1"/>
  <c r="I957" i="1"/>
  <c r="J960" i="1"/>
  <c r="I958" i="1"/>
  <c r="J961" i="1"/>
  <c r="I959" i="1"/>
  <c r="J962" i="1"/>
  <c r="I960" i="1"/>
  <c r="J963" i="1"/>
  <c r="I961" i="1"/>
  <c r="J964" i="1"/>
  <c r="I962" i="1"/>
  <c r="J965" i="1"/>
  <c r="I963" i="1"/>
  <c r="J966" i="1"/>
  <c r="I964" i="1"/>
  <c r="J967" i="1"/>
  <c r="I965" i="1"/>
  <c r="J968" i="1"/>
  <c r="I966" i="1"/>
  <c r="J969" i="1"/>
  <c r="I967" i="1"/>
  <c r="J970" i="1"/>
  <c r="I968" i="1"/>
  <c r="J971" i="1"/>
  <c r="I969" i="1"/>
  <c r="J972" i="1"/>
  <c r="I970" i="1"/>
  <c r="J973" i="1"/>
  <c r="I971" i="1"/>
  <c r="J974" i="1"/>
  <c r="I972" i="1"/>
  <c r="J975" i="1"/>
  <c r="I973" i="1"/>
  <c r="J976" i="1"/>
  <c r="I974" i="1"/>
  <c r="J977" i="1"/>
  <c r="I975" i="1"/>
  <c r="J978" i="1"/>
  <c r="I976" i="1"/>
  <c r="J979" i="1"/>
  <c r="I977" i="1"/>
  <c r="J980" i="1"/>
  <c r="I978" i="1"/>
  <c r="J981" i="1"/>
  <c r="I979" i="1"/>
  <c r="J982" i="1"/>
  <c r="I980" i="1"/>
  <c r="I981" i="1"/>
  <c r="I982" i="1"/>
  <c r="R982" i="1" l="1"/>
  <c r="R981" i="1"/>
  <c r="R980" i="1"/>
  <c r="R979" i="1"/>
  <c r="R978" i="1"/>
  <c r="R977" i="1"/>
  <c r="R976" i="1"/>
  <c r="R975" i="1"/>
  <c r="R974" i="1"/>
  <c r="R973" i="1"/>
  <c r="R972" i="1"/>
  <c r="R971" i="1"/>
  <c r="R970" i="1"/>
  <c r="R969" i="1"/>
  <c r="R968" i="1"/>
  <c r="R967" i="1"/>
  <c r="R966" i="1"/>
  <c r="R965" i="1"/>
  <c r="R964" i="1"/>
  <c r="R963" i="1"/>
  <c r="R962" i="1"/>
  <c r="R961" i="1"/>
  <c r="R960" i="1"/>
  <c r="R959" i="1"/>
  <c r="R958" i="1"/>
  <c r="R957" i="1"/>
  <c r="R956" i="1"/>
  <c r="R955" i="1"/>
  <c r="R954" i="1"/>
  <c r="R953" i="1"/>
  <c r="R952" i="1"/>
  <c r="R951" i="1"/>
  <c r="R950" i="1"/>
  <c r="R949" i="1"/>
  <c r="R948" i="1"/>
  <c r="R947" i="1"/>
  <c r="R946" i="1"/>
  <c r="R945" i="1"/>
  <c r="R944" i="1"/>
  <c r="R943" i="1"/>
  <c r="R942" i="1"/>
  <c r="R941" i="1"/>
  <c r="R940" i="1"/>
  <c r="R939" i="1"/>
  <c r="R938" i="1"/>
  <c r="R937" i="1"/>
  <c r="R936" i="1"/>
  <c r="R935" i="1"/>
  <c r="R934" i="1"/>
  <c r="R933" i="1"/>
  <c r="R932" i="1"/>
  <c r="R931" i="1"/>
  <c r="R930" i="1"/>
  <c r="R929" i="1"/>
  <c r="R928" i="1"/>
  <c r="R927" i="1"/>
  <c r="R926" i="1"/>
  <c r="R925" i="1"/>
  <c r="R924" i="1"/>
  <c r="R923" i="1"/>
  <c r="R922" i="1"/>
  <c r="R921" i="1"/>
  <c r="R920" i="1"/>
  <c r="R919" i="1"/>
  <c r="R918" i="1"/>
  <c r="R917" i="1"/>
  <c r="R916" i="1"/>
  <c r="R915" i="1"/>
  <c r="R914" i="1"/>
  <c r="R913" i="1"/>
  <c r="R912" i="1"/>
  <c r="R911" i="1"/>
  <c r="R910" i="1"/>
  <c r="R909" i="1"/>
  <c r="R908" i="1"/>
  <c r="R907" i="1"/>
  <c r="R906" i="1"/>
  <c r="R905" i="1"/>
  <c r="R904" i="1"/>
  <c r="R903" i="1"/>
  <c r="R902" i="1"/>
  <c r="R901" i="1"/>
  <c r="R900" i="1"/>
  <c r="R899" i="1"/>
  <c r="R898" i="1"/>
  <c r="R897" i="1"/>
  <c r="R896" i="1"/>
  <c r="R895" i="1"/>
  <c r="R894" i="1"/>
  <c r="R893" i="1"/>
  <c r="R892" i="1"/>
  <c r="R891" i="1"/>
  <c r="R890" i="1"/>
  <c r="R889" i="1"/>
  <c r="R888" i="1"/>
  <c r="R887" i="1"/>
  <c r="R886" i="1"/>
  <c r="R885" i="1"/>
  <c r="R884" i="1"/>
  <c r="R883" i="1"/>
  <c r="R882" i="1"/>
  <c r="R881" i="1"/>
  <c r="R880" i="1"/>
  <c r="R879" i="1"/>
  <c r="R878" i="1"/>
  <c r="R877" i="1"/>
  <c r="R876" i="1"/>
  <c r="R875" i="1"/>
  <c r="R874" i="1"/>
  <c r="R873" i="1"/>
  <c r="R872" i="1"/>
  <c r="R871" i="1"/>
  <c r="R870" i="1"/>
  <c r="R869" i="1"/>
  <c r="R868" i="1"/>
  <c r="R867" i="1"/>
  <c r="R866" i="1"/>
  <c r="R865" i="1"/>
  <c r="R864" i="1"/>
  <c r="R863" i="1"/>
  <c r="R862" i="1"/>
  <c r="R861" i="1"/>
  <c r="R860" i="1"/>
  <c r="R859" i="1"/>
  <c r="R858" i="1"/>
  <c r="R857" i="1"/>
  <c r="R856" i="1"/>
  <c r="R855" i="1"/>
  <c r="R854" i="1"/>
  <c r="R853" i="1"/>
  <c r="R852" i="1"/>
  <c r="R851" i="1"/>
  <c r="R850" i="1"/>
  <c r="R849" i="1"/>
  <c r="R848" i="1"/>
  <c r="R847" i="1"/>
  <c r="R846" i="1"/>
  <c r="R845" i="1"/>
  <c r="R844" i="1"/>
  <c r="R843" i="1"/>
  <c r="R842" i="1"/>
  <c r="R841" i="1"/>
  <c r="R840" i="1"/>
  <c r="R839" i="1"/>
  <c r="R838" i="1"/>
  <c r="R837" i="1"/>
  <c r="R836" i="1"/>
  <c r="R835" i="1"/>
  <c r="R834" i="1"/>
  <c r="R833" i="1"/>
  <c r="R832" i="1"/>
  <c r="R831" i="1"/>
  <c r="R830" i="1"/>
  <c r="R829" i="1"/>
  <c r="R828" i="1"/>
  <c r="R827" i="1"/>
  <c r="R826" i="1"/>
  <c r="R825" i="1"/>
  <c r="R824" i="1"/>
  <c r="R823" i="1"/>
  <c r="R822" i="1"/>
  <c r="R821" i="1"/>
  <c r="R820" i="1"/>
  <c r="R819" i="1"/>
  <c r="R818" i="1"/>
  <c r="R817" i="1"/>
  <c r="R816" i="1"/>
  <c r="R815" i="1"/>
  <c r="R814" i="1"/>
  <c r="R813" i="1"/>
  <c r="R812" i="1"/>
  <c r="R811" i="1"/>
  <c r="R810" i="1"/>
  <c r="R809" i="1"/>
  <c r="R808" i="1"/>
  <c r="R807" i="1"/>
  <c r="R806" i="1"/>
  <c r="R805" i="1"/>
  <c r="R804" i="1"/>
  <c r="R803" i="1"/>
  <c r="R802" i="1"/>
  <c r="R801" i="1"/>
  <c r="R800" i="1"/>
  <c r="R799" i="1"/>
  <c r="R798" i="1"/>
  <c r="R797" i="1"/>
  <c r="R796" i="1"/>
  <c r="R795" i="1"/>
  <c r="R794" i="1"/>
  <c r="R793" i="1"/>
  <c r="R792" i="1"/>
  <c r="R791" i="1"/>
  <c r="R790" i="1"/>
  <c r="R789" i="1"/>
  <c r="R788" i="1"/>
  <c r="R787" i="1"/>
  <c r="R786" i="1"/>
  <c r="R785" i="1"/>
  <c r="R784" i="1"/>
  <c r="R783" i="1"/>
  <c r="R782" i="1"/>
  <c r="R781" i="1"/>
  <c r="R780" i="1"/>
  <c r="R779" i="1"/>
  <c r="R778" i="1"/>
  <c r="R777" i="1"/>
  <c r="R776" i="1"/>
  <c r="R775" i="1"/>
  <c r="R774" i="1"/>
  <c r="R773" i="1"/>
  <c r="R772" i="1"/>
  <c r="R771" i="1"/>
  <c r="R770" i="1"/>
  <c r="R769" i="1"/>
  <c r="R768" i="1"/>
  <c r="R767" i="1"/>
  <c r="R766" i="1"/>
  <c r="R765" i="1"/>
  <c r="R764" i="1"/>
  <c r="R763" i="1"/>
  <c r="R762" i="1"/>
  <c r="R761" i="1"/>
  <c r="R760" i="1"/>
  <c r="R759" i="1"/>
  <c r="R758" i="1"/>
  <c r="R757" i="1"/>
  <c r="R756" i="1"/>
  <c r="R755" i="1"/>
  <c r="R754" i="1"/>
  <c r="R753" i="1"/>
  <c r="R752" i="1"/>
  <c r="R751" i="1"/>
  <c r="R750" i="1"/>
  <c r="R749" i="1"/>
  <c r="R748" i="1"/>
  <c r="R747" i="1"/>
  <c r="R746" i="1"/>
  <c r="R745" i="1"/>
  <c r="R744" i="1"/>
  <c r="R743" i="1"/>
  <c r="R742" i="1"/>
  <c r="R741" i="1"/>
  <c r="R740" i="1"/>
  <c r="R739" i="1"/>
  <c r="R738" i="1"/>
  <c r="R737" i="1"/>
  <c r="R736" i="1"/>
  <c r="R735" i="1"/>
  <c r="R734" i="1"/>
  <c r="R733" i="1"/>
  <c r="R732" i="1"/>
  <c r="R731" i="1"/>
  <c r="R730" i="1"/>
  <c r="R729" i="1"/>
  <c r="R728" i="1"/>
  <c r="R727" i="1"/>
  <c r="R726" i="1"/>
  <c r="R725" i="1"/>
  <c r="R724" i="1"/>
  <c r="R723" i="1"/>
  <c r="R722" i="1"/>
  <c r="R721" i="1"/>
  <c r="R720" i="1"/>
  <c r="R719" i="1"/>
  <c r="R718" i="1"/>
  <c r="R717" i="1"/>
  <c r="R716" i="1"/>
  <c r="R715" i="1"/>
  <c r="R714" i="1"/>
  <c r="R713" i="1"/>
  <c r="R712" i="1"/>
  <c r="R711" i="1"/>
  <c r="R710" i="1"/>
  <c r="R709" i="1"/>
  <c r="R708" i="1"/>
  <c r="R707" i="1"/>
  <c r="R706" i="1"/>
  <c r="R705" i="1"/>
  <c r="R704" i="1"/>
  <c r="R703" i="1"/>
  <c r="R702" i="1"/>
  <c r="R701" i="1"/>
  <c r="R700" i="1"/>
  <c r="R699" i="1"/>
  <c r="R698" i="1"/>
  <c r="R697" i="1"/>
  <c r="R696" i="1"/>
  <c r="R695" i="1"/>
  <c r="R694" i="1"/>
  <c r="R693" i="1"/>
  <c r="R692" i="1"/>
  <c r="R691" i="1"/>
  <c r="R690" i="1"/>
  <c r="R689" i="1"/>
  <c r="R688" i="1"/>
  <c r="R687" i="1"/>
  <c r="R686" i="1"/>
  <c r="R685" i="1"/>
  <c r="R684" i="1"/>
  <c r="R683" i="1"/>
  <c r="R682" i="1"/>
  <c r="R681" i="1"/>
  <c r="R680" i="1"/>
  <c r="R679" i="1"/>
  <c r="R678" i="1"/>
  <c r="R677" i="1"/>
  <c r="R676" i="1"/>
  <c r="R675" i="1"/>
  <c r="R674" i="1"/>
  <c r="R673" i="1"/>
  <c r="R672" i="1"/>
  <c r="R671" i="1"/>
  <c r="R670" i="1"/>
  <c r="R669" i="1"/>
  <c r="R668" i="1"/>
  <c r="R667" i="1"/>
  <c r="R666" i="1"/>
  <c r="R665" i="1"/>
  <c r="R664" i="1"/>
  <c r="R663" i="1"/>
  <c r="R662" i="1"/>
  <c r="R661" i="1"/>
  <c r="R660" i="1"/>
  <c r="R659" i="1"/>
  <c r="R658" i="1"/>
  <c r="R657" i="1"/>
  <c r="R656" i="1"/>
  <c r="R655" i="1"/>
  <c r="R654" i="1"/>
  <c r="R653" i="1"/>
  <c r="R652" i="1"/>
  <c r="R651" i="1"/>
  <c r="R650" i="1"/>
  <c r="R649" i="1"/>
  <c r="R648" i="1"/>
  <c r="R647" i="1"/>
  <c r="R646" i="1"/>
  <c r="R645" i="1"/>
  <c r="R644" i="1"/>
  <c r="R643" i="1"/>
  <c r="R642" i="1"/>
  <c r="R641" i="1"/>
  <c r="R640" i="1"/>
  <c r="R639" i="1"/>
  <c r="R638" i="1"/>
  <c r="R637" i="1"/>
  <c r="R636" i="1"/>
  <c r="R635" i="1"/>
  <c r="R634" i="1"/>
  <c r="R633" i="1"/>
  <c r="R632" i="1"/>
  <c r="R631" i="1"/>
  <c r="R630" i="1"/>
  <c r="R629" i="1"/>
  <c r="R628" i="1"/>
  <c r="R627" i="1"/>
  <c r="R626" i="1"/>
  <c r="R625" i="1"/>
  <c r="R624" i="1"/>
  <c r="R623" i="1"/>
  <c r="R622" i="1"/>
  <c r="R621" i="1"/>
  <c r="R620" i="1"/>
  <c r="R619" i="1"/>
  <c r="R618" i="1"/>
  <c r="R617" i="1"/>
  <c r="R616" i="1"/>
  <c r="R615" i="1"/>
  <c r="R614" i="1"/>
  <c r="R613" i="1"/>
  <c r="R612" i="1"/>
  <c r="R611" i="1"/>
  <c r="R610" i="1"/>
  <c r="R609" i="1"/>
  <c r="R608" i="1"/>
  <c r="R607" i="1"/>
  <c r="R606" i="1"/>
  <c r="R605" i="1"/>
  <c r="R604" i="1"/>
  <c r="R603" i="1"/>
  <c r="R602" i="1"/>
  <c r="R601" i="1"/>
  <c r="R600" i="1"/>
  <c r="R599" i="1"/>
  <c r="R598" i="1"/>
  <c r="R597" i="1"/>
  <c r="R596" i="1"/>
  <c r="R595" i="1"/>
  <c r="R594" i="1"/>
  <c r="R593" i="1"/>
  <c r="R592" i="1"/>
  <c r="R591" i="1"/>
  <c r="R590" i="1"/>
  <c r="R589" i="1"/>
  <c r="R588" i="1"/>
  <c r="R587" i="1"/>
  <c r="R586" i="1"/>
  <c r="R585" i="1"/>
  <c r="R584" i="1"/>
  <c r="R583" i="1"/>
  <c r="R582" i="1"/>
  <c r="R581" i="1"/>
  <c r="R580" i="1"/>
  <c r="R579" i="1"/>
  <c r="R578" i="1"/>
  <c r="R577" i="1"/>
  <c r="R576" i="1"/>
  <c r="R575" i="1"/>
  <c r="R574" i="1"/>
  <c r="R573" i="1"/>
  <c r="R572" i="1"/>
  <c r="R571" i="1"/>
  <c r="R570" i="1"/>
  <c r="R569" i="1"/>
  <c r="R568" i="1"/>
  <c r="R567" i="1"/>
  <c r="R566" i="1"/>
  <c r="R565" i="1"/>
  <c r="R564" i="1"/>
  <c r="R563" i="1"/>
  <c r="R562" i="1"/>
  <c r="R561" i="1"/>
  <c r="R560" i="1"/>
  <c r="R559" i="1"/>
  <c r="R558" i="1"/>
  <c r="R557" i="1"/>
  <c r="R556" i="1"/>
  <c r="R555" i="1"/>
  <c r="R554" i="1"/>
  <c r="R553" i="1"/>
  <c r="R552" i="1"/>
  <c r="R551" i="1"/>
  <c r="R550" i="1"/>
  <c r="R549" i="1"/>
  <c r="R548" i="1"/>
  <c r="R547" i="1"/>
  <c r="R546" i="1"/>
  <c r="R545" i="1"/>
  <c r="R544" i="1"/>
  <c r="R543" i="1"/>
  <c r="R542" i="1"/>
  <c r="R541" i="1"/>
  <c r="R540" i="1"/>
  <c r="R539" i="1"/>
  <c r="R538" i="1"/>
  <c r="R537" i="1"/>
  <c r="R536" i="1"/>
  <c r="R535" i="1"/>
  <c r="R534" i="1"/>
  <c r="R533" i="1"/>
  <c r="R532" i="1"/>
  <c r="R531" i="1"/>
  <c r="R530" i="1"/>
  <c r="R529" i="1"/>
  <c r="R528" i="1"/>
  <c r="R527" i="1"/>
  <c r="R526" i="1"/>
  <c r="R525" i="1"/>
  <c r="R524" i="1"/>
  <c r="R523" i="1"/>
  <c r="R522" i="1"/>
  <c r="R521" i="1"/>
  <c r="R520" i="1"/>
  <c r="R519" i="1"/>
  <c r="R518" i="1"/>
  <c r="R517" i="1"/>
  <c r="R516" i="1"/>
  <c r="R515" i="1"/>
  <c r="R514" i="1"/>
  <c r="R513" i="1"/>
  <c r="R512" i="1"/>
  <c r="R511" i="1"/>
  <c r="R510" i="1"/>
  <c r="R509" i="1"/>
  <c r="R508" i="1"/>
  <c r="R507" i="1"/>
  <c r="R506" i="1"/>
  <c r="R505" i="1"/>
  <c r="R504" i="1"/>
  <c r="R503" i="1"/>
  <c r="R502" i="1"/>
  <c r="R501" i="1"/>
  <c r="R500" i="1"/>
  <c r="R499" i="1"/>
  <c r="R498" i="1"/>
  <c r="R497" i="1"/>
  <c r="R496" i="1"/>
  <c r="R495" i="1"/>
  <c r="R494" i="1"/>
  <c r="R493" i="1"/>
  <c r="R492" i="1"/>
  <c r="R491" i="1"/>
  <c r="R490" i="1"/>
  <c r="R489" i="1"/>
  <c r="R488" i="1"/>
  <c r="R487" i="1"/>
  <c r="R486" i="1"/>
  <c r="R485" i="1"/>
  <c r="R484" i="1"/>
  <c r="R483" i="1"/>
  <c r="R482" i="1"/>
  <c r="R481" i="1"/>
  <c r="R480" i="1"/>
  <c r="R479" i="1"/>
  <c r="R478" i="1"/>
  <c r="R477" i="1"/>
  <c r="R476" i="1"/>
  <c r="R475" i="1"/>
  <c r="R474" i="1"/>
  <c r="R473" i="1"/>
  <c r="R472" i="1"/>
  <c r="R471" i="1"/>
  <c r="R470" i="1"/>
  <c r="R469" i="1"/>
  <c r="R468" i="1"/>
  <c r="R467" i="1"/>
  <c r="R466" i="1"/>
  <c r="R465" i="1"/>
  <c r="R464" i="1"/>
  <c r="R463" i="1"/>
  <c r="R462" i="1"/>
  <c r="R461" i="1"/>
  <c r="R460" i="1"/>
  <c r="R459" i="1"/>
  <c r="R458" i="1"/>
  <c r="R457" i="1"/>
  <c r="R456" i="1"/>
  <c r="R455" i="1"/>
  <c r="R454" i="1"/>
  <c r="R453" i="1"/>
  <c r="R452" i="1"/>
  <c r="R451" i="1"/>
  <c r="R450" i="1"/>
  <c r="R449" i="1"/>
  <c r="R448" i="1"/>
  <c r="R447" i="1"/>
  <c r="R446" i="1"/>
  <c r="R445" i="1"/>
  <c r="R444" i="1"/>
  <c r="R443" i="1"/>
  <c r="R442" i="1"/>
  <c r="R441" i="1"/>
  <c r="R440" i="1"/>
  <c r="R439" i="1"/>
  <c r="R438" i="1"/>
  <c r="R437" i="1"/>
  <c r="R436" i="1"/>
  <c r="R435" i="1"/>
  <c r="R434" i="1"/>
  <c r="R433" i="1"/>
  <c r="R432" i="1"/>
  <c r="R431" i="1"/>
  <c r="R430" i="1"/>
  <c r="R429" i="1"/>
  <c r="R428" i="1"/>
  <c r="R427" i="1"/>
  <c r="R426" i="1"/>
  <c r="R425" i="1"/>
  <c r="R424" i="1"/>
  <c r="R423" i="1"/>
  <c r="R422" i="1"/>
  <c r="R421" i="1"/>
  <c r="R420" i="1"/>
  <c r="R419" i="1"/>
  <c r="R418" i="1"/>
  <c r="R417" i="1"/>
  <c r="R416" i="1"/>
  <c r="R415" i="1"/>
  <c r="R414" i="1"/>
  <c r="R413" i="1"/>
  <c r="R412" i="1"/>
  <c r="R411" i="1"/>
  <c r="R410" i="1"/>
  <c r="R409" i="1"/>
  <c r="R408" i="1"/>
  <c r="R407" i="1"/>
  <c r="R406" i="1"/>
  <c r="R405" i="1"/>
  <c r="R404" i="1"/>
  <c r="R403" i="1"/>
  <c r="R402" i="1"/>
  <c r="R401" i="1"/>
  <c r="R400" i="1"/>
  <c r="R399" i="1"/>
  <c r="R398" i="1"/>
  <c r="R397" i="1"/>
  <c r="R396" i="1"/>
  <c r="R395" i="1"/>
  <c r="R394" i="1"/>
  <c r="R393" i="1"/>
  <c r="R392" i="1"/>
  <c r="R391" i="1"/>
  <c r="R390" i="1"/>
  <c r="R389" i="1"/>
  <c r="R388" i="1"/>
  <c r="R387" i="1"/>
  <c r="R386" i="1"/>
  <c r="R385" i="1"/>
  <c r="R384" i="1"/>
  <c r="R383" i="1"/>
  <c r="R382" i="1"/>
  <c r="R381" i="1"/>
  <c r="R380" i="1"/>
  <c r="R379" i="1"/>
  <c r="R378" i="1"/>
  <c r="R377" i="1"/>
  <c r="R376" i="1"/>
  <c r="R375" i="1"/>
  <c r="R374" i="1"/>
  <c r="R373" i="1"/>
  <c r="R372" i="1"/>
  <c r="R371" i="1"/>
  <c r="R370" i="1"/>
  <c r="R369" i="1"/>
  <c r="R368" i="1"/>
  <c r="R367" i="1"/>
  <c r="R366" i="1"/>
  <c r="R365" i="1"/>
  <c r="R364" i="1"/>
  <c r="R363" i="1"/>
  <c r="R362" i="1"/>
  <c r="R361" i="1"/>
  <c r="R360" i="1"/>
  <c r="R359" i="1"/>
  <c r="R358" i="1"/>
  <c r="R357" i="1"/>
  <c r="R356" i="1"/>
  <c r="R355" i="1"/>
  <c r="R354" i="1"/>
  <c r="R353" i="1"/>
  <c r="R352" i="1"/>
  <c r="R351" i="1"/>
  <c r="R350" i="1"/>
  <c r="R349" i="1"/>
  <c r="R348" i="1"/>
  <c r="R347" i="1"/>
  <c r="R346" i="1"/>
  <c r="R345" i="1"/>
  <c r="R344" i="1"/>
  <c r="R343" i="1"/>
  <c r="R342" i="1"/>
  <c r="R341" i="1"/>
  <c r="R340" i="1"/>
  <c r="R339" i="1"/>
  <c r="R338" i="1"/>
  <c r="R337" i="1"/>
  <c r="R336" i="1"/>
  <c r="R335" i="1"/>
  <c r="R334" i="1"/>
  <c r="R333" i="1"/>
  <c r="R332" i="1"/>
  <c r="R331" i="1"/>
  <c r="R330" i="1"/>
  <c r="R329" i="1"/>
  <c r="R328" i="1"/>
  <c r="R327" i="1"/>
  <c r="R326" i="1"/>
  <c r="R325" i="1"/>
  <c r="R324" i="1"/>
  <c r="R323" i="1"/>
  <c r="R322" i="1"/>
  <c r="R321" i="1"/>
  <c r="R320" i="1"/>
  <c r="R319" i="1"/>
  <c r="R318" i="1"/>
  <c r="R317" i="1"/>
  <c r="R316" i="1"/>
  <c r="R315" i="1"/>
  <c r="R314" i="1"/>
  <c r="R313" i="1"/>
  <c r="R312" i="1"/>
  <c r="R311" i="1"/>
  <c r="R310" i="1"/>
  <c r="R309" i="1"/>
  <c r="R308" i="1"/>
  <c r="R307" i="1"/>
  <c r="R306" i="1"/>
  <c r="R305" i="1"/>
  <c r="R304" i="1"/>
  <c r="R303" i="1"/>
  <c r="R302" i="1"/>
  <c r="R301" i="1"/>
  <c r="R300" i="1"/>
  <c r="R299" i="1"/>
  <c r="R298" i="1"/>
  <c r="R297" i="1"/>
  <c r="R296" i="1"/>
  <c r="R295" i="1"/>
  <c r="R294" i="1"/>
  <c r="R293" i="1"/>
  <c r="R292" i="1"/>
  <c r="R291" i="1"/>
  <c r="R290" i="1"/>
  <c r="R289" i="1"/>
  <c r="R288" i="1"/>
  <c r="R287" i="1"/>
  <c r="R286" i="1"/>
  <c r="R285" i="1"/>
  <c r="R284" i="1"/>
  <c r="R283" i="1"/>
  <c r="R282" i="1"/>
  <c r="R281" i="1"/>
  <c r="R280" i="1"/>
  <c r="R279" i="1"/>
  <c r="R278" i="1"/>
  <c r="R277" i="1"/>
  <c r="R276" i="1"/>
  <c r="R275" i="1"/>
  <c r="R274" i="1"/>
  <c r="R273" i="1"/>
  <c r="R272" i="1"/>
  <c r="R271" i="1"/>
  <c r="R270" i="1"/>
  <c r="R269" i="1"/>
  <c r="R268" i="1"/>
  <c r="R267" i="1"/>
  <c r="R266" i="1"/>
  <c r="R265" i="1"/>
  <c r="R264" i="1"/>
  <c r="R263" i="1"/>
  <c r="R262" i="1"/>
  <c r="R261" i="1"/>
  <c r="R260" i="1"/>
  <c r="R259" i="1"/>
  <c r="R258" i="1"/>
  <c r="R257" i="1"/>
  <c r="R256" i="1"/>
  <c r="R255" i="1"/>
  <c r="R254" i="1"/>
  <c r="R253" i="1"/>
  <c r="R252" i="1"/>
  <c r="R251" i="1"/>
  <c r="R250" i="1"/>
  <c r="R249" i="1"/>
  <c r="R248" i="1"/>
  <c r="R247" i="1"/>
  <c r="R246" i="1"/>
  <c r="R245" i="1"/>
  <c r="R244" i="1"/>
  <c r="R243" i="1"/>
  <c r="R242" i="1"/>
  <c r="R241" i="1"/>
  <c r="R240" i="1"/>
  <c r="R239" i="1"/>
  <c r="R238" i="1"/>
  <c r="R237" i="1"/>
  <c r="R236" i="1"/>
  <c r="R235" i="1"/>
  <c r="R234" i="1"/>
  <c r="R233" i="1"/>
  <c r="R232" i="1"/>
  <c r="R231" i="1"/>
  <c r="R230" i="1"/>
  <c r="R229" i="1"/>
  <c r="R228" i="1"/>
  <c r="R227" i="1"/>
  <c r="R226" i="1"/>
  <c r="R225" i="1"/>
  <c r="R224" i="1"/>
  <c r="R223" i="1"/>
  <c r="R222" i="1"/>
  <c r="R221" i="1"/>
  <c r="R220" i="1"/>
  <c r="R219" i="1"/>
  <c r="R218" i="1"/>
  <c r="R217" i="1"/>
  <c r="R216" i="1"/>
  <c r="R215" i="1"/>
  <c r="R214" i="1"/>
  <c r="R213" i="1"/>
  <c r="R212" i="1"/>
  <c r="R211" i="1"/>
  <c r="R210" i="1"/>
  <c r="R209" i="1"/>
  <c r="R208" i="1"/>
  <c r="R207" i="1"/>
  <c r="R206" i="1"/>
  <c r="R205" i="1"/>
  <c r="R204" i="1"/>
  <c r="R203" i="1"/>
  <c r="R202" i="1"/>
  <c r="R201" i="1"/>
  <c r="R200" i="1"/>
  <c r="R199" i="1"/>
  <c r="R198" i="1"/>
  <c r="R197" i="1"/>
  <c r="R196" i="1"/>
  <c r="R195" i="1"/>
  <c r="R194" i="1"/>
  <c r="R193" i="1"/>
  <c r="R192" i="1"/>
  <c r="R191" i="1"/>
  <c r="R190" i="1"/>
  <c r="R189" i="1"/>
  <c r="R188" i="1"/>
  <c r="R187" i="1"/>
  <c r="R186" i="1"/>
  <c r="R185" i="1"/>
  <c r="R184" i="1"/>
  <c r="R183" i="1"/>
  <c r="R182" i="1"/>
  <c r="R181" i="1"/>
  <c r="R180" i="1"/>
  <c r="R179" i="1"/>
  <c r="R178" i="1"/>
  <c r="R177" i="1"/>
  <c r="R176" i="1"/>
  <c r="R175" i="1"/>
  <c r="R174" i="1"/>
  <c r="R173" i="1"/>
  <c r="R172" i="1"/>
  <c r="R171" i="1"/>
  <c r="R170" i="1"/>
  <c r="R169" i="1"/>
  <c r="R168" i="1"/>
  <c r="R167" i="1"/>
  <c r="R166" i="1"/>
  <c r="R165" i="1"/>
  <c r="R164" i="1"/>
  <c r="R163" i="1"/>
  <c r="R162" i="1"/>
  <c r="R161" i="1"/>
  <c r="R160" i="1"/>
  <c r="R159" i="1"/>
  <c r="R158" i="1"/>
  <c r="R157" i="1"/>
  <c r="R156" i="1"/>
  <c r="R155" i="1"/>
  <c r="R154" i="1"/>
  <c r="R153" i="1"/>
  <c r="R152" i="1"/>
  <c r="R151" i="1"/>
  <c r="R150" i="1"/>
  <c r="R149" i="1"/>
  <c r="R148" i="1"/>
  <c r="R147" i="1"/>
  <c r="R146" i="1"/>
  <c r="R145" i="1"/>
  <c r="R144" i="1"/>
  <c r="R143" i="1"/>
  <c r="R142" i="1"/>
  <c r="R141" i="1"/>
  <c r="R140" i="1"/>
  <c r="R139" i="1"/>
  <c r="R138" i="1"/>
  <c r="R137" i="1"/>
  <c r="R136" i="1"/>
  <c r="R135" i="1"/>
  <c r="R134" i="1"/>
  <c r="R133" i="1"/>
  <c r="R132" i="1"/>
  <c r="R131" i="1"/>
  <c r="R130" i="1"/>
  <c r="R129" i="1"/>
  <c r="R128" i="1"/>
  <c r="R127" i="1"/>
  <c r="R126" i="1"/>
  <c r="R125" i="1"/>
  <c r="R124" i="1"/>
  <c r="R123" i="1"/>
  <c r="R122" i="1"/>
  <c r="R121" i="1"/>
  <c r="R120" i="1"/>
  <c r="R119" i="1"/>
  <c r="R118" i="1"/>
  <c r="R117" i="1"/>
  <c r="R116" i="1"/>
  <c r="R115" i="1"/>
  <c r="R114" i="1"/>
  <c r="R113" i="1"/>
  <c r="R112" i="1"/>
  <c r="R111" i="1"/>
  <c r="R110" i="1"/>
  <c r="R109" i="1"/>
  <c r="R108" i="1"/>
  <c r="R107" i="1"/>
  <c r="R106" i="1"/>
  <c r="R105" i="1"/>
  <c r="R104" i="1"/>
  <c r="R103" i="1"/>
  <c r="R102" i="1"/>
  <c r="R101" i="1"/>
  <c r="R100" i="1"/>
  <c r="R99" i="1"/>
  <c r="R98" i="1"/>
  <c r="R97" i="1"/>
  <c r="R96" i="1"/>
  <c r="R95" i="1"/>
  <c r="R94" i="1"/>
  <c r="R93" i="1"/>
  <c r="R92" i="1"/>
  <c r="R91" i="1"/>
  <c r="R90" i="1"/>
  <c r="R89" i="1"/>
  <c r="R88" i="1"/>
  <c r="R87" i="1"/>
  <c r="R86" i="1"/>
  <c r="R85" i="1"/>
  <c r="R84" i="1"/>
  <c r="R83" i="1"/>
  <c r="R82" i="1"/>
  <c r="R81" i="1"/>
  <c r="R80" i="1"/>
  <c r="R79" i="1"/>
  <c r="R78" i="1"/>
  <c r="R77" i="1"/>
  <c r="R76" i="1"/>
  <c r="R75" i="1"/>
  <c r="R74" i="1"/>
  <c r="R73" i="1"/>
  <c r="R72" i="1"/>
  <c r="R71" i="1"/>
  <c r="R70" i="1"/>
  <c r="R69" i="1"/>
  <c r="R68" i="1"/>
  <c r="R67" i="1"/>
  <c r="R66" i="1"/>
  <c r="R65" i="1"/>
  <c r="R64" i="1"/>
  <c r="R63" i="1"/>
  <c r="R62" i="1"/>
  <c r="R61" i="1"/>
  <c r="R60" i="1"/>
  <c r="R59" i="1"/>
  <c r="R58" i="1"/>
  <c r="R57" i="1"/>
  <c r="R56" i="1"/>
  <c r="R55" i="1"/>
  <c r="R54" i="1"/>
  <c r="R53" i="1"/>
  <c r="R52" i="1"/>
  <c r="R51" i="1"/>
  <c r="R50" i="1"/>
  <c r="R49" i="1"/>
  <c r="R48" i="1"/>
  <c r="R47" i="1"/>
  <c r="R46" i="1"/>
  <c r="R45" i="1"/>
  <c r="R44" i="1"/>
  <c r="R43" i="1"/>
  <c r="R42" i="1"/>
  <c r="R41" i="1"/>
  <c r="R40" i="1"/>
  <c r="R39" i="1"/>
  <c r="R38" i="1"/>
  <c r="R37" i="1"/>
  <c r="R36" i="1"/>
  <c r="R35" i="1"/>
  <c r="R34" i="1"/>
  <c r="R33" i="1"/>
  <c r="R32" i="1"/>
  <c r="R31" i="1"/>
  <c r="R30" i="1"/>
  <c r="R29" i="1"/>
  <c r="R28" i="1"/>
  <c r="R27" i="1"/>
  <c r="R26" i="1"/>
  <c r="R25" i="1"/>
  <c r="R24" i="1"/>
  <c r="R23" i="1"/>
  <c r="R22" i="1"/>
  <c r="R21" i="1"/>
  <c r="R20" i="1"/>
  <c r="R19" i="1"/>
  <c r="R18" i="1"/>
  <c r="R17" i="1"/>
  <c r="R16" i="1"/>
  <c r="R15" i="1"/>
  <c r="R14" i="1"/>
  <c r="R13" i="1"/>
  <c r="L13" i="1"/>
  <c r="K14" i="1"/>
  <c r="K15" i="1" s="1"/>
  <c r="K16" i="1" s="1"/>
  <c r="K17" i="1" s="1"/>
  <c r="K18" i="1" s="1"/>
  <c r="K19" i="1" s="1"/>
  <c r="K20" i="1" s="1"/>
  <c r="K21" i="1" s="1"/>
  <c r="K22" i="1" s="1"/>
  <c r="K23" i="1" s="1"/>
  <c r="K24" i="1" s="1"/>
  <c r="K25" i="1" s="1"/>
  <c r="K26" i="1" s="1"/>
  <c r="K27" i="1" s="1"/>
  <c r="K28" i="1" s="1"/>
  <c r="K29" i="1" s="1"/>
  <c r="K30" i="1" s="1"/>
  <c r="K31" i="1" s="1"/>
  <c r="K32" i="1" s="1"/>
  <c r="K33" i="1" s="1"/>
  <c r="K34" i="1" s="1"/>
  <c r="K35" i="1" s="1"/>
  <c r="K36" i="1" s="1"/>
  <c r="K37" i="1" s="1"/>
  <c r="K38" i="1" s="1"/>
  <c r="K39" i="1" s="1"/>
  <c r="K40" i="1" s="1"/>
  <c r="K41" i="1" s="1"/>
  <c r="K42" i="1" s="1"/>
  <c r="K43" i="1" s="1"/>
  <c r="K44" i="1" s="1"/>
  <c r="K45" i="1" s="1"/>
  <c r="K46" i="1" s="1"/>
  <c r="K47" i="1" s="1"/>
  <c r="K48" i="1" s="1"/>
  <c r="K49" i="1" s="1"/>
  <c r="K50" i="1" s="1"/>
  <c r="K51" i="1" s="1"/>
  <c r="K52" i="1" s="1"/>
  <c r="K53" i="1" s="1"/>
  <c r="K54" i="1" s="1"/>
  <c r="K55" i="1" s="1"/>
  <c r="K56" i="1" s="1"/>
  <c r="K57" i="1" s="1"/>
  <c r="K58" i="1" s="1"/>
  <c r="K59" i="1" s="1"/>
  <c r="K60" i="1" s="1"/>
  <c r="K61" i="1" s="1"/>
  <c r="K62" i="1" s="1"/>
  <c r="K63" i="1" s="1"/>
  <c r="K64" i="1" s="1"/>
  <c r="K65" i="1" s="1"/>
  <c r="K66" i="1" s="1"/>
  <c r="K67" i="1" s="1"/>
  <c r="K68" i="1" s="1"/>
  <c r="K69" i="1" s="1"/>
  <c r="K70" i="1" s="1"/>
  <c r="K71" i="1" s="1"/>
  <c r="K72" i="1" s="1"/>
  <c r="K73" i="1" s="1"/>
  <c r="K74" i="1" s="1"/>
  <c r="K75" i="1" s="1"/>
  <c r="K76" i="1" s="1"/>
  <c r="K77" i="1" s="1"/>
  <c r="K78" i="1" s="1"/>
  <c r="K79" i="1" s="1"/>
  <c r="K80" i="1" s="1"/>
  <c r="K81" i="1" s="1"/>
  <c r="K82" i="1" s="1"/>
  <c r="K83" i="1" s="1"/>
  <c r="K84" i="1" s="1"/>
  <c r="K85" i="1" s="1"/>
  <c r="K86" i="1" s="1"/>
  <c r="K87" i="1" s="1"/>
  <c r="K88" i="1" s="1"/>
  <c r="K89" i="1" s="1"/>
  <c r="K90" i="1" s="1"/>
  <c r="K91" i="1" s="1"/>
  <c r="K92" i="1" s="1"/>
  <c r="K93" i="1" s="1"/>
  <c r="K94" i="1" s="1"/>
  <c r="K95" i="1" s="1"/>
  <c r="K96" i="1" s="1"/>
  <c r="K97" i="1" s="1"/>
  <c r="K98" i="1" s="1"/>
  <c r="K99" i="1" s="1"/>
  <c r="K100" i="1" s="1"/>
  <c r="K101" i="1" s="1"/>
  <c r="K102" i="1" s="1"/>
  <c r="K103" i="1" s="1"/>
  <c r="K104" i="1" s="1"/>
  <c r="K105" i="1" s="1"/>
  <c r="K106" i="1" s="1"/>
  <c r="K107" i="1" s="1"/>
  <c r="K108" i="1" s="1"/>
  <c r="K109" i="1" s="1"/>
  <c r="K110" i="1" s="1"/>
  <c r="K111" i="1" s="1"/>
  <c r="K112" i="1" s="1"/>
  <c r="K113" i="1" s="1"/>
  <c r="K114" i="1" s="1"/>
  <c r="K115" i="1" s="1"/>
  <c r="K116" i="1" s="1"/>
  <c r="K117" i="1" s="1"/>
  <c r="K118" i="1" s="1"/>
  <c r="K119" i="1" s="1"/>
  <c r="K120" i="1" s="1"/>
  <c r="K121" i="1" s="1"/>
  <c r="K122" i="1" s="1"/>
  <c r="K123" i="1" s="1"/>
  <c r="K124" i="1" s="1"/>
  <c r="K125" i="1" s="1"/>
  <c r="K126" i="1" s="1"/>
  <c r="K127" i="1" s="1"/>
  <c r="K128" i="1" s="1"/>
  <c r="K129" i="1" s="1"/>
  <c r="K130" i="1" s="1"/>
  <c r="K131" i="1" s="1"/>
  <c r="K132" i="1" s="1"/>
  <c r="K133" i="1" s="1"/>
  <c r="K134" i="1" s="1"/>
  <c r="K135" i="1" s="1"/>
  <c r="K136" i="1" s="1"/>
  <c r="K137" i="1" s="1"/>
  <c r="K138" i="1" s="1"/>
  <c r="K139" i="1" s="1"/>
  <c r="K140" i="1" s="1"/>
  <c r="K141" i="1" s="1"/>
  <c r="K142" i="1" s="1"/>
  <c r="K143" i="1" s="1"/>
  <c r="K144" i="1" s="1"/>
  <c r="K145" i="1" s="1"/>
  <c r="K146" i="1" s="1"/>
  <c r="K147" i="1" s="1"/>
  <c r="K148" i="1" s="1"/>
  <c r="K149" i="1" s="1"/>
  <c r="K150" i="1" s="1"/>
  <c r="K151" i="1" s="1"/>
  <c r="K152" i="1" s="1"/>
  <c r="K153" i="1" s="1"/>
  <c r="K154" i="1" s="1"/>
  <c r="K155" i="1" s="1"/>
  <c r="K156" i="1" s="1"/>
  <c r="K157" i="1" s="1"/>
  <c r="K158" i="1" s="1"/>
  <c r="K159" i="1" s="1"/>
  <c r="K160" i="1" s="1"/>
  <c r="K161" i="1" s="1"/>
  <c r="K162" i="1" s="1"/>
  <c r="K163" i="1" s="1"/>
  <c r="K164" i="1" s="1"/>
  <c r="K165" i="1" s="1"/>
  <c r="K166" i="1" s="1"/>
  <c r="K167" i="1" s="1"/>
  <c r="K168" i="1" s="1"/>
  <c r="K169" i="1" s="1"/>
  <c r="K170" i="1" s="1"/>
  <c r="K171" i="1" s="1"/>
  <c r="K172" i="1" s="1"/>
  <c r="K173" i="1" s="1"/>
  <c r="K174" i="1" s="1"/>
  <c r="K175" i="1" s="1"/>
  <c r="K176" i="1" s="1"/>
  <c r="K177" i="1" s="1"/>
  <c r="K178" i="1" s="1"/>
  <c r="K179" i="1" s="1"/>
  <c r="K180" i="1" s="1"/>
  <c r="K181" i="1" s="1"/>
  <c r="K182" i="1" s="1"/>
  <c r="K183" i="1" s="1"/>
  <c r="K184" i="1" s="1"/>
  <c r="K185" i="1" s="1"/>
  <c r="K186" i="1" s="1"/>
  <c r="K187" i="1" s="1"/>
  <c r="K188" i="1" s="1"/>
  <c r="K189" i="1" s="1"/>
  <c r="K190" i="1" s="1"/>
  <c r="K191" i="1" s="1"/>
  <c r="K192" i="1" s="1"/>
  <c r="K193" i="1" s="1"/>
  <c r="K194" i="1" s="1"/>
  <c r="K195" i="1" s="1"/>
  <c r="K196" i="1" s="1"/>
  <c r="K197" i="1" s="1"/>
  <c r="K198" i="1" s="1"/>
  <c r="K199" i="1" s="1"/>
  <c r="K200" i="1" s="1"/>
  <c r="K201" i="1" s="1"/>
  <c r="K202" i="1" s="1"/>
  <c r="K203" i="1" s="1"/>
  <c r="K204" i="1" s="1"/>
  <c r="K205" i="1" s="1"/>
  <c r="K206" i="1" s="1"/>
  <c r="K207" i="1" s="1"/>
  <c r="K208" i="1" s="1"/>
  <c r="K209" i="1" s="1"/>
  <c r="K210" i="1" s="1"/>
  <c r="K211" i="1" s="1"/>
  <c r="K212" i="1" s="1"/>
  <c r="K213" i="1" s="1"/>
  <c r="K214" i="1" s="1"/>
  <c r="K215" i="1" s="1"/>
  <c r="K216" i="1" s="1"/>
  <c r="K217" i="1" s="1"/>
  <c r="K218" i="1" s="1"/>
  <c r="K219" i="1" s="1"/>
  <c r="K220" i="1" s="1"/>
  <c r="K221" i="1" s="1"/>
  <c r="K222" i="1" s="1"/>
  <c r="K223" i="1" s="1"/>
  <c r="K224" i="1" s="1"/>
  <c r="K225" i="1" s="1"/>
  <c r="K226" i="1" s="1"/>
  <c r="K227" i="1" s="1"/>
  <c r="K228" i="1" s="1"/>
  <c r="K229" i="1" s="1"/>
  <c r="K230" i="1" s="1"/>
  <c r="K231" i="1" s="1"/>
  <c r="K232" i="1" s="1"/>
  <c r="K233" i="1" s="1"/>
  <c r="K234" i="1" s="1"/>
  <c r="K235" i="1" s="1"/>
  <c r="K236" i="1" s="1"/>
  <c r="K237" i="1" s="1"/>
  <c r="K238" i="1" s="1"/>
  <c r="K239" i="1" s="1"/>
  <c r="K240" i="1" s="1"/>
  <c r="K241" i="1" s="1"/>
  <c r="K242" i="1" s="1"/>
  <c r="K243" i="1" s="1"/>
  <c r="K244" i="1" s="1"/>
  <c r="K245" i="1" s="1"/>
  <c r="K246" i="1" s="1"/>
  <c r="K247" i="1" s="1"/>
  <c r="K248" i="1" s="1"/>
  <c r="K249" i="1" s="1"/>
  <c r="K250" i="1" s="1"/>
  <c r="K251" i="1" s="1"/>
  <c r="K252" i="1" s="1"/>
  <c r="K253" i="1" s="1"/>
  <c r="K254" i="1" s="1"/>
  <c r="K255" i="1" s="1"/>
  <c r="K256" i="1" s="1"/>
  <c r="K257" i="1" s="1"/>
  <c r="K258" i="1" s="1"/>
  <c r="K259" i="1" s="1"/>
  <c r="K260" i="1" s="1"/>
  <c r="K261" i="1" s="1"/>
  <c r="K262" i="1" s="1"/>
  <c r="K263" i="1" s="1"/>
  <c r="K264" i="1" s="1"/>
  <c r="K265" i="1" s="1"/>
  <c r="K266" i="1" s="1"/>
  <c r="K267" i="1" s="1"/>
  <c r="K268" i="1" s="1"/>
  <c r="K269" i="1" s="1"/>
  <c r="K270" i="1" s="1"/>
  <c r="K271" i="1" s="1"/>
  <c r="K272" i="1" s="1"/>
  <c r="K273" i="1" s="1"/>
  <c r="K274" i="1" s="1"/>
  <c r="K275" i="1" s="1"/>
  <c r="K276" i="1" s="1"/>
  <c r="K277" i="1" s="1"/>
  <c r="K278" i="1" s="1"/>
  <c r="K279" i="1" s="1"/>
  <c r="K280" i="1" s="1"/>
  <c r="K281" i="1" s="1"/>
  <c r="K282" i="1" s="1"/>
  <c r="K283" i="1" s="1"/>
  <c r="K284" i="1" s="1"/>
  <c r="K285" i="1" s="1"/>
  <c r="K286" i="1" s="1"/>
  <c r="K287" i="1" s="1"/>
  <c r="K288" i="1" s="1"/>
  <c r="K289" i="1" s="1"/>
  <c r="K290" i="1" s="1"/>
  <c r="K291" i="1" s="1"/>
  <c r="K292" i="1" s="1"/>
  <c r="K293" i="1" s="1"/>
  <c r="K294" i="1" s="1"/>
  <c r="K295" i="1" s="1"/>
  <c r="K296" i="1" s="1"/>
  <c r="K297" i="1" s="1"/>
  <c r="K298" i="1" s="1"/>
  <c r="K299" i="1" s="1"/>
  <c r="K300" i="1" s="1"/>
  <c r="K301" i="1" s="1"/>
  <c r="K302" i="1" s="1"/>
  <c r="K303" i="1" s="1"/>
  <c r="K304" i="1" s="1"/>
  <c r="K305" i="1" s="1"/>
  <c r="K306" i="1" s="1"/>
  <c r="K307" i="1" s="1"/>
  <c r="K308" i="1" s="1"/>
  <c r="K309" i="1" s="1"/>
  <c r="K310" i="1" s="1"/>
  <c r="K311" i="1" s="1"/>
  <c r="K312" i="1" s="1"/>
  <c r="K313" i="1" s="1"/>
  <c r="K314" i="1" s="1"/>
  <c r="K315" i="1" s="1"/>
  <c r="K316" i="1" s="1"/>
  <c r="K317" i="1" s="1"/>
  <c r="K318" i="1" s="1"/>
  <c r="K319" i="1" s="1"/>
  <c r="K320" i="1" s="1"/>
  <c r="K321" i="1" s="1"/>
  <c r="K322" i="1" s="1"/>
  <c r="K323" i="1" s="1"/>
  <c r="K324" i="1" s="1"/>
  <c r="K325" i="1" s="1"/>
  <c r="K326" i="1" s="1"/>
  <c r="K327" i="1" s="1"/>
  <c r="K328" i="1" s="1"/>
  <c r="K329" i="1" s="1"/>
  <c r="K330" i="1" s="1"/>
  <c r="K331" i="1" s="1"/>
  <c r="K332" i="1" s="1"/>
  <c r="K333" i="1" s="1"/>
  <c r="K334" i="1" s="1"/>
  <c r="K335" i="1" s="1"/>
  <c r="K336" i="1" s="1"/>
  <c r="K337" i="1" s="1"/>
  <c r="K338" i="1" s="1"/>
  <c r="K339" i="1" s="1"/>
  <c r="K340" i="1" s="1"/>
  <c r="K341" i="1" s="1"/>
  <c r="K342" i="1" s="1"/>
  <c r="K343" i="1" s="1"/>
  <c r="K344" i="1" s="1"/>
  <c r="K345" i="1" s="1"/>
  <c r="K346" i="1" s="1"/>
  <c r="K347" i="1" s="1"/>
  <c r="K348" i="1" s="1"/>
  <c r="K349" i="1" s="1"/>
  <c r="K350" i="1" s="1"/>
  <c r="K351" i="1" s="1"/>
  <c r="K352" i="1" s="1"/>
  <c r="K353" i="1" s="1"/>
  <c r="K354" i="1" s="1"/>
  <c r="K355" i="1" s="1"/>
  <c r="K356" i="1" s="1"/>
  <c r="K357" i="1" s="1"/>
  <c r="K358" i="1" s="1"/>
  <c r="K359" i="1" s="1"/>
  <c r="K360" i="1" s="1"/>
  <c r="K361" i="1" s="1"/>
  <c r="K362" i="1" s="1"/>
  <c r="K363" i="1" s="1"/>
  <c r="K364" i="1" s="1"/>
  <c r="K365" i="1" s="1"/>
  <c r="K366" i="1" s="1"/>
  <c r="K367" i="1" s="1"/>
  <c r="K368" i="1" s="1"/>
  <c r="K369" i="1" s="1"/>
  <c r="K370" i="1" s="1"/>
  <c r="K371" i="1" s="1"/>
  <c r="K372" i="1" s="1"/>
  <c r="K373" i="1" s="1"/>
  <c r="K374" i="1" s="1"/>
  <c r="K375" i="1" s="1"/>
  <c r="K376" i="1" s="1"/>
  <c r="K377" i="1" s="1"/>
  <c r="K378" i="1" s="1"/>
  <c r="K379" i="1" s="1"/>
  <c r="K380" i="1" s="1"/>
  <c r="K381" i="1" s="1"/>
  <c r="K382" i="1" s="1"/>
  <c r="K383" i="1" s="1"/>
  <c r="K384" i="1" s="1"/>
  <c r="K385" i="1" s="1"/>
  <c r="K386" i="1" s="1"/>
  <c r="K387" i="1" s="1"/>
  <c r="K388" i="1" s="1"/>
  <c r="K389" i="1" s="1"/>
  <c r="K390" i="1" s="1"/>
  <c r="K391" i="1" s="1"/>
  <c r="K392" i="1" s="1"/>
  <c r="K393" i="1" s="1"/>
  <c r="K394" i="1" s="1"/>
  <c r="K395" i="1" s="1"/>
  <c r="K396" i="1" s="1"/>
  <c r="K397" i="1" s="1"/>
  <c r="K398" i="1" s="1"/>
  <c r="K399" i="1" s="1"/>
  <c r="K400" i="1" s="1"/>
  <c r="K401" i="1" s="1"/>
  <c r="K402" i="1" s="1"/>
  <c r="K403" i="1" s="1"/>
  <c r="K404" i="1" s="1"/>
  <c r="K405" i="1" s="1"/>
  <c r="K406" i="1" s="1"/>
  <c r="K407" i="1" s="1"/>
  <c r="K408" i="1" s="1"/>
  <c r="K409" i="1" s="1"/>
  <c r="K410" i="1" s="1"/>
  <c r="K411" i="1" s="1"/>
  <c r="K412" i="1" s="1"/>
  <c r="K413" i="1" s="1"/>
  <c r="K414" i="1" s="1"/>
  <c r="K415" i="1" s="1"/>
  <c r="K416" i="1" s="1"/>
  <c r="K417" i="1" s="1"/>
  <c r="K418" i="1" s="1"/>
  <c r="K419" i="1" s="1"/>
  <c r="K420" i="1" s="1"/>
  <c r="K421" i="1" s="1"/>
  <c r="K422" i="1" s="1"/>
  <c r="K423" i="1" s="1"/>
  <c r="K424" i="1" s="1"/>
  <c r="K425" i="1" s="1"/>
  <c r="K426" i="1" s="1"/>
  <c r="K427" i="1" s="1"/>
  <c r="K428" i="1" s="1"/>
  <c r="K429" i="1" s="1"/>
  <c r="K430" i="1" s="1"/>
  <c r="K431" i="1" s="1"/>
  <c r="K432" i="1" s="1"/>
  <c r="K433" i="1" s="1"/>
  <c r="K434" i="1" s="1"/>
  <c r="K435" i="1" s="1"/>
  <c r="K436" i="1" s="1"/>
  <c r="K437" i="1" s="1"/>
  <c r="K438" i="1" s="1"/>
  <c r="K439" i="1" s="1"/>
  <c r="K440" i="1" s="1"/>
  <c r="K441" i="1" s="1"/>
  <c r="K442" i="1" s="1"/>
  <c r="K443" i="1" s="1"/>
  <c r="K444" i="1" s="1"/>
  <c r="K445" i="1" s="1"/>
  <c r="K446" i="1" s="1"/>
  <c r="K447" i="1" s="1"/>
  <c r="K448" i="1" s="1"/>
  <c r="K449" i="1" s="1"/>
  <c r="K450" i="1" s="1"/>
  <c r="K451" i="1" s="1"/>
  <c r="K452" i="1" s="1"/>
  <c r="K453" i="1" s="1"/>
  <c r="K454" i="1" s="1"/>
  <c r="K455" i="1" s="1"/>
  <c r="K456" i="1" s="1"/>
  <c r="K457" i="1" s="1"/>
  <c r="K458" i="1" s="1"/>
  <c r="K459" i="1" s="1"/>
  <c r="K460" i="1" s="1"/>
  <c r="K461" i="1" s="1"/>
  <c r="K462" i="1" s="1"/>
  <c r="K463" i="1" s="1"/>
  <c r="K464" i="1" s="1"/>
  <c r="K465" i="1" s="1"/>
  <c r="K466" i="1" s="1"/>
  <c r="K467" i="1" s="1"/>
  <c r="K468" i="1" s="1"/>
  <c r="K469" i="1" s="1"/>
  <c r="K470" i="1" s="1"/>
  <c r="K471" i="1" s="1"/>
  <c r="K472" i="1" s="1"/>
  <c r="K473" i="1" s="1"/>
  <c r="K474" i="1" s="1"/>
  <c r="K475" i="1" s="1"/>
  <c r="K476" i="1" s="1"/>
  <c r="K477" i="1" s="1"/>
  <c r="K478" i="1" s="1"/>
  <c r="K479" i="1" s="1"/>
  <c r="K480" i="1" s="1"/>
  <c r="K481" i="1" s="1"/>
  <c r="K482" i="1" s="1"/>
  <c r="K483" i="1" s="1"/>
  <c r="K484" i="1" s="1"/>
  <c r="K485" i="1" s="1"/>
  <c r="K486" i="1" s="1"/>
  <c r="K487" i="1" s="1"/>
  <c r="K488" i="1" s="1"/>
  <c r="K489" i="1" s="1"/>
  <c r="K490" i="1" s="1"/>
  <c r="K491" i="1" s="1"/>
  <c r="K492" i="1" s="1"/>
  <c r="K493" i="1" s="1"/>
  <c r="K494" i="1" s="1"/>
  <c r="K495" i="1" s="1"/>
  <c r="K496" i="1" s="1"/>
  <c r="K497" i="1" s="1"/>
  <c r="K498" i="1" s="1"/>
  <c r="K499" i="1" s="1"/>
  <c r="K500" i="1" s="1"/>
  <c r="K501" i="1" s="1"/>
  <c r="K502" i="1" s="1"/>
  <c r="K503" i="1" s="1"/>
  <c r="K504" i="1" s="1"/>
  <c r="K505" i="1" s="1"/>
  <c r="K506" i="1" s="1"/>
  <c r="K507" i="1" s="1"/>
  <c r="K508" i="1" s="1"/>
  <c r="K509" i="1" s="1"/>
  <c r="K510" i="1" s="1"/>
  <c r="K511" i="1" s="1"/>
  <c r="K512" i="1" s="1"/>
  <c r="K513" i="1" s="1"/>
  <c r="K514" i="1" s="1"/>
  <c r="K515" i="1" s="1"/>
  <c r="K516" i="1" s="1"/>
  <c r="K517" i="1" s="1"/>
  <c r="K518" i="1" s="1"/>
  <c r="K519" i="1" s="1"/>
  <c r="K520" i="1" s="1"/>
  <c r="K521" i="1" s="1"/>
  <c r="K522" i="1" s="1"/>
  <c r="K523" i="1" s="1"/>
  <c r="K524" i="1" s="1"/>
  <c r="K525" i="1" s="1"/>
  <c r="K526" i="1" s="1"/>
  <c r="K527" i="1" s="1"/>
  <c r="K528" i="1" s="1"/>
  <c r="K529" i="1" s="1"/>
  <c r="K530" i="1" s="1"/>
  <c r="K531" i="1" s="1"/>
  <c r="K532" i="1" s="1"/>
  <c r="K533" i="1" s="1"/>
  <c r="K534" i="1" s="1"/>
  <c r="K535" i="1" s="1"/>
  <c r="K536" i="1" s="1"/>
  <c r="K537" i="1" s="1"/>
  <c r="K538" i="1" s="1"/>
  <c r="K539" i="1" s="1"/>
  <c r="K540" i="1" s="1"/>
  <c r="K541" i="1" s="1"/>
  <c r="K542" i="1" s="1"/>
  <c r="K543" i="1" s="1"/>
  <c r="K544" i="1" s="1"/>
  <c r="K545" i="1" s="1"/>
  <c r="K546" i="1" s="1"/>
  <c r="K547" i="1" s="1"/>
  <c r="K548" i="1" s="1"/>
  <c r="K549" i="1" s="1"/>
  <c r="K550" i="1" s="1"/>
  <c r="K551" i="1" s="1"/>
  <c r="K552" i="1" s="1"/>
  <c r="K553" i="1" s="1"/>
  <c r="K554" i="1" s="1"/>
  <c r="K555" i="1" s="1"/>
  <c r="K556" i="1" s="1"/>
  <c r="K557" i="1" s="1"/>
  <c r="K558" i="1" s="1"/>
  <c r="K559" i="1" s="1"/>
  <c r="K560" i="1" s="1"/>
  <c r="K561" i="1" s="1"/>
  <c r="K562" i="1" s="1"/>
  <c r="K563" i="1" s="1"/>
  <c r="K564" i="1" s="1"/>
  <c r="K565" i="1" s="1"/>
  <c r="K566" i="1" s="1"/>
  <c r="K567" i="1" s="1"/>
  <c r="K568" i="1" s="1"/>
  <c r="K569" i="1" s="1"/>
  <c r="K570" i="1" s="1"/>
  <c r="K571" i="1" s="1"/>
  <c r="K572" i="1" s="1"/>
  <c r="K573" i="1" s="1"/>
  <c r="K574" i="1" s="1"/>
  <c r="K575" i="1" s="1"/>
  <c r="K576" i="1" s="1"/>
  <c r="K577" i="1" s="1"/>
  <c r="K578" i="1" s="1"/>
  <c r="K579" i="1" s="1"/>
  <c r="K580" i="1" s="1"/>
  <c r="K581" i="1" s="1"/>
  <c r="K582" i="1" s="1"/>
  <c r="K583" i="1" s="1"/>
  <c r="K584" i="1" s="1"/>
  <c r="K585" i="1" s="1"/>
  <c r="K586" i="1" s="1"/>
  <c r="K587" i="1" s="1"/>
  <c r="K588" i="1" s="1"/>
  <c r="K589" i="1" s="1"/>
  <c r="K590" i="1" s="1"/>
  <c r="K591" i="1" s="1"/>
  <c r="K592" i="1" s="1"/>
  <c r="K593" i="1" s="1"/>
  <c r="K594" i="1" s="1"/>
  <c r="K595" i="1" s="1"/>
  <c r="K596" i="1" s="1"/>
  <c r="K597" i="1" s="1"/>
  <c r="K598" i="1" s="1"/>
  <c r="K599" i="1" s="1"/>
  <c r="K600" i="1" s="1"/>
  <c r="K601" i="1" s="1"/>
  <c r="K602" i="1" s="1"/>
  <c r="K603" i="1" s="1"/>
  <c r="K604" i="1" s="1"/>
  <c r="K605" i="1" s="1"/>
  <c r="K606" i="1" s="1"/>
  <c r="K607" i="1" s="1"/>
  <c r="K608" i="1" s="1"/>
  <c r="K609" i="1" s="1"/>
  <c r="K610" i="1" s="1"/>
  <c r="K611" i="1" s="1"/>
  <c r="K612" i="1" s="1"/>
  <c r="K613" i="1" s="1"/>
  <c r="K614" i="1" s="1"/>
  <c r="K615" i="1" s="1"/>
  <c r="K616" i="1" s="1"/>
  <c r="K617" i="1" s="1"/>
  <c r="K618" i="1" s="1"/>
  <c r="K619" i="1" s="1"/>
  <c r="K620" i="1" s="1"/>
  <c r="K621" i="1" s="1"/>
  <c r="K622" i="1" s="1"/>
  <c r="K623" i="1" s="1"/>
  <c r="K624" i="1" s="1"/>
  <c r="K625" i="1" s="1"/>
  <c r="K626" i="1" s="1"/>
  <c r="K627" i="1" s="1"/>
  <c r="K628" i="1" s="1"/>
  <c r="K629" i="1" s="1"/>
  <c r="K630" i="1" s="1"/>
  <c r="K631" i="1" s="1"/>
  <c r="K632" i="1" s="1"/>
  <c r="K633" i="1" s="1"/>
  <c r="K634" i="1" s="1"/>
  <c r="K635" i="1" s="1"/>
  <c r="K636" i="1" s="1"/>
  <c r="K637" i="1" s="1"/>
  <c r="K638" i="1" s="1"/>
  <c r="K639" i="1" s="1"/>
  <c r="K640" i="1" s="1"/>
  <c r="K641" i="1" s="1"/>
  <c r="K642" i="1" s="1"/>
  <c r="K643" i="1" s="1"/>
  <c r="K644" i="1" s="1"/>
  <c r="K645" i="1" s="1"/>
  <c r="K646" i="1" s="1"/>
  <c r="K647" i="1" s="1"/>
  <c r="K648" i="1" s="1"/>
  <c r="K649" i="1" s="1"/>
  <c r="K650" i="1" s="1"/>
  <c r="K651" i="1" s="1"/>
  <c r="K652" i="1" s="1"/>
  <c r="K653" i="1" s="1"/>
  <c r="K654" i="1" s="1"/>
  <c r="K655" i="1" s="1"/>
  <c r="K656" i="1" s="1"/>
  <c r="K657" i="1" s="1"/>
  <c r="K658" i="1" s="1"/>
  <c r="K659" i="1" s="1"/>
  <c r="K660" i="1" s="1"/>
  <c r="K661" i="1" s="1"/>
  <c r="K662" i="1" s="1"/>
  <c r="K663" i="1" s="1"/>
  <c r="K664" i="1" s="1"/>
  <c r="K665" i="1" s="1"/>
  <c r="K666" i="1" s="1"/>
  <c r="K667" i="1" s="1"/>
  <c r="K668" i="1" s="1"/>
  <c r="K669" i="1" s="1"/>
  <c r="K670" i="1" s="1"/>
  <c r="K671" i="1" s="1"/>
  <c r="K672" i="1" s="1"/>
  <c r="K673" i="1" s="1"/>
  <c r="K674" i="1" s="1"/>
  <c r="K675" i="1" s="1"/>
  <c r="K676" i="1" s="1"/>
  <c r="K677" i="1" s="1"/>
  <c r="K678" i="1" s="1"/>
  <c r="K679" i="1" s="1"/>
  <c r="K680" i="1" s="1"/>
  <c r="K681" i="1" s="1"/>
  <c r="K682" i="1" s="1"/>
  <c r="K683" i="1" s="1"/>
  <c r="K684" i="1" s="1"/>
  <c r="K685" i="1" s="1"/>
  <c r="K686" i="1" s="1"/>
  <c r="K687" i="1" s="1"/>
  <c r="K688" i="1" s="1"/>
  <c r="K689" i="1" s="1"/>
  <c r="K690" i="1" s="1"/>
  <c r="K691" i="1" s="1"/>
  <c r="K692" i="1" s="1"/>
  <c r="K693" i="1" s="1"/>
  <c r="K694" i="1" s="1"/>
  <c r="K695" i="1" s="1"/>
  <c r="K696" i="1" s="1"/>
  <c r="K697" i="1" s="1"/>
  <c r="K698" i="1" s="1"/>
  <c r="K699" i="1" s="1"/>
  <c r="K700" i="1" s="1"/>
  <c r="K701" i="1" s="1"/>
  <c r="K702" i="1" s="1"/>
  <c r="K703" i="1" s="1"/>
  <c r="K704" i="1" s="1"/>
  <c r="K705" i="1" s="1"/>
  <c r="K706" i="1" s="1"/>
  <c r="K707" i="1" s="1"/>
  <c r="K708" i="1" s="1"/>
  <c r="K709" i="1" s="1"/>
  <c r="K710" i="1" s="1"/>
  <c r="K711" i="1" s="1"/>
  <c r="K712" i="1" s="1"/>
  <c r="K713" i="1" s="1"/>
  <c r="K714" i="1" s="1"/>
  <c r="K715" i="1" s="1"/>
  <c r="K716" i="1" s="1"/>
  <c r="K717" i="1" s="1"/>
  <c r="K718" i="1" s="1"/>
  <c r="K719" i="1" s="1"/>
  <c r="K720" i="1" s="1"/>
  <c r="K721" i="1" s="1"/>
  <c r="K722" i="1" s="1"/>
  <c r="K723" i="1" s="1"/>
  <c r="K724" i="1" s="1"/>
  <c r="K725" i="1" s="1"/>
  <c r="K726" i="1" s="1"/>
  <c r="K727" i="1" s="1"/>
  <c r="K728" i="1" s="1"/>
  <c r="K729" i="1" s="1"/>
  <c r="K730" i="1" s="1"/>
  <c r="K731" i="1" s="1"/>
  <c r="K732" i="1" s="1"/>
  <c r="K733" i="1" s="1"/>
  <c r="K734" i="1" s="1"/>
  <c r="K735" i="1" s="1"/>
  <c r="K736" i="1" s="1"/>
  <c r="K737" i="1" s="1"/>
  <c r="K738" i="1" s="1"/>
  <c r="K739" i="1" s="1"/>
  <c r="K740" i="1" s="1"/>
  <c r="K741" i="1" s="1"/>
  <c r="K742" i="1" s="1"/>
  <c r="K743" i="1" s="1"/>
  <c r="K744" i="1" s="1"/>
  <c r="K745" i="1" s="1"/>
  <c r="K746" i="1" s="1"/>
  <c r="K747" i="1" s="1"/>
  <c r="K748" i="1" s="1"/>
  <c r="K749" i="1" s="1"/>
  <c r="K750" i="1" s="1"/>
  <c r="K751" i="1" s="1"/>
  <c r="K752" i="1" s="1"/>
  <c r="K753" i="1" s="1"/>
  <c r="K754" i="1" s="1"/>
  <c r="K755" i="1" s="1"/>
  <c r="K756" i="1" s="1"/>
  <c r="K757" i="1" s="1"/>
  <c r="K758" i="1" s="1"/>
  <c r="K759" i="1" s="1"/>
  <c r="K760" i="1" s="1"/>
  <c r="K761" i="1" s="1"/>
  <c r="K762" i="1" s="1"/>
  <c r="K763" i="1" s="1"/>
  <c r="K764" i="1" s="1"/>
  <c r="K765" i="1" s="1"/>
  <c r="K766" i="1" s="1"/>
  <c r="K767" i="1" s="1"/>
  <c r="K768" i="1" s="1"/>
  <c r="K769" i="1" s="1"/>
  <c r="K770" i="1" s="1"/>
  <c r="K771" i="1" s="1"/>
  <c r="K772" i="1" s="1"/>
  <c r="K773" i="1" s="1"/>
  <c r="K774" i="1" s="1"/>
  <c r="K775" i="1" s="1"/>
  <c r="K776" i="1" s="1"/>
  <c r="K777" i="1" s="1"/>
  <c r="K778" i="1" s="1"/>
  <c r="K779" i="1" s="1"/>
  <c r="K780" i="1" s="1"/>
  <c r="K781" i="1" s="1"/>
  <c r="K782" i="1" s="1"/>
  <c r="K783" i="1" s="1"/>
  <c r="K784" i="1" s="1"/>
  <c r="K785" i="1" s="1"/>
  <c r="K786" i="1" s="1"/>
  <c r="K787" i="1" s="1"/>
  <c r="K788" i="1" s="1"/>
  <c r="K789" i="1" s="1"/>
  <c r="K790" i="1" s="1"/>
  <c r="K791" i="1" s="1"/>
  <c r="K792" i="1" s="1"/>
  <c r="K793" i="1" s="1"/>
  <c r="K794" i="1" s="1"/>
  <c r="K795" i="1" s="1"/>
  <c r="K796" i="1" s="1"/>
  <c r="K797" i="1" s="1"/>
  <c r="K798" i="1" s="1"/>
  <c r="K799" i="1" s="1"/>
  <c r="K800" i="1" s="1"/>
  <c r="K801" i="1" s="1"/>
  <c r="K802" i="1" s="1"/>
  <c r="K803" i="1" s="1"/>
  <c r="K804" i="1" s="1"/>
  <c r="K805" i="1" s="1"/>
  <c r="K806" i="1" s="1"/>
  <c r="K807" i="1" s="1"/>
  <c r="K808" i="1" s="1"/>
  <c r="K809" i="1" s="1"/>
  <c r="K810" i="1" s="1"/>
  <c r="K811" i="1" s="1"/>
  <c r="K812" i="1" s="1"/>
  <c r="K813" i="1" s="1"/>
  <c r="K814" i="1" s="1"/>
  <c r="K815" i="1" s="1"/>
  <c r="K816" i="1" s="1"/>
  <c r="K817" i="1" s="1"/>
  <c r="K818" i="1" s="1"/>
  <c r="K819" i="1" s="1"/>
  <c r="K820" i="1" s="1"/>
  <c r="K821" i="1" s="1"/>
  <c r="K822" i="1" s="1"/>
  <c r="K823" i="1" s="1"/>
  <c r="K824" i="1" s="1"/>
  <c r="K825" i="1" s="1"/>
  <c r="K826" i="1" s="1"/>
  <c r="K827" i="1" s="1"/>
  <c r="K828" i="1" s="1"/>
  <c r="K829" i="1" s="1"/>
  <c r="K830" i="1" s="1"/>
  <c r="K831" i="1" s="1"/>
  <c r="K832" i="1" s="1"/>
  <c r="K833" i="1" s="1"/>
  <c r="K834" i="1" s="1"/>
  <c r="K835" i="1" s="1"/>
  <c r="K836" i="1" s="1"/>
  <c r="K837" i="1" s="1"/>
  <c r="K838" i="1" s="1"/>
  <c r="K839" i="1" s="1"/>
  <c r="K840" i="1" s="1"/>
  <c r="K841" i="1" s="1"/>
  <c r="K842" i="1" s="1"/>
  <c r="K843" i="1" s="1"/>
  <c r="K844" i="1" s="1"/>
  <c r="K845" i="1" s="1"/>
  <c r="K846" i="1" s="1"/>
  <c r="K847" i="1" s="1"/>
  <c r="K848" i="1" s="1"/>
  <c r="K849" i="1" s="1"/>
  <c r="K850" i="1" s="1"/>
  <c r="K851" i="1" s="1"/>
  <c r="K852" i="1" s="1"/>
  <c r="K853" i="1" s="1"/>
  <c r="K854" i="1" s="1"/>
  <c r="K855" i="1" s="1"/>
  <c r="K856" i="1" s="1"/>
  <c r="K857" i="1" s="1"/>
  <c r="K858" i="1" s="1"/>
  <c r="K859" i="1" s="1"/>
  <c r="K860" i="1" s="1"/>
  <c r="K861" i="1" s="1"/>
  <c r="K862" i="1" s="1"/>
  <c r="K863" i="1" s="1"/>
  <c r="K864" i="1" s="1"/>
  <c r="K865" i="1" s="1"/>
  <c r="K866" i="1" s="1"/>
  <c r="K867" i="1" s="1"/>
  <c r="K868" i="1" s="1"/>
  <c r="K869" i="1" s="1"/>
  <c r="K870" i="1" s="1"/>
  <c r="K871" i="1" s="1"/>
  <c r="K872" i="1" s="1"/>
  <c r="K873" i="1" s="1"/>
  <c r="K874" i="1" s="1"/>
  <c r="K875" i="1" s="1"/>
  <c r="K876" i="1" s="1"/>
  <c r="K877" i="1" s="1"/>
  <c r="K878" i="1" s="1"/>
  <c r="K879" i="1" s="1"/>
  <c r="K880" i="1" s="1"/>
  <c r="K881" i="1" s="1"/>
  <c r="K882" i="1" s="1"/>
  <c r="K883" i="1" s="1"/>
  <c r="K884" i="1" s="1"/>
  <c r="K885" i="1" s="1"/>
  <c r="K886" i="1" s="1"/>
  <c r="K887" i="1" s="1"/>
  <c r="K888" i="1" s="1"/>
  <c r="K889" i="1" s="1"/>
  <c r="K890" i="1" s="1"/>
  <c r="K891" i="1" s="1"/>
  <c r="K892" i="1" s="1"/>
  <c r="K893" i="1" s="1"/>
  <c r="K894" i="1" s="1"/>
  <c r="K895" i="1" s="1"/>
  <c r="K896" i="1" s="1"/>
  <c r="K897" i="1" s="1"/>
  <c r="K898" i="1" s="1"/>
  <c r="K899" i="1" s="1"/>
  <c r="K900" i="1" s="1"/>
  <c r="K901" i="1" s="1"/>
  <c r="K902" i="1" s="1"/>
  <c r="K903" i="1" s="1"/>
  <c r="K904" i="1" s="1"/>
  <c r="K905" i="1" s="1"/>
  <c r="K906" i="1" s="1"/>
  <c r="K907" i="1" s="1"/>
  <c r="K908" i="1" s="1"/>
  <c r="K909" i="1" s="1"/>
  <c r="K910" i="1" s="1"/>
  <c r="K911" i="1" s="1"/>
  <c r="K912" i="1" s="1"/>
  <c r="K913" i="1" s="1"/>
  <c r="K914" i="1" s="1"/>
  <c r="K915" i="1" s="1"/>
  <c r="K916" i="1" s="1"/>
  <c r="K917" i="1" s="1"/>
  <c r="K918" i="1" s="1"/>
  <c r="K919" i="1" s="1"/>
  <c r="K920" i="1" s="1"/>
  <c r="K921" i="1" s="1"/>
  <c r="K922" i="1" s="1"/>
  <c r="K923" i="1" s="1"/>
  <c r="K924" i="1" s="1"/>
  <c r="K925" i="1" s="1"/>
  <c r="K926" i="1" s="1"/>
  <c r="K927" i="1" s="1"/>
  <c r="K928" i="1" s="1"/>
  <c r="K929" i="1" s="1"/>
  <c r="K930" i="1" s="1"/>
  <c r="K931" i="1" s="1"/>
  <c r="K932" i="1" s="1"/>
  <c r="K933" i="1" s="1"/>
  <c r="K934" i="1" s="1"/>
  <c r="K935" i="1" s="1"/>
  <c r="K936" i="1" s="1"/>
  <c r="K937" i="1" s="1"/>
  <c r="K938" i="1" s="1"/>
  <c r="K939" i="1" s="1"/>
  <c r="K940" i="1" s="1"/>
  <c r="K941" i="1" s="1"/>
  <c r="K942" i="1" s="1"/>
  <c r="K943" i="1" s="1"/>
  <c r="K944" i="1" s="1"/>
  <c r="K945" i="1" s="1"/>
  <c r="K946" i="1" s="1"/>
  <c r="K947" i="1" s="1"/>
  <c r="K948" i="1" s="1"/>
  <c r="K949" i="1" s="1"/>
  <c r="K950" i="1" s="1"/>
  <c r="K951" i="1" s="1"/>
  <c r="K952" i="1" s="1"/>
  <c r="K953" i="1" s="1"/>
  <c r="K954" i="1" s="1"/>
  <c r="K955" i="1" s="1"/>
  <c r="K956" i="1" s="1"/>
  <c r="K957" i="1" s="1"/>
  <c r="K958" i="1" s="1"/>
  <c r="K959" i="1" s="1"/>
  <c r="K960" i="1" s="1"/>
  <c r="K961" i="1" s="1"/>
  <c r="K962" i="1" s="1"/>
  <c r="K963" i="1" s="1"/>
  <c r="K964" i="1" s="1"/>
  <c r="K965" i="1" s="1"/>
  <c r="K966" i="1" s="1"/>
  <c r="K967" i="1" s="1"/>
  <c r="K968" i="1" s="1"/>
  <c r="K969" i="1" s="1"/>
  <c r="K970" i="1" s="1"/>
  <c r="K971" i="1" s="1"/>
  <c r="K972" i="1" s="1"/>
  <c r="K973" i="1" s="1"/>
  <c r="K974" i="1" s="1"/>
  <c r="K975" i="1" s="1"/>
  <c r="K976" i="1" s="1"/>
  <c r="K977" i="1" s="1"/>
  <c r="K978" i="1" s="1"/>
  <c r="K979" i="1" s="1"/>
  <c r="K980" i="1" s="1"/>
  <c r="K981" i="1" s="1"/>
  <c r="K982" i="1" s="1"/>
  <c r="K13" i="1"/>
  <c r="L12" i="1"/>
  <c r="M12" i="1"/>
  <c r="M11" i="1"/>
  <c r="N13" i="1"/>
  <c r="O13" i="1" l="1"/>
  <c r="P13" i="1" s="1"/>
  <c r="Q13" i="1" s="1"/>
  <c r="L14" i="1"/>
  <c r="I11" i="1"/>
  <c r="N14" i="1"/>
  <c r="O14" i="1" l="1"/>
  <c r="P14" i="1" s="1"/>
  <c r="Q14" i="1" s="1"/>
  <c r="L15" i="1"/>
  <c r="B5" i="1"/>
  <c r="B4" i="1"/>
  <c r="N15" i="1"/>
  <c r="O15" i="1" l="1"/>
  <c r="P15" i="1" s="1"/>
  <c r="Q15" i="1" s="1"/>
  <c r="L16" i="1"/>
  <c r="I12" i="1"/>
  <c r="N16" i="1"/>
  <c r="O16" i="1" l="1"/>
  <c r="P16" i="1" s="1"/>
  <c r="Q16" i="1" s="1"/>
  <c r="L17" i="1"/>
  <c r="A15" i="1"/>
  <c r="B17" i="1"/>
  <c r="A17" i="1" s="1"/>
  <c r="A18" i="1"/>
  <c r="N17" i="1"/>
  <c r="O17" i="1" l="1"/>
  <c r="P17" i="1" s="1"/>
  <c r="Q17" i="1" s="1"/>
  <c r="L18" i="1"/>
  <c r="A19" i="1"/>
  <c r="A22" i="1" s="1"/>
  <c r="A23" i="1" s="1"/>
  <c r="N18" i="1"/>
  <c r="O18" i="1" l="1"/>
  <c r="P18" i="1" s="1"/>
  <c r="Q18" i="1" s="1"/>
  <c r="K11" i="1"/>
  <c r="J11" i="1"/>
  <c r="L19" i="1" l="1"/>
  <c r="H12" i="1"/>
  <c r="K12" i="1"/>
  <c r="J12" i="1"/>
  <c r="N19" i="1"/>
  <c r="N12" i="1"/>
  <c r="O19" i="1" l="1"/>
  <c r="P19" i="1" s="1"/>
  <c r="Q19" i="1" s="1"/>
  <c r="O12" i="1"/>
  <c r="P12" i="1" s="1"/>
  <c r="L20" i="1" l="1"/>
  <c r="Q12" i="1"/>
  <c r="N20" i="1"/>
  <c r="O20" i="1" l="1"/>
  <c r="P20" i="1" s="1"/>
  <c r="Q20" i="1" s="1"/>
  <c r="L21" i="1" l="1"/>
  <c r="N21" i="1"/>
  <c r="O21" i="1" l="1"/>
  <c r="P21" i="1" s="1"/>
  <c r="L22" i="1" s="1"/>
  <c r="N22" i="1"/>
  <c r="O22" i="1" l="1"/>
  <c r="P22" i="1" s="1"/>
  <c r="Q22" i="1" s="1"/>
  <c r="Q21" i="1"/>
  <c r="L23" i="1" l="1"/>
  <c r="N23" i="1"/>
  <c r="O23" i="1" l="1"/>
  <c r="P23" i="1" s="1"/>
  <c r="L24" i="1" s="1"/>
  <c r="N24" i="1"/>
  <c r="O24" i="1" l="1"/>
  <c r="P24" i="1" s="1"/>
  <c r="Q24" i="1" s="1"/>
  <c r="Q23" i="1"/>
  <c r="L25" i="1" l="1"/>
  <c r="N25" i="1"/>
  <c r="O25" i="1" l="1"/>
  <c r="P25" i="1" s="1"/>
  <c r="L26" i="1" s="1"/>
  <c r="N26" i="1"/>
  <c r="O26" i="1" l="1"/>
  <c r="P26" i="1" s="1"/>
  <c r="Q26" i="1" s="1"/>
  <c r="Q25" i="1"/>
  <c r="L27" i="1" l="1"/>
  <c r="N27" i="1"/>
  <c r="O27" i="1" l="1"/>
  <c r="P27" i="1" s="1"/>
  <c r="L28" i="1" s="1"/>
  <c r="N28" i="1"/>
  <c r="O28" i="1" l="1"/>
  <c r="P28" i="1" s="1"/>
  <c r="Q28" i="1" s="1"/>
  <c r="Q27" i="1"/>
  <c r="L29" i="1" l="1"/>
  <c r="N29" i="1"/>
  <c r="O29" i="1" l="1"/>
  <c r="P29" i="1" s="1"/>
  <c r="Q29" i="1" s="1"/>
  <c r="L30" i="1" l="1"/>
  <c r="N30" i="1"/>
  <c r="O30" i="1" l="1"/>
  <c r="P30" i="1" s="1"/>
  <c r="Q30" i="1" s="1"/>
  <c r="L31" i="1" l="1"/>
  <c r="N31" i="1"/>
  <c r="O31" i="1" l="1"/>
  <c r="P31" i="1" s="1"/>
  <c r="Q31" i="1" s="1"/>
  <c r="L32" i="1" l="1"/>
  <c r="N32" i="1"/>
  <c r="O32" i="1" l="1"/>
  <c r="P32" i="1" s="1"/>
  <c r="Q32" i="1" s="1"/>
  <c r="L33" i="1" l="1"/>
  <c r="N33" i="1"/>
  <c r="O33" i="1" l="1"/>
  <c r="P33" i="1" s="1"/>
  <c r="Q33" i="1" s="1"/>
  <c r="L34" i="1" l="1"/>
  <c r="N34" i="1"/>
  <c r="O34" i="1" l="1"/>
  <c r="P34" i="1" s="1"/>
  <c r="Q34" i="1" s="1"/>
  <c r="L35" i="1" l="1"/>
  <c r="N35" i="1"/>
  <c r="O35" i="1" l="1"/>
  <c r="P35" i="1" s="1"/>
  <c r="Q35" i="1" s="1"/>
  <c r="L36" i="1"/>
  <c r="N36" i="1"/>
  <c r="O36" i="1" l="1"/>
  <c r="P36" i="1" s="1"/>
  <c r="Q36" i="1" s="1"/>
  <c r="L37" i="1" l="1"/>
  <c r="N37" i="1"/>
  <c r="O37" i="1" l="1"/>
  <c r="P37" i="1" s="1"/>
  <c r="Q37" i="1" s="1"/>
  <c r="L38" i="1" l="1"/>
  <c r="N38" i="1"/>
  <c r="O38" i="1" l="1"/>
  <c r="P38" i="1" s="1"/>
  <c r="Q38" i="1" s="1"/>
  <c r="L39" i="1"/>
  <c r="N39" i="1"/>
  <c r="O39" i="1" l="1"/>
  <c r="P39" i="1" s="1"/>
  <c r="Q39" i="1" s="1"/>
  <c r="L40" i="1" l="1"/>
  <c r="N40" i="1"/>
  <c r="O40" i="1" l="1"/>
  <c r="P40" i="1" s="1"/>
  <c r="Q40" i="1" s="1"/>
  <c r="L41" i="1" l="1"/>
  <c r="N41" i="1"/>
  <c r="O41" i="1" l="1"/>
  <c r="P41" i="1" s="1"/>
  <c r="Q41" i="1" s="1"/>
  <c r="L42" i="1" l="1"/>
  <c r="N42" i="1"/>
  <c r="O42" i="1" l="1"/>
  <c r="P42" i="1" s="1"/>
  <c r="Q42" i="1" s="1"/>
  <c r="L43" i="1"/>
  <c r="N43" i="1"/>
  <c r="O43" i="1" l="1"/>
  <c r="P43" i="1" s="1"/>
  <c r="Q43" i="1" s="1"/>
  <c r="L44" i="1" l="1"/>
  <c r="N44" i="1"/>
  <c r="O44" i="1" l="1"/>
  <c r="P44" i="1" s="1"/>
  <c r="Q44" i="1" s="1"/>
  <c r="L45" i="1" l="1"/>
  <c r="N45" i="1"/>
  <c r="O45" i="1" l="1"/>
  <c r="P45" i="1" s="1"/>
  <c r="Q45" i="1" s="1"/>
  <c r="L46" i="1" l="1"/>
  <c r="N46" i="1"/>
  <c r="O46" i="1" l="1"/>
  <c r="P46" i="1" s="1"/>
  <c r="Q46" i="1" s="1"/>
  <c r="L47" i="1" l="1"/>
  <c r="N47" i="1"/>
  <c r="O47" i="1" l="1"/>
  <c r="P47" i="1" s="1"/>
  <c r="Q47" i="1" s="1"/>
  <c r="L48" i="1" l="1"/>
  <c r="N48" i="1"/>
  <c r="O48" i="1" l="1"/>
  <c r="P48" i="1" s="1"/>
  <c r="Q48" i="1" s="1"/>
  <c r="L49" i="1" l="1"/>
  <c r="N49" i="1"/>
  <c r="O49" i="1" l="1"/>
  <c r="P49" i="1" s="1"/>
  <c r="Q49" i="1" s="1"/>
  <c r="L50" i="1" l="1"/>
  <c r="N50" i="1"/>
  <c r="O50" i="1" l="1"/>
  <c r="P50" i="1" s="1"/>
  <c r="Q50" i="1" s="1"/>
  <c r="L51" i="1" l="1"/>
  <c r="N51" i="1"/>
  <c r="O51" i="1" l="1"/>
  <c r="P51" i="1" s="1"/>
  <c r="Q51" i="1" s="1"/>
  <c r="L52" i="1" l="1"/>
  <c r="N52" i="1"/>
  <c r="O52" i="1" l="1"/>
  <c r="P52" i="1" s="1"/>
  <c r="Q52" i="1" s="1"/>
  <c r="L53" i="1" l="1"/>
  <c r="N53" i="1"/>
  <c r="O53" i="1" l="1"/>
  <c r="P53" i="1" s="1"/>
  <c r="Q53" i="1" s="1"/>
  <c r="L54" i="1" l="1"/>
  <c r="N54" i="1"/>
  <c r="O54" i="1" l="1"/>
  <c r="P54" i="1" s="1"/>
  <c r="Q54" i="1" s="1"/>
  <c r="L55" i="1" l="1"/>
  <c r="N55" i="1"/>
  <c r="O55" i="1" l="1"/>
  <c r="P55" i="1" s="1"/>
  <c r="Q55" i="1" s="1"/>
  <c r="L56" i="1" l="1"/>
  <c r="N56" i="1"/>
  <c r="O56" i="1" l="1"/>
  <c r="P56" i="1" s="1"/>
  <c r="Q56" i="1" s="1"/>
  <c r="L57" i="1" l="1"/>
  <c r="N57" i="1"/>
  <c r="O57" i="1" l="1"/>
  <c r="P57" i="1" s="1"/>
  <c r="Q57" i="1" s="1"/>
  <c r="L58" i="1" l="1"/>
  <c r="N58" i="1"/>
  <c r="O58" i="1" l="1"/>
  <c r="P58" i="1" s="1"/>
  <c r="Q58" i="1" s="1"/>
  <c r="L59" i="1" l="1"/>
  <c r="N59" i="1"/>
  <c r="O59" i="1" l="1"/>
  <c r="P59" i="1" s="1"/>
  <c r="Q59" i="1" s="1"/>
  <c r="L60" i="1" l="1"/>
  <c r="N60" i="1"/>
  <c r="O60" i="1" l="1"/>
  <c r="P60" i="1" s="1"/>
  <c r="Q60" i="1" s="1"/>
  <c r="L61" i="1" l="1"/>
  <c r="N61" i="1"/>
  <c r="O61" i="1" l="1"/>
  <c r="P61" i="1" s="1"/>
  <c r="Q61" i="1" s="1"/>
  <c r="L62" i="1" l="1"/>
  <c r="N62" i="1"/>
  <c r="O62" i="1" l="1"/>
  <c r="P62" i="1" s="1"/>
  <c r="Q62" i="1" s="1"/>
  <c r="L63" i="1" l="1"/>
  <c r="N63" i="1"/>
  <c r="O63" i="1" l="1"/>
  <c r="P63" i="1" s="1"/>
  <c r="Q63" i="1" s="1"/>
  <c r="L64" i="1" l="1"/>
  <c r="N64" i="1"/>
  <c r="O64" i="1" l="1"/>
  <c r="P64" i="1" s="1"/>
  <c r="Q64" i="1" s="1"/>
  <c r="L65" i="1" l="1"/>
  <c r="N65" i="1"/>
  <c r="O65" i="1" l="1"/>
  <c r="P65" i="1" s="1"/>
  <c r="Q65" i="1" s="1"/>
  <c r="L66" i="1" l="1"/>
  <c r="N66" i="1"/>
  <c r="O66" i="1" l="1"/>
  <c r="P66" i="1" s="1"/>
  <c r="Q66" i="1" s="1"/>
  <c r="L67" i="1" l="1"/>
  <c r="N67" i="1"/>
  <c r="O67" i="1" l="1"/>
  <c r="P67" i="1" s="1"/>
  <c r="Q67" i="1" s="1"/>
  <c r="L68" i="1" l="1"/>
  <c r="N68" i="1"/>
  <c r="O68" i="1" l="1"/>
  <c r="P68" i="1" s="1"/>
  <c r="Q68" i="1" s="1"/>
  <c r="L69" i="1" l="1"/>
  <c r="N69" i="1"/>
  <c r="O69" i="1" l="1"/>
  <c r="P69" i="1" s="1"/>
  <c r="Q69" i="1" s="1"/>
  <c r="L70" i="1" l="1"/>
  <c r="N70" i="1"/>
  <c r="O70" i="1" l="1"/>
  <c r="P70" i="1" s="1"/>
  <c r="Q70" i="1" s="1"/>
  <c r="L71" i="1" l="1"/>
  <c r="N71" i="1"/>
  <c r="O71" i="1" l="1"/>
  <c r="P71" i="1" s="1"/>
  <c r="Q71" i="1" s="1"/>
  <c r="L72" i="1" l="1"/>
  <c r="N72" i="1"/>
  <c r="O72" i="1" l="1"/>
  <c r="P72" i="1" s="1"/>
  <c r="Q72" i="1" s="1"/>
  <c r="L73" i="1" l="1"/>
  <c r="N73" i="1"/>
  <c r="O73" i="1" l="1"/>
  <c r="P73" i="1" s="1"/>
  <c r="Q73" i="1" s="1"/>
  <c r="L74" i="1" l="1"/>
  <c r="N74" i="1"/>
  <c r="O74" i="1" l="1"/>
  <c r="P74" i="1" s="1"/>
  <c r="Q74" i="1" s="1"/>
  <c r="L75" i="1" l="1"/>
  <c r="N75" i="1"/>
  <c r="O75" i="1" l="1"/>
  <c r="P75" i="1" s="1"/>
  <c r="Q75" i="1" s="1"/>
  <c r="L76" i="1" l="1"/>
  <c r="N76" i="1"/>
  <c r="O76" i="1" l="1"/>
  <c r="P76" i="1" s="1"/>
  <c r="Q76" i="1" s="1"/>
  <c r="L77" i="1" l="1"/>
  <c r="N77" i="1"/>
  <c r="O77" i="1" l="1"/>
  <c r="P77" i="1" s="1"/>
  <c r="Q77" i="1" s="1"/>
  <c r="L78" i="1" l="1"/>
  <c r="N78" i="1"/>
  <c r="O78" i="1" l="1"/>
  <c r="P78" i="1" s="1"/>
  <c r="Q78" i="1" s="1"/>
  <c r="L79" i="1" l="1"/>
  <c r="N79" i="1"/>
  <c r="O79" i="1" l="1"/>
  <c r="P79" i="1" s="1"/>
  <c r="Q79" i="1" s="1"/>
  <c r="L80" i="1" l="1"/>
  <c r="N80" i="1"/>
  <c r="O80" i="1" l="1"/>
  <c r="P80" i="1" s="1"/>
  <c r="Q80" i="1" s="1"/>
  <c r="L81" i="1" l="1"/>
  <c r="N81" i="1"/>
  <c r="O81" i="1" l="1"/>
  <c r="P81" i="1" s="1"/>
  <c r="Q81" i="1" s="1"/>
  <c r="L82" i="1" l="1"/>
  <c r="N82" i="1"/>
  <c r="O82" i="1" l="1"/>
  <c r="P82" i="1" s="1"/>
  <c r="Q82" i="1" s="1"/>
  <c r="L83" i="1" l="1"/>
  <c r="N83" i="1"/>
  <c r="O83" i="1" l="1"/>
  <c r="P83" i="1" s="1"/>
  <c r="Q83" i="1" s="1"/>
  <c r="L84" i="1" l="1"/>
  <c r="N84" i="1"/>
  <c r="O84" i="1" l="1"/>
  <c r="P84" i="1" s="1"/>
  <c r="Q84" i="1" s="1"/>
  <c r="L85" i="1" l="1"/>
  <c r="N85" i="1"/>
  <c r="O85" i="1" l="1"/>
  <c r="P85" i="1" s="1"/>
  <c r="Q85" i="1" s="1"/>
  <c r="L86" i="1" l="1"/>
  <c r="N86" i="1"/>
  <c r="O86" i="1" l="1"/>
  <c r="P86" i="1" s="1"/>
  <c r="Q86" i="1" s="1"/>
  <c r="L87" i="1" l="1"/>
  <c r="N87" i="1"/>
  <c r="O87" i="1" l="1"/>
  <c r="P87" i="1" s="1"/>
  <c r="Q87" i="1" s="1"/>
  <c r="L88" i="1" l="1"/>
  <c r="N88" i="1"/>
  <c r="O88" i="1" l="1"/>
  <c r="P88" i="1" s="1"/>
  <c r="Q88" i="1" s="1"/>
  <c r="L89" i="1" l="1"/>
  <c r="N89" i="1"/>
  <c r="O89" i="1" l="1"/>
  <c r="P89" i="1" s="1"/>
  <c r="Q89" i="1" s="1"/>
  <c r="L90" i="1" l="1"/>
  <c r="N90" i="1"/>
  <c r="O90" i="1" l="1"/>
  <c r="P90" i="1" s="1"/>
  <c r="Q90" i="1" s="1"/>
  <c r="L91" i="1" l="1"/>
  <c r="N91" i="1"/>
  <c r="O91" i="1" l="1"/>
  <c r="P91" i="1" s="1"/>
  <c r="Q91" i="1" s="1"/>
  <c r="L92" i="1" l="1"/>
  <c r="N92" i="1"/>
  <c r="O92" i="1" l="1"/>
  <c r="P92" i="1" s="1"/>
  <c r="Q92" i="1" s="1"/>
  <c r="L93" i="1" l="1"/>
  <c r="N93" i="1"/>
  <c r="O93" i="1" l="1"/>
  <c r="P93" i="1" s="1"/>
  <c r="Q93" i="1" s="1"/>
  <c r="L94" i="1" l="1"/>
  <c r="N94" i="1"/>
  <c r="O94" i="1" l="1"/>
  <c r="P94" i="1" s="1"/>
  <c r="Q94" i="1" s="1"/>
  <c r="L95" i="1" l="1"/>
  <c r="N95" i="1"/>
  <c r="O95" i="1" l="1"/>
  <c r="P95" i="1" s="1"/>
  <c r="Q95" i="1" s="1"/>
  <c r="L96" i="1" l="1"/>
  <c r="N96" i="1"/>
  <c r="O96" i="1" l="1"/>
  <c r="P96" i="1" s="1"/>
  <c r="Q96" i="1" s="1"/>
  <c r="L97" i="1" l="1"/>
  <c r="N97" i="1"/>
  <c r="O97" i="1" l="1"/>
  <c r="P97" i="1" s="1"/>
  <c r="Q97" i="1" s="1"/>
  <c r="L98" i="1" l="1"/>
  <c r="N98" i="1"/>
  <c r="O98" i="1" l="1"/>
  <c r="P98" i="1" s="1"/>
  <c r="Q98" i="1" s="1"/>
  <c r="L99" i="1" l="1"/>
  <c r="N99" i="1"/>
  <c r="O99" i="1" l="1"/>
  <c r="P99" i="1" s="1"/>
  <c r="Q99" i="1" s="1"/>
  <c r="L100" i="1" l="1"/>
  <c r="N100" i="1"/>
  <c r="O100" i="1" l="1"/>
  <c r="P100" i="1" s="1"/>
  <c r="Q100" i="1" s="1"/>
  <c r="L101" i="1" l="1"/>
  <c r="N101" i="1"/>
  <c r="O101" i="1" l="1"/>
  <c r="P101" i="1" s="1"/>
  <c r="Q101" i="1" s="1"/>
  <c r="L102" i="1" l="1"/>
  <c r="N102" i="1"/>
  <c r="O102" i="1" l="1"/>
  <c r="P102" i="1" s="1"/>
  <c r="Q102" i="1" s="1"/>
  <c r="L103" i="1" l="1"/>
  <c r="N103" i="1"/>
  <c r="O103" i="1" l="1"/>
  <c r="P103" i="1" s="1"/>
  <c r="Q103" i="1" s="1"/>
  <c r="L104" i="1" l="1"/>
  <c r="N104" i="1"/>
  <c r="O104" i="1" l="1"/>
  <c r="P104" i="1" s="1"/>
  <c r="Q104" i="1" s="1"/>
  <c r="L105" i="1" l="1"/>
  <c r="N105" i="1"/>
  <c r="O105" i="1" l="1"/>
  <c r="P105" i="1" s="1"/>
  <c r="Q105" i="1" s="1"/>
  <c r="L106" i="1" l="1"/>
  <c r="N106" i="1"/>
  <c r="O106" i="1" l="1"/>
  <c r="P106" i="1" s="1"/>
  <c r="Q106" i="1" s="1"/>
  <c r="L107" i="1" l="1"/>
  <c r="N107" i="1"/>
  <c r="O107" i="1" l="1"/>
  <c r="P107" i="1" s="1"/>
  <c r="Q107" i="1" s="1"/>
  <c r="L108" i="1" l="1"/>
  <c r="N108" i="1"/>
  <c r="O108" i="1" l="1"/>
  <c r="P108" i="1" s="1"/>
  <c r="Q108" i="1" s="1"/>
  <c r="L109" i="1" l="1"/>
  <c r="N109" i="1"/>
  <c r="O109" i="1" l="1"/>
  <c r="P109" i="1" s="1"/>
  <c r="Q109" i="1" s="1"/>
  <c r="L110" i="1" l="1"/>
  <c r="N110" i="1"/>
  <c r="O110" i="1" l="1"/>
  <c r="P110" i="1" s="1"/>
  <c r="Q110" i="1" s="1"/>
  <c r="L111" i="1" l="1"/>
  <c r="N111" i="1"/>
  <c r="O111" i="1" l="1"/>
  <c r="P111" i="1" s="1"/>
  <c r="Q111" i="1" s="1"/>
  <c r="L112" i="1" l="1"/>
  <c r="N112" i="1"/>
  <c r="O112" i="1" l="1"/>
  <c r="P112" i="1" s="1"/>
  <c r="Q112" i="1" s="1"/>
  <c r="L113" i="1" l="1"/>
  <c r="N113" i="1"/>
  <c r="O113" i="1" l="1"/>
  <c r="P113" i="1" s="1"/>
  <c r="Q113" i="1" s="1"/>
  <c r="L114" i="1" l="1"/>
  <c r="N114" i="1"/>
  <c r="O114" i="1" l="1"/>
  <c r="P114" i="1" s="1"/>
  <c r="Q114" i="1" s="1"/>
  <c r="L115" i="1" l="1"/>
  <c r="N115" i="1"/>
  <c r="O115" i="1" l="1"/>
  <c r="P115" i="1" s="1"/>
  <c r="Q115" i="1" s="1"/>
  <c r="L116" i="1" l="1"/>
  <c r="N116" i="1"/>
  <c r="O116" i="1" l="1"/>
  <c r="P116" i="1" s="1"/>
  <c r="Q116" i="1" s="1"/>
  <c r="L117" i="1" l="1"/>
  <c r="N117" i="1"/>
  <c r="O117" i="1" l="1"/>
  <c r="P117" i="1" s="1"/>
  <c r="Q117" i="1" s="1"/>
  <c r="L118" i="1" l="1"/>
  <c r="N118" i="1"/>
  <c r="O118" i="1" l="1"/>
  <c r="P118" i="1" s="1"/>
  <c r="Q118" i="1" s="1"/>
  <c r="L119" i="1" l="1"/>
  <c r="N119" i="1"/>
  <c r="O119" i="1" l="1"/>
  <c r="P119" i="1" s="1"/>
  <c r="Q119" i="1" s="1"/>
  <c r="L120" i="1" l="1"/>
  <c r="N120" i="1"/>
  <c r="O120" i="1" l="1"/>
  <c r="P120" i="1" s="1"/>
  <c r="Q120" i="1" s="1"/>
  <c r="L121" i="1" l="1"/>
  <c r="N121" i="1"/>
  <c r="O121" i="1" l="1"/>
  <c r="P121" i="1" s="1"/>
  <c r="Q121" i="1" s="1"/>
  <c r="L122" i="1" l="1"/>
  <c r="N122" i="1"/>
  <c r="O122" i="1" l="1"/>
  <c r="P122" i="1" s="1"/>
  <c r="Q122" i="1" s="1"/>
  <c r="L123" i="1" l="1"/>
  <c r="N123" i="1"/>
  <c r="O123" i="1" l="1"/>
  <c r="P123" i="1" s="1"/>
  <c r="Q123" i="1" s="1"/>
  <c r="L124" i="1" l="1"/>
  <c r="N124" i="1"/>
  <c r="O124" i="1" l="1"/>
  <c r="P124" i="1" s="1"/>
  <c r="Q124" i="1" s="1"/>
  <c r="L125" i="1" l="1"/>
  <c r="N125" i="1"/>
  <c r="O125" i="1" l="1"/>
  <c r="P125" i="1" s="1"/>
  <c r="Q125" i="1" s="1"/>
  <c r="L126" i="1" l="1"/>
  <c r="N126" i="1"/>
  <c r="O126" i="1" l="1"/>
  <c r="P126" i="1" s="1"/>
  <c r="Q126" i="1" s="1"/>
  <c r="L127" i="1" l="1"/>
  <c r="N127" i="1"/>
  <c r="O127" i="1" l="1"/>
  <c r="P127" i="1" s="1"/>
  <c r="Q127" i="1" s="1"/>
  <c r="L128" i="1" l="1"/>
  <c r="N128" i="1"/>
  <c r="O128" i="1" l="1"/>
  <c r="P128" i="1" s="1"/>
  <c r="Q128" i="1" s="1"/>
  <c r="L129" i="1" l="1"/>
  <c r="N129" i="1"/>
  <c r="O129" i="1" l="1"/>
  <c r="P129" i="1" s="1"/>
  <c r="Q129" i="1" s="1"/>
  <c r="L130" i="1" l="1"/>
  <c r="N130" i="1"/>
  <c r="O130" i="1" l="1"/>
  <c r="P130" i="1" s="1"/>
  <c r="Q130" i="1" s="1"/>
  <c r="L131" i="1" l="1"/>
  <c r="N131" i="1"/>
  <c r="O131" i="1" l="1"/>
  <c r="P131" i="1" s="1"/>
  <c r="Q131" i="1" s="1"/>
  <c r="L132" i="1" l="1"/>
  <c r="N132" i="1"/>
  <c r="O132" i="1" l="1"/>
  <c r="P132" i="1" s="1"/>
  <c r="Q132" i="1" s="1"/>
  <c r="L133" i="1" l="1"/>
  <c r="N133" i="1"/>
  <c r="O133" i="1" l="1"/>
  <c r="P133" i="1" s="1"/>
  <c r="Q133" i="1" s="1"/>
  <c r="L134" i="1" l="1"/>
  <c r="N134" i="1"/>
  <c r="O134" i="1" l="1"/>
  <c r="P134" i="1" s="1"/>
  <c r="Q134" i="1" s="1"/>
  <c r="L135" i="1" l="1"/>
  <c r="N135" i="1"/>
  <c r="O135" i="1" l="1"/>
  <c r="P135" i="1" s="1"/>
  <c r="Q135" i="1" s="1"/>
  <c r="L136" i="1" l="1"/>
  <c r="N136" i="1"/>
  <c r="O136" i="1" l="1"/>
  <c r="P136" i="1" s="1"/>
  <c r="Q136" i="1" s="1"/>
  <c r="L137" i="1" l="1"/>
  <c r="N137" i="1"/>
  <c r="O137" i="1" l="1"/>
  <c r="P137" i="1" s="1"/>
  <c r="Q137" i="1" s="1"/>
  <c r="L138" i="1" l="1"/>
  <c r="N138" i="1"/>
  <c r="O138" i="1" l="1"/>
  <c r="P138" i="1" s="1"/>
  <c r="Q138" i="1" s="1"/>
  <c r="L139" i="1" l="1"/>
  <c r="N139" i="1"/>
  <c r="O139" i="1" l="1"/>
  <c r="P139" i="1" s="1"/>
  <c r="Q139" i="1" s="1"/>
  <c r="L140" i="1" l="1"/>
  <c r="N140" i="1"/>
  <c r="O140" i="1" l="1"/>
  <c r="P140" i="1" s="1"/>
  <c r="Q140" i="1" s="1"/>
  <c r="L141" i="1" l="1"/>
  <c r="N141" i="1"/>
  <c r="O141" i="1" l="1"/>
  <c r="P141" i="1" s="1"/>
  <c r="Q141" i="1" s="1"/>
  <c r="L142" i="1" l="1"/>
  <c r="N142" i="1"/>
  <c r="O142" i="1" l="1"/>
  <c r="P142" i="1" s="1"/>
  <c r="Q142" i="1" s="1"/>
  <c r="L143" i="1" l="1"/>
  <c r="N143" i="1"/>
  <c r="O143" i="1" l="1"/>
  <c r="P143" i="1" s="1"/>
  <c r="Q143" i="1" s="1"/>
  <c r="L144" i="1" l="1"/>
  <c r="N144" i="1"/>
  <c r="O144" i="1" l="1"/>
  <c r="P144" i="1" s="1"/>
  <c r="Q144" i="1" s="1"/>
  <c r="L145" i="1" l="1"/>
  <c r="N145" i="1"/>
  <c r="O145" i="1" l="1"/>
  <c r="P145" i="1" s="1"/>
  <c r="Q145" i="1" s="1"/>
  <c r="L146" i="1" l="1"/>
  <c r="N146" i="1"/>
  <c r="O146" i="1" l="1"/>
  <c r="P146" i="1" s="1"/>
  <c r="Q146" i="1" s="1"/>
  <c r="L147" i="1" l="1"/>
  <c r="N147" i="1"/>
  <c r="O147" i="1" l="1"/>
  <c r="P147" i="1" s="1"/>
  <c r="Q147" i="1" s="1"/>
  <c r="L148" i="1" l="1"/>
  <c r="N148" i="1"/>
  <c r="O148" i="1" l="1"/>
  <c r="P148" i="1" s="1"/>
  <c r="Q148" i="1" s="1"/>
  <c r="L149" i="1" l="1"/>
  <c r="N149" i="1"/>
  <c r="O149" i="1" l="1"/>
  <c r="P149" i="1" s="1"/>
  <c r="Q149" i="1" s="1"/>
  <c r="L150" i="1" l="1"/>
  <c r="N150" i="1"/>
  <c r="O150" i="1" l="1"/>
  <c r="P150" i="1" s="1"/>
  <c r="Q150" i="1" s="1"/>
  <c r="L151" i="1" l="1"/>
  <c r="N151" i="1"/>
  <c r="O151" i="1" l="1"/>
  <c r="P151" i="1" s="1"/>
  <c r="Q151" i="1" s="1"/>
  <c r="L152" i="1" l="1"/>
  <c r="N152" i="1"/>
  <c r="O152" i="1" l="1"/>
  <c r="P152" i="1" s="1"/>
  <c r="Q152" i="1" s="1"/>
  <c r="L153" i="1" l="1"/>
  <c r="N153" i="1"/>
  <c r="O153" i="1" l="1"/>
  <c r="P153" i="1" s="1"/>
  <c r="Q153" i="1" s="1"/>
  <c r="L154" i="1" l="1"/>
  <c r="N154" i="1"/>
  <c r="O154" i="1" l="1"/>
  <c r="P154" i="1" s="1"/>
  <c r="Q154" i="1" s="1"/>
  <c r="L155" i="1"/>
  <c r="N155" i="1"/>
  <c r="O155" i="1" l="1"/>
  <c r="P155" i="1" s="1"/>
  <c r="Q155" i="1" s="1"/>
  <c r="L156" i="1" l="1"/>
  <c r="N156" i="1"/>
  <c r="O156" i="1" l="1"/>
  <c r="P156" i="1" s="1"/>
  <c r="Q156" i="1" s="1"/>
  <c r="L157" i="1" l="1"/>
  <c r="N157" i="1"/>
  <c r="O157" i="1" l="1"/>
  <c r="P157" i="1" s="1"/>
  <c r="Q157" i="1" s="1"/>
  <c r="L158" i="1" l="1"/>
  <c r="N158" i="1"/>
  <c r="O158" i="1" l="1"/>
  <c r="P158" i="1" s="1"/>
  <c r="Q158" i="1" s="1"/>
  <c r="L159" i="1" l="1"/>
  <c r="N159" i="1"/>
  <c r="O159" i="1" l="1"/>
  <c r="P159" i="1" s="1"/>
  <c r="Q159" i="1" s="1"/>
  <c r="L160" i="1" l="1"/>
  <c r="N160" i="1"/>
  <c r="O160" i="1" l="1"/>
  <c r="P160" i="1" s="1"/>
  <c r="Q160" i="1" s="1"/>
  <c r="L161" i="1" l="1"/>
  <c r="N161" i="1"/>
  <c r="O161" i="1" l="1"/>
  <c r="P161" i="1" s="1"/>
  <c r="Q161" i="1" s="1"/>
  <c r="L162" i="1" l="1"/>
  <c r="N162" i="1"/>
  <c r="O162" i="1" l="1"/>
  <c r="P162" i="1" s="1"/>
  <c r="Q162" i="1" s="1"/>
  <c r="L163" i="1" l="1"/>
  <c r="N163" i="1"/>
  <c r="O163" i="1" l="1"/>
  <c r="P163" i="1" s="1"/>
  <c r="Q163" i="1" s="1"/>
  <c r="L164" i="1" l="1"/>
  <c r="N164" i="1"/>
  <c r="O164" i="1" l="1"/>
  <c r="P164" i="1" s="1"/>
  <c r="Q164" i="1" s="1"/>
  <c r="L165" i="1" l="1"/>
  <c r="N165" i="1"/>
  <c r="O165" i="1" l="1"/>
  <c r="P165" i="1" s="1"/>
  <c r="Q165" i="1" s="1"/>
  <c r="L166" i="1" l="1"/>
  <c r="N166" i="1"/>
  <c r="O166" i="1" l="1"/>
  <c r="P166" i="1" s="1"/>
  <c r="Q166" i="1" s="1"/>
  <c r="L167" i="1" l="1"/>
  <c r="N167" i="1"/>
  <c r="O167" i="1" l="1"/>
  <c r="P167" i="1" s="1"/>
  <c r="Q167" i="1" s="1"/>
  <c r="L168" i="1" l="1"/>
  <c r="N168" i="1"/>
  <c r="O168" i="1" l="1"/>
  <c r="P168" i="1" s="1"/>
  <c r="Q168" i="1" s="1"/>
  <c r="L169" i="1" l="1"/>
  <c r="N169" i="1"/>
  <c r="O169" i="1" l="1"/>
  <c r="P169" i="1" s="1"/>
  <c r="Q169" i="1" s="1"/>
  <c r="L170" i="1" l="1"/>
  <c r="N170" i="1"/>
  <c r="O170" i="1" l="1"/>
  <c r="P170" i="1" s="1"/>
  <c r="Q170" i="1" s="1"/>
  <c r="L171" i="1" l="1"/>
  <c r="N171" i="1"/>
  <c r="O171" i="1" l="1"/>
  <c r="P171" i="1" s="1"/>
  <c r="Q171" i="1" s="1"/>
  <c r="L172" i="1" l="1"/>
  <c r="N172" i="1"/>
  <c r="O172" i="1" l="1"/>
  <c r="P172" i="1" s="1"/>
  <c r="Q172" i="1" s="1"/>
  <c r="L173" i="1" l="1"/>
  <c r="N173" i="1"/>
  <c r="O173" i="1" l="1"/>
  <c r="P173" i="1" s="1"/>
  <c r="Q173" i="1" s="1"/>
  <c r="L174" i="1" l="1"/>
  <c r="N174" i="1"/>
  <c r="O174" i="1" l="1"/>
  <c r="P174" i="1" s="1"/>
  <c r="Q174" i="1" s="1"/>
  <c r="L175" i="1" l="1"/>
  <c r="N175" i="1"/>
  <c r="O175" i="1" l="1"/>
  <c r="P175" i="1" s="1"/>
  <c r="Q175" i="1" s="1"/>
  <c r="L176" i="1" l="1"/>
  <c r="N176" i="1"/>
  <c r="O176" i="1" l="1"/>
  <c r="P176" i="1" s="1"/>
  <c r="Q176" i="1" s="1"/>
  <c r="L177" i="1" l="1"/>
  <c r="N177" i="1"/>
  <c r="O177" i="1" l="1"/>
  <c r="P177" i="1" s="1"/>
  <c r="Q177" i="1" s="1"/>
  <c r="L178" i="1" l="1"/>
  <c r="N178" i="1"/>
  <c r="O178" i="1" l="1"/>
  <c r="P178" i="1" s="1"/>
  <c r="Q178" i="1" s="1"/>
  <c r="L179" i="1" l="1"/>
  <c r="N179" i="1"/>
  <c r="O179" i="1" l="1"/>
  <c r="P179" i="1" s="1"/>
  <c r="Q179" i="1" s="1"/>
  <c r="L180" i="1" l="1"/>
  <c r="N180" i="1"/>
  <c r="O180" i="1" l="1"/>
  <c r="P180" i="1" s="1"/>
  <c r="Q180" i="1" s="1"/>
  <c r="L181" i="1" l="1"/>
  <c r="N181" i="1"/>
  <c r="O181" i="1" l="1"/>
  <c r="P181" i="1" s="1"/>
  <c r="Q181" i="1" s="1"/>
  <c r="L182" i="1" l="1"/>
  <c r="N182" i="1"/>
  <c r="O182" i="1" l="1"/>
  <c r="P182" i="1" s="1"/>
  <c r="Q182" i="1" s="1"/>
  <c r="L183" i="1" l="1"/>
  <c r="N183" i="1"/>
  <c r="O183" i="1" l="1"/>
  <c r="P183" i="1" s="1"/>
  <c r="Q183" i="1" s="1"/>
  <c r="L184" i="1" l="1"/>
  <c r="N184" i="1"/>
  <c r="O184" i="1" l="1"/>
  <c r="P184" i="1" s="1"/>
  <c r="Q184" i="1" s="1"/>
  <c r="L185" i="1" l="1"/>
  <c r="N185" i="1"/>
  <c r="O185" i="1" l="1"/>
  <c r="P185" i="1" s="1"/>
  <c r="Q185" i="1" s="1"/>
  <c r="L186" i="1" l="1"/>
  <c r="N186" i="1"/>
  <c r="O186" i="1" l="1"/>
  <c r="P186" i="1" s="1"/>
  <c r="Q186" i="1" s="1"/>
  <c r="L187" i="1" l="1"/>
  <c r="N187" i="1"/>
  <c r="O187" i="1" l="1"/>
  <c r="P187" i="1" s="1"/>
  <c r="Q187" i="1" s="1"/>
  <c r="L188" i="1" l="1"/>
  <c r="N188" i="1"/>
  <c r="O188" i="1" l="1"/>
  <c r="P188" i="1" s="1"/>
  <c r="Q188" i="1" s="1"/>
  <c r="L189" i="1" l="1"/>
  <c r="N189" i="1"/>
  <c r="O189" i="1" l="1"/>
  <c r="P189" i="1" s="1"/>
  <c r="Q189" i="1" s="1"/>
  <c r="L190" i="1" l="1"/>
  <c r="N190" i="1"/>
  <c r="O190" i="1" l="1"/>
  <c r="P190" i="1" s="1"/>
  <c r="Q190" i="1" s="1"/>
  <c r="L191" i="1" l="1"/>
  <c r="N191" i="1"/>
  <c r="O191" i="1" l="1"/>
  <c r="P191" i="1" s="1"/>
  <c r="Q191" i="1" s="1"/>
  <c r="L192" i="1" l="1"/>
  <c r="N192" i="1"/>
  <c r="O192" i="1" l="1"/>
  <c r="P192" i="1" s="1"/>
  <c r="Q192" i="1" s="1"/>
  <c r="L193" i="1" l="1"/>
  <c r="N193" i="1"/>
  <c r="O193" i="1" l="1"/>
  <c r="P193" i="1" s="1"/>
  <c r="Q193" i="1" s="1"/>
  <c r="L194" i="1" l="1"/>
  <c r="N194" i="1"/>
  <c r="O194" i="1" l="1"/>
  <c r="P194" i="1" s="1"/>
  <c r="Q194" i="1" s="1"/>
  <c r="L195" i="1" l="1"/>
  <c r="N195" i="1"/>
  <c r="O195" i="1" l="1"/>
  <c r="P195" i="1" s="1"/>
  <c r="Q195" i="1" s="1"/>
  <c r="L196" i="1" l="1"/>
  <c r="N196" i="1"/>
  <c r="O196" i="1" l="1"/>
  <c r="P196" i="1" s="1"/>
  <c r="Q196" i="1" s="1"/>
  <c r="L197" i="1" l="1"/>
  <c r="N197" i="1"/>
  <c r="O197" i="1" l="1"/>
  <c r="P197" i="1" s="1"/>
  <c r="Q197" i="1" s="1"/>
  <c r="L198" i="1" l="1"/>
  <c r="N198" i="1"/>
  <c r="O198" i="1" l="1"/>
  <c r="P198" i="1" s="1"/>
  <c r="Q198" i="1" s="1"/>
  <c r="L199" i="1" l="1"/>
  <c r="N199" i="1"/>
  <c r="O199" i="1" l="1"/>
  <c r="P199" i="1" s="1"/>
  <c r="Q199" i="1" s="1"/>
  <c r="L200" i="1" l="1"/>
  <c r="N200" i="1"/>
  <c r="O200" i="1" l="1"/>
  <c r="P200" i="1" s="1"/>
  <c r="Q200" i="1" s="1"/>
  <c r="L201" i="1" l="1"/>
  <c r="N201" i="1"/>
  <c r="O201" i="1" l="1"/>
  <c r="P201" i="1" s="1"/>
  <c r="Q201" i="1" s="1"/>
  <c r="L202" i="1" l="1"/>
  <c r="N202" i="1"/>
  <c r="O202" i="1" l="1"/>
  <c r="P202" i="1" s="1"/>
  <c r="Q202" i="1" s="1"/>
  <c r="L203" i="1" l="1"/>
  <c r="N203" i="1"/>
  <c r="O203" i="1" l="1"/>
  <c r="P203" i="1" s="1"/>
  <c r="Q203" i="1" s="1"/>
  <c r="L204" i="1" l="1"/>
  <c r="N204" i="1"/>
  <c r="O204" i="1" l="1"/>
  <c r="P204" i="1" s="1"/>
  <c r="Q204" i="1" s="1"/>
  <c r="L205" i="1" l="1"/>
  <c r="N205" i="1"/>
  <c r="O205" i="1" l="1"/>
  <c r="P205" i="1" s="1"/>
  <c r="Q205" i="1" s="1"/>
  <c r="L206" i="1" l="1"/>
  <c r="N206" i="1"/>
  <c r="O206" i="1" l="1"/>
  <c r="P206" i="1" s="1"/>
  <c r="Q206" i="1" s="1"/>
  <c r="L207" i="1" l="1"/>
  <c r="N207" i="1"/>
  <c r="O207" i="1" l="1"/>
  <c r="P207" i="1" s="1"/>
  <c r="Q207" i="1" s="1"/>
  <c r="L208" i="1" l="1"/>
  <c r="N208" i="1"/>
  <c r="O208" i="1" l="1"/>
  <c r="P208" i="1" s="1"/>
  <c r="Q208" i="1" s="1"/>
  <c r="L209" i="1" l="1"/>
  <c r="N209" i="1"/>
  <c r="O209" i="1" l="1"/>
  <c r="P209" i="1" s="1"/>
  <c r="Q209" i="1" s="1"/>
  <c r="L210" i="1" l="1"/>
  <c r="N210" i="1"/>
  <c r="O210" i="1" l="1"/>
  <c r="P210" i="1" s="1"/>
  <c r="Q210" i="1" s="1"/>
  <c r="L211" i="1" l="1"/>
  <c r="N211" i="1"/>
  <c r="O211" i="1" l="1"/>
  <c r="P211" i="1" s="1"/>
  <c r="Q211" i="1" s="1"/>
  <c r="L212" i="1" l="1"/>
  <c r="N212" i="1"/>
  <c r="O212" i="1" l="1"/>
  <c r="P212" i="1" s="1"/>
  <c r="Q212" i="1" s="1"/>
  <c r="L213" i="1" l="1"/>
  <c r="N213" i="1"/>
  <c r="O213" i="1" l="1"/>
  <c r="P213" i="1" s="1"/>
  <c r="Q213" i="1" s="1"/>
  <c r="L214" i="1" l="1"/>
  <c r="N214" i="1"/>
  <c r="O214" i="1" l="1"/>
  <c r="P214" i="1" s="1"/>
  <c r="Q214" i="1" s="1"/>
  <c r="L215" i="1" l="1"/>
  <c r="N215" i="1"/>
  <c r="O215" i="1" l="1"/>
  <c r="P215" i="1" s="1"/>
  <c r="Q215" i="1" s="1"/>
  <c r="L216" i="1" l="1"/>
  <c r="N216" i="1"/>
  <c r="O216" i="1" l="1"/>
  <c r="P216" i="1" s="1"/>
  <c r="Q216" i="1" s="1"/>
  <c r="L217" i="1" l="1"/>
  <c r="N217" i="1"/>
  <c r="O217" i="1" l="1"/>
  <c r="P217" i="1" s="1"/>
  <c r="Q217" i="1" s="1"/>
  <c r="L218" i="1" l="1"/>
  <c r="N218" i="1"/>
  <c r="O218" i="1" l="1"/>
  <c r="P218" i="1" s="1"/>
  <c r="Q218" i="1" s="1"/>
  <c r="L219" i="1" l="1"/>
  <c r="N219" i="1"/>
  <c r="O219" i="1" l="1"/>
  <c r="P219" i="1" s="1"/>
  <c r="Q219" i="1" s="1"/>
  <c r="L220" i="1" l="1"/>
  <c r="N220" i="1"/>
  <c r="O220" i="1" l="1"/>
  <c r="P220" i="1" s="1"/>
  <c r="Q220" i="1" s="1"/>
  <c r="L221" i="1" l="1"/>
  <c r="N221" i="1"/>
  <c r="O221" i="1" l="1"/>
  <c r="P221" i="1" s="1"/>
  <c r="Q221" i="1" s="1"/>
  <c r="L222" i="1" l="1"/>
  <c r="N222" i="1"/>
  <c r="O222" i="1" l="1"/>
  <c r="P222" i="1" s="1"/>
  <c r="Q222" i="1" s="1"/>
  <c r="L223" i="1" l="1"/>
  <c r="N223" i="1"/>
  <c r="O223" i="1" l="1"/>
  <c r="P223" i="1" s="1"/>
  <c r="Q223" i="1" s="1"/>
  <c r="L224" i="1" l="1"/>
  <c r="N224" i="1"/>
  <c r="O224" i="1" l="1"/>
  <c r="P224" i="1" s="1"/>
  <c r="Q224" i="1" s="1"/>
  <c r="L225" i="1" l="1"/>
  <c r="N225" i="1"/>
  <c r="O225" i="1" l="1"/>
  <c r="P225" i="1" s="1"/>
  <c r="Q225" i="1" s="1"/>
  <c r="L226" i="1" l="1"/>
  <c r="N226" i="1"/>
  <c r="O226" i="1" l="1"/>
  <c r="P226" i="1" s="1"/>
  <c r="Q226" i="1" s="1"/>
  <c r="L227" i="1" l="1"/>
  <c r="N227" i="1"/>
  <c r="O227" i="1" l="1"/>
  <c r="P227" i="1" s="1"/>
  <c r="Q227" i="1" s="1"/>
  <c r="L228" i="1" l="1"/>
  <c r="N228" i="1"/>
  <c r="O228" i="1" l="1"/>
  <c r="P228" i="1" s="1"/>
  <c r="Q228" i="1" s="1"/>
  <c r="L229" i="1" l="1"/>
  <c r="N229" i="1"/>
  <c r="O229" i="1" l="1"/>
  <c r="P229" i="1" s="1"/>
  <c r="Q229" i="1" s="1"/>
  <c r="L230" i="1" l="1"/>
  <c r="N230" i="1"/>
  <c r="O230" i="1" l="1"/>
  <c r="P230" i="1" s="1"/>
  <c r="Q230" i="1" s="1"/>
  <c r="L231" i="1" l="1"/>
  <c r="N231" i="1"/>
  <c r="O231" i="1" l="1"/>
  <c r="P231" i="1" s="1"/>
  <c r="Q231" i="1" s="1"/>
  <c r="L232" i="1" l="1"/>
  <c r="N232" i="1"/>
  <c r="O232" i="1" l="1"/>
  <c r="P232" i="1" s="1"/>
  <c r="Q232" i="1" s="1"/>
  <c r="L233" i="1" l="1"/>
  <c r="N233" i="1"/>
  <c r="O233" i="1" l="1"/>
  <c r="P233" i="1" s="1"/>
  <c r="Q233" i="1" s="1"/>
  <c r="L234" i="1" l="1"/>
  <c r="N234" i="1"/>
  <c r="O234" i="1" l="1"/>
  <c r="P234" i="1" s="1"/>
  <c r="Q234" i="1" s="1"/>
  <c r="L235" i="1" l="1"/>
  <c r="N235" i="1"/>
  <c r="O235" i="1" l="1"/>
  <c r="P235" i="1" s="1"/>
  <c r="Q235" i="1" s="1"/>
  <c r="L236" i="1" l="1"/>
  <c r="N236" i="1"/>
  <c r="O236" i="1" l="1"/>
  <c r="P236" i="1" s="1"/>
  <c r="Q236" i="1" s="1"/>
  <c r="L237" i="1" l="1"/>
  <c r="N237" i="1"/>
  <c r="O237" i="1" l="1"/>
  <c r="P237" i="1" s="1"/>
  <c r="Q237" i="1" s="1"/>
  <c r="L238" i="1" l="1"/>
  <c r="N238" i="1"/>
  <c r="O238" i="1" l="1"/>
  <c r="P238" i="1" s="1"/>
  <c r="Q238" i="1" s="1"/>
  <c r="L239" i="1" l="1"/>
  <c r="N239" i="1"/>
  <c r="O239" i="1" l="1"/>
  <c r="P239" i="1" s="1"/>
  <c r="Q239" i="1" s="1"/>
  <c r="L240" i="1" l="1"/>
  <c r="N240" i="1"/>
  <c r="O240" i="1" l="1"/>
  <c r="P240" i="1" s="1"/>
  <c r="Q240" i="1" s="1"/>
  <c r="L241" i="1" l="1"/>
  <c r="N241" i="1"/>
  <c r="O241" i="1" l="1"/>
  <c r="P241" i="1" s="1"/>
  <c r="Q241" i="1" s="1"/>
  <c r="L242" i="1" l="1"/>
  <c r="N242" i="1"/>
  <c r="O242" i="1" l="1"/>
  <c r="P242" i="1" s="1"/>
  <c r="Q242" i="1" s="1"/>
  <c r="L243" i="1" l="1"/>
  <c r="N243" i="1"/>
  <c r="O243" i="1" l="1"/>
  <c r="P243" i="1" s="1"/>
  <c r="Q243" i="1" s="1"/>
  <c r="L244" i="1" l="1"/>
  <c r="N244" i="1"/>
  <c r="O244" i="1" l="1"/>
  <c r="P244" i="1" s="1"/>
  <c r="Q244" i="1" s="1"/>
  <c r="L245" i="1" l="1"/>
  <c r="N245" i="1"/>
  <c r="O245" i="1" l="1"/>
  <c r="P245" i="1" s="1"/>
  <c r="Q245" i="1" s="1"/>
  <c r="L246" i="1" l="1"/>
  <c r="N246" i="1"/>
  <c r="O246" i="1" l="1"/>
  <c r="P246" i="1" s="1"/>
  <c r="Q246" i="1" s="1"/>
  <c r="L247" i="1" l="1"/>
  <c r="N247" i="1"/>
  <c r="O247" i="1" l="1"/>
  <c r="P247" i="1" s="1"/>
  <c r="Q247" i="1" s="1"/>
  <c r="L248" i="1" l="1"/>
  <c r="N248" i="1"/>
  <c r="O248" i="1" l="1"/>
  <c r="P248" i="1" s="1"/>
  <c r="Q248" i="1" s="1"/>
  <c r="L249" i="1" l="1"/>
  <c r="N249" i="1"/>
  <c r="O249" i="1" l="1"/>
  <c r="P249" i="1" s="1"/>
  <c r="Q249" i="1" s="1"/>
  <c r="L250" i="1" l="1"/>
  <c r="N250" i="1"/>
  <c r="O250" i="1" l="1"/>
  <c r="P250" i="1" s="1"/>
  <c r="Q250" i="1" s="1"/>
  <c r="L251" i="1" l="1"/>
  <c r="N251" i="1"/>
  <c r="O251" i="1" l="1"/>
  <c r="P251" i="1" s="1"/>
  <c r="Q251" i="1" s="1"/>
  <c r="L252" i="1" l="1"/>
  <c r="N252" i="1"/>
  <c r="O252" i="1" l="1"/>
  <c r="P252" i="1" s="1"/>
  <c r="Q252" i="1" s="1"/>
  <c r="L253" i="1" l="1"/>
  <c r="N253" i="1"/>
  <c r="O253" i="1" l="1"/>
  <c r="P253" i="1" s="1"/>
  <c r="Q253" i="1" s="1"/>
  <c r="L254" i="1" l="1"/>
  <c r="N254" i="1"/>
  <c r="O254" i="1" l="1"/>
  <c r="P254" i="1" s="1"/>
  <c r="Q254" i="1" s="1"/>
  <c r="L255" i="1" l="1"/>
  <c r="N255" i="1"/>
  <c r="O255" i="1" l="1"/>
  <c r="P255" i="1" s="1"/>
  <c r="Q255" i="1" s="1"/>
  <c r="L256" i="1" l="1"/>
  <c r="N256" i="1"/>
  <c r="O256" i="1" l="1"/>
  <c r="P256" i="1" s="1"/>
  <c r="Q256" i="1" s="1"/>
  <c r="L257" i="1" l="1"/>
  <c r="N257" i="1"/>
  <c r="O257" i="1" l="1"/>
  <c r="P257" i="1" s="1"/>
  <c r="Q257" i="1" s="1"/>
  <c r="L258" i="1" l="1"/>
  <c r="N258" i="1"/>
  <c r="O258" i="1" l="1"/>
  <c r="P258" i="1" s="1"/>
  <c r="Q258" i="1" s="1"/>
  <c r="L259" i="1" l="1"/>
  <c r="N259" i="1"/>
  <c r="O259" i="1" l="1"/>
  <c r="P259" i="1" s="1"/>
  <c r="Q259" i="1" s="1"/>
  <c r="L260" i="1" l="1"/>
  <c r="N260" i="1"/>
  <c r="O260" i="1" l="1"/>
  <c r="P260" i="1" s="1"/>
  <c r="Q260" i="1" s="1"/>
  <c r="L261" i="1" l="1"/>
  <c r="N261" i="1"/>
  <c r="O261" i="1" l="1"/>
  <c r="P261" i="1" s="1"/>
  <c r="Q261" i="1" s="1"/>
  <c r="L262" i="1" l="1"/>
  <c r="N262" i="1"/>
  <c r="O262" i="1" l="1"/>
  <c r="P262" i="1" s="1"/>
  <c r="Q262" i="1" s="1"/>
  <c r="L263" i="1" l="1"/>
  <c r="N263" i="1"/>
  <c r="O263" i="1" l="1"/>
  <c r="P263" i="1" s="1"/>
  <c r="Q263" i="1" s="1"/>
  <c r="L264" i="1" l="1"/>
  <c r="N264" i="1"/>
  <c r="O264" i="1" l="1"/>
  <c r="P264" i="1" s="1"/>
  <c r="Q264" i="1" s="1"/>
  <c r="L265" i="1" l="1"/>
  <c r="N265" i="1"/>
  <c r="O265" i="1" l="1"/>
  <c r="P265" i="1" s="1"/>
  <c r="Q265" i="1" s="1"/>
  <c r="L266" i="1" l="1"/>
  <c r="N266" i="1"/>
  <c r="O266" i="1" l="1"/>
  <c r="P266" i="1" s="1"/>
  <c r="Q266" i="1" s="1"/>
  <c r="L267" i="1" l="1"/>
  <c r="N267" i="1"/>
  <c r="O267" i="1" l="1"/>
  <c r="P267" i="1" s="1"/>
  <c r="Q267" i="1" s="1"/>
  <c r="L268" i="1" l="1"/>
  <c r="N268" i="1"/>
  <c r="O268" i="1" l="1"/>
  <c r="P268" i="1" s="1"/>
  <c r="Q268" i="1" s="1"/>
  <c r="L269" i="1" l="1"/>
  <c r="N269" i="1"/>
  <c r="O269" i="1" l="1"/>
  <c r="P269" i="1" s="1"/>
  <c r="Q269" i="1" s="1"/>
  <c r="L270" i="1" l="1"/>
  <c r="N270" i="1"/>
  <c r="O270" i="1" l="1"/>
  <c r="P270" i="1" s="1"/>
  <c r="Q270" i="1" s="1"/>
  <c r="L271" i="1" l="1"/>
  <c r="N271" i="1"/>
  <c r="O271" i="1" l="1"/>
  <c r="P271" i="1" s="1"/>
  <c r="Q271" i="1" s="1"/>
  <c r="L272" i="1" l="1"/>
  <c r="N272" i="1"/>
  <c r="O272" i="1" l="1"/>
  <c r="P272" i="1" s="1"/>
  <c r="Q272" i="1" s="1"/>
  <c r="L273" i="1" l="1"/>
  <c r="N273" i="1"/>
  <c r="O273" i="1" l="1"/>
  <c r="P273" i="1" s="1"/>
  <c r="Q273" i="1" s="1"/>
  <c r="L274" i="1" l="1"/>
  <c r="N274" i="1"/>
  <c r="O274" i="1" l="1"/>
  <c r="P274" i="1" s="1"/>
  <c r="Q274" i="1" s="1"/>
  <c r="L275" i="1" l="1"/>
  <c r="N275" i="1"/>
  <c r="O275" i="1" l="1"/>
  <c r="P275" i="1" s="1"/>
  <c r="Q275" i="1" s="1"/>
  <c r="L276" i="1" l="1"/>
  <c r="N276" i="1"/>
  <c r="O276" i="1" l="1"/>
  <c r="P276" i="1" s="1"/>
  <c r="Q276" i="1" s="1"/>
  <c r="L277" i="1" l="1"/>
  <c r="N277" i="1"/>
  <c r="O277" i="1" l="1"/>
  <c r="P277" i="1" s="1"/>
  <c r="Q277" i="1" s="1"/>
  <c r="L278" i="1" l="1"/>
  <c r="N278" i="1"/>
  <c r="O278" i="1" l="1"/>
  <c r="P278" i="1" s="1"/>
  <c r="Q278" i="1" s="1"/>
  <c r="L279" i="1" l="1"/>
  <c r="N279" i="1"/>
  <c r="O279" i="1" l="1"/>
  <c r="P279" i="1" s="1"/>
  <c r="Q279" i="1" s="1"/>
  <c r="L280" i="1" l="1"/>
  <c r="N280" i="1"/>
  <c r="O280" i="1" l="1"/>
  <c r="P280" i="1" s="1"/>
  <c r="Q280" i="1" s="1"/>
  <c r="L281" i="1" l="1"/>
  <c r="N281" i="1"/>
  <c r="O281" i="1" l="1"/>
  <c r="P281" i="1" s="1"/>
  <c r="Q281" i="1" s="1"/>
  <c r="L282" i="1" l="1"/>
  <c r="N282" i="1"/>
  <c r="O282" i="1" l="1"/>
  <c r="P282" i="1" s="1"/>
  <c r="Q282" i="1" s="1"/>
  <c r="L283" i="1" l="1"/>
  <c r="N283" i="1"/>
  <c r="O283" i="1" l="1"/>
  <c r="P283" i="1" s="1"/>
  <c r="Q283" i="1" s="1"/>
  <c r="L284" i="1" l="1"/>
  <c r="N284" i="1"/>
  <c r="O284" i="1" l="1"/>
  <c r="P284" i="1" s="1"/>
  <c r="Q284" i="1" s="1"/>
  <c r="L285" i="1" l="1"/>
  <c r="N285" i="1"/>
  <c r="O285" i="1" l="1"/>
  <c r="P285" i="1" s="1"/>
  <c r="Q285" i="1" s="1"/>
  <c r="L286" i="1" l="1"/>
  <c r="N286" i="1"/>
  <c r="O286" i="1" l="1"/>
  <c r="P286" i="1" s="1"/>
  <c r="Q286" i="1" s="1"/>
  <c r="L287" i="1" l="1"/>
  <c r="N287" i="1"/>
  <c r="O287" i="1" l="1"/>
  <c r="P287" i="1" s="1"/>
  <c r="Q287" i="1" s="1"/>
  <c r="L288" i="1" l="1"/>
  <c r="N288" i="1"/>
  <c r="O288" i="1" l="1"/>
  <c r="P288" i="1" s="1"/>
  <c r="Q288" i="1" s="1"/>
  <c r="L289" i="1" l="1"/>
  <c r="N289" i="1"/>
  <c r="O289" i="1" l="1"/>
  <c r="P289" i="1" s="1"/>
  <c r="Q289" i="1" s="1"/>
  <c r="L290" i="1" l="1"/>
  <c r="N290" i="1"/>
  <c r="O290" i="1" l="1"/>
  <c r="P290" i="1" s="1"/>
  <c r="Q290" i="1" s="1"/>
  <c r="L291" i="1" l="1"/>
  <c r="N291" i="1"/>
  <c r="O291" i="1" l="1"/>
  <c r="P291" i="1" s="1"/>
  <c r="Q291" i="1" s="1"/>
  <c r="L292" i="1" l="1"/>
  <c r="N292" i="1"/>
  <c r="O292" i="1" l="1"/>
  <c r="P292" i="1" s="1"/>
  <c r="Q292" i="1" s="1"/>
  <c r="L293" i="1" l="1"/>
  <c r="N293" i="1"/>
  <c r="O293" i="1" l="1"/>
  <c r="P293" i="1" s="1"/>
  <c r="Q293" i="1" s="1"/>
  <c r="L294" i="1" l="1"/>
  <c r="N294" i="1"/>
  <c r="O294" i="1" l="1"/>
  <c r="P294" i="1" s="1"/>
  <c r="Q294" i="1" s="1"/>
  <c r="L295" i="1" l="1"/>
  <c r="N295" i="1"/>
  <c r="O295" i="1" l="1"/>
  <c r="P295" i="1" s="1"/>
  <c r="Q295" i="1" s="1"/>
  <c r="L296" i="1" l="1"/>
  <c r="N296" i="1"/>
  <c r="O296" i="1" l="1"/>
  <c r="P296" i="1" s="1"/>
  <c r="Q296" i="1" s="1"/>
  <c r="L297" i="1" l="1"/>
  <c r="N297" i="1"/>
  <c r="O297" i="1" l="1"/>
  <c r="P297" i="1" s="1"/>
  <c r="Q297" i="1" s="1"/>
  <c r="L298" i="1" l="1"/>
  <c r="N298" i="1"/>
  <c r="O298" i="1" l="1"/>
  <c r="P298" i="1" s="1"/>
  <c r="Q298" i="1" s="1"/>
  <c r="L299" i="1" l="1"/>
  <c r="N299" i="1"/>
  <c r="O299" i="1" l="1"/>
  <c r="P299" i="1" s="1"/>
  <c r="Q299" i="1" s="1"/>
  <c r="L300" i="1" l="1"/>
  <c r="N300" i="1"/>
  <c r="O300" i="1" l="1"/>
  <c r="P300" i="1" s="1"/>
  <c r="Q300" i="1" s="1"/>
  <c r="L301" i="1" l="1"/>
  <c r="N301" i="1"/>
  <c r="O301" i="1" l="1"/>
  <c r="P301" i="1" s="1"/>
  <c r="Q301" i="1" s="1"/>
  <c r="L302" i="1" l="1"/>
  <c r="N302" i="1"/>
  <c r="O302" i="1" l="1"/>
  <c r="P302" i="1" s="1"/>
  <c r="Q302" i="1" s="1"/>
  <c r="L303" i="1" l="1"/>
  <c r="N303" i="1"/>
  <c r="O303" i="1" l="1"/>
  <c r="P303" i="1" s="1"/>
  <c r="Q303" i="1" s="1"/>
  <c r="L304" i="1" l="1"/>
  <c r="N304" i="1"/>
  <c r="O304" i="1" l="1"/>
  <c r="P304" i="1" s="1"/>
  <c r="Q304" i="1" s="1"/>
  <c r="L305" i="1" l="1"/>
  <c r="N305" i="1"/>
  <c r="O305" i="1" l="1"/>
  <c r="P305" i="1" s="1"/>
  <c r="Q305" i="1" s="1"/>
  <c r="L306" i="1" l="1"/>
  <c r="N306" i="1"/>
  <c r="O306" i="1" l="1"/>
  <c r="P306" i="1" s="1"/>
  <c r="Q306" i="1" s="1"/>
  <c r="L307" i="1" l="1"/>
  <c r="N307" i="1"/>
  <c r="O307" i="1" l="1"/>
  <c r="P307" i="1" s="1"/>
  <c r="Q307" i="1" s="1"/>
  <c r="L308" i="1" l="1"/>
  <c r="N308" i="1"/>
  <c r="O308" i="1" l="1"/>
  <c r="P308" i="1" s="1"/>
  <c r="Q308" i="1" s="1"/>
  <c r="L309" i="1" l="1"/>
  <c r="N309" i="1"/>
  <c r="O309" i="1" l="1"/>
  <c r="P309" i="1" s="1"/>
  <c r="Q309" i="1" s="1"/>
  <c r="L310" i="1" l="1"/>
  <c r="N310" i="1"/>
  <c r="O310" i="1" l="1"/>
  <c r="P310" i="1" s="1"/>
  <c r="Q310" i="1" s="1"/>
  <c r="L311" i="1" l="1"/>
  <c r="N311" i="1"/>
  <c r="O311" i="1" l="1"/>
  <c r="P311" i="1" s="1"/>
  <c r="Q311" i="1" s="1"/>
  <c r="L312" i="1" l="1"/>
  <c r="N312" i="1"/>
  <c r="O312" i="1" l="1"/>
  <c r="P312" i="1" s="1"/>
  <c r="Q312" i="1" s="1"/>
  <c r="L313" i="1" l="1"/>
  <c r="N313" i="1"/>
  <c r="O313" i="1" l="1"/>
  <c r="P313" i="1" s="1"/>
  <c r="Q313" i="1" s="1"/>
  <c r="L314" i="1" l="1"/>
  <c r="N314" i="1"/>
  <c r="O314" i="1" l="1"/>
  <c r="P314" i="1" s="1"/>
  <c r="Q314" i="1" s="1"/>
  <c r="L315" i="1" l="1"/>
  <c r="N315" i="1"/>
  <c r="O315" i="1" l="1"/>
  <c r="P315" i="1" s="1"/>
  <c r="Q315" i="1" s="1"/>
  <c r="L316" i="1" l="1"/>
  <c r="N316" i="1"/>
  <c r="O316" i="1" l="1"/>
  <c r="P316" i="1" s="1"/>
  <c r="Q316" i="1" s="1"/>
  <c r="L317" i="1" l="1"/>
  <c r="N317" i="1"/>
  <c r="O317" i="1" l="1"/>
  <c r="P317" i="1" s="1"/>
  <c r="Q317" i="1" s="1"/>
  <c r="L318" i="1" l="1"/>
  <c r="N318" i="1"/>
  <c r="O318" i="1" l="1"/>
  <c r="P318" i="1" s="1"/>
  <c r="Q318" i="1" s="1"/>
  <c r="L319" i="1" l="1"/>
  <c r="N319" i="1"/>
  <c r="O319" i="1" l="1"/>
  <c r="P319" i="1" s="1"/>
  <c r="Q319" i="1" s="1"/>
  <c r="L320" i="1" l="1"/>
  <c r="N320" i="1"/>
  <c r="O320" i="1" l="1"/>
  <c r="P320" i="1" s="1"/>
  <c r="Q320" i="1" s="1"/>
  <c r="L321" i="1" l="1"/>
  <c r="N321" i="1"/>
  <c r="O321" i="1" l="1"/>
  <c r="P321" i="1" s="1"/>
  <c r="Q321" i="1" s="1"/>
  <c r="L322" i="1" l="1"/>
  <c r="N322" i="1"/>
  <c r="O322" i="1" l="1"/>
  <c r="P322" i="1" s="1"/>
  <c r="Q322" i="1" s="1"/>
  <c r="L323" i="1" l="1"/>
  <c r="N323" i="1"/>
  <c r="O323" i="1" l="1"/>
  <c r="P323" i="1" s="1"/>
  <c r="Q323" i="1" s="1"/>
  <c r="L324" i="1" l="1"/>
  <c r="N324" i="1"/>
  <c r="O324" i="1" l="1"/>
  <c r="P324" i="1" s="1"/>
  <c r="Q324" i="1" s="1"/>
  <c r="L325" i="1" l="1"/>
  <c r="N325" i="1"/>
  <c r="O325" i="1" l="1"/>
  <c r="P325" i="1" s="1"/>
  <c r="Q325" i="1" s="1"/>
  <c r="L326" i="1" l="1"/>
  <c r="N326" i="1"/>
  <c r="O326" i="1" l="1"/>
  <c r="P326" i="1" s="1"/>
  <c r="Q326" i="1" s="1"/>
  <c r="L327" i="1" l="1"/>
  <c r="N327" i="1"/>
  <c r="O327" i="1" l="1"/>
  <c r="P327" i="1" s="1"/>
  <c r="Q327" i="1" s="1"/>
  <c r="L328" i="1" l="1"/>
  <c r="N328" i="1"/>
  <c r="O328" i="1" l="1"/>
  <c r="P328" i="1" s="1"/>
  <c r="Q328" i="1" s="1"/>
  <c r="L329" i="1" l="1"/>
  <c r="N329" i="1"/>
  <c r="O329" i="1" l="1"/>
  <c r="P329" i="1" s="1"/>
  <c r="Q329" i="1" s="1"/>
  <c r="L330" i="1" l="1"/>
  <c r="N330" i="1"/>
  <c r="O330" i="1" l="1"/>
  <c r="P330" i="1" s="1"/>
  <c r="Q330" i="1" s="1"/>
  <c r="L331" i="1" l="1"/>
  <c r="N331" i="1"/>
  <c r="O331" i="1" l="1"/>
  <c r="P331" i="1" s="1"/>
  <c r="Q331" i="1" s="1"/>
  <c r="L332" i="1" l="1"/>
  <c r="N332" i="1"/>
  <c r="O332" i="1" l="1"/>
  <c r="P332" i="1" s="1"/>
  <c r="Q332" i="1" s="1"/>
  <c r="L333" i="1" l="1"/>
  <c r="N333" i="1"/>
  <c r="O333" i="1" l="1"/>
  <c r="P333" i="1" s="1"/>
  <c r="Q333" i="1" s="1"/>
  <c r="L334" i="1" l="1"/>
  <c r="N334" i="1"/>
  <c r="O334" i="1" l="1"/>
  <c r="P334" i="1" s="1"/>
  <c r="Q334" i="1" s="1"/>
  <c r="L335" i="1" l="1"/>
  <c r="N335" i="1"/>
  <c r="O335" i="1" l="1"/>
  <c r="P335" i="1" s="1"/>
  <c r="Q335" i="1" s="1"/>
  <c r="L336" i="1" l="1"/>
  <c r="N336" i="1"/>
  <c r="O336" i="1" l="1"/>
  <c r="P336" i="1" s="1"/>
  <c r="Q336" i="1" s="1"/>
  <c r="L337" i="1" l="1"/>
  <c r="N337" i="1"/>
  <c r="O337" i="1" l="1"/>
  <c r="P337" i="1" s="1"/>
  <c r="Q337" i="1" s="1"/>
  <c r="L338" i="1" l="1"/>
  <c r="N338" i="1"/>
  <c r="O338" i="1" l="1"/>
  <c r="P338" i="1" s="1"/>
  <c r="Q338" i="1" s="1"/>
  <c r="L339" i="1" l="1"/>
  <c r="N339" i="1"/>
  <c r="O339" i="1" l="1"/>
  <c r="P339" i="1" s="1"/>
  <c r="Q339" i="1" s="1"/>
  <c r="L340" i="1" l="1"/>
  <c r="N340" i="1"/>
  <c r="O340" i="1" l="1"/>
  <c r="P340" i="1" s="1"/>
  <c r="Q340" i="1" s="1"/>
  <c r="L341" i="1" l="1"/>
  <c r="N341" i="1"/>
  <c r="O341" i="1" l="1"/>
  <c r="P341" i="1" s="1"/>
  <c r="Q341" i="1" s="1"/>
  <c r="L342" i="1" l="1"/>
  <c r="N342" i="1"/>
  <c r="O342" i="1" l="1"/>
  <c r="P342" i="1" s="1"/>
  <c r="Q342" i="1" s="1"/>
  <c r="L343" i="1" l="1"/>
  <c r="N343" i="1"/>
  <c r="O343" i="1" l="1"/>
  <c r="P343" i="1" s="1"/>
  <c r="Q343" i="1" s="1"/>
  <c r="L344" i="1" l="1"/>
  <c r="N344" i="1"/>
  <c r="O344" i="1" l="1"/>
  <c r="P344" i="1" s="1"/>
  <c r="Q344" i="1" s="1"/>
  <c r="L345" i="1" l="1"/>
  <c r="N345" i="1"/>
  <c r="O345" i="1" l="1"/>
  <c r="P345" i="1" s="1"/>
  <c r="Q345" i="1" s="1"/>
  <c r="L346" i="1" l="1"/>
  <c r="N346" i="1"/>
  <c r="O346" i="1" l="1"/>
  <c r="P346" i="1" s="1"/>
  <c r="Q346" i="1" s="1"/>
  <c r="L347" i="1" l="1"/>
  <c r="N347" i="1"/>
  <c r="O347" i="1" l="1"/>
  <c r="P347" i="1" s="1"/>
  <c r="Q347" i="1" s="1"/>
  <c r="L348" i="1" l="1"/>
  <c r="N348" i="1"/>
  <c r="O348" i="1" l="1"/>
  <c r="P348" i="1" s="1"/>
  <c r="Q348" i="1" s="1"/>
  <c r="L349" i="1" l="1"/>
  <c r="N349" i="1"/>
  <c r="O349" i="1" l="1"/>
  <c r="P349" i="1" s="1"/>
  <c r="Q349" i="1" s="1"/>
  <c r="L350" i="1" l="1"/>
  <c r="N350" i="1"/>
  <c r="O350" i="1" l="1"/>
  <c r="P350" i="1" s="1"/>
  <c r="Q350" i="1" s="1"/>
  <c r="L351" i="1" l="1"/>
  <c r="N351" i="1"/>
  <c r="O351" i="1" l="1"/>
  <c r="P351" i="1" s="1"/>
  <c r="Q351" i="1" s="1"/>
  <c r="L352" i="1" l="1"/>
  <c r="N352" i="1"/>
  <c r="O352" i="1" l="1"/>
  <c r="P352" i="1" s="1"/>
  <c r="Q352" i="1" s="1"/>
  <c r="L353" i="1" l="1"/>
  <c r="N353" i="1"/>
  <c r="O353" i="1" l="1"/>
  <c r="P353" i="1" s="1"/>
  <c r="Q353" i="1" s="1"/>
  <c r="L354" i="1" l="1"/>
  <c r="N354" i="1"/>
  <c r="O354" i="1" l="1"/>
  <c r="P354" i="1" s="1"/>
  <c r="Q354" i="1" s="1"/>
  <c r="L355" i="1" l="1"/>
  <c r="N355" i="1"/>
  <c r="O355" i="1" l="1"/>
  <c r="P355" i="1" s="1"/>
  <c r="Q355" i="1" s="1"/>
  <c r="L356" i="1" l="1"/>
  <c r="N356" i="1"/>
  <c r="O356" i="1" l="1"/>
  <c r="P356" i="1" s="1"/>
  <c r="Q356" i="1" s="1"/>
  <c r="L357" i="1" l="1"/>
  <c r="N357" i="1"/>
  <c r="O357" i="1" l="1"/>
  <c r="P357" i="1" s="1"/>
  <c r="Q357" i="1" s="1"/>
  <c r="L358" i="1" l="1"/>
  <c r="N358" i="1"/>
  <c r="O358" i="1" l="1"/>
  <c r="P358" i="1" s="1"/>
  <c r="Q358" i="1" s="1"/>
  <c r="L359" i="1" l="1"/>
  <c r="N359" i="1"/>
  <c r="O359" i="1" l="1"/>
  <c r="P359" i="1" s="1"/>
  <c r="Q359" i="1" s="1"/>
  <c r="L360" i="1" l="1"/>
  <c r="N360" i="1"/>
  <c r="O360" i="1" l="1"/>
  <c r="P360" i="1" s="1"/>
  <c r="Q360" i="1" s="1"/>
  <c r="L361" i="1" l="1"/>
  <c r="N361" i="1"/>
  <c r="O361" i="1" l="1"/>
  <c r="P361" i="1" s="1"/>
  <c r="Q361" i="1" s="1"/>
  <c r="L362" i="1" l="1"/>
  <c r="N362" i="1"/>
  <c r="O362" i="1" l="1"/>
  <c r="P362" i="1" s="1"/>
  <c r="Q362" i="1" s="1"/>
  <c r="L363" i="1" l="1"/>
  <c r="N363" i="1"/>
  <c r="O363" i="1" l="1"/>
  <c r="P363" i="1" s="1"/>
  <c r="Q363" i="1" s="1"/>
  <c r="L364" i="1" l="1"/>
  <c r="N364" i="1"/>
  <c r="O364" i="1" l="1"/>
  <c r="P364" i="1" s="1"/>
  <c r="Q364" i="1" s="1"/>
  <c r="L365" i="1" l="1"/>
  <c r="N365" i="1"/>
  <c r="O365" i="1" l="1"/>
  <c r="P365" i="1" s="1"/>
  <c r="Q365" i="1" s="1"/>
  <c r="L366" i="1" l="1"/>
  <c r="N366" i="1"/>
  <c r="O366" i="1" l="1"/>
  <c r="P366" i="1" s="1"/>
  <c r="Q366" i="1" s="1"/>
  <c r="L367" i="1" l="1"/>
  <c r="N367" i="1"/>
  <c r="O367" i="1" l="1"/>
  <c r="P367" i="1" s="1"/>
  <c r="Q367" i="1" s="1"/>
  <c r="L368" i="1" l="1"/>
  <c r="N368" i="1"/>
  <c r="O368" i="1" l="1"/>
  <c r="P368" i="1" s="1"/>
  <c r="Q368" i="1" s="1"/>
  <c r="L369" i="1" l="1"/>
  <c r="N369" i="1"/>
  <c r="O369" i="1" l="1"/>
  <c r="P369" i="1" s="1"/>
  <c r="Q369" i="1" s="1"/>
  <c r="L370" i="1" l="1"/>
  <c r="N370" i="1"/>
  <c r="O370" i="1" l="1"/>
  <c r="P370" i="1" s="1"/>
  <c r="Q370" i="1" s="1"/>
  <c r="L371" i="1" l="1"/>
  <c r="N371" i="1"/>
  <c r="O371" i="1" l="1"/>
  <c r="P371" i="1" s="1"/>
  <c r="Q371" i="1" s="1"/>
  <c r="L372" i="1" l="1"/>
  <c r="N372" i="1"/>
  <c r="O372" i="1" l="1"/>
  <c r="P372" i="1" s="1"/>
  <c r="Q372" i="1" s="1"/>
  <c r="L373" i="1" l="1"/>
  <c r="N373" i="1"/>
  <c r="O373" i="1" l="1"/>
  <c r="P373" i="1" s="1"/>
  <c r="Q373" i="1" s="1"/>
  <c r="L374" i="1" l="1"/>
  <c r="N374" i="1"/>
  <c r="O374" i="1" l="1"/>
  <c r="P374" i="1" s="1"/>
  <c r="Q374" i="1" s="1"/>
  <c r="L375" i="1" l="1"/>
  <c r="N375" i="1"/>
  <c r="O375" i="1" l="1"/>
  <c r="P375" i="1" s="1"/>
  <c r="Q375" i="1" s="1"/>
  <c r="L376" i="1" l="1"/>
  <c r="N376" i="1"/>
  <c r="O376" i="1" l="1"/>
  <c r="P376" i="1" s="1"/>
  <c r="Q376" i="1" s="1"/>
  <c r="L377" i="1" l="1"/>
  <c r="N377" i="1"/>
  <c r="O377" i="1" l="1"/>
  <c r="P377" i="1" s="1"/>
  <c r="Q377" i="1" s="1"/>
  <c r="L378" i="1" l="1"/>
  <c r="N378" i="1"/>
  <c r="O378" i="1" l="1"/>
  <c r="P378" i="1" s="1"/>
  <c r="Q378" i="1" s="1"/>
  <c r="L379" i="1" l="1"/>
  <c r="N379" i="1"/>
  <c r="O379" i="1" l="1"/>
  <c r="P379" i="1" s="1"/>
  <c r="Q379" i="1" s="1"/>
  <c r="L380" i="1" l="1"/>
  <c r="N380" i="1"/>
  <c r="O380" i="1" l="1"/>
  <c r="P380" i="1" s="1"/>
  <c r="Q380" i="1" s="1"/>
  <c r="L381" i="1" l="1"/>
  <c r="N381" i="1"/>
  <c r="O381" i="1" l="1"/>
  <c r="P381" i="1" s="1"/>
  <c r="Q381" i="1" s="1"/>
  <c r="L382" i="1" l="1"/>
  <c r="N382" i="1"/>
  <c r="O382" i="1" l="1"/>
  <c r="P382" i="1" s="1"/>
  <c r="Q382" i="1" s="1"/>
  <c r="L383" i="1" l="1"/>
  <c r="N383" i="1"/>
  <c r="O383" i="1" l="1"/>
  <c r="P383" i="1" s="1"/>
  <c r="Q383" i="1" s="1"/>
  <c r="L384" i="1" l="1"/>
  <c r="N384" i="1"/>
  <c r="O384" i="1" l="1"/>
  <c r="P384" i="1" s="1"/>
  <c r="Q384" i="1" s="1"/>
  <c r="L385" i="1" l="1"/>
  <c r="N385" i="1"/>
  <c r="O385" i="1" l="1"/>
  <c r="P385" i="1" s="1"/>
  <c r="Q385" i="1" s="1"/>
  <c r="L386" i="1" l="1"/>
  <c r="N386" i="1"/>
  <c r="O386" i="1" l="1"/>
  <c r="P386" i="1" s="1"/>
  <c r="Q386" i="1" s="1"/>
  <c r="L387" i="1" l="1"/>
  <c r="N387" i="1"/>
  <c r="O387" i="1" l="1"/>
  <c r="P387" i="1" s="1"/>
  <c r="Q387" i="1" s="1"/>
  <c r="L388" i="1" l="1"/>
  <c r="N388" i="1"/>
  <c r="O388" i="1" l="1"/>
  <c r="P388" i="1" s="1"/>
  <c r="Q388" i="1" s="1"/>
  <c r="L389" i="1" l="1"/>
  <c r="N389" i="1"/>
  <c r="O389" i="1" l="1"/>
  <c r="P389" i="1" s="1"/>
  <c r="Q389" i="1" s="1"/>
  <c r="L390" i="1" l="1"/>
  <c r="N390" i="1"/>
  <c r="O390" i="1" l="1"/>
  <c r="P390" i="1" s="1"/>
  <c r="Q390" i="1" s="1"/>
  <c r="L391" i="1" l="1"/>
  <c r="N391" i="1"/>
  <c r="O391" i="1" l="1"/>
  <c r="P391" i="1" s="1"/>
  <c r="Q391" i="1" s="1"/>
  <c r="L392" i="1" l="1"/>
  <c r="N392" i="1"/>
  <c r="O392" i="1" l="1"/>
  <c r="P392" i="1" s="1"/>
  <c r="Q392" i="1" s="1"/>
  <c r="L393" i="1" l="1"/>
  <c r="N393" i="1"/>
  <c r="O393" i="1" l="1"/>
  <c r="P393" i="1" s="1"/>
  <c r="Q393" i="1" s="1"/>
  <c r="L394" i="1" l="1"/>
  <c r="N394" i="1"/>
  <c r="O394" i="1" l="1"/>
  <c r="P394" i="1" s="1"/>
  <c r="Q394" i="1" s="1"/>
  <c r="L395" i="1" l="1"/>
  <c r="N395" i="1"/>
  <c r="O395" i="1" l="1"/>
  <c r="P395" i="1" s="1"/>
  <c r="Q395" i="1" s="1"/>
  <c r="L396" i="1" l="1"/>
  <c r="N396" i="1"/>
  <c r="O396" i="1" l="1"/>
  <c r="P396" i="1" s="1"/>
  <c r="Q396" i="1" s="1"/>
  <c r="L397" i="1" l="1"/>
  <c r="N397" i="1"/>
  <c r="O397" i="1" l="1"/>
  <c r="P397" i="1" s="1"/>
  <c r="Q397" i="1" s="1"/>
  <c r="L398" i="1" l="1"/>
  <c r="N398" i="1"/>
  <c r="O398" i="1" l="1"/>
  <c r="P398" i="1" s="1"/>
  <c r="Q398" i="1" s="1"/>
  <c r="L399" i="1" l="1"/>
  <c r="N399" i="1"/>
  <c r="O399" i="1" l="1"/>
  <c r="P399" i="1" s="1"/>
  <c r="Q399" i="1" s="1"/>
  <c r="L400" i="1" l="1"/>
  <c r="N400" i="1"/>
  <c r="O400" i="1" l="1"/>
  <c r="P400" i="1" s="1"/>
  <c r="Q400" i="1" s="1"/>
  <c r="L401" i="1" l="1"/>
  <c r="N401" i="1"/>
  <c r="O401" i="1" l="1"/>
  <c r="P401" i="1" s="1"/>
  <c r="Q401" i="1" s="1"/>
  <c r="L402" i="1" l="1"/>
  <c r="N402" i="1"/>
  <c r="O402" i="1" l="1"/>
  <c r="P402" i="1" s="1"/>
  <c r="Q402" i="1" s="1"/>
  <c r="L403" i="1" l="1"/>
  <c r="N403" i="1"/>
  <c r="O403" i="1" l="1"/>
  <c r="P403" i="1" s="1"/>
  <c r="Q403" i="1" s="1"/>
  <c r="L404" i="1" l="1"/>
  <c r="N404" i="1"/>
  <c r="O404" i="1" l="1"/>
  <c r="P404" i="1" s="1"/>
  <c r="Q404" i="1" s="1"/>
  <c r="L405" i="1" l="1"/>
  <c r="N405" i="1"/>
  <c r="O405" i="1" l="1"/>
  <c r="P405" i="1" s="1"/>
  <c r="Q405" i="1" s="1"/>
  <c r="L406" i="1" l="1"/>
  <c r="N406" i="1"/>
  <c r="O406" i="1" l="1"/>
  <c r="P406" i="1" s="1"/>
  <c r="Q406" i="1" s="1"/>
  <c r="L407" i="1" l="1"/>
  <c r="N407" i="1"/>
  <c r="O407" i="1" l="1"/>
  <c r="P407" i="1" s="1"/>
  <c r="Q407" i="1" s="1"/>
  <c r="L408" i="1" l="1"/>
  <c r="N408" i="1"/>
  <c r="O408" i="1" l="1"/>
  <c r="P408" i="1" s="1"/>
  <c r="Q408" i="1" s="1"/>
  <c r="L409" i="1" l="1"/>
  <c r="N409" i="1"/>
  <c r="O409" i="1" l="1"/>
  <c r="P409" i="1" s="1"/>
  <c r="Q409" i="1" s="1"/>
  <c r="L410" i="1" l="1"/>
  <c r="N410" i="1"/>
  <c r="O410" i="1" l="1"/>
  <c r="P410" i="1" s="1"/>
  <c r="Q410" i="1" s="1"/>
  <c r="L411" i="1" l="1"/>
  <c r="N411" i="1"/>
  <c r="O411" i="1" l="1"/>
  <c r="P411" i="1" s="1"/>
  <c r="Q411" i="1" s="1"/>
  <c r="L412" i="1" l="1"/>
  <c r="N412" i="1"/>
  <c r="O412" i="1" l="1"/>
  <c r="P412" i="1" s="1"/>
  <c r="Q412" i="1" s="1"/>
  <c r="L413" i="1" l="1"/>
  <c r="N413" i="1"/>
  <c r="O413" i="1" l="1"/>
  <c r="P413" i="1" s="1"/>
  <c r="Q413" i="1" s="1"/>
  <c r="L414" i="1" l="1"/>
  <c r="N414" i="1"/>
  <c r="O414" i="1" l="1"/>
  <c r="P414" i="1" s="1"/>
  <c r="Q414" i="1" s="1"/>
  <c r="L415" i="1" l="1"/>
  <c r="N415" i="1"/>
  <c r="O415" i="1" l="1"/>
  <c r="P415" i="1" s="1"/>
  <c r="Q415" i="1" s="1"/>
  <c r="L416" i="1" l="1"/>
  <c r="N416" i="1"/>
  <c r="O416" i="1" l="1"/>
  <c r="P416" i="1" s="1"/>
  <c r="Q416" i="1" s="1"/>
  <c r="L417" i="1" l="1"/>
  <c r="N417" i="1"/>
  <c r="O417" i="1" l="1"/>
  <c r="P417" i="1" s="1"/>
  <c r="Q417" i="1" s="1"/>
  <c r="L418" i="1" l="1"/>
  <c r="N418" i="1"/>
  <c r="O418" i="1" l="1"/>
  <c r="P418" i="1" s="1"/>
  <c r="Q418" i="1" s="1"/>
  <c r="L419" i="1" l="1"/>
  <c r="N419" i="1"/>
  <c r="O419" i="1" l="1"/>
  <c r="P419" i="1" s="1"/>
  <c r="Q419" i="1" s="1"/>
  <c r="L420" i="1" l="1"/>
  <c r="N420" i="1"/>
  <c r="O420" i="1" l="1"/>
  <c r="P420" i="1" s="1"/>
  <c r="Q420" i="1" s="1"/>
  <c r="L421" i="1" l="1"/>
  <c r="N421" i="1"/>
  <c r="O421" i="1" l="1"/>
  <c r="P421" i="1" s="1"/>
  <c r="Q421" i="1" s="1"/>
  <c r="L422" i="1" l="1"/>
  <c r="N422" i="1"/>
  <c r="O422" i="1" l="1"/>
  <c r="P422" i="1" s="1"/>
  <c r="Q422" i="1" s="1"/>
  <c r="L423" i="1" l="1"/>
  <c r="N423" i="1"/>
  <c r="O423" i="1" l="1"/>
  <c r="P423" i="1" s="1"/>
  <c r="Q423" i="1" s="1"/>
  <c r="L424" i="1" l="1"/>
  <c r="N424" i="1"/>
  <c r="O424" i="1" l="1"/>
  <c r="P424" i="1" s="1"/>
  <c r="Q424" i="1" s="1"/>
  <c r="L425" i="1" l="1"/>
  <c r="N425" i="1"/>
  <c r="O425" i="1" l="1"/>
  <c r="P425" i="1" s="1"/>
  <c r="Q425" i="1" s="1"/>
  <c r="L426" i="1" l="1"/>
  <c r="N426" i="1"/>
  <c r="O426" i="1" l="1"/>
  <c r="P426" i="1" s="1"/>
  <c r="Q426" i="1" s="1"/>
  <c r="L427" i="1" l="1"/>
  <c r="N427" i="1"/>
  <c r="O427" i="1" l="1"/>
  <c r="P427" i="1" s="1"/>
  <c r="Q427" i="1" s="1"/>
  <c r="L428" i="1" l="1"/>
  <c r="N428" i="1"/>
  <c r="O428" i="1" l="1"/>
  <c r="P428" i="1" s="1"/>
  <c r="Q428" i="1" s="1"/>
  <c r="L429" i="1" l="1"/>
  <c r="N429" i="1"/>
  <c r="O429" i="1" l="1"/>
  <c r="P429" i="1" s="1"/>
  <c r="Q429" i="1" s="1"/>
  <c r="L430" i="1" l="1"/>
  <c r="N430" i="1"/>
  <c r="O430" i="1" l="1"/>
  <c r="P430" i="1" s="1"/>
  <c r="Q430" i="1" s="1"/>
  <c r="L431" i="1" l="1"/>
  <c r="N431" i="1"/>
  <c r="O431" i="1" l="1"/>
  <c r="P431" i="1" s="1"/>
  <c r="Q431" i="1" s="1"/>
  <c r="L432" i="1" l="1"/>
  <c r="N432" i="1"/>
  <c r="O432" i="1" l="1"/>
  <c r="P432" i="1" s="1"/>
  <c r="Q432" i="1" s="1"/>
  <c r="L433" i="1" l="1"/>
  <c r="N433" i="1"/>
  <c r="O433" i="1" l="1"/>
  <c r="P433" i="1" s="1"/>
  <c r="Q433" i="1" s="1"/>
  <c r="L434" i="1" l="1"/>
  <c r="N434" i="1"/>
  <c r="O434" i="1" l="1"/>
  <c r="P434" i="1" s="1"/>
  <c r="Q434" i="1" s="1"/>
  <c r="L435" i="1" l="1"/>
  <c r="N435" i="1"/>
  <c r="O435" i="1" l="1"/>
  <c r="P435" i="1" s="1"/>
  <c r="Q435" i="1" s="1"/>
  <c r="L436" i="1" l="1"/>
  <c r="N436" i="1"/>
  <c r="O436" i="1" l="1"/>
  <c r="P436" i="1" s="1"/>
  <c r="Q436" i="1" s="1"/>
  <c r="L437" i="1" l="1"/>
  <c r="N437" i="1"/>
  <c r="O437" i="1" l="1"/>
  <c r="P437" i="1" s="1"/>
  <c r="Q437" i="1" s="1"/>
  <c r="L438" i="1" l="1"/>
  <c r="N438" i="1"/>
  <c r="O438" i="1" l="1"/>
  <c r="P438" i="1" s="1"/>
  <c r="Q438" i="1" s="1"/>
  <c r="L439" i="1" l="1"/>
  <c r="N439" i="1"/>
  <c r="O439" i="1" l="1"/>
  <c r="P439" i="1" s="1"/>
  <c r="Q439" i="1" s="1"/>
  <c r="L440" i="1" l="1"/>
  <c r="N440" i="1"/>
  <c r="O440" i="1" l="1"/>
  <c r="P440" i="1" s="1"/>
  <c r="Q440" i="1" s="1"/>
  <c r="L441" i="1" l="1"/>
  <c r="N441" i="1"/>
  <c r="O441" i="1" l="1"/>
  <c r="P441" i="1" s="1"/>
  <c r="Q441" i="1" s="1"/>
  <c r="L442" i="1" l="1"/>
  <c r="N442" i="1"/>
  <c r="O442" i="1" l="1"/>
  <c r="P442" i="1" s="1"/>
  <c r="Q442" i="1" s="1"/>
  <c r="L443" i="1" l="1"/>
  <c r="N443" i="1"/>
  <c r="O443" i="1" l="1"/>
  <c r="P443" i="1" s="1"/>
  <c r="Q443" i="1" s="1"/>
  <c r="L444" i="1" l="1"/>
  <c r="N444" i="1"/>
  <c r="O444" i="1" l="1"/>
  <c r="P444" i="1" s="1"/>
  <c r="Q444" i="1" s="1"/>
  <c r="L445" i="1" l="1"/>
  <c r="N445" i="1"/>
  <c r="O445" i="1" l="1"/>
  <c r="P445" i="1" s="1"/>
  <c r="Q445" i="1" s="1"/>
  <c r="L446" i="1" l="1"/>
  <c r="N446" i="1"/>
  <c r="O446" i="1" l="1"/>
  <c r="P446" i="1" s="1"/>
  <c r="Q446" i="1" s="1"/>
  <c r="L447" i="1" l="1"/>
  <c r="N447" i="1"/>
  <c r="O447" i="1" l="1"/>
  <c r="P447" i="1" s="1"/>
  <c r="Q447" i="1" s="1"/>
  <c r="L448" i="1" l="1"/>
  <c r="N448" i="1"/>
  <c r="O448" i="1" l="1"/>
  <c r="P448" i="1" s="1"/>
  <c r="Q448" i="1" s="1"/>
  <c r="L449" i="1" l="1"/>
  <c r="N449" i="1"/>
  <c r="O449" i="1" l="1"/>
  <c r="P449" i="1" s="1"/>
  <c r="Q449" i="1" s="1"/>
  <c r="L450" i="1" l="1"/>
  <c r="N450" i="1"/>
  <c r="O450" i="1" l="1"/>
  <c r="P450" i="1" s="1"/>
  <c r="Q450" i="1" s="1"/>
  <c r="L451" i="1" l="1"/>
  <c r="N451" i="1"/>
  <c r="O451" i="1" l="1"/>
  <c r="P451" i="1" s="1"/>
  <c r="Q451" i="1" s="1"/>
  <c r="L452" i="1" l="1"/>
  <c r="N452" i="1"/>
  <c r="O452" i="1" l="1"/>
  <c r="P452" i="1" s="1"/>
  <c r="Q452" i="1" s="1"/>
  <c r="L453" i="1" l="1"/>
  <c r="N453" i="1"/>
  <c r="O453" i="1" l="1"/>
  <c r="P453" i="1" s="1"/>
  <c r="Q453" i="1" s="1"/>
  <c r="L454" i="1" l="1"/>
  <c r="N454" i="1"/>
  <c r="O454" i="1" l="1"/>
  <c r="P454" i="1" s="1"/>
  <c r="Q454" i="1" s="1"/>
  <c r="L455" i="1" l="1"/>
  <c r="N455" i="1"/>
  <c r="O455" i="1" l="1"/>
  <c r="P455" i="1" s="1"/>
  <c r="Q455" i="1" s="1"/>
  <c r="L456" i="1" l="1"/>
  <c r="N456" i="1"/>
  <c r="O456" i="1" l="1"/>
  <c r="P456" i="1" s="1"/>
  <c r="Q456" i="1" s="1"/>
  <c r="L457" i="1" l="1"/>
  <c r="N457" i="1"/>
  <c r="O457" i="1" l="1"/>
  <c r="P457" i="1" s="1"/>
  <c r="Q457" i="1" s="1"/>
  <c r="L458" i="1" l="1"/>
  <c r="N458" i="1"/>
  <c r="O458" i="1" l="1"/>
  <c r="P458" i="1" s="1"/>
  <c r="Q458" i="1" s="1"/>
  <c r="L459" i="1" l="1"/>
  <c r="N459" i="1"/>
  <c r="O459" i="1" l="1"/>
  <c r="P459" i="1" s="1"/>
  <c r="Q459" i="1" s="1"/>
  <c r="L460" i="1" l="1"/>
  <c r="N460" i="1"/>
  <c r="O460" i="1" l="1"/>
  <c r="P460" i="1" s="1"/>
  <c r="Q460" i="1" s="1"/>
  <c r="L461" i="1" l="1"/>
  <c r="N461" i="1"/>
  <c r="O461" i="1" l="1"/>
  <c r="P461" i="1" s="1"/>
  <c r="Q461" i="1" s="1"/>
  <c r="L462" i="1" l="1"/>
  <c r="N462" i="1"/>
  <c r="O462" i="1" l="1"/>
  <c r="P462" i="1" s="1"/>
  <c r="Q462" i="1" s="1"/>
  <c r="L463" i="1" l="1"/>
  <c r="N463" i="1"/>
  <c r="O463" i="1" l="1"/>
  <c r="P463" i="1" s="1"/>
  <c r="Q463" i="1" s="1"/>
  <c r="L464" i="1" l="1"/>
  <c r="N464" i="1"/>
  <c r="O464" i="1" l="1"/>
  <c r="P464" i="1" s="1"/>
  <c r="Q464" i="1" s="1"/>
  <c r="L465" i="1" l="1"/>
  <c r="N465" i="1"/>
  <c r="O465" i="1" l="1"/>
  <c r="P465" i="1" s="1"/>
  <c r="Q465" i="1" s="1"/>
  <c r="L466" i="1" l="1"/>
  <c r="N466" i="1"/>
  <c r="O466" i="1" l="1"/>
  <c r="P466" i="1" s="1"/>
  <c r="Q466" i="1" s="1"/>
  <c r="L467" i="1" l="1"/>
  <c r="N467" i="1"/>
  <c r="O467" i="1" l="1"/>
  <c r="P467" i="1" s="1"/>
  <c r="Q467" i="1" s="1"/>
  <c r="L468" i="1" l="1"/>
  <c r="N468" i="1"/>
  <c r="O468" i="1" l="1"/>
  <c r="P468" i="1" s="1"/>
  <c r="Q468" i="1" s="1"/>
  <c r="L469" i="1" l="1"/>
  <c r="N469" i="1"/>
  <c r="O469" i="1" l="1"/>
  <c r="P469" i="1" s="1"/>
  <c r="Q469" i="1" s="1"/>
  <c r="L470" i="1" l="1"/>
  <c r="N470" i="1"/>
  <c r="O470" i="1" l="1"/>
  <c r="P470" i="1" s="1"/>
  <c r="Q470" i="1" s="1"/>
  <c r="L471" i="1" l="1"/>
  <c r="N471" i="1"/>
  <c r="O471" i="1" l="1"/>
  <c r="P471" i="1" s="1"/>
  <c r="Q471" i="1" s="1"/>
  <c r="L472" i="1" l="1"/>
  <c r="N472" i="1"/>
  <c r="O472" i="1" l="1"/>
  <c r="P472" i="1" s="1"/>
  <c r="Q472" i="1" s="1"/>
  <c r="L473" i="1" l="1"/>
  <c r="N473" i="1"/>
  <c r="O473" i="1" l="1"/>
  <c r="P473" i="1" s="1"/>
  <c r="Q473" i="1" s="1"/>
  <c r="L474" i="1" l="1"/>
  <c r="N474" i="1"/>
  <c r="O474" i="1" l="1"/>
  <c r="P474" i="1" s="1"/>
  <c r="Q474" i="1" s="1"/>
  <c r="L475" i="1" l="1"/>
  <c r="N475" i="1"/>
  <c r="O475" i="1" l="1"/>
  <c r="P475" i="1" s="1"/>
  <c r="Q475" i="1" s="1"/>
  <c r="L476" i="1" l="1"/>
  <c r="N476" i="1"/>
  <c r="O476" i="1" l="1"/>
  <c r="P476" i="1" s="1"/>
  <c r="Q476" i="1" s="1"/>
  <c r="L477" i="1" l="1"/>
  <c r="N477" i="1"/>
  <c r="O477" i="1" l="1"/>
  <c r="P477" i="1" s="1"/>
  <c r="Q477" i="1" s="1"/>
  <c r="L478" i="1" l="1"/>
  <c r="N478" i="1"/>
  <c r="O478" i="1" l="1"/>
  <c r="P478" i="1" s="1"/>
  <c r="Q478" i="1" s="1"/>
  <c r="L479" i="1" l="1"/>
  <c r="N479" i="1"/>
  <c r="O479" i="1" l="1"/>
  <c r="P479" i="1" s="1"/>
  <c r="Q479" i="1" s="1"/>
  <c r="L480" i="1" l="1"/>
  <c r="N480" i="1"/>
  <c r="O480" i="1" l="1"/>
  <c r="P480" i="1" s="1"/>
  <c r="Q480" i="1" s="1"/>
  <c r="L481" i="1" l="1"/>
  <c r="N481" i="1"/>
  <c r="O481" i="1" l="1"/>
  <c r="P481" i="1" s="1"/>
  <c r="Q481" i="1" s="1"/>
  <c r="L482" i="1" l="1"/>
  <c r="N482" i="1"/>
  <c r="O482" i="1" l="1"/>
  <c r="P482" i="1" s="1"/>
  <c r="Q482" i="1" s="1"/>
  <c r="L483" i="1" l="1"/>
  <c r="N483" i="1"/>
  <c r="O483" i="1" l="1"/>
  <c r="P483" i="1" s="1"/>
  <c r="Q483" i="1" s="1"/>
  <c r="L484" i="1" l="1"/>
  <c r="N484" i="1"/>
  <c r="O484" i="1" l="1"/>
  <c r="P484" i="1" s="1"/>
  <c r="Q484" i="1" s="1"/>
  <c r="L485" i="1" l="1"/>
  <c r="N485" i="1"/>
  <c r="O485" i="1" l="1"/>
  <c r="P485" i="1" s="1"/>
  <c r="Q485" i="1" s="1"/>
  <c r="L486" i="1" l="1"/>
  <c r="N486" i="1"/>
  <c r="O486" i="1" l="1"/>
  <c r="P486" i="1" s="1"/>
  <c r="Q486" i="1" s="1"/>
  <c r="L487" i="1" l="1"/>
  <c r="N487" i="1"/>
  <c r="O487" i="1" l="1"/>
  <c r="P487" i="1" s="1"/>
  <c r="Q487" i="1" s="1"/>
  <c r="L488" i="1" l="1"/>
  <c r="N488" i="1"/>
  <c r="O488" i="1" l="1"/>
  <c r="P488" i="1" s="1"/>
  <c r="Q488" i="1" s="1"/>
  <c r="L489" i="1" l="1"/>
  <c r="N489" i="1"/>
  <c r="O489" i="1" l="1"/>
  <c r="P489" i="1" s="1"/>
  <c r="Q489" i="1" s="1"/>
  <c r="L490" i="1" l="1"/>
  <c r="N490" i="1"/>
  <c r="O490" i="1" l="1"/>
  <c r="P490" i="1" s="1"/>
  <c r="Q490" i="1" s="1"/>
  <c r="L491" i="1" l="1"/>
  <c r="N491" i="1"/>
  <c r="O491" i="1" l="1"/>
  <c r="P491" i="1" s="1"/>
  <c r="Q491" i="1" s="1"/>
  <c r="L492" i="1" l="1"/>
  <c r="N492" i="1"/>
  <c r="O492" i="1" l="1"/>
  <c r="P492" i="1" s="1"/>
  <c r="Q492" i="1" s="1"/>
  <c r="L493" i="1" l="1"/>
  <c r="N493" i="1"/>
  <c r="O493" i="1" l="1"/>
  <c r="P493" i="1" s="1"/>
  <c r="Q493" i="1" s="1"/>
  <c r="L494" i="1" l="1"/>
  <c r="N494" i="1"/>
  <c r="O494" i="1" l="1"/>
  <c r="P494" i="1" s="1"/>
  <c r="Q494" i="1" s="1"/>
  <c r="L495" i="1" l="1"/>
  <c r="N495" i="1"/>
  <c r="O495" i="1" l="1"/>
  <c r="P495" i="1" s="1"/>
  <c r="Q495" i="1" s="1"/>
  <c r="L496" i="1" l="1"/>
  <c r="N496" i="1"/>
  <c r="O496" i="1" l="1"/>
  <c r="P496" i="1" s="1"/>
  <c r="Q496" i="1" s="1"/>
  <c r="L497" i="1" l="1"/>
  <c r="N497" i="1"/>
  <c r="O497" i="1" l="1"/>
  <c r="P497" i="1" s="1"/>
  <c r="Q497" i="1" s="1"/>
  <c r="L498" i="1" l="1"/>
  <c r="N498" i="1"/>
  <c r="O498" i="1" l="1"/>
  <c r="P498" i="1" s="1"/>
  <c r="Q498" i="1" s="1"/>
  <c r="L499" i="1" l="1"/>
  <c r="N499" i="1"/>
  <c r="O499" i="1" l="1"/>
  <c r="P499" i="1" s="1"/>
  <c r="Q499" i="1" s="1"/>
  <c r="L500" i="1" l="1"/>
  <c r="N500" i="1"/>
  <c r="O500" i="1" l="1"/>
  <c r="P500" i="1" s="1"/>
  <c r="Q500" i="1" s="1"/>
  <c r="L501" i="1" l="1"/>
  <c r="N501" i="1"/>
  <c r="O501" i="1" l="1"/>
  <c r="P501" i="1" s="1"/>
  <c r="Q501" i="1" s="1"/>
  <c r="L502" i="1" l="1"/>
  <c r="N502" i="1"/>
  <c r="O502" i="1" l="1"/>
  <c r="P502" i="1" s="1"/>
  <c r="Q502" i="1" s="1"/>
  <c r="L503" i="1" l="1"/>
  <c r="N503" i="1"/>
  <c r="O503" i="1" l="1"/>
  <c r="P503" i="1" s="1"/>
  <c r="Q503" i="1" s="1"/>
  <c r="L504" i="1" l="1"/>
  <c r="N504" i="1"/>
  <c r="O504" i="1" l="1"/>
  <c r="P504" i="1" s="1"/>
  <c r="Q504" i="1" s="1"/>
  <c r="L505" i="1" l="1"/>
  <c r="N505" i="1"/>
  <c r="O505" i="1" l="1"/>
  <c r="P505" i="1" s="1"/>
  <c r="Q505" i="1" s="1"/>
  <c r="L506" i="1" l="1"/>
  <c r="N506" i="1"/>
  <c r="O506" i="1" l="1"/>
  <c r="P506" i="1" s="1"/>
  <c r="Q506" i="1" s="1"/>
  <c r="L507" i="1" l="1"/>
  <c r="N507" i="1"/>
  <c r="O507" i="1" l="1"/>
  <c r="P507" i="1" s="1"/>
  <c r="Q507" i="1" s="1"/>
  <c r="L508" i="1" l="1"/>
  <c r="N508" i="1"/>
  <c r="O508" i="1" l="1"/>
  <c r="P508" i="1" s="1"/>
  <c r="Q508" i="1" s="1"/>
  <c r="L509" i="1" l="1"/>
  <c r="N509" i="1"/>
  <c r="O509" i="1" l="1"/>
  <c r="P509" i="1" s="1"/>
  <c r="Q509" i="1" s="1"/>
  <c r="L510" i="1" l="1"/>
  <c r="N510" i="1"/>
  <c r="O510" i="1" l="1"/>
  <c r="P510" i="1" s="1"/>
  <c r="Q510" i="1" s="1"/>
  <c r="L511" i="1" l="1"/>
  <c r="N511" i="1"/>
  <c r="O511" i="1" l="1"/>
  <c r="P511" i="1" s="1"/>
  <c r="Q511" i="1" s="1"/>
  <c r="L512" i="1" l="1"/>
  <c r="N512" i="1"/>
  <c r="O512" i="1" l="1"/>
  <c r="P512" i="1" s="1"/>
  <c r="Q512" i="1" s="1"/>
  <c r="L513" i="1" l="1"/>
  <c r="N513" i="1"/>
  <c r="O513" i="1" l="1"/>
  <c r="P513" i="1" s="1"/>
  <c r="Q513" i="1" s="1"/>
  <c r="L514" i="1" l="1"/>
  <c r="N514" i="1"/>
  <c r="O514" i="1" l="1"/>
  <c r="P514" i="1" s="1"/>
  <c r="Q514" i="1" s="1"/>
  <c r="L515" i="1" l="1"/>
  <c r="N515" i="1"/>
  <c r="O515" i="1" l="1"/>
  <c r="P515" i="1" s="1"/>
  <c r="Q515" i="1" s="1"/>
  <c r="L516" i="1" l="1"/>
  <c r="N516" i="1"/>
  <c r="O516" i="1" l="1"/>
  <c r="P516" i="1" s="1"/>
  <c r="Q516" i="1" s="1"/>
  <c r="L517" i="1" l="1"/>
  <c r="N517" i="1"/>
  <c r="O517" i="1" l="1"/>
  <c r="P517" i="1" s="1"/>
  <c r="Q517" i="1" s="1"/>
  <c r="L518" i="1" l="1"/>
  <c r="N518" i="1"/>
  <c r="O518" i="1" l="1"/>
  <c r="P518" i="1" s="1"/>
  <c r="Q518" i="1" s="1"/>
  <c r="L519" i="1" l="1"/>
  <c r="N519" i="1"/>
  <c r="O519" i="1" l="1"/>
  <c r="P519" i="1" s="1"/>
  <c r="Q519" i="1" s="1"/>
  <c r="L520" i="1" l="1"/>
  <c r="N520" i="1"/>
  <c r="O520" i="1" l="1"/>
  <c r="P520" i="1" s="1"/>
  <c r="Q520" i="1" s="1"/>
  <c r="L521" i="1" l="1"/>
  <c r="N521" i="1"/>
  <c r="O521" i="1" l="1"/>
  <c r="P521" i="1" s="1"/>
  <c r="Q521" i="1" s="1"/>
  <c r="L522" i="1" l="1"/>
  <c r="N522" i="1"/>
  <c r="O522" i="1" l="1"/>
  <c r="P522" i="1" s="1"/>
  <c r="Q522" i="1" s="1"/>
  <c r="L523" i="1" l="1"/>
  <c r="N523" i="1"/>
  <c r="O523" i="1" l="1"/>
  <c r="P523" i="1" s="1"/>
  <c r="Q523" i="1" s="1"/>
  <c r="L524" i="1" l="1"/>
  <c r="N524" i="1"/>
  <c r="O524" i="1" l="1"/>
  <c r="P524" i="1" s="1"/>
  <c r="Q524" i="1" s="1"/>
  <c r="L525" i="1" l="1"/>
  <c r="N525" i="1"/>
  <c r="O525" i="1" l="1"/>
  <c r="P525" i="1" s="1"/>
  <c r="Q525" i="1" s="1"/>
  <c r="L526" i="1" l="1"/>
  <c r="N526" i="1"/>
  <c r="O526" i="1" l="1"/>
  <c r="P526" i="1" s="1"/>
  <c r="Q526" i="1" s="1"/>
  <c r="L527" i="1" l="1"/>
  <c r="N527" i="1"/>
  <c r="O527" i="1" l="1"/>
  <c r="P527" i="1" s="1"/>
  <c r="Q527" i="1" s="1"/>
  <c r="L528" i="1" l="1"/>
  <c r="N528" i="1"/>
  <c r="O528" i="1" l="1"/>
  <c r="P528" i="1" s="1"/>
  <c r="Q528" i="1" s="1"/>
  <c r="L529" i="1" l="1"/>
  <c r="N529" i="1"/>
  <c r="O529" i="1" l="1"/>
  <c r="P529" i="1" s="1"/>
  <c r="Q529" i="1" s="1"/>
  <c r="L530" i="1" l="1"/>
  <c r="N530" i="1"/>
  <c r="O530" i="1" l="1"/>
  <c r="P530" i="1" s="1"/>
  <c r="Q530" i="1" s="1"/>
  <c r="L531" i="1" l="1"/>
  <c r="N531" i="1"/>
  <c r="O531" i="1" l="1"/>
  <c r="P531" i="1" s="1"/>
  <c r="Q531" i="1" s="1"/>
  <c r="L532" i="1" l="1"/>
  <c r="N532" i="1"/>
  <c r="O532" i="1" l="1"/>
  <c r="P532" i="1" s="1"/>
  <c r="Q532" i="1" s="1"/>
  <c r="L533" i="1" l="1"/>
  <c r="N533" i="1"/>
  <c r="O533" i="1" l="1"/>
  <c r="P533" i="1" s="1"/>
  <c r="Q533" i="1" s="1"/>
  <c r="L534" i="1" l="1"/>
  <c r="N534" i="1"/>
  <c r="O534" i="1" l="1"/>
  <c r="P534" i="1" s="1"/>
  <c r="Q534" i="1" s="1"/>
  <c r="L535" i="1" l="1"/>
  <c r="N535" i="1"/>
  <c r="O535" i="1" l="1"/>
  <c r="P535" i="1" s="1"/>
  <c r="Q535" i="1" s="1"/>
  <c r="L536" i="1" l="1"/>
  <c r="N536" i="1"/>
  <c r="O536" i="1" l="1"/>
  <c r="P536" i="1" s="1"/>
  <c r="Q536" i="1" s="1"/>
  <c r="L537" i="1" l="1"/>
  <c r="N537" i="1"/>
  <c r="O537" i="1" l="1"/>
  <c r="P537" i="1" s="1"/>
  <c r="Q537" i="1" s="1"/>
  <c r="L538" i="1" l="1"/>
  <c r="N538" i="1"/>
  <c r="O538" i="1" l="1"/>
  <c r="P538" i="1" s="1"/>
  <c r="Q538" i="1" s="1"/>
  <c r="L539" i="1" l="1"/>
  <c r="N539" i="1"/>
  <c r="O539" i="1" l="1"/>
  <c r="P539" i="1" s="1"/>
  <c r="Q539" i="1" s="1"/>
  <c r="L540" i="1" l="1"/>
  <c r="N540" i="1"/>
  <c r="O540" i="1" l="1"/>
  <c r="P540" i="1" s="1"/>
  <c r="Q540" i="1" s="1"/>
  <c r="L541" i="1" l="1"/>
  <c r="N541" i="1"/>
  <c r="O541" i="1" l="1"/>
  <c r="P541" i="1" s="1"/>
  <c r="Q541" i="1" s="1"/>
  <c r="L542" i="1" l="1"/>
  <c r="N542" i="1"/>
  <c r="O542" i="1" l="1"/>
  <c r="P542" i="1" s="1"/>
  <c r="Q542" i="1" s="1"/>
  <c r="L543" i="1" l="1"/>
  <c r="N543" i="1"/>
  <c r="O543" i="1" l="1"/>
  <c r="P543" i="1" s="1"/>
  <c r="Q543" i="1" s="1"/>
  <c r="L544" i="1" l="1"/>
  <c r="N544" i="1"/>
  <c r="O544" i="1" l="1"/>
  <c r="P544" i="1" s="1"/>
  <c r="Q544" i="1" s="1"/>
  <c r="L545" i="1" l="1"/>
  <c r="N545" i="1"/>
  <c r="O545" i="1" l="1"/>
  <c r="P545" i="1" s="1"/>
  <c r="Q545" i="1" s="1"/>
  <c r="L546" i="1" l="1"/>
  <c r="N546" i="1"/>
  <c r="O546" i="1" l="1"/>
  <c r="P546" i="1" s="1"/>
  <c r="Q546" i="1" s="1"/>
  <c r="L547" i="1" l="1"/>
  <c r="N547" i="1"/>
  <c r="O547" i="1" l="1"/>
  <c r="P547" i="1" s="1"/>
  <c r="Q547" i="1" s="1"/>
  <c r="L548" i="1" l="1"/>
  <c r="N548" i="1"/>
  <c r="O548" i="1" l="1"/>
  <c r="P548" i="1" s="1"/>
  <c r="Q548" i="1" s="1"/>
  <c r="L549" i="1" l="1"/>
  <c r="N549" i="1"/>
  <c r="O549" i="1" l="1"/>
  <c r="P549" i="1" s="1"/>
  <c r="Q549" i="1" s="1"/>
  <c r="L550" i="1" l="1"/>
  <c r="N550" i="1"/>
  <c r="O550" i="1" l="1"/>
  <c r="P550" i="1" s="1"/>
  <c r="Q550" i="1" s="1"/>
  <c r="L551" i="1" l="1"/>
  <c r="N551" i="1"/>
  <c r="O551" i="1" l="1"/>
  <c r="P551" i="1" s="1"/>
  <c r="Q551" i="1" s="1"/>
  <c r="L552" i="1" l="1"/>
  <c r="N552" i="1"/>
  <c r="O552" i="1" l="1"/>
  <c r="P552" i="1" s="1"/>
  <c r="Q552" i="1" s="1"/>
  <c r="L553" i="1" l="1"/>
  <c r="N553" i="1"/>
  <c r="O553" i="1" l="1"/>
  <c r="P553" i="1" s="1"/>
  <c r="Q553" i="1" s="1"/>
  <c r="L554" i="1" l="1"/>
  <c r="N554" i="1"/>
  <c r="O554" i="1" l="1"/>
  <c r="P554" i="1" s="1"/>
  <c r="Q554" i="1" s="1"/>
  <c r="L555" i="1" l="1"/>
  <c r="N555" i="1"/>
  <c r="O555" i="1" l="1"/>
  <c r="P555" i="1" s="1"/>
  <c r="Q555" i="1" s="1"/>
  <c r="L556" i="1" l="1"/>
  <c r="N556" i="1"/>
  <c r="O556" i="1" l="1"/>
  <c r="P556" i="1" s="1"/>
  <c r="Q556" i="1" s="1"/>
  <c r="L557" i="1" l="1"/>
  <c r="N557" i="1"/>
  <c r="O557" i="1" l="1"/>
  <c r="P557" i="1" s="1"/>
  <c r="Q557" i="1" s="1"/>
  <c r="L558" i="1" l="1"/>
  <c r="N558" i="1"/>
  <c r="O558" i="1" l="1"/>
  <c r="P558" i="1" s="1"/>
  <c r="Q558" i="1" s="1"/>
  <c r="L559" i="1" l="1"/>
  <c r="N559" i="1"/>
  <c r="O559" i="1" l="1"/>
  <c r="P559" i="1" s="1"/>
  <c r="Q559" i="1" s="1"/>
  <c r="L560" i="1" l="1"/>
  <c r="N560" i="1"/>
  <c r="O560" i="1" l="1"/>
  <c r="P560" i="1" s="1"/>
  <c r="Q560" i="1" s="1"/>
  <c r="L561" i="1" l="1"/>
  <c r="N561" i="1"/>
  <c r="O561" i="1" l="1"/>
  <c r="P561" i="1" s="1"/>
  <c r="Q561" i="1" s="1"/>
  <c r="L562" i="1" l="1"/>
  <c r="N562" i="1"/>
  <c r="O562" i="1" l="1"/>
  <c r="P562" i="1" s="1"/>
  <c r="Q562" i="1" s="1"/>
  <c r="L563" i="1" l="1"/>
  <c r="N563" i="1"/>
  <c r="O563" i="1" l="1"/>
  <c r="P563" i="1" s="1"/>
  <c r="Q563" i="1" s="1"/>
  <c r="L564" i="1" l="1"/>
  <c r="N564" i="1"/>
  <c r="O564" i="1" l="1"/>
  <c r="P564" i="1" s="1"/>
  <c r="Q564" i="1" s="1"/>
  <c r="L565" i="1" l="1"/>
  <c r="N565" i="1"/>
  <c r="O565" i="1" l="1"/>
  <c r="P565" i="1" s="1"/>
  <c r="Q565" i="1" s="1"/>
  <c r="L566" i="1" l="1"/>
  <c r="N566" i="1"/>
  <c r="O566" i="1" l="1"/>
  <c r="P566" i="1" s="1"/>
  <c r="Q566" i="1" s="1"/>
  <c r="L567" i="1" l="1"/>
  <c r="N567" i="1"/>
  <c r="O567" i="1" l="1"/>
  <c r="P567" i="1" s="1"/>
  <c r="Q567" i="1" s="1"/>
  <c r="L568" i="1" l="1"/>
  <c r="N568" i="1"/>
  <c r="O568" i="1" l="1"/>
  <c r="P568" i="1" s="1"/>
  <c r="Q568" i="1" s="1"/>
  <c r="L569" i="1" l="1"/>
  <c r="N569" i="1"/>
  <c r="O569" i="1" l="1"/>
  <c r="P569" i="1" s="1"/>
  <c r="Q569" i="1" s="1"/>
  <c r="L570" i="1" l="1"/>
  <c r="N570" i="1"/>
  <c r="O570" i="1" l="1"/>
  <c r="P570" i="1" s="1"/>
  <c r="Q570" i="1" s="1"/>
  <c r="L571" i="1" l="1"/>
  <c r="N571" i="1"/>
  <c r="O571" i="1" l="1"/>
  <c r="P571" i="1" s="1"/>
  <c r="Q571" i="1" s="1"/>
  <c r="L572" i="1" l="1"/>
  <c r="N572" i="1"/>
  <c r="O572" i="1" l="1"/>
  <c r="P572" i="1" s="1"/>
  <c r="Q572" i="1" s="1"/>
  <c r="L573" i="1" l="1"/>
  <c r="N573" i="1"/>
  <c r="O573" i="1" l="1"/>
  <c r="P573" i="1" s="1"/>
  <c r="Q573" i="1" s="1"/>
  <c r="L574" i="1" l="1"/>
  <c r="N574" i="1"/>
  <c r="O574" i="1" l="1"/>
  <c r="P574" i="1" s="1"/>
  <c r="Q574" i="1" s="1"/>
  <c r="L575" i="1" l="1"/>
  <c r="N575" i="1"/>
  <c r="O575" i="1" l="1"/>
  <c r="P575" i="1" s="1"/>
  <c r="Q575" i="1" s="1"/>
  <c r="L576" i="1" l="1"/>
  <c r="N576" i="1"/>
  <c r="O576" i="1" l="1"/>
  <c r="P576" i="1" s="1"/>
  <c r="Q576" i="1" s="1"/>
  <c r="L577" i="1" l="1"/>
  <c r="N577" i="1"/>
  <c r="O577" i="1" l="1"/>
  <c r="P577" i="1" s="1"/>
  <c r="Q577" i="1" s="1"/>
  <c r="L578" i="1" l="1"/>
  <c r="N578" i="1"/>
  <c r="O578" i="1" l="1"/>
  <c r="P578" i="1" s="1"/>
  <c r="Q578" i="1" s="1"/>
  <c r="L579" i="1" l="1"/>
  <c r="N579" i="1"/>
  <c r="O579" i="1" l="1"/>
  <c r="P579" i="1" s="1"/>
  <c r="Q579" i="1" s="1"/>
  <c r="L580" i="1" l="1"/>
  <c r="N580" i="1"/>
  <c r="O580" i="1" l="1"/>
  <c r="P580" i="1" s="1"/>
  <c r="Q580" i="1" s="1"/>
  <c r="L581" i="1" l="1"/>
  <c r="N581" i="1"/>
  <c r="O581" i="1" l="1"/>
  <c r="P581" i="1" s="1"/>
  <c r="Q581" i="1" s="1"/>
  <c r="L582" i="1" l="1"/>
  <c r="N582" i="1"/>
  <c r="O582" i="1" l="1"/>
  <c r="P582" i="1" s="1"/>
  <c r="Q582" i="1" s="1"/>
  <c r="L583" i="1" l="1"/>
  <c r="N583" i="1"/>
  <c r="O583" i="1" l="1"/>
  <c r="P583" i="1" s="1"/>
  <c r="Q583" i="1" s="1"/>
  <c r="L584" i="1" l="1"/>
  <c r="N584" i="1"/>
  <c r="O584" i="1" l="1"/>
  <c r="P584" i="1" s="1"/>
  <c r="Q584" i="1" s="1"/>
  <c r="L585" i="1" l="1"/>
  <c r="N585" i="1"/>
  <c r="O585" i="1" l="1"/>
  <c r="P585" i="1" s="1"/>
  <c r="Q585" i="1" s="1"/>
  <c r="L586" i="1" l="1"/>
  <c r="N586" i="1"/>
  <c r="O586" i="1" l="1"/>
  <c r="P586" i="1" s="1"/>
  <c r="Q586" i="1" s="1"/>
  <c r="L587" i="1" l="1"/>
  <c r="N587" i="1"/>
  <c r="O587" i="1" l="1"/>
  <c r="P587" i="1" s="1"/>
  <c r="Q587" i="1" s="1"/>
  <c r="L588" i="1" l="1"/>
  <c r="N588" i="1"/>
  <c r="O588" i="1" l="1"/>
  <c r="P588" i="1" s="1"/>
  <c r="Q588" i="1" s="1"/>
  <c r="L589" i="1" l="1"/>
  <c r="N589" i="1"/>
  <c r="O589" i="1" l="1"/>
  <c r="P589" i="1" s="1"/>
  <c r="Q589" i="1" s="1"/>
  <c r="L590" i="1" l="1"/>
  <c r="N590" i="1"/>
  <c r="O590" i="1" l="1"/>
  <c r="P590" i="1" s="1"/>
  <c r="Q590" i="1" s="1"/>
  <c r="L591" i="1" l="1"/>
  <c r="N591" i="1"/>
  <c r="O591" i="1" l="1"/>
  <c r="P591" i="1" s="1"/>
  <c r="Q591" i="1" s="1"/>
  <c r="L592" i="1" l="1"/>
  <c r="N592" i="1"/>
  <c r="O592" i="1" l="1"/>
  <c r="P592" i="1" s="1"/>
  <c r="Q592" i="1" s="1"/>
  <c r="L593" i="1" l="1"/>
  <c r="N593" i="1"/>
  <c r="O593" i="1" l="1"/>
  <c r="P593" i="1" s="1"/>
  <c r="Q593" i="1" s="1"/>
  <c r="L594" i="1" l="1"/>
  <c r="N594" i="1"/>
  <c r="O594" i="1" l="1"/>
  <c r="P594" i="1" s="1"/>
  <c r="Q594" i="1" s="1"/>
  <c r="L595" i="1" l="1"/>
  <c r="N595" i="1"/>
  <c r="O595" i="1" l="1"/>
  <c r="P595" i="1" s="1"/>
  <c r="Q595" i="1" s="1"/>
  <c r="L596" i="1" l="1"/>
  <c r="N596" i="1"/>
  <c r="O596" i="1" l="1"/>
  <c r="P596" i="1" s="1"/>
  <c r="Q596" i="1" s="1"/>
  <c r="L597" i="1" l="1"/>
  <c r="N597" i="1"/>
  <c r="O597" i="1" l="1"/>
  <c r="P597" i="1" s="1"/>
  <c r="Q597" i="1" s="1"/>
  <c r="L598" i="1" l="1"/>
  <c r="N598" i="1"/>
  <c r="O598" i="1" l="1"/>
  <c r="P598" i="1" s="1"/>
  <c r="Q598" i="1" s="1"/>
  <c r="L599" i="1" l="1"/>
  <c r="N599" i="1"/>
  <c r="O599" i="1" l="1"/>
  <c r="P599" i="1" s="1"/>
  <c r="Q599" i="1" s="1"/>
  <c r="L600" i="1" l="1"/>
  <c r="N600" i="1"/>
  <c r="O600" i="1" l="1"/>
  <c r="P600" i="1" s="1"/>
  <c r="Q600" i="1" s="1"/>
  <c r="L601" i="1" l="1"/>
  <c r="N601" i="1"/>
  <c r="O601" i="1" l="1"/>
  <c r="P601" i="1" s="1"/>
  <c r="Q601" i="1" s="1"/>
  <c r="L602" i="1" l="1"/>
  <c r="N602" i="1"/>
  <c r="O602" i="1" l="1"/>
  <c r="P602" i="1" s="1"/>
  <c r="Q602" i="1" s="1"/>
  <c r="L603" i="1" l="1"/>
  <c r="N603" i="1"/>
  <c r="O603" i="1" l="1"/>
  <c r="P603" i="1" s="1"/>
  <c r="Q603" i="1" s="1"/>
  <c r="L604" i="1" l="1"/>
  <c r="N604" i="1"/>
  <c r="O604" i="1" l="1"/>
  <c r="P604" i="1" s="1"/>
  <c r="Q604" i="1" s="1"/>
  <c r="L605" i="1" l="1"/>
  <c r="N605" i="1"/>
  <c r="O605" i="1" l="1"/>
  <c r="P605" i="1" s="1"/>
  <c r="Q605" i="1" s="1"/>
  <c r="L606" i="1" l="1"/>
  <c r="N606" i="1"/>
  <c r="O606" i="1" l="1"/>
  <c r="P606" i="1" s="1"/>
  <c r="Q606" i="1" s="1"/>
  <c r="L607" i="1" l="1"/>
  <c r="N607" i="1"/>
  <c r="O607" i="1" l="1"/>
  <c r="P607" i="1" s="1"/>
  <c r="Q607" i="1" s="1"/>
  <c r="L608" i="1" l="1"/>
  <c r="N608" i="1"/>
  <c r="O608" i="1" l="1"/>
  <c r="P608" i="1" s="1"/>
  <c r="Q608" i="1" s="1"/>
  <c r="L609" i="1" l="1"/>
  <c r="N609" i="1"/>
  <c r="O609" i="1" l="1"/>
  <c r="P609" i="1" s="1"/>
  <c r="Q609" i="1" s="1"/>
  <c r="L610" i="1" l="1"/>
  <c r="N610" i="1"/>
  <c r="O610" i="1" l="1"/>
  <c r="P610" i="1" s="1"/>
  <c r="Q610" i="1" s="1"/>
  <c r="L611" i="1" l="1"/>
  <c r="N611" i="1"/>
  <c r="O611" i="1" l="1"/>
  <c r="P611" i="1" s="1"/>
  <c r="Q611" i="1" s="1"/>
  <c r="L612" i="1" l="1"/>
  <c r="N612" i="1"/>
  <c r="O612" i="1" l="1"/>
  <c r="P612" i="1" s="1"/>
  <c r="Q612" i="1" s="1"/>
  <c r="L613" i="1" l="1"/>
  <c r="N613" i="1"/>
  <c r="O613" i="1" l="1"/>
  <c r="P613" i="1" s="1"/>
  <c r="Q613" i="1" s="1"/>
  <c r="L614" i="1" l="1"/>
  <c r="N614" i="1"/>
  <c r="O614" i="1" l="1"/>
  <c r="P614" i="1" s="1"/>
  <c r="Q614" i="1" s="1"/>
  <c r="L615" i="1" l="1"/>
  <c r="N615" i="1"/>
  <c r="O615" i="1" l="1"/>
  <c r="P615" i="1" s="1"/>
  <c r="Q615" i="1" s="1"/>
  <c r="L616" i="1" l="1"/>
  <c r="N616" i="1"/>
  <c r="O616" i="1" l="1"/>
  <c r="P616" i="1" s="1"/>
  <c r="Q616" i="1" s="1"/>
  <c r="L617" i="1" l="1"/>
  <c r="N617" i="1"/>
  <c r="O617" i="1" l="1"/>
  <c r="P617" i="1" s="1"/>
  <c r="Q617" i="1" s="1"/>
  <c r="L618" i="1" l="1"/>
  <c r="N618" i="1"/>
  <c r="O618" i="1" l="1"/>
  <c r="P618" i="1" s="1"/>
  <c r="Q618" i="1" s="1"/>
  <c r="L619" i="1" l="1"/>
  <c r="N619" i="1"/>
  <c r="O619" i="1" l="1"/>
  <c r="P619" i="1" s="1"/>
  <c r="Q619" i="1" s="1"/>
  <c r="L620" i="1" l="1"/>
  <c r="N620" i="1"/>
  <c r="O620" i="1" l="1"/>
  <c r="P620" i="1" s="1"/>
  <c r="Q620" i="1" s="1"/>
  <c r="L621" i="1" l="1"/>
  <c r="N621" i="1"/>
  <c r="O621" i="1" l="1"/>
  <c r="P621" i="1" s="1"/>
  <c r="Q621" i="1" s="1"/>
  <c r="L622" i="1" l="1"/>
  <c r="N622" i="1"/>
  <c r="O622" i="1" l="1"/>
  <c r="P622" i="1" s="1"/>
  <c r="Q622" i="1" s="1"/>
  <c r="L623" i="1" l="1"/>
  <c r="N623" i="1"/>
  <c r="O623" i="1" l="1"/>
  <c r="P623" i="1" s="1"/>
  <c r="Q623" i="1" s="1"/>
  <c r="L624" i="1" l="1"/>
  <c r="N624" i="1"/>
  <c r="O624" i="1" l="1"/>
  <c r="P624" i="1" s="1"/>
  <c r="Q624" i="1" s="1"/>
  <c r="L625" i="1" l="1"/>
  <c r="N625" i="1"/>
  <c r="O625" i="1" l="1"/>
  <c r="P625" i="1" s="1"/>
  <c r="Q625" i="1" s="1"/>
  <c r="L626" i="1" l="1"/>
  <c r="N626" i="1"/>
  <c r="O626" i="1" l="1"/>
  <c r="P626" i="1" s="1"/>
  <c r="Q626" i="1" s="1"/>
  <c r="L627" i="1" l="1"/>
  <c r="N627" i="1"/>
  <c r="O627" i="1" l="1"/>
  <c r="P627" i="1" s="1"/>
  <c r="Q627" i="1" s="1"/>
  <c r="L628" i="1" l="1"/>
  <c r="N628" i="1"/>
  <c r="O628" i="1" l="1"/>
  <c r="P628" i="1" s="1"/>
  <c r="Q628" i="1" s="1"/>
  <c r="L629" i="1" l="1"/>
  <c r="N629" i="1"/>
  <c r="O629" i="1" l="1"/>
  <c r="P629" i="1" s="1"/>
  <c r="Q629" i="1" s="1"/>
  <c r="L630" i="1" l="1"/>
  <c r="N630" i="1"/>
  <c r="O630" i="1" l="1"/>
  <c r="P630" i="1" s="1"/>
  <c r="Q630" i="1" s="1"/>
  <c r="L631" i="1" l="1"/>
  <c r="N631" i="1"/>
  <c r="O631" i="1" l="1"/>
  <c r="P631" i="1" s="1"/>
  <c r="Q631" i="1" s="1"/>
  <c r="L632" i="1" l="1"/>
  <c r="N632" i="1"/>
  <c r="O632" i="1" l="1"/>
  <c r="P632" i="1" s="1"/>
  <c r="Q632" i="1" s="1"/>
  <c r="L633" i="1" l="1"/>
  <c r="N633" i="1"/>
  <c r="O633" i="1" l="1"/>
  <c r="P633" i="1" s="1"/>
  <c r="Q633" i="1" s="1"/>
  <c r="L634" i="1" l="1"/>
  <c r="N634" i="1"/>
  <c r="O634" i="1" l="1"/>
  <c r="P634" i="1" s="1"/>
  <c r="Q634" i="1" s="1"/>
  <c r="L635" i="1" l="1"/>
  <c r="N635" i="1"/>
  <c r="O635" i="1" l="1"/>
  <c r="P635" i="1" s="1"/>
  <c r="Q635" i="1" s="1"/>
  <c r="L636" i="1" l="1"/>
  <c r="N636" i="1"/>
  <c r="O636" i="1" l="1"/>
  <c r="P636" i="1" s="1"/>
  <c r="Q636" i="1" s="1"/>
  <c r="L637" i="1" l="1"/>
  <c r="N637" i="1"/>
  <c r="O637" i="1" l="1"/>
  <c r="P637" i="1" s="1"/>
  <c r="Q637" i="1" s="1"/>
  <c r="L638" i="1" l="1"/>
  <c r="N638" i="1"/>
  <c r="O638" i="1" l="1"/>
  <c r="P638" i="1" s="1"/>
  <c r="Q638" i="1" s="1"/>
  <c r="L639" i="1" l="1"/>
  <c r="N639" i="1"/>
  <c r="O639" i="1" l="1"/>
  <c r="P639" i="1" s="1"/>
  <c r="Q639" i="1" s="1"/>
  <c r="L640" i="1" l="1"/>
  <c r="N640" i="1"/>
  <c r="O640" i="1" l="1"/>
  <c r="P640" i="1" s="1"/>
  <c r="Q640" i="1" s="1"/>
  <c r="L641" i="1" l="1"/>
  <c r="N641" i="1"/>
  <c r="O641" i="1" l="1"/>
  <c r="P641" i="1" s="1"/>
  <c r="Q641" i="1" s="1"/>
  <c r="L642" i="1" l="1"/>
  <c r="N642" i="1"/>
  <c r="O642" i="1" l="1"/>
  <c r="P642" i="1" s="1"/>
  <c r="Q642" i="1" s="1"/>
  <c r="L643" i="1" l="1"/>
  <c r="N643" i="1"/>
  <c r="O643" i="1" l="1"/>
  <c r="P643" i="1" s="1"/>
  <c r="Q643" i="1" s="1"/>
  <c r="L644" i="1" l="1"/>
  <c r="N644" i="1"/>
  <c r="O644" i="1" l="1"/>
  <c r="P644" i="1" s="1"/>
  <c r="Q644" i="1" s="1"/>
  <c r="L645" i="1" l="1"/>
  <c r="N645" i="1"/>
  <c r="O645" i="1" l="1"/>
  <c r="P645" i="1" s="1"/>
  <c r="Q645" i="1" s="1"/>
  <c r="L646" i="1" l="1"/>
  <c r="N646" i="1"/>
  <c r="O646" i="1" l="1"/>
  <c r="P646" i="1" s="1"/>
  <c r="Q646" i="1" s="1"/>
  <c r="L647" i="1" l="1"/>
  <c r="N647" i="1"/>
  <c r="O647" i="1" l="1"/>
  <c r="P647" i="1" s="1"/>
  <c r="Q647" i="1" s="1"/>
  <c r="L648" i="1" l="1"/>
  <c r="N648" i="1"/>
  <c r="O648" i="1" l="1"/>
  <c r="P648" i="1" s="1"/>
  <c r="Q648" i="1" s="1"/>
  <c r="L649" i="1" l="1"/>
  <c r="N649" i="1"/>
  <c r="O649" i="1" l="1"/>
  <c r="P649" i="1" s="1"/>
  <c r="Q649" i="1" s="1"/>
  <c r="L650" i="1" l="1"/>
  <c r="N650" i="1"/>
  <c r="O650" i="1" l="1"/>
  <c r="P650" i="1" s="1"/>
  <c r="Q650" i="1" s="1"/>
  <c r="L651" i="1" l="1"/>
  <c r="N651" i="1"/>
  <c r="O651" i="1" l="1"/>
  <c r="P651" i="1" s="1"/>
  <c r="Q651" i="1" s="1"/>
  <c r="L652" i="1" l="1"/>
  <c r="N652" i="1"/>
  <c r="O652" i="1" l="1"/>
  <c r="P652" i="1" s="1"/>
  <c r="Q652" i="1" s="1"/>
  <c r="L653" i="1" l="1"/>
  <c r="N653" i="1"/>
  <c r="O653" i="1" l="1"/>
  <c r="P653" i="1" s="1"/>
  <c r="Q653" i="1" s="1"/>
  <c r="L654" i="1" l="1"/>
  <c r="N654" i="1"/>
  <c r="O654" i="1" l="1"/>
  <c r="P654" i="1" s="1"/>
  <c r="Q654" i="1" s="1"/>
  <c r="L655" i="1" l="1"/>
  <c r="N655" i="1"/>
  <c r="O655" i="1" l="1"/>
  <c r="P655" i="1" s="1"/>
  <c r="Q655" i="1" s="1"/>
  <c r="L656" i="1" l="1"/>
  <c r="N656" i="1"/>
  <c r="O656" i="1" l="1"/>
  <c r="P656" i="1" s="1"/>
  <c r="Q656" i="1" s="1"/>
  <c r="L657" i="1" l="1"/>
  <c r="N657" i="1"/>
  <c r="O657" i="1" l="1"/>
  <c r="P657" i="1" s="1"/>
  <c r="Q657" i="1" s="1"/>
  <c r="L658" i="1" l="1"/>
  <c r="N658" i="1"/>
  <c r="O658" i="1" l="1"/>
  <c r="P658" i="1" s="1"/>
  <c r="Q658" i="1" s="1"/>
  <c r="L659" i="1" l="1"/>
  <c r="N659" i="1"/>
  <c r="O659" i="1" l="1"/>
  <c r="P659" i="1" s="1"/>
  <c r="Q659" i="1" s="1"/>
  <c r="L660" i="1" l="1"/>
  <c r="N660" i="1"/>
  <c r="O660" i="1" l="1"/>
  <c r="P660" i="1" s="1"/>
  <c r="Q660" i="1" s="1"/>
  <c r="L661" i="1" l="1"/>
  <c r="N661" i="1"/>
  <c r="O661" i="1" l="1"/>
  <c r="P661" i="1" s="1"/>
  <c r="Q661" i="1" s="1"/>
  <c r="L662" i="1" l="1"/>
  <c r="N662" i="1"/>
  <c r="O662" i="1" l="1"/>
  <c r="P662" i="1" s="1"/>
  <c r="Q662" i="1" s="1"/>
  <c r="L663" i="1" l="1"/>
  <c r="N663" i="1"/>
  <c r="O663" i="1" l="1"/>
  <c r="P663" i="1" s="1"/>
  <c r="Q663" i="1" s="1"/>
  <c r="L664" i="1" l="1"/>
  <c r="N664" i="1"/>
  <c r="O664" i="1" l="1"/>
  <c r="P664" i="1" s="1"/>
  <c r="Q664" i="1" s="1"/>
  <c r="L665" i="1" l="1"/>
  <c r="N665" i="1"/>
  <c r="O665" i="1" l="1"/>
  <c r="P665" i="1" s="1"/>
  <c r="Q665" i="1" s="1"/>
  <c r="L666" i="1" l="1"/>
  <c r="N666" i="1"/>
  <c r="O666" i="1" l="1"/>
  <c r="P666" i="1" s="1"/>
  <c r="Q666" i="1" s="1"/>
  <c r="L667" i="1" l="1"/>
  <c r="N667" i="1"/>
  <c r="O667" i="1" l="1"/>
  <c r="P667" i="1" s="1"/>
  <c r="Q667" i="1" s="1"/>
  <c r="L668" i="1" l="1"/>
  <c r="N668" i="1"/>
  <c r="O668" i="1" l="1"/>
  <c r="P668" i="1" s="1"/>
  <c r="Q668" i="1" s="1"/>
  <c r="L669" i="1" l="1"/>
  <c r="N669" i="1"/>
  <c r="O669" i="1" l="1"/>
  <c r="P669" i="1" s="1"/>
  <c r="Q669" i="1" s="1"/>
  <c r="L670" i="1" l="1"/>
  <c r="N670" i="1"/>
  <c r="O670" i="1" l="1"/>
  <c r="P670" i="1" s="1"/>
  <c r="Q670" i="1" s="1"/>
  <c r="L671" i="1" l="1"/>
  <c r="N671" i="1"/>
  <c r="O671" i="1" l="1"/>
  <c r="P671" i="1" s="1"/>
  <c r="Q671" i="1" s="1"/>
  <c r="L672" i="1" l="1"/>
  <c r="N672" i="1"/>
  <c r="O672" i="1" l="1"/>
  <c r="P672" i="1" s="1"/>
  <c r="Q672" i="1" s="1"/>
  <c r="L673" i="1" l="1"/>
  <c r="N673" i="1"/>
  <c r="O673" i="1" l="1"/>
  <c r="P673" i="1" s="1"/>
  <c r="Q673" i="1" s="1"/>
  <c r="L674" i="1" l="1"/>
  <c r="N674" i="1"/>
  <c r="O674" i="1" l="1"/>
  <c r="P674" i="1" s="1"/>
  <c r="Q674" i="1" s="1"/>
  <c r="L675" i="1" l="1"/>
  <c r="N675" i="1"/>
  <c r="O675" i="1" l="1"/>
  <c r="P675" i="1" s="1"/>
  <c r="Q675" i="1" s="1"/>
  <c r="L676" i="1" l="1"/>
  <c r="N676" i="1"/>
  <c r="O676" i="1" l="1"/>
  <c r="P676" i="1" s="1"/>
  <c r="Q676" i="1" s="1"/>
  <c r="L677" i="1" l="1"/>
  <c r="N677" i="1"/>
  <c r="O677" i="1" l="1"/>
  <c r="P677" i="1" s="1"/>
  <c r="Q677" i="1" s="1"/>
  <c r="L678" i="1" l="1"/>
  <c r="N678" i="1"/>
  <c r="O678" i="1" l="1"/>
  <c r="P678" i="1" s="1"/>
  <c r="Q678" i="1" s="1"/>
  <c r="L679" i="1" l="1"/>
  <c r="N679" i="1"/>
  <c r="O679" i="1" l="1"/>
  <c r="P679" i="1" s="1"/>
  <c r="Q679" i="1" s="1"/>
  <c r="L680" i="1" l="1"/>
  <c r="N680" i="1"/>
  <c r="O680" i="1" l="1"/>
  <c r="P680" i="1" s="1"/>
  <c r="Q680" i="1" s="1"/>
  <c r="L681" i="1" l="1"/>
  <c r="N681" i="1"/>
  <c r="O681" i="1" l="1"/>
  <c r="P681" i="1" s="1"/>
  <c r="Q681" i="1" s="1"/>
  <c r="L682" i="1" l="1"/>
  <c r="N682" i="1"/>
  <c r="O682" i="1" l="1"/>
  <c r="P682" i="1" s="1"/>
  <c r="Q682" i="1" s="1"/>
  <c r="L683" i="1" l="1"/>
  <c r="N683" i="1"/>
  <c r="O683" i="1" l="1"/>
  <c r="P683" i="1" s="1"/>
  <c r="Q683" i="1" s="1"/>
  <c r="L684" i="1" l="1"/>
  <c r="N684" i="1"/>
  <c r="O684" i="1" l="1"/>
  <c r="P684" i="1" s="1"/>
  <c r="Q684" i="1" s="1"/>
  <c r="L685" i="1" l="1"/>
  <c r="N685" i="1"/>
  <c r="O685" i="1" l="1"/>
  <c r="P685" i="1" s="1"/>
  <c r="Q685" i="1" s="1"/>
  <c r="L686" i="1" l="1"/>
  <c r="N686" i="1"/>
  <c r="O686" i="1" l="1"/>
  <c r="P686" i="1" s="1"/>
  <c r="Q686" i="1" s="1"/>
  <c r="L687" i="1" l="1"/>
  <c r="N687" i="1"/>
  <c r="O687" i="1" l="1"/>
  <c r="P687" i="1" s="1"/>
  <c r="Q687" i="1" s="1"/>
  <c r="L688" i="1" l="1"/>
  <c r="N688" i="1"/>
  <c r="O688" i="1" l="1"/>
  <c r="P688" i="1" s="1"/>
  <c r="Q688" i="1" s="1"/>
  <c r="L689" i="1" l="1"/>
  <c r="N689" i="1"/>
  <c r="O689" i="1" l="1"/>
  <c r="P689" i="1" s="1"/>
  <c r="Q689" i="1" s="1"/>
  <c r="L690" i="1" l="1"/>
  <c r="N690" i="1"/>
  <c r="O690" i="1" l="1"/>
  <c r="P690" i="1" s="1"/>
  <c r="Q690" i="1" s="1"/>
  <c r="L691" i="1" l="1"/>
  <c r="N691" i="1"/>
  <c r="O691" i="1" l="1"/>
  <c r="P691" i="1" s="1"/>
  <c r="Q691" i="1" s="1"/>
  <c r="L692" i="1" l="1"/>
  <c r="N692" i="1"/>
  <c r="O692" i="1" l="1"/>
  <c r="P692" i="1" s="1"/>
  <c r="Q692" i="1" s="1"/>
  <c r="L693" i="1" l="1"/>
  <c r="N693" i="1"/>
  <c r="O693" i="1" l="1"/>
  <c r="P693" i="1" s="1"/>
  <c r="Q693" i="1" s="1"/>
  <c r="L694" i="1" l="1"/>
  <c r="N694" i="1"/>
  <c r="O694" i="1" l="1"/>
  <c r="P694" i="1" s="1"/>
  <c r="Q694" i="1" s="1"/>
  <c r="L695" i="1" l="1"/>
  <c r="N695" i="1"/>
  <c r="O695" i="1" l="1"/>
  <c r="P695" i="1" s="1"/>
  <c r="Q695" i="1" s="1"/>
  <c r="L696" i="1" l="1"/>
  <c r="N696" i="1"/>
  <c r="O696" i="1" l="1"/>
  <c r="P696" i="1" s="1"/>
  <c r="Q696" i="1" s="1"/>
  <c r="L697" i="1" l="1"/>
  <c r="N697" i="1"/>
  <c r="O697" i="1" l="1"/>
  <c r="P697" i="1" s="1"/>
  <c r="Q697" i="1" s="1"/>
  <c r="L698" i="1" l="1"/>
  <c r="N698" i="1"/>
  <c r="O698" i="1" l="1"/>
  <c r="P698" i="1" s="1"/>
  <c r="Q698" i="1" s="1"/>
  <c r="L699" i="1" l="1"/>
  <c r="N699" i="1"/>
  <c r="O699" i="1" l="1"/>
  <c r="P699" i="1" s="1"/>
  <c r="Q699" i="1" s="1"/>
  <c r="L700" i="1" l="1"/>
  <c r="N700" i="1"/>
  <c r="O700" i="1" l="1"/>
  <c r="P700" i="1" s="1"/>
  <c r="Q700" i="1" s="1"/>
  <c r="L701" i="1" l="1"/>
  <c r="N701" i="1"/>
  <c r="O701" i="1" l="1"/>
  <c r="P701" i="1" s="1"/>
  <c r="Q701" i="1" s="1"/>
  <c r="L702" i="1" l="1"/>
  <c r="N702" i="1"/>
  <c r="O702" i="1" l="1"/>
  <c r="P702" i="1" s="1"/>
  <c r="Q702" i="1" s="1"/>
  <c r="L703" i="1" l="1"/>
  <c r="N703" i="1"/>
  <c r="O703" i="1" l="1"/>
  <c r="P703" i="1" s="1"/>
  <c r="Q703" i="1" s="1"/>
  <c r="L704" i="1" l="1"/>
  <c r="N704" i="1"/>
  <c r="O704" i="1" l="1"/>
  <c r="P704" i="1" s="1"/>
  <c r="Q704" i="1" s="1"/>
  <c r="L705" i="1" l="1"/>
  <c r="N705" i="1"/>
  <c r="O705" i="1" l="1"/>
  <c r="P705" i="1" s="1"/>
  <c r="Q705" i="1" s="1"/>
  <c r="L706" i="1" l="1"/>
  <c r="N706" i="1"/>
  <c r="O706" i="1" l="1"/>
  <c r="P706" i="1" s="1"/>
  <c r="Q706" i="1" s="1"/>
  <c r="L707" i="1" l="1"/>
  <c r="N707" i="1"/>
  <c r="O707" i="1" l="1"/>
  <c r="P707" i="1" s="1"/>
  <c r="Q707" i="1" s="1"/>
  <c r="L708" i="1" l="1"/>
  <c r="N708" i="1"/>
  <c r="O708" i="1" l="1"/>
  <c r="P708" i="1" s="1"/>
  <c r="Q708" i="1" s="1"/>
  <c r="L709" i="1" l="1"/>
  <c r="N709" i="1"/>
  <c r="O709" i="1" l="1"/>
  <c r="P709" i="1" s="1"/>
  <c r="Q709" i="1" s="1"/>
  <c r="L710" i="1" l="1"/>
  <c r="N710" i="1"/>
  <c r="O710" i="1" l="1"/>
  <c r="P710" i="1" s="1"/>
  <c r="Q710" i="1" s="1"/>
  <c r="L711" i="1" l="1"/>
  <c r="N711" i="1"/>
  <c r="O711" i="1" l="1"/>
  <c r="P711" i="1" s="1"/>
  <c r="Q711" i="1" s="1"/>
  <c r="L712" i="1" l="1"/>
  <c r="N712" i="1"/>
  <c r="O712" i="1" l="1"/>
  <c r="P712" i="1" s="1"/>
  <c r="Q712" i="1" s="1"/>
  <c r="L713" i="1" l="1"/>
  <c r="N713" i="1"/>
  <c r="O713" i="1" l="1"/>
  <c r="P713" i="1" s="1"/>
  <c r="Q713" i="1" s="1"/>
  <c r="L714" i="1" l="1"/>
  <c r="N714" i="1"/>
  <c r="O714" i="1" l="1"/>
  <c r="P714" i="1" s="1"/>
  <c r="Q714" i="1" s="1"/>
  <c r="L715" i="1" l="1"/>
  <c r="N715" i="1"/>
  <c r="O715" i="1" l="1"/>
  <c r="P715" i="1" s="1"/>
  <c r="Q715" i="1" s="1"/>
  <c r="L716" i="1" l="1"/>
  <c r="N716" i="1"/>
  <c r="O716" i="1" l="1"/>
  <c r="P716" i="1" s="1"/>
  <c r="Q716" i="1" s="1"/>
  <c r="L717" i="1" l="1"/>
  <c r="N717" i="1"/>
  <c r="O717" i="1" l="1"/>
  <c r="P717" i="1" s="1"/>
  <c r="Q717" i="1" s="1"/>
  <c r="L718" i="1" l="1"/>
  <c r="N718" i="1"/>
  <c r="O718" i="1" l="1"/>
  <c r="P718" i="1" s="1"/>
  <c r="Q718" i="1" s="1"/>
  <c r="L719" i="1" l="1"/>
  <c r="N719" i="1"/>
  <c r="O719" i="1" l="1"/>
  <c r="P719" i="1" s="1"/>
  <c r="Q719" i="1" s="1"/>
  <c r="L720" i="1" l="1"/>
  <c r="N720" i="1"/>
  <c r="O720" i="1" l="1"/>
  <c r="P720" i="1" s="1"/>
  <c r="Q720" i="1" s="1"/>
  <c r="L721" i="1" l="1"/>
  <c r="N721" i="1"/>
  <c r="O721" i="1" l="1"/>
  <c r="P721" i="1" s="1"/>
  <c r="Q721" i="1" s="1"/>
  <c r="L722" i="1" l="1"/>
  <c r="N722" i="1"/>
  <c r="O722" i="1" l="1"/>
  <c r="P722" i="1" s="1"/>
  <c r="Q722" i="1" s="1"/>
  <c r="L723" i="1" l="1"/>
  <c r="N723" i="1"/>
  <c r="O723" i="1" l="1"/>
  <c r="P723" i="1" s="1"/>
  <c r="Q723" i="1" s="1"/>
  <c r="L724" i="1" l="1"/>
  <c r="N724" i="1"/>
  <c r="O724" i="1" l="1"/>
  <c r="P724" i="1" s="1"/>
  <c r="Q724" i="1" s="1"/>
  <c r="L725" i="1" l="1"/>
  <c r="N725" i="1"/>
  <c r="O725" i="1" l="1"/>
  <c r="P725" i="1" s="1"/>
  <c r="Q725" i="1" s="1"/>
  <c r="L726" i="1" l="1"/>
  <c r="N726" i="1"/>
  <c r="O726" i="1" l="1"/>
  <c r="P726" i="1" s="1"/>
  <c r="Q726" i="1" s="1"/>
  <c r="L727" i="1" l="1"/>
  <c r="N727" i="1"/>
  <c r="O727" i="1" l="1"/>
  <c r="P727" i="1" s="1"/>
  <c r="Q727" i="1" s="1"/>
  <c r="L728" i="1" l="1"/>
  <c r="N728" i="1"/>
  <c r="O728" i="1" l="1"/>
  <c r="P728" i="1" s="1"/>
  <c r="Q728" i="1" s="1"/>
  <c r="L729" i="1" l="1"/>
  <c r="N729" i="1"/>
  <c r="O729" i="1" l="1"/>
  <c r="P729" i="1" s="1"/>
  <c r="Q729" i="1" s="1"/>
  <c r="L730" i="1" l="1"/>
  <c r="N730" i="1"/>
  <c r="O730" i="1" l="1"/>
  <c r="P730" i="1" s="1"/>
  <c r="Q730" i="1" s="1"/>
  <c r="L731" i="1" l="1"/>
  <c r="N731" i="1"/>
  <c r="O731" i="1" l="1"/>
  <c r="P731" i="1" s="1"/>
  <c r="Q731" i="1" s="1"/>
  <c r="L732" i="1" l="1"/>
  <c r="N732" i="1"/>
  <c r="O732" i="1" l="1"/>
  <c r="P732" i="1" s="1"/>
  <c r="Q732" i="1" s="1"/>
  <c r="L733" i="1" l="1"/>
  <c r="N733" i="1"/>
  <c r="O733" i="1" l="1"/>
  <c r="P733" i="1" s="1"/>
  <c r="Q733" i="1" s="1"/>
  <c r="L734" i="1" l="1"/>
  <c r="N734" i="1"/>
  <c r="O734" i="1" l="1"/>
  <c r="P734" i="1" s="1"/>
  <c r="Q734" i="1" s="1"/>
  <c r="L735" i="1" l="1"/>
  <c r="N735" i="1"/>
  <c r="O735" i="1" l="1"/>
  <c r="P735" i="1" s="1"/>
  <c r="Q735" i="1" s="1"/>
  <c r="L736" i="1" l="1"/>
  <c r="N736" i="1"/>
  <c r="O736" i="1" l="1"/>
  <c r="P736" i="1" s="1"/>
  <c r="Q736" i="1" s="1"/>
  <c r="L737" i="1" l="1"/>
  <c r="N737" i="1"/>
  <c r="O737" i="1" l="1"/>
  <c r="P737" i="1" s="1"/>
  <c r="Q737" i="1" s="1"/>
  <c r="L738" i="1" l="1"/>
  <c r="N738" i="1"/>
  <c r="O738" i="1" l="1"/>
  <c r="P738" i="1" s="1"/>
  <c r="Q738" i="1" s="1"/>
  <c r="L739" i="1" l="1"/>
  <c r="N739" i="1"/>
  <c r="O739" i="1" l="1"/>
  <c r="P739" i="1" s="1"/>
  <c r="Q739" i="1" s="1"/>
  <c r="L740" i="1" l="1"/>
  <c r="N740" i="1"/>
  <c r="O740" i="1" l="1"/>
  <c r="P740" i="1" s="1"/>
  <c r="Q740" i="1" s="1"/>
  <c r="L741" i="1" l="1"/>
  <c r="N741" i="1"/>
  <c r="O741" i="1" l="1"/>
  <c r="P741" i="1" s="1"/>
  <c r="Q741" i="1" s="1"/>
  <c r="L742" i="1" l="1"/>
  <c r="N742" i="1"/>
  <c r="O742" i="1" l="1"/>
  <c r="P742" i="1" s="1"/>
  <c r="Q742" i="1" s="1"/>
  <c r="L743" i="1" l="1"/>
  <c r="N743" i="1"/>
  <c r="O743" i="1" l="1"/>
  <c r="P743" i="1" s="1"/>
  <c r="Q743" i="1" s="1"/>
  <c r="L744" i="1" l="1"/>
  <c r="N744" i="1"/>
  <c r="O744" i="1" l="1"/>
  <c r="P744" i="1" s="1"/>
  <c r="Q744" i="1" s="1"/>
  <c r="L745" i="1" l="1"/>
  <c r="N745" i="1"/>
  <c r="O745" i="1" l="1"/>
  <c r="P745" i="1" s="1"/>
  <c r="Q745" i="1" s="1"/>
  <c r="L746" i="1" l="1"/>
  <c r="N746" i="1"/>
  <c r="O746" i="1" l="1"/>
  <c r="P746" i="1" s="1"/>
  <c r="Q746" i="1" s="1"/>
  <c r="L747" i="1" l="1"/>
  <c r="N747" i="1"/>
  <c r="O747" i="1" l="1"/>
  <c r="P747" i="1" s="1"/>
  <c r="Q747" i="1" s="1"/>
  <c r="L748" i="1" l="1"/>
  <c r="N748" i="1"/>
  <c r="O748" i="1" l="1"/>
  <c r="P748" i="1" s="1"/>
  <c r="Q748" i="1" s="1"/>
  <c r="L749" i="1" l="1"/>
  <c r="N749" i="1"/>
  <c r="O749" i="1" l="1"/>
  <c r="P749" i="1" s="1"/>
  <c r="Q749" i="1" s="1"/>
  <c r="L750" i="1" l="1"/>
  <c r="N750" i="1"/>
  <c r="O750" i="1" l="1"/>
  <c r="P750" i="1" s="1"/>
  <c r="Q750" i="1" s="1"/>
  <c r="L751" i="1" l="1"/>
  <c r="N751" i="1"/>
  <c r="O751" i="1" l="1"/>
  <c r="P751" i="1" s="1"/>
  <c r="Q751" i="1" s="1"/>
  <c r="L752" i="1" l="1"/>
  <c r="N752" i="1"/>
  <c r="O752" i="1" l="1"/>
  <c r="P752" i="1" s="1"/>
  <c r="Q752" i="1" s="1"/>
  <c r="L753" i="1" l="1"/>
  <c r="N753" i="1"/>
  <c r="O753" i="1" l="1"/>
  <c r="P753" i="1" s="1"/>
  <c r="Q753" i="1" s="1"/>
  <c r="L754" i="1" l="1"/>
  <c r="N754" i="1"/>
  <c r="O754" i="1" l="1"/>
  <c r="P754" i="1" s="1"/>
  <c r="Q754" i="1" s="1"/>
  <c r="L755" i="1" l="1"/>
  <c r="N755" i="1"/>
  <c r="O755" i="1" l="1"/>
  <c r="P755" i="1" s="1"/>
  <c r="Q755" i="1" s="1"/>
  <c r="L756" i="1" l="1"/>
  <c r="N756" i="1"/>
  <c r="O756" i="1" l="1"/>
  <c r="P756" i="1" s="1"/>
  <c r="Q756" i="1" s="1"/>
  <c r="L757" i="1" l="1"/>
  <c r="N757" i="1"/>
  <c r="O757" i="1" l="1"/>
  <c r="P757" i="1" s="1"/>
  <c r="Q757" i="1" s="1"/>
  <c r="L758" i="1" l="1"/>
  <c r="N758" i="1"/>
  <c r="O758" i="1" l="1"/>
  <c r="P758" i="1" s="1"/>
  <c r="Q758" i="1" s="1"/>
  <c r="L759" i="1" l="1"/>
  <c r="N759" i="1"/>
  <c r="O759" i="1" l="1"/>
  <c r="P759" i="1" s="1"/>
  <c r="Q759" i="1" s="1"/>
  <c r="L760" i="1" l="1"/>
  <c r="N760" i="1"/>
  <c r="O760" i="1" l="1"/>
  <c r="P760" i="1" s="1"/>
  <c r="Q760" i="1" s="1"/>
  <c r="L761" i="1" l="1"/>
  <c r="N761" i="1"/>
  <c r="O761" i="1" l="1"/>
  <c r="P761" i="1" s="1"/>
  <c r="Q761" i="1" s="1"/>
  <c r="L762" i="1" l="1"/>
  <c r="N762" i="1"/>
  <c r="O762" i="1" l="1"/>
  <c r="P762" i="1" s="1"/>
  <c r="Q762" i="1" s="1"/>
  <c r="L763" i="1" l="1"/>
  <c r="N763" i="1"/>
  <c r="O763" i="1" l="1"/>
  <c r="P763" i="1" s="1"/>
  <c r="Q763" i="1" s="1"/>
  <c r="L764" i="1" l="1"/>
  <c r="N764" i="1"/>
  <c r="O764" i="1" l="1"/>
  <c r="P764" i="1" s="1"/>
  <c r="Q764" i="1" s="1"/>
  <c r="L765" i="1" l="1"/>
  <c r="N765" i="1"/>
  <c r="O765" i="1" l="1"/>
  <c r="P765" i="1" s="1"/>
  <c r="Q765" i="1" s="1"/>
  <c r="L766" i="1" l="1"/>
  <c r="N766" i="1"/>
  <c r="O766" i="1" l="1"/>
  <c r="P766" i="1" s="1"/>
  <c r="Q766" i="1" s="1"/>
  <c r="L767" i="1" l="1"/>
  <c r="N767" i="1"/>
  <c r="O767" i="1" l="1"/>
  <c r="P767" i="1" s="1"/>
  <c r="Q767" i="1" s="1"/>
  <c r="L768" i="1" l="1"/>
  <c r="N768" i="1"/>
  <c r="O768" i="1" l="1"/>
  <c r="P768" i="1" s="1"/>
  <c r="Q768" i="1" s="1"/>
  <c r="L769" i="1" l="1"/>
  <c r="N769" i="1"/>
  <c r="O769" i="1" l="1"/>
  <c r="P769" i="1" s="1"/>
  <c r="Q769" i="1" s="1"/>
  <c r="L770" i="1" l="1"/>
  <c r="N770" i="1"/>
  <c r="O770" i="1" l="1"/>
  <c r="P770" i="1" s="1"/>
  <c r="Q770" i="1" s="1"/>
  <c r="L771" i="1" l="1"/>
  <c r="N771" i="1"/>
  <c r="O771" i="1" l="1"/>
  <c r="P771" i="1" s="1"/>
  <c r="Q771" i="1" s="1"/>
  <c r="L772" i="1" l="1"/>
  <c r="N772" i="1"/>
  <c r="O772" i="1" l="1"/>
  <c r="P772" i="1" s="1"/>
  <c r="Q772" i="1" s="1"/>
  <c r="L773" i="1" l="1"/>
  <c r="N773" i="1"/>
  <c r="O773" i="1" l="1"/>
  <c r="P773" i="1" s="1"/>
  <c r="Q773" i="1" s="1"/>
  <c r="L774" i="1" l="1"/>
  <c r="N774" i="1"/>
  <c r="O774" i="1" l="1"/>
  <c r="P774" i="1" s="1"/>
  <c r="Q774" i="1" s="1"/>
  <c r="L775" i="1" l="1"/>
  <c r="N775" i="1"/>
  <c r="O775" i="1" l="1"/>
  <c r="P775" i="1" s="1"/>
  <c r="Q775" i="1" s="1"/>
  <c r="L776" i="1" l="1"/>
  <c r="N776" i="1"/>
  <c r="O776" i="1" l="1"/>
  <c r="P776" i="1" s="1"/>
  <c r="Q776" i="1" s="1"/>
  <c r="L777" i="1" l="1"/>
  <c r="N777" i="1"/>
  <c r="O777" i="1" l="1"/>
  <c r="P777" i="1" s="1"/>
  <c r="Q777" i="1" s="1"/>
  <c r="L778" i="1" l="1"/>
  <c r="N778" i="1"/>
  <c r="O778" i="1" l="1"/>
  <c r="P778" i="1" s="1"/>
  <c r="Q778" i="1" s="1"/>
  <c r="L779" i="1" l="1"/>
  <c r="N779" i="1"/>
  <c r="O779" i="1" l="1"/>
  <c r="P779" i="1" s="1"/>
  <c r="Q779" i="1" s="1"/>
  <c r="L780" i="1" l="1"/>
  <c r="N780" i="1"/>
  <c r="O780" i="1" l="1"/>
  <c r="P780" i="1" s="1"/>
  <c r="Q780" i="1" s="1"/>
  <c r="L781" i="1" l="1"/>
  <c r="N781" i="1"/>
  <c r="O781" i="1" l="1"/>
  <c r="P781" i="1" s="1"/>
  <c r="Q781" i="1" s="1"/>
  <c r="L782" i="1" l="1"/>
  <c r="N782" i="1"/>
  <c r="O782" i="1" l="1"/>
  <c r="P782" i="1" s="1"/>
  <c r="Q782" i="1" s="1"/>
  <c r="L783" i="1" l="1"/>
  <c r="N783" i="1"/>
  <c r="O783" i="1" l="1"/>
  <c r="P783" i="1" s="1"/>
  <c r="Q783" i="1" s="1"/>
  <c r="L784" i="1" l="1"/>
  <c r="N784" i="1"/>
  <c r="O784" i="1" l="1"/>
  <c r="P784" i="1" s="1"/>
  <c r="Q784" i="1" s="1"/>
  <c r="L785" i="1" l="1"/>
  <c r="N785" i="1"/>
  <c r="O785" i="1" l="1"/>
  <c r="P785" i="1" s="1"/>
  <c r="Q785" i="1" s="1"/>
  <c r="L786" i="1" l="1"/>
  <c r="N786" i="1"/>
  <c r="O786" i="1" l="1"/>
  <c r="P786" i="1" s="1"/>
  <c r="Q786" i="1" s="1"/>
  <c r="L787" i="1" l="1"/>
  <c r="N787" i="1"/>
  <c r="O787" i="1" l="1"/>
  <c r="P787" i="1" s="1"/>
  <c r="Q787" i="1" s="1"/>
  <c r="L788" i="1" l="1"/>
  <c r="N788" i="1"/>
  <c r="O788" i="1" l="1"/>
  <c r="P788" i="1" s="1"/>
  <c r="Q788" i="1" s="1"/>
  <c r="L789" i="1" l="1"/>
  <c r="N789" i="1"/>
  <c r="O789" i="1" l="1"/>
  <c r="P789" i="1" s="1"/>
  <c r="Q789" i="1" s="1"/>
  <c r="L790" i="1" l="1"/>
  <c r="N790" i="1"/>
  <c r="O790" i="1" l="1"/>
  <c r="P790" i="1" s="1"/>
  <c r="Q790" i="1" s="1"/>
  <c r="L791" i="1" l="1"/>
  <c r="N791" i="1"/>
  <c r="O791" i="1" l="1"/>
  <c r="P791" i="1" s="1"/>
  <c r="Q791" i="1" s="1"/>
  <c r="L792" i="1" l="1"/>
  <c r="N792" i="1"/>
  <c r="O792" i="1" l="1"/>
  <c r="P792" i="1" s="1"/>
  <c r="Q792" i="1" s="1"/>
  <c r="L793" i="1" l="1"/>
  <c r="N793" i="1"/>
  <c r="O793" i="1" l="1"/>
  <c r="P793" i="1" s="1"/>
  <c r="Q793" i="1" s="1"/>
  <c r="L794" i="1" l="1"/>
  <c r="N794" i="1"/>
  <c r="O794" i="1" l="1"/>
  <c r="P794" i="1" s="1"/>
  <c r="Q794" i="1" s="1"/>
  <c r="L795" i="1" l="1"/>
  <c r="N795" i="1"/>
  <c r="O795" i="1" l="1"/>
  <c r="P795" i="1" s="1"/>
  <c r="Q795" i="1" s="1"/>
  <c r="L796" i="1" l="1"/>
  <c r="N796" i="1"/>
  <c r="O796" i="1" l="1"/>
  <c r="P796" i="1" s="1"/>
  <c r="Q796" i="1" s="1"/>
  <c r="L797" i="1" l="1"/>
  <c r="N797" i="1"/>
  <c r="O797" i="1" l="1"/>
  <c r="P797" i="1" s="1"/>
  <c r="Q797" i="1" s="1"/>
  <c r="L798" i="1" l="1"/>
  <c r="N798" i="1"/>
  <c r="O798" i="1" l="1"/>
  <c r="P798" i="1" s="1"/>
  <c r="Q798" i="1" s="1"/>
  <c r="L799" i="1" l="1"/>
  <c r="N799" i="1"/>
  <c r="O799" i="1" l="1"/>
  <c r="P799" i="1" s="1"/>
  <c r="Q799" i="1" s="1"/>
  <c r="L800" i="1" l="1"/>
  <c r="N800" i="1"/>
  <c r="O800" i="1" l="1"/>
  <c r="P800" i="1" s="1"/>
  <c r="Q800" i="1" s="1"/>
  <c r="L801" i="1" l="1"/>
  <c r="N801" i="1"/>
  <c r="O801" i="1" l="1"/>
  <c r="P801" i="1" s="1"/>
  <c r="Q801" i="1" s="1"/>
  <c r="L802" i="1" l="1"/>
  <c r="N802" i="1"/>
  <c r="O802" i="1" l="1"/>
  <c r="P802" i="1" s="1"/>
  <c r="Q802" i="1" s="1"/>
  <c r="L803" i="1" l="1"/>
  <c r="N803" i="1"/>
  <c r="O803" i="1" l="1"/>
  <c r="P803" i="1" s="1"/>
  <c r="Q803" i="1" s="1"/>
  <c r="L804" i="1" l="1"/>
  <c r="N804" i="1"/>
  <c r="O804" i="1" l="1"/>
  <c r="P804" i="1" s="1"/>
  <c r="Q804" i="1" s="1"/>
  <c r="L805" i="1" l="1"/>
  <c r="N805" i="1"/>
  <c r="O805" i="1" l="1"/>
  <c r="P805" i="1" s="1"/>
  <c r="Q805" i="1" s="1"/>
  <c r="L806" i="1" l="1"/>
  <c r="N806" i="1"/>
  <c r="O806" i="1" l="1"/>
  <c r="P806" i="1" s="1"/>
  <c r="Q806" i="1" s="1"/>
  <c r="L807" i="1" l="1"/>
  <c r="N807" i="1"/>
  <c r="O807" i="1" l="1"/>
  <c r="P807" i="1" s="1"/>
  <c r="Q807" i="1" s="1"/>
  <c r="L808" i="1" l="1"/>
  <c r="N808" i="1"/>
  <c r="O808" i="1" l="1"/>
  <c r="P808" i="1" s="1"/>
  <c r="Q808" i="1" s="1"/>
  <c r="L809" i="1" l="1"/>
  <c r="N809" i="1"/>
  <c r="O809" i="1" l="1"/>
  <c r="P809" i="1" s="1"/>
  <c r="Q809" i="1" s="1"/>
  <c r="L810" i="1" l="1"/>
  <c r="N810" i="1"/>
  <c r="O810" i="1" l="1"/>
  <c r="P810" i="1" s="1"/>
  <c r="Q810" i="1" s="1"/>
  <c r="L811" i="1" l="1"/>
  <c r="N811" i="1"/>
  <c r="O811" i="1" l="1"/>
  <c r="P811" i="1" s="1"/>
  <c r="Q811" i="1" s="1"/>
  <c r="L812" i="1" l="1"/>
  <c r="N812" i="1"/>
  <c r="O812" i="1" l="1"/>
  <c r="P812" i="1" s="1"/>
  <c r="Q812" i="1" s="1"/>
  <c r="L813" i="1" l="1"/>
  <c r="N813" i="1"/>
  <c r="O813" i="1" l="1"/>
  <c r="P813" i="1" s="1"/>
  <c r="Q813" i="1" s="1"/>
  <c r="L814" i="1" l="1"/>
  <c r="N814" i="1"/>
  <c r="O814" i="1" l="1"/>
  <c r="P814" i="1" s="1"/>
  <c r="Q814" i="1" s="1"/>
  <c r="L815" i="1" l="1"/>
  <c r="N815" i="1"/>
  <c r="O815" i="1" l="1"/>
  <c r="P815" i="1" s="1"/>
  <c r="Q815" i="1" s="1"/>
  <c r="L816" i="1" l="1"/>
  <c r="N816" i="1"/>
  <c r="O816" i="1" l="1"/>
  <c r="P816" i="1" s="1"/>
  <c r="Q816" i="1" s="1"/>
  <c r="L817" i="1" l="1"/>
  <c r="N817" i="1"/>
  <c r="O817" i="1" l="1"/>
  <c r="P817" i="1" s="1"/>
  <c r="Q817" i="1" s="1"/>
  <c r="L818" i="1" l="1"/>
  <c r="N818" i="1"/>
  <c r="O818" i="1" l="1"/>
  <c r="P818" i="1" s="1"/>
  <c r="Q818" i="1" s="1"/>
  <c r="L819" i="1" l="1"/>
  <c r="N819" i="1"/>
  <c r="O819" i="1" l="1"/>
  <c r="P819" i="1" s="1"/>
  <c r="Q819" i="1" s="1"/>
  <c r="L820" i="1" l="1"/>
  <c r="N820" i="1"/>
  <c r="O820" i="1" l="1"/>
  <c r="P820" i="1" s="1"/>
  <c r="Q820" i="1" s="1"/>
  <c r="L821" i="1" l="1"/>
  <c r="N821" i="1"/>
  <c r="O821" i="1" l="1"/>
  <c r="P821" i="1" s="1"/>
  <c r="Q821" i="1" s="1"/>
  <c r="L822" i="1" l="1"/>
  <c r="N822" i="1"/>
  <c r="O822" i="1" l="1"/>
  <c r="P822" i="1" s="1"/>
  <c r="Q822" i="1" s="1"/>
  <c r="L823" i="1" l="1"/>
  <c r="N823" i="1"/>
  <c r="O823" i="1" l="1"/>
  <c r="P823" i="1" s="1"/>
  <c r="Q823" i="1" s="1"/>
  <c r="L824" i="1" l="1"/>
  <c r="N824" i="1"/>
  <c r="O824" i="1" l="1"/>
  <c r="P824" i="1" s="1"/>
  <c r="Q824" i="1" s="1"/>
  <c r="L825" i="1" l="1"/>
  <c r="N825" i="1"/>
  <c r="O825" i="1" l="1"/>
  <c r="P825" i="1" s="1"/>
  <c r="Q825" i="1" s="1"/>
  <c r="L826" i="1" l="1"/>
  <c r="N826" i="1"/>
  <c r="O826" i="1" l="1"/>
  <c r="P826" i="1" s="1"/>
  <c r="Q826" i="1" s="1"/>
  <c r="L827" i="1" l="1"/>
  <c r="N827" i="1"/>
  <c r="O827" i="1" l="1"/>
  <c r="P827" i="1" s="1"/>
  <c r="Q827" i="1" s="1"/>
  <c r="L828" i="1" l="1"/>
  <c r="N828" i="1"/>
  <c r="O828" i="1" l="1"/>
  <c r="P828" i="1" s="1"/>
  <c r="Q828" i="1" s="1"/>
  <c r="L829" i="1" l="1"/>
  <c r="N829" i="1"/>
  <c r="O829" i="1" l="1"/>
  <c r="P829" i="1" s="1"/>
  <c r="Q829" i="1" s="1"/>
  <c r="L830" i="1" l="1"/>
  <c r="N830" i="1"/>
  <c r="O830" i="1" l="1"/>
  <c r="P830" i="1" s="1"/>
  <c r="Q830" i="1" s="1"/>
  <c r="L831" i="1" l="1"/>
  <c r="N831" i="1"/>
  <c r="O831" i="1" l="1"/>
  <c r="P831" i="1" s="1"/>
  <c r="Q831" i="1" s="1"/>
  <c r="L832" i="1" l="1"/>
  <c r="N832" i="1"/>
  <c r="O832" i="1" l="1"/>
  <c r="P832" i="1" s="1"/>
  <c r="Q832" i="1" s="1"/>
  <c r="L833" i="1" l="1"/>
  <c r="N833" i="1"/>
  <c r="O833" i="1" l="1"/>
  <c r="P833" i="1" s="1"/>
  <c r="Q833" i="1" s="1"/>
  <c r="L834" i="1" l="1"/>
  <c r="N834" i="1"/>
  <c r="O834" i="1" l="1"/>
  <c r="P834" i="1" s="1"/>
  <c r="Q834" i="1" s="1"/>
  <c r="L835" i="1" l="1"/>
  <c r="N835" i="1"/>
  <c r="O835" i="1" l="1"/>
  <c r="P835" i="1" s="1"/>
  <c r="Q835" i="1" s="1"/>
  <c r="L836" i="1" l="1"/>
  <c r="N836" i="1"/>
  <c r="O836" i="1" l="1"/>
  <c r="P836" i="1" s="1"/>
  <c r="Q836" i="1" s="1"/>
  <c r="L837" i="1" l="1"/>
  <c r="N837" i="1"/>
  <c r="O837" i="1" l="1"/>
  <c r="P837" i="1" s="1"/>
  <c r="Q837" i="1" s="1"/>
  <c r="L838" i="1" l="1"/>
  <c r="N838" i="1"/>
  <c r="O838" i="1" l="1"/>
  <c r="P838" i="1" s="1"/>
  <c r="Q838" i="1" s="1"/>
  <c r="L839" i="1" l="1"/>
  <c r="N839" i="1"/>
  <c r="O839" i="1" l="1"/>
  <c r="P839" i="1" s="1"/>
  <c r="Q839" i="1" s="1"/>
  <c r="L840" i="1" l="1"/>
  <c r="N840" i="1"/>
  <c r="O840" i="1" l="1"/>
  <c r="P840" i="1" s="1"/>
  <c r="Q840" i="1" s="1"/>
  <c r="L841" i="1" l="1"/>
  <c r="N841" i="1"/>
  <c r="O841" i="1" l="1"/>
  <c r="P841" i="1" s="1"/>
  <c r="Q841" i="1" s="1"/>
  <c r="L842" i="1" l="1"/>
  <c r="N842" i="1"/>
  <c r="O842" i="1" l="1"/>
  <c r="P842" i="1" s="1"/>
  <c r="Q842" i="1" s="1"/>
  <c r="L843" i="1" l="1"/>
  <c r="N843" i="1"/>
  <c r="O843" i="1" l="1"/>
  <c r="P843" i="1" s="1"/>
  <c r="Q843" i="1" s="1"/>
  <c r="L844" i="1" l="1"/>
  <c r="N844" i="1"/>
  <c r="O844" i="1" l="1"/>
  <c r="P844" i="1" s="1"/>
  <c r="Q844" i="1" s="1"/>
  <c r="L845" i="1" l="1"/>
  <c r="N845" i="1"/>
  <c r="O845" i="1" l="1"/>
  <c r="P845" i="1" s="1"/>
  <c r="Q845" i="1" s="1"/>
  <c r="L846" i="1" l="1"/>
  <c r="N846" i="1"/>
  <c r="O846" i="1" l="1"/>
  <c r="P846" i="1" s="1"/>
  <c r="Q846" i="1" s="1"/>
  <c r="L847" i="1" l="1"/>
  <c r="N847" i="1"/>
  <c r="O847" i="1" l="1"/>
  <c r="P847" i="1" s="1"/>
  <c r="Q847" i="1" s="1"/>
  <c r="L848" i="1" l="1"/>
  <c r="N848" i="1"/>
  <c r="O848" i="1" l="1"/>
  <c r="P848" i="1" s="1"/>
  <c r="Q848" i="1" s="1"/>
  <c r="L849" i="1" l="1"/>
  <c r="N849" i="1"/>
  <c r="O849" i="1" l="1"/>
  <c r="P849" i="1" s="1"/>
  <c r="Q849" i="1" s="1"/>
  <c r="L850" i="1" l="1"/>
  <c r="N850" i="1"/>
  <c r="O850" i="1" l="1"/>
  <c r="P850" i="1" s="1"/>
  <c r="Q850" i="1" s="1"/>
  <c r="L851" i="1" l="1"/>
  <c r="N851" i="1"/>
  <c r="O851" i="1" l="1"/>
  <c r="P851" i="1" s="1"/>
  <c r="Q851" i="1" s="1"/>
  <c r="L852" i="1" l="1"/>
  <c r="N852" i="1"/>
  <c r="O852" i="1" l="1"/>
  <c r="P852" i="1" s="1"/>
  <c r="Q852" i="1" s="1"/>
  <c r="L853" i="1" l="1"/>
  <c r="N853" i="1"/>
  <c r="O853" i="1" l="1"/>
  <c r="P853" i="1" s="1"/>
  <c r="Q853" i="1" s="1"/>
  <c r="L854" i="1" l="1"/>
  <c r="N854" i="1"/>
  <c r="O854" i="1" l="1"/>
  <c r="P854" i="1" s="1"/>
  <c r="Q854" i="1" s="1"/>
  <c r="L855" i="1" l="1"/>
  <c r="N855" i="1"/>
  <c r="O855" i="1" l="1"/>
  <c r="P855" i="1" s="1"/>
  <c r="Q855" i="1" s="1"/>
  <c r="L856" i="1" l="1"/>
  <c r="N856" i="1"/>
  <c r="O856" i="1" l="1"/>
  <c r="P856" i="1" s="1"/>
  <c r="Q856" i="1" s="1"/>
  <c r="L857" i="1" l="1"/>
  <c r="N857" i="1"/>
  <c r="O857" i="1" l="1"/>
  <c r="P857" i="1" s="1"/>
  <c r="Q857" i="1" s="1"/>
  <c r="L858" i="1" l="1"/>
  <c r="N858" i="1"/>
  <c r="O858" i="1" l="1"/>
  <c r="P858" i="1" s="1"/>
  <c r="Q858" i="1" s="1"/>
  <c r="L859" i="1" l="1"/>
  <c r="N859" i="1"/>
  <c r="O859" i="1" l="1"/>
  <c r="P859" i="1" s="1"/>
  <c r="Q859" i="1" s="1"/>
  <c r="L860" i="1" l="1"/>
  <c r="N860" i="1"/>
  <c r="O860" i="1" l="1"/>
  <c r="P860" i="1" s="1"/>
  <c r="Q860" i="1" s="1"/>
  <c r="L861" i="1" l="1"/>
  <c r="N861" i="1"/>
  <c r="O861" i="1" l="1"/>
  <c r="P861" i="1" s="1"/>
  <c r="Q861" i="1" s="1"/>
  <c r="L862" i="1" l="1"/>
  <c r="N862" i="1"/>
  <c r="O862" i="1" l="1"/>
  <c r="P862" i="1" s="1"/>
  <c r="Q862" i="1" s="1"/>
  <c r="L863" i="1" l="1"/>
  <c r="N863" i="1"/>
  <c r="O863" i="1" l="1"/>
  <c r="P863" i="1" s="1"/>
  <c r="Q863" i="1" s="1"/>
  <c r="L864" i="1" l="1"/>
  <c r="N864" i="1"/>
  <c r="O864" i="1" l="1"/>
  <c r="P864" i="1" s="1"/>
  <c r="Q864" i="1" s="1"/>
  <c r="L865" i="1" l="1"/>
  <c r="N865" i="1"/>
  <c r="O865" i="1" l="1"/>
  <c r="P865" i="1" s="1"/>
  <c r="Q865" i="1" s="1"/>
  <c r="L866" i="1" l="1"/>
  <c r="N866" i="1"/>
  <c r="O866" i="1" l="1"/>
  <c r="P866" i="1" s="1"/>
  <c r="Q866" i="1" s="1"/>
  <c r="L867" i="1" l="1"/>
  <c r="N867" i="1"/>
  <c r="O867" i="1" l="1"/>
  <c r="P867" i="1" s="1"/>
  <c r="Q867" i="1" s="1"/>
  <c r="L868" i="1" l="1"/>
  <c r="N868" i="1"/>
  <c r="O868" i="1" l="1"/>
  <c r="P868" i="1" s="1"/>
  <c r="Q868" i="1" s="1"/>
  <c r="L869" i="1" l="1"/>
  <c r="N869" i="1"/>
  <c r="O869" i="1" l="1"/>
  <c r="P869" i="1" s="1"/>
  <c r="Q869" i="1" s="1"/>
  <c r="L870" i="1" l="1"/>
  <c r="N870" i="1"/>
  <c r="O870" i="1" l="1"/>
  <c r="P870" i="1" s="1"/>
  <c r="Q870" i="1" s="1"/>
  <c r="L871" i="1" l="1"/>
  <c r="N871" i="1"/>
  <c r="O871" i="1" l="1"/>
  <c r="P871" i="1" s="1"/>
  <c r="Q871" i="1" s="1"/>
  <c r="L872" i="1" l="1"/>
  <c r="N872" i="1"/>
  <c r="O872" i="1" l="1"/>
  <c r="P872" i="1" s="1"/>
  <c r="Q872" i="1" s="1"/>
  <c r="L873" i="1" l="1"/>
  <c r="N873" i="1"/>
  <c r="O873" i="1" l="1"/>
  <c r="P873" i="1" s="1"/>
  <c r="Q873" i="1" s="1"/>
  <c r="L874" i="1" l="1"/>
  <c r="N874" i="1"/>
  <c r="O874" i="1" l="1"/>
  <c r="P874" i="1" s="1"/>
  <c r="Q874" i="1" s="1"/>
  <c r="L875" i="1" l="1"/>
  <c r="N875" i="1"/>
  <c r="O875" i="1" l="1"/>
  <c r="P875" i="1" s="1"/>
  <c r="Q875" i="1" s="1"/>
  <c r="L876" i="1" l="1"/>
  <c r="N876" i="1"/>
  <c r="O876" i="1" l="1"/>
  <c r="P876" i="1" s="1"/>
  <c r="Q876" i="1" s="1"/>
  <c r="L877" i="1" l="1"/>
  <c r="N877" i="1"/>
  <c r="O877" i="1" l="1"/>
  <c r="P877" i="1" s="1"/>
  <c r="Q877" i="1" s="1"/>
  <c r="L878" i="1" l="1"/>
  <c r="N878" i="1"/>
  <c r="O878" i="1" l="1"/>
  <c r="P878" i="1" s="1"/>
  <c r="Q878" i="1" s="1"/>
  <c r="L879" i="1" l="1"/>
  <c r="N879" i="1"/>
  <c r="O879" i="1" l="1"/>
  <c r="P879" i="1" s="1"/>
  <c r="Q879" i="1" s="1"/>
  <c r="L880" i="1" l="1"/>
  <c r="N880" i="1"/>
  <c r="O880" i="1" l="1"/>
  <c r="P880" i="1" s="1"/>
  <c r="Q880" i="1" s="1"/>
  <c r="L881" i="1" l="1"/>
  <c r="N881" i="1"/>
  <c r="O881" i="1" l="1"/>
  <c r="P881" i="1" s="1"/>
  <c r="Q881" i="1" s="1"/>
  <c r="L882" i="1" l="1"/>
  <c r="N882" i="1"/>
  <c r="O882" i="1" l="1"/>
  <c r="P882" i="1" s="1"/>
  <c r="Q882" i="1" s="1"/>
  <c r="L883" i="1" l="1"/>
  <c r="N883" i="1"/>
  <c r="O883" i="1" l="1"/>
  <c r="P883" i="1" s="1"/>
  <c r="Q883" i="1" s="1"/>
  <c r="L884" i="1" l="1"/>
  <c r="N884" i="1"/>
  <c r="O884" i="1" l="1"/>
  <c r="P884" i="1" s="1"/>
  <c r="Q884" i="1" s="1"/>
  <c r="L885" i="1" l="1"/>
  <c r="N885" i="1"/>
  <c r="O885" i="1" l="1"/>
  <c r="P885" i="1" s="1"/>
  <c r="Q885" i="1" s="1"/>
  <c r="L886" i="1" l="1"/>
  <c r="N886" i="1"/>
  <c r="O886" i="1" l="1"/>
  <c r="P886" i="1" s="1"/>
  <c r="Q886" i="1" s="1"/>
  <c r="L887" i="1" l="1"/>
  <c r="N887" i="1"/>
  <c r="O887" i="1" l="1"/>
  <c r="P887" i="1" s="1"/>
  <c r="Q887" i="1" s="1"/>
  <c r="L888" i="1" l="1"/>
  <c r="N888" i="1"/>
  <c r="O888" i="1" l="1"/>
  <c r="P888" i="1" s="1"/>
  <c r="Q888" i="1" s="1"/>
  <c r="L889" i="1" l="1"/>
  <c r="N889" i="1"/>
  <c r="O889" i="1" l="1"/>
  <c r="P889" i="1" s="1"/>
  <c r="Q889" i="1" s="1"/>
  <c r="L890" i="1" l="1"/>
  <c r="N890" i="1"/>
  <c r="O890" i="1" l="1"/>
  <c r="P890" i="1" s="1"/>
  <c r="Q890" i="1" s="1"/>
  <c r="L891" i="1" l="1"/>
  <c r="N891" i="1"/>
  <c r="O891" i="1" l="1"/>
  <c r="P891" i="1" s="1"/>
  <c r="Q891" i="1" s="1"/>
  <c r="L892" i="1" l="1"/>
  <c r="N892" i="1"/>
  <c r="O892" i="1" l="1"/>
  <c r="P892" i="1" s="1"/>
  <c r="Q892" i="1" s="1"/>
  <c r="L893" i="1" l="1"/>
  <c r="N893" i="1"/>
  <c r="O893" i="1" l="1"/>
  <c r="P893" i="1" s="1"/>
  <c r="Q893" i="1" s="1"/>
  <c r="L894" i="1" l="1"/>
  <c r="N894" i="1"/>
  <c r="O894" i="1" l="1"/>
  <c r="P894" i="1" s="1"/>
  <c r="Q894" i="1" s="1"/>
  <c r="L895" i="1" l="1"/>
  <c r="N895" i="1"/>
  <c r="O895" i="1" l="1"/>
  <c r="P895" i="1" s="1"/>
  <c r="Q895" i="1" s="1"/>
  <c r="L896" i="1" l="1"/>
  <c r="N896" i="1"/>
  <c r="O896" i="1" l="1"/>
  <c r="P896" i="1" s="1"/>
  <c r="Q896" i="1" s="1"/>
  <c r="L897" i="1" l="1"/>
  <c r="N897" i="1"/>
  <c r="O897" i="1" l="1"/>
  <c r="P897" i="1" s="1"/>
  <c r="Q897" i="1" s="1"/>
  <c r="L898" i="1" l="1"/>
  <c r="N898" i="1"/>
  <c r="O898" i="1" l="1"/>
  <c r="P898" i="1" s="1"/>
  <c r="Q898" i="1" s="1"/>
  <c r="L899" i="1" l="1"/>
  <c r="N899" i="1"/>
  <c r="O899" i="1" l="1"/>
  <c r="P899" i="1" s="1"/>
  <c r="Q899" i="1" s="1"/>
  <c r="L900" i="1" l="1"/>
  <c r="N900" i="1"/>
  <c r="O900" i="1" l="1"/>
  <c r="P900" i="1" s="1"/>
  <c r="Q900" i="1" s="1"/>
  <c r="L901" i="1" l="1"/>
  <c r="N901" i="1"/>
  <c r="O901" i="1" l="1"/>
  <c r="P901" i="1" s="1"/>
  <c r="Q901" i="1" s="1"/>
  <c r="L902" i="1" l="1"/>
  <c r="N902" i="1"/>
  <c r="O902" i="1" l="1"/>
  <c r="P902" i="1" s="1"/>
  <c r="Q902" i="1" s="1"/>
  <c r="L903" i="1" l="1"/>
  <c r="N903" i="1"/>
  <c r="O903" i="1" l="1"/>
  <c r="P903" i="1" s="1"/>
  <c r="Q903" i="1" s="1"/>
  <c r="L904" i="1" l="1"/>
  <c r="N904" i="1"/>
  <c r="O904" i="1" l="1"/>
  <c r="P904" i="1" s="1"/>
  <c r="Q904" i="1" s="1"/>
  <c r="L905" i="1" l="1"/>
  <c r="N905" i="1"/>
  <c r="O905" i="1" l="1"/>
  <c r="P905" i="1" s="1"/>
  <c r="Q905" i="1" s="1"/>
  <c r="L906" i="1" l="1"/>
  <c r="N906" i="1"/>
  <c r="O906" i="1" l="1"/>
  <c r="P906" i="1" s="1"/>
  <c r="Q906" i="1" s="1"/>
  <c r="L907" i="1" l="1"/>
  <c r="N907" i="1"/>
  <c r="O907" i="1" l="1"/>
  <c r="P907" i="1" s="1"/>
  <c r="Q907" i="1" s="1"/>
  <c r="L908" i="1" l="1"/>
  <c r="N908" i="1"/>
  <c r="O908" i="1" l="1"/>
  <c r="P908" i="1" s="1"/>
  <c r="Q908" i="1" s="1"/>
  <c r="L909" i="1" l="1"/>
  <c r="N909" i="1"/>
  <c r="O909" i="1" l="1"/>
  <c r="P909" i="1" s="1"/>
  <c r="Q909" i="1" s="1"/>
  <c r="L910" i="1" l="1"/>
  <c r="N910" i="1"/>
  <c r="O910" i="1" l="1"/>
  <c r="P910" i="1" s="1"/>
  <c r="Q910" i="1" s="1"/>
  <c r="L911" i="1" l="1"/>
  <c r="N911" i="1"/>
  <c r="O911" i="1" l="1"/>
  <c r="P911" i="1" s="1"/>
  <c r="Q911" i="1" s="1"/>
  <c r="L912" i="1" l="1"/>
  <c r="N912" i="1"/>
  <c r="O912" i="1" l="1"/>
  <c r="P912" i="1" s="1"/>
  <c r="Q912" i="1" s="1"/>
  <c r="L913" i="1" l="1"/>
  <c r="N913" i="1"/>
  <c r="O913" i="1" l="1"/>
  <c r="P913" i="1" s="1"/>
  <c r="Q913" i="1" s="1"/>
  <c r="L914" i="1" l="1"/>
  <c r="N914" i="1"/>
  <c r="O914" i="1" l="1"/>
  <c r="P914" i="1" s="1"/>
  <c r="Q914" i="1" s="1"/>
  <c r="L915" i="1" l="1"/>
  <c r="N915" i="1"/>
  <c r="O915" i="1" l="1"/>
  <c r="P915" i="1" s="1"/>
  <c r="Q915" i="1" s="1"/>
  <c r="L916" i="1" l="1"/>
  <c r="N916" i="1"/>
  <c r="O916" i="1" l="1"/>
  <c r="P916" i="1" s="1"/>
  <c r="Q916" i="1" s="1"/>
  <c r="L917" i="1" l="1"/>
  <c r="N917" i="1"/>
  <c r="O917" i="1" l="1"/>
  <c r="P917" i="1" s="1"/>
  <c r="Q917" i="1" s="1"/>
  <c r="L918" i="1" l="1"/>
  <c r="N918" i="1"/>
  <c r="O918" i="1" l="1"/>
  <c r="P918" i="1" s="1"/>
  <c r="Q918" i="1" s="1"/>
  <c r="L919" i="1" l="1"/>
  <c r="N919" i="1"/>
  <c r="O919" i="1" l="1"/>
  <c r="P919" i="1" s="1"/>
  <c r="Q919" i="1" s="1"/>
  <c r="L920" i="1" l="1"/>
  <c r="N920" i="1"/>
  <c r="O920" i="1" l="1"/>
  <c r="P920" i="1" s="1"/>
  <c r="Q920" i="1" s="1"/>
  <c r="L921" i="1" l="1"/>
  <c r="N921" i="1"/>
  <c r="O921" i="1" l="1"/>
  <c r="P921" i="1" s="1"/>
  <c r="Q921" i="1" s="1"/>
  <c r="L922" i="1" l="1"/>
  <c r="N922" i="1"/>
  <c r="O922" i="1" l="1"/>
  <c r="P922" i="1" s="1"/>
  <c r="Q922" i="1" s="1"/>
  <c r="L923" i="1" l="1"/>
  <c r="N923" i="1"/>
  <c r="O923" i="1" l="1"/>
  <c r="P923" i="1" s="1"/>
  <c r="Q923" i="1" s="1"/>
  <c r="L924" i="1" l="1"/>
  <c r="N924" i="1"/>
  <c r="O924" i="1" l="1"/>
  <c r="P924" i="1" s="1"/>
  <c r="Q924" i="1" s="1"/>
  <c r="L925" i="1" l="1"/>
  <c r="N925" i="1"/>
  <c r="O925" i="1" l="1"/>
  <c r="P925" i="1" s="1"/>
  <c r="Q925" i="1" s="1"/>
  <c r="L926" i="1" l="1"/>
  <c r="N926" i="1"/>
  <c r="O926" i="1" l="1"/>
  <c r="P926" i="1" s="1"/>
  <c r="Q926" i="1" s="1"/>
  <c r="L927" i="1" l="1"/>
  <c r="N927" i="1"/>
  <c r="O927" i="1" l="1"/>
  <c r="P927" i="1" s="1"/>
  <c r="Q927" i="1" s="1"/>
  <c r="L928" i="1" l="1"/>
  <c r="N928" i="1"/>
  <c r="O928" i="1" l="1"/>
  <c r="P928" i="1" s="1"/>
  <c r="Q928" i="1" s="1"/>
  <c r="L929" i="1" l="1"/>
  <c r="N929" i="1"/>
  <c r="O929" i="1" l="1"/>
  <c r="P929" i="1" s="1"/>
  <c r="Q929" i="1" s="1"/>
  <c r="L930" i="1" l="1"/>
  <c r="N930" i="1"/>
  <c r="O930" i="1" l="1"/>
  <c r="P930" i="1" s="1"/>
  <c r="Q930" i="1" s="1"/>
  <c r="L931" i="1" l="1"/>
  <c r="N931" i="1"/>
  <c r="O931" i="1" l="1"/>
  <c r="P931" i="1" s="1"/>
  <c r="Q931" i="1" s="1"/>
  <c r="L932" i="1" l="1"/>
  <c r="N932" i="1"/>
  <c r="O932" i="1" l="1"/>
  <c r="P932" i="1" s="1"/>
  <c r="Q932" i="1" s="1"/>
  <c r="L933" i="1" l="1"/>
  <c r="N933" i="1"/>
  <c r="O933" i="1" l="1"/>
  <c r="P933" i="1" s="1"/>
  <c r="Q933" i="1" s="1"/>
  <c r="L934" i="1" l="1"/>
  <c r="N934" i="1"/>
  <c r="O934" i="1" l="1"/>
  <c r="P934" i="1" s="1"/>
  <c r="Q934" i="1" s="1"/>
  <c r="L935" i="1" l="1"/>
  <c r="N935" i="1"/>
  <c r="O935" i="1" l="1"/>
  <c r="P935" i="1" s="1"/>
  <c r="Q935" i="1" s="1"/>
  <c r="L936" i="1" l="1"/>
  <c r="N936" i="1"/>
  <c r="O936" i="1" l="1"/>
  <c r="P936" i="1" s="1"/>
  <c r="Q936" i="1" s="1"/>
  <c r="L937" i="1" l="1"/>
  <c r="N937" i="1"/>
  <c r="O937" i="1" l="1"/>
  <c r="P937" i="1" s="1"/>
  <c r="Q937" i="1" s="1"/>
  <c r="L938" i="1" l="1"/>
  <c r="N938" i="1"/>
  <c r="O938" i="1" l="1"/>
  <c r="P938" i="1" s="1"/>
  <c r="Q938" i="1" s="1"/>
  <c r="L939" i="1" l="1"/>
  <c r="N939" i="1"/>
  <c r="O939" i="1" l="1"/>
  <c r="P939" i="1" s="1"/>
  <c r="Q939" i="1" s="1"/>
  <c r="L940" i="1" l="1"/>
  <c r="N940" i="1"/>
  <c r="O940" i="1" l="1"/>
  <c r="P940" i="1" s="1"/>
  <c r="Q940" i="1" s="1"/>
  <c r="L941" i="1" l="1"/>
  <c r="N941" i="1"/>
  <c r="O941" i="1" l="1"/>
  <c r="P941" i="1" s="1"/>
  <c r="Q941" i="1" s="1"/>
  <c r="L942" i="1" l="1"/>
  <c r="N942" i="1"/>
  <c r="O942" i="1" l="1"/>
  <c r="P942" i="1" s="1"/>
  <c r="Q942" i="1" s="1"/>
  <c r="L943" i="1" l="1"/>
  <c r="N943" i="1"/>
  <c r="O943" i="1" l="1"/>
  <c r="P943" i="1" s="1"/>
  <c r="Q943" i="1" s="1"/>
  <c r="L944" i="1" l="1"/>
  <c r="N944" i="1"/>
  <c r="O944" i="1" l="1"/>
  <c r="P944" i="1" s="1"/>
  <c r="Q944" i="1" s="1"/>
  <c r="L945" i="1" l="1"/>
  <c r="N945" i="1"/>
  <c r="O945" i="1" l="1"/>
  <c r="P945" i="1" s="1"/>
  <c r="Q945" i="1" s="1"/>
  <c r="L946" i="1" l="1"/>
  <c r="N946" i="1"/>
  <c r="O946" i="1" l="1"/>
  <c r="P946" i="1" s="1"/>
  <c r="Q946" i="1" s="1"/>
  <c r="L947" i="1" l="1"/>
  <c r="N947" i="1"/>
  <c r="O947" i="1" l="1"/>
  <c r="P947" i="1" s="1"/>
  <c r="Q947" i="1" s="1"/>
  <c r="L948" i="1" l="1"/>
  <c r="N948" i="1"/>
  <c r="O948" i="1" l="1"/>
  <c r="P948" i="1" s="1"/>
  <c r="Q948" i="1" s="1"/>
  <c r="L949" i="1" l="1"/>
  <c r="N949" i="1"/>
  <c r="O949" i="1" l="1"/>
  <c r="P949" i="1" s="1"/>
  <c r="Q949" i="1" s="1"/>
  <c r="L950" i="1" l="1"/>
  <c r="N950" i="1"/>
  <c r="O950" i="1" l="1"/>
  <c r="P950" i="1" s="1"/>
  <c r="Q950" i="1" s="1"/>
  <c r="L951" i="1" l="1"/>
  <c r="N951" i="1"/>
  <c r="O951" i="1" l="1"/>
  <c r="P951" i="1" s="1"/>
  <c r="Q951" i="1" s="1"/>
  <c r="L952" i="1" l="1"/>
  <c r="N952" i="1"/>
  <c r="O952" i="1" l="1"/>
  <c r="P952" i="1" s="1"/>
  <c r="Q952" i="1" s="1"/>
  <c r="L953" i="1" l="1"/>
  <c r="N953" i="1"/>
  <c r="O953" i="1" l="1"/>
  <c r="P953" i="1" s="1"/>
  <c r="Q953" i="1" s="1"/>
  <c r="L954" i="1" l="1"/>
  <c r="N954" i="1"/>
  <c r="O954" i="1" l="1"/>
  <c r="P954" i="1" s="1"/>
  <c r="Q954" i="1" s="1"/>
  <c r="L955" i="1" l="1"/>
  <c r="N955" i="1"/>
  <c r="O955" i="1" l="1"/>
  <c r="P955" i="1" s="1"/>
  <c r="Q955" i="1" s="1"/>
  <c r="L956" i="1" l="1"/>
  <c r="N956" i="1"/>
  <c r="O956" i="1" l="1"/>
  <c r="P956" i="1" s="1"/>
  <c r="Q956" i="1" s="1"/>
  <c r="L957" i="1" l="1"/>
  <c r="N957" i="1"/>
  <c r="O957" i="1" l="1"/>
  <c r="P957" i="1" s="1"/>
  <c r="Q957" i="1" s="1"/>
  <c r="L958" i="1" l="1"/>
  <c r="N958" i="1"/>
  <c r="O958" i="1" l="1"/>
  <c r="P958" i="1" s="1"/>
  <c r="Q958" i="1" s="1"/>
  <c r="L959" i="1" l="1"/>
  <c r="N959" i="1"/>
  <c r="O959" i="1" l="1"/>
  <c r="P959" i="1" s="1"/>
  <c r="Q959" i="1" s="1"/>
  <c r="L960" i="1" l="1"/>
  <c r="N960" i="1"/>
  <c r="O960" i="1" l="1"/>
  <c r="P960" i="1" s="1"/>
  <c r="Q960" i="1" s="1"/>
  <c r="L961" i="1" l="1"/>
  <c r="N961" i="1"/>
  <c r="O961" i="1" l="1"/>
  <c r="P961" i="1" s="1"/>
  <c r="Q961" i="1" s="1"/>
  <c r="L962" i="1" l="1"/>
  <c r="N962" i="1"/>
  <c r="O962" i="1" l="1"/>
  <c r="P962" i="1" s="1"/>
  <c r="Q962" i="1" s="1"/>
  <c r="L963" i="1" l="1"/>
  <c r="N963" i="1"/>
  <c r="O963" i="1" l="1"/>
  <c r="P963" i="1" s="1"/>
  <c r="Q963" i="1" s="1"/>
  <c r="L964" i="1" l="1"/>
  <c r="N964" i="1"/>
  <c r="O964" i="1" l="1"/>
  <c r="P964" i="1" s="1"/>
  <c r="Q964" i="1" s="1"/>
  <c r="L965" i="1" l="1"/>
  <c r="N965" i="1"/>
  <c r="O965" i="1" l="1"/>
  <c r="P965" i="1" s="1"/>
  <c r="Q965" i="1" s="1"/>
  <c r="L966" i="1" l="1"/>
  <c r="N966" i="1"/>
  <c r="O966" i="1" l="1"/>
  <c r="P966" i="1" s="1"/>
  <c r="Q966" i="1" s="1"/>
  <c r="L967" i="1" l="1"/>
  <c r="N967" i="1"/>
  <c r="O967" i="1" l="1"/>
  <c r="P967" i="1" s="1"/>
  <c r="Q967" i="1" s="1"/>
  <c r="L968" i="1" l="1"/>
  <c r="N968" i="1"/>
  <c r="O968" i="1" l="1"/>
  <c r="P968" i="1" s="1"/>
  <c r="Q968" i="1" s="1"/>
  <c r="L969" i="1" l="1"/>
  <c r="N969" i="1"/>
  <c r="O969" i="1" l="1"/>
  <c r="P969" i="1" s="1"/>
  <c r="Q969" i="1" s="1"/>
  <c r="L970" i="1" l="1"/>
  <c r="N970" i="1"/>
  <c r="O970" i="1" l="1"/>
  <c r="P970" i="1" s="1"/>
  <c r="Q970" i="1" s="1"/>
  <c r="L971" i="1" l="1"/>
  <c r="N971" i="1"/>
  <c r="O971" i="1" l="1"/>
  <c r="P971" i="1" s="1"/>
  <c r="Q971" i="1" s="1"/>
  <c r="L972" i="1" l="1"/>
  <c r="N972" i="1"/>
  <c r="O972" i="1" l="1"/>
  <c r="P972" i="1" s="1"/>
  <c r="Q972" i="1" s="1"/>
  <c r="L973" i="1" l="1"/>
  <c r="N973" i="1"/>
  <c r="O973" i="1" l="1"/>
  <c r="P973" i="1" s="1"/>
  <c r="Q973" i="1" s="1"/>
  <c r="L974" i="1" l="1"/>
  <c r="N974" i="1"/>
  <c r="O974" i="1" l="1"/>
  <c r="P974" i="1" s="1"/>
  <c r="Q974" i="1" s="1"/>
  <c r="L975" i="1" l="1"/>
  <c r="N975" i="1"/>
  <c r="O975" i="1" l="1"/>
  <c r="P975" i="1" s="1"/>
  <c r="Q975" i="1" s="1"/>
  <c r="L976" i="1" l="1"/>
  <c r="N976" i="1"/>
  <c r="O976" i="1" l="1"/>
  <c r="P976" i="1" s="1"/>
  <c r="Q976" i="1" s="1"/>
  <c r="L977" i="1" l="1"/>
  <c r="N977" i="1"/>
  <c r="O977" i="1" l="1"/>
  <c r="P977" i="1" s="1"/>
  <c r="Q977" i="1" s="1"/>
  <c r="L978" i="1" l="1"/>
  <c r="N978" i="1"/>
  <c r="O978" i="1" l="1"/>
  <c r="P978" i="1" s="1"/>
  <c r="Q978" i="1" s="1"/>
  <c r="L979" i="1" l="1"/>
  <c r="N979" i="1"/>
  <c r="O979" i="1" l="1"/>
  <c r="P979" i="1" s="1"/>
  <c r="Q979" i="1" s="1"/>
  <c r="L980" i="1" l="1"/>
  <c r="N980" i="1"/>
  <c r="O980" i="1" l="1"/>
  <c r="P980" i="1" s="1"/>
  <c r="Q980" i="1" s="1"/>
  <c r="L981" i="1" l="1"/>
  <c r="N981" i="1"/>
  <c r="O981" i="1" l="1"/>
  <c r="P981" i="1" s="1"/>
  <c r="Q981" i="1" s="1"/>
  <c r="L982" i="1" l="1"/>
  <c r="N982" i="1"/>
  <c r="O982" i="1" l="1"/>
  <c r="P982" i="1" s="1"/>
  <c r="Q982" i="1" l="1"/>
  <c r="E4" i="1"/>
</calcChain>
</file>

<file path=xl/sharedStrings.xml><?xml version="1.0" encoding="utf-8"?>
<sst xmlns="http://schemas.openxmlformats.org/spreadsheetml/2006/main" count="60" uniqueCount="52">
  <si>
    <t>DHP id</t>
  </si>
  <si>
    <t>Exo id</t>
  </si>
  <si>
    <t>Start Date</t>
  </si>
  <si>
    <t>Units of DHP</t>
  </si>
  <si>
    <t>Starting Dollars</t>
  </si>
  <si>
    <t>Date</t>
  </si>
  <si>
    <t>Underlying Name</t>
  </si>
  <si>
    <t>Profit Participation</t>
  </si>
  <si>
    <t>DHPs</t>
  </si>
  <si>
    <t>MGF15 ZME Bull</t>
  </si>
  <si>
    <t>MGF15 ZME Bear</t>
  </si>
  <si>
    <t>Class III Milk_Bear</t>
  </si>
  <si>
    <t>Class III Milk_Bull</t>
  </si>
  <si>
    <t>ZWA BEAR</t>
  </si>
  <si>
    <t>ZWA Bull</t>
  </si>
  <si>
    <t>DHP #</t>
  </si>
  <si>
    <t>Corn</t>
  </si>
  <si>
    <t>Wheat</t>
  </si>
  <si>
    <t>Soybean Oil</t>
  </si>
  <si>
    <t>Milk Class III</t>
  </si>
  <si>
    <t>Outright</t>
  </si>
  <si>
    <t>Outright #</t>
  </si>
  <si>
    <t>DHP Name</t>
  </si>
  <si>
    <t>Wheat DHP</t>
  </si>
  <si>
    <t>Class III Milk DHP</t>
  </si>
  <si>
    <t>Soybean Oil DHP</t>
  </si>
  <si>
    <t>Units of Futures</t>
  </si>
  <si>
    <t>&lt;-----</t>
  </si>
  <si>
    <t>Soybeans</t>
  </si>
  <si>
    <t>Soybean DHP</t>
  </si>
  <si>
    <t>Corn DHP</t>
  </si>
  <si>
    <t>S&amp;P DHP</t>
  </si>
  <si>
    <t>Fuel DHP</t>
  </si>
  <si>
    <t>S&amp;P</t>
  </si>
  <si>
    <t>Crude Oil</t>
  </si>
  <si>
    <t>Euro DHP</t>
  </si>
  <si>
    <t>Canadian Dollar DHP</t>
  </si>
  <si>
    <t>Canadian Dollar</t>
  </si>
  <si>
    <t>EuroFX</t>
  </si>
  <si>
    <t>Resin DHP</t>
  </si>
  <si>
    <t>Polypropylene</t>
  </si>
  <si>
    <t>Cattle</t>
  </si>
  <si>
    <t>Hogs</t>
  </si>
  <si>
    <t>Units of Futures Compare</t>
  </si>
  <si>
    <t>Percent Savings Participation</t>
  </si>
  <si>
    <t>Profit From Total Percent Savings</t>
  </si>
  <si>
    <t>Approx Total Trades</t>
  </si>
  <si>
    <t>Cost Per Trade</t>
  </si>
  <si>
    <t>Total Commiss From Web</t>
  </si>
  <si>
    <t>Flat fee collected</t>
  </si>
  <si>
    <t>DHP + Long Futures After Profit Fees</t>
  </si>
  <si>
    <t>DHP + Long Futures Before Profit Fees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</si>
</sst>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_(* #,##0_);_(* \(#,##0\);_(* &quot;-&quot;??_);_(@_)"/>
  </numFmts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00B0F0"/>
        <bgColor indexed="64"/>
      </patternFill>
    </fill>
  </fills>
  <borders count="10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3">
    <xf numFmtId="0" fontId="0" fillId="0" borderId="0"/>
    <xf numFmtId="43" fontId="2" fillId="0" borderId="0" applyFont="0" applyFill="0" applyBorder="0" applyAlignment="0" applyProtection="0"/>
    <xf numFmtId="44" fontId="2" fillId="0" borderId="0" applyFont="0" applyFill="0" applyBorder="0" applyAlignment="0" applyProtection="0"/>
  </cellStyleXfs>
  <cellXfs count="23">
    <xf numFmtId="0" fontId="0" fillId="0" borderId="0" xfId="0"/>
    <xf numFmtId="14" fontId="0" fillId="0" borderId="0" xfId="0" applyNumberFormat="1"/>
    <xf numFmtId="0" fontId="1" fillId="2" borderId="1" xfId="0" applyFont="1" applyFill="1" applyBorder="1"/>
    <xf numFmtId="0" fontId="1" fillId="2" borderId="2" xfId="0" applyFont="1" applyFill="1" applyBorder="1"/>
    <xf numFmtId="14" fontId="1" fillId="0" borderId="0" xfId="0" applyNumberFormat="1" applyFont="1"/>
    <xf numFmtId="3" fontId="0" fillId="0" borderId="0" xfId="0" applyNumberFormat="1"/>
    <xf numFmtId="44" fontId="0" fillId="0" borderId="0" xfId="2" applyFont="1"/>
    <xf numFmtId="44" fontId="0" fillId="0" borderId="0" xfId="0" applyNumberFormat="1"/>
    <xf numFmtId="43" fontId="0" fillId="0" borderId="0" xfId="1" applyFont="1"/>
    <xf numFmtId="0" fontId="0" fillId="0" borderId="0" xfId="0" applyNumberFormat="1"/>
    <xf numFmtId="164" fontId="0" fillId="0" borderId="0" xfId="1" applyNumberFormat="1" applyFont="1"/>
    <xf numFmtId="14" fontId="0" fillId="0" borderId="0" xfId="0" applyNumberFormat="1" applyAlignment="1">
      <alignment wrapText="1"/>
    </xf>
    <xf numFmtId="14" fontId="0" fillId="0" borderId="0" xfId="0" applyNumberFormat="1" applyFill="1" applyBorder="1"/>
    <xf numFmtId="0" fontId="0" fillId="0" borderId="0" xfId="0" applyAlignment="1">
      <alignment wrapText="1"/>
    </xf>
    <xf numFmtId="0" fontId="0" fillId="0" borderId="0" xfId="0" applyNumberFormat="1" applyAlignment="1">
      <alignment wrapText="1"/>
    </xf>
    <xf numFmtId="0" fontId="1" fillId="2" borderId="3" xfId="0" applyFont="1" applyFill="1" applyBorder="1"/>
    <xf numFmtId="14" fontId="0" fillId="0" borderId="4" xfId="0" applyNumberFormat="1" applyFill="1" applyBorder="1"/>
    <xf numFmtId="164" fontId="0" fillId="0" borderId="5" xfId="1" applyNumberFormat="1" applyFont="1" applyBorder="1"/>
    <xf numFmtId="14" fontId="0" fillId="0" borderId="6" xfId="0" applyNumberFormat="1" applyBorder="1"/>
    <xf numFmtId="164" fontId="0" fillId="0" borderId="7" xfId="1" applyNumberFormat="1" applyFont="1" applyBorder="1"/>
    <xf numFmtId="44" fontId="0" fillId="0" borderId="7" xfId="2" applyFont="1" applyBorder="1"/>
    <xf numFmtId="14" fontId="0" fillId="0" borderId="8" xfId="0" applyNumberFormat="1" applyBorder="1"/>
    <xf numFmtId="44" fontId="0" fillId="0" borderId="9" xfId="2" applyNumberFormat="1" applyFont="1" applyBorder="1"/>
  </cellXfs>
  <cellStyles count="3">
    <cellStyle name="Comma" xfId="1" builtinId="3"/>
    <cellStyle name="Currency" xfId="2" builtinId="4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chartsheet" Target="chartsheets/sheet3.xml"/><Relationship Id="rId7" Type="http://schemas.openxmlformats.org/officeDocument/2006/relationships/theme" Target="theme/theme1.xml"/><Relationship Id="rId2" Type="http://schemas.openxmlformats.org/officeDocument/2006/relationships/chartsheet" Target="chartsheets/sheet2.xml"/><Relationship Id="rId1" Type="http://schemas.openxmlformats.org/officeDocument/2006/relationships/chartsheet" Target="chartsheets/sheet1.xml"/><Relationship Id="rId6" Type="http://schemas.openxmlformats.org/officeDocument/2006/relationships/worksheet" Target="worksheets/sheet2.xml"/><Relationship Id="rId11" Type="http://schemas.microsoft.com/office/2006/relationships/vbaProject" Target="vbaProject.bin"/><Relationship Id="rId5" Type="http://schemas.openxmlformats.org/officeDocument/2006/relationships/worksheet" Target="worksheets/sheet1.xml"/><Relationship Id="rId10" Type="http://schemas.openxmlformats.org/officeDocument/2006/relationships/calcChain" Target="calcChain.xml"/><Relationship Id="rId4" Type="http://schemas.openxmlformats.org/officeDocument/2006/relationships/chartsheet" Target="chartsheets/sheet4.xml"/><Relationship Id="rId9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Data!$J$11</c:f>
              <c:strCache>
                <c:ptCount val="1"/>
                <c:pt idx="0">
                  <c:v>Long Corn Futures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[0]!dateRange</c:f>
              <c:numCache>
                <c:formatCode>m/d/yyyy</c:formatCode>
                <c:ptCount val="971"/>
                <c:pt idx="0">
                  <c:v>41275</c:v>
                </c:pt>
                <c:pt idx="1">
                  <c:v>41276</c:v>
                </c:pt>
                <c:pt idx="2">
                  <c:v>41277</c:v>
                </c:pt>
                <c:pt idx="3">
                  <c:v>41278</c:v>
                </c:pt>
                <c:pt idx="4">
                  <c:v>41281</c:v>
                </c:pt>
                <c:pt idx="5">
                  <c:v>41282</c:v>
                </c:pt>
                <c:pt idx="6">
                  <c:v>41283</c:v>
                </c:pt>
                <c:pt idx="7">
                  <c:v>41284</c:v>
                </c:pt>
                <c:pt idx="8">
                  <c:v>41285</c:v>
                </c:pt>
                <c:pt idx="9">
                  <c:v>41288</c:v>
                </c:pt>
                <c:pt idx="10">
                  <c:v>41289</c:v>
                </c:pt>
                <c:pt idx="11">
                  <c:v>41290</c:v>
                </c:pt>
                <c:pt idx="12">
                  <c:v>41291</c:v>
                </c:pt>
                <c:pt idx="13">
                  <c:v>41292</c:v>
                </c:pt>
                <c:pt idx="14">
                  <c:v>41295</c:v>
                </c:pt>
                <c:pt idx="15">
                  <c:v>41296</c:v>
                </c:pt>
                <c:pt idx="16">
                  <c:v>41297</c:v>
                </c:pt>
                <c:pt idx="17">
                  <c:v>41298</c:v>
                </c:pt>
                <c:pt idx="18">
                  <c:v>41299</c:v>
                </c:pt>
                <c:pt idx="19">
                  <c:v>41302</c:v>
                </c:pt>
                <c:pt idx="20">
                  <c:v>41303</c:v>
                </c:pt>
                <c:pt idx="21">
                  <c:v>41304</c:v>
                </c:pt>
                <c:pt idx="22">
                  <c:v>41305</c:v>
                </c:pt>
                <c:pt idx="23">
                  <c:v>41306</c:v>
                </c:pt>
                <c:pt idx="24">
                  <c:v>41309</c:v>
                </c:pt>
                <c:pt idx="25">
                  <c:v>41310</c:v>
                </c:pt>
                <c:pt idx="26">
                  <c:v>41311</c:v>
                </c:pt>
                <c:pt idx="27">
                  <c:v>41312</c:v>
                </c:pt>
                <c:pt idx="28">
                  <c:v>41313</c:v>
                </c:pt>
                <c:pt idx="29">
                  <c:v>41316</c:v>
                </c:pt>
                <c:pt idx="30">
                  <c:v>41317</c:v>
                </c:pt>
                <c:pt idx="31">
                  <c:v>41318</c:v>
                </c:pt>
                <c:pt idx="32">
                  <c:v>41319</c:v>
                </c:pt>
                <c:pt idx="33">
                  <c:v>41320</c:v>
                </c:pt>
                <c:pt idx="34">
                  <c:v>41323</c:v>
                </c:pt>
                <c:pt idx="35">
                  <c:v>41324</c:v>
                </c:pt>
                <c:pt idx="36">
                  <c:v>41325</c:v>
                </c:pt>
                <c:pt idx="37">
                  <c:v>41326</c:v>
                </c:pt>
                <c:pt idx="38">
                  <c:v>41327</c:v>
                </c:pt>
                <c:pt idx="39">
                  <c:v>41330</c:v>
                </c:pt>
                <c:pt idx="40">
                  <c:v>41331</c:v>
                </c:pt>
                <c:pt idx="41">
                  <c:v>41332</c:v>
                </c:pt>
                <c:pt idx="42">
                  <c:v>41333</c:v>
                </c:pt>
                <c:pt idx="43">
                  <c:v>41334</c:v>
                </c:pt>
                <c:pt idx="44">
                  <c:v>41337</c:v>
                </c:pt>
                <c:pt idx="45">
                  <c:v>41338</c:v>
                </c:pt>
                <c:pt idx="46">
                  <c:v>41339</c:v>
                </c:pt>
                <c:pt idx="47">
                  <c:v>41340</c:v>
                </c:pt>
                <c:pt idx="48">
                  <c:v>41341</c:v>
                </c:pt>
                <c:pt idx="49">
                  <c:v>41344</c:v>
                </c:pt>
                <c:pt idx="50">
                  <c:v>41345</c:v>
                </c:pt>
                <c:pt idx="51">
                  <c:v>41346</c:v>
                </c:pt>
                <c:pt idx="52">
                  <c:v>41347</c:v>
                </c:pt>
                <c:pt idx="53">
                  <c:v>41348</c:v>
                </c:pt>
                <c:pt idx="54">
                  <c:v>41351</c:v>
                </c:pt>
                <c:pt idx="55">
                  <c:v>41352</c:v>
                </c:pt>
                <c:pt idx="56">
                  <c:v>41353</c:v>
                </c:pt>
                <c:pt idx="57">
                  <c:v>41354</c:v>
                </c:pt>
                <c:pt idx="58">
                  <c:v>41355</c:v>
                </c:pt>
                <c:pt idx="59">
                  <c:v>41358</c:v>
                </c:pt>
                <c:pt idx="60">
                  <c:v>41359</c:v>
                </c:pt>
                <c:pt idx="61">
                  <c:v>41360</c:v>
                </c:pt>
                <c:pt idx="62">
                  <c:v>41361</c:v>
                </c:pt>
                <c:pt idx="63">
                  <c:v>41362</c:v>
                </c:pt>
                <c:pt idx="64">
                  <c:v>41365</c:v>
                </c:pt>
                <c:pt idx="65">
                  <c:v>41366</c:v>
                </c:pt>
                <c:pt idx="66">
                  <c:v>41367</c:v>
                </c:pt>
                <c:pt idx="67">
                  <c:v>41368</c:v>
                </c:pt>
                <c:pt idx="68">
                  <c:v>41369</c:v>
                </c:pt>
                <c:pt idx="69">
                  <c:v>41372</c:v>
                </c:pt>
                <c:pt idx="70">
                  <c:v>41373</c:v>
                </c:pt>
                <c:pt idx="71">
                  <c:v>41374</c:v>
                </c:pt>
                <c:pt idx="72">
                  <c:v>41375</c:v>
                </c:pt>
                <c:pt idx="73">
                  <c:v>41376</c:v>
                </c:pt>
                <c:pt idx="74">
                  <c:v>41379</c:v>
                </c:pt>
                <c:pt idx="75">
                  <c:v>41380</c:v>
                </c:pt>
                <c:pt idx="76">
                  <c:v>41381</c:v>
                </c:pt>
                <c:pt idx="77">
                  <c:v>41382</c:v>
                </c:pt>
                <c:pt idx="78">
                  <c:v>41383</c:v>
                </c:pt>
                <c:pt idx="79">
                  <c:v>41386</c:v>
                </c:pt>
                <c:pt idx="80">
                  <c:v>41387</c:v>
                </c:pt>
                <c:pt idx="81">
                  <c:v>41388</c:v>
                </c:pt>
                <c:pt idx="82">
                  <c:v>41389</c:v>
                </c:pt>
                <c:pt idx="83">
                  <c:v>41390</c:v>
                </c:pt>
                <c:pt idx="84">
                  <c:v>41393</c:v>
                </c:pt>
                <c:pt idx="85">
                  <c:v>41394</c:v>
                </c:pt>
                <c:pt idx="86">
                  <c:v>41395</c:v>
                </c:pt>
                <c:pt idx="87">
                  <c:v>41396</c:v>
                </c:pt>
                <c:pt idx="88">
                  <c:v>41397</c:v>
                </c:pt>
                <c:pt idx="89">
                  <c:v>41400</c:v>
                </c:pt>
                <c:pt idx="90">
                  <c:v>41401</c:v>
                </c:pt>
                <c:pt idx="91">
                  <c:v>41402</c:v>
                </c:pt>
                <c:pt idx="92">
                  <c:v>41403</c:v>
                </c:pt>
                <c:pt idx="93">
                  <c:v>41404</c:v>
                </c:pt>
                <c:pt idx="94">
                  <c:v>41407</c:v>
                </c:pt>
                <c:pt idx="95">
                  <c:v>41408</c:v>
                </c:pt>
                <c:pt idx="96">
                  <c:v>41409</c:v>
                </c:pt>
                <c:pt idx="97">
                  <c:v>41410</c:v>
                </c:pt>
                <c:pt idx="98">
                  <c:v>41411</c:v>
                </c:pt>
                <c:pt idx="99">
                  <c:v>41414</c:v>
                </c:pt>
                <c:pt idx="100">
                  <c:v>41415</c:v>
                </c:pt>
                <c:pt idx="101">
                  <c:v>41416</c:v>
                </c:pt>
                <c:pt idx="102">
                  <c:v>41417</c:v>
                </c:pt>
                <c:pt idx="103">
                  <c:v>41418</c:v>
                </c:pt>
                <c:pt idx="104">
                  <c:v>41421</c:v>
                </c:pt>
                <c:pt idx="105">
                  <c:v>41422</c:v>
                </c:pt>
                <c:pt idx="106">
                  <c:v>41423</c:v>
                </c:pt>
                <c:pt idx="107">
                  <c:v>41424</c:v>
                </c:pt>
                <c:pt idx="108">
                  <c:v>41425</c:v>
                </c:pt>
                <c:pt idx="109">
                  <c:v>41428</c:v>
                </c:pt>
                <c:pt idx="110">
                  <c:v>41429</c:v>
                </c:pt>
                <c:pt idx="111">
                  <c:v>41430</c:v>
                </c:pt>
                <c:pt idx="112">
                  <c:v>41431</c:v>
                </c:pt>
                <c:pt idx="113">
                  <c:v>41432</c:v>
                </c:pt>
                <c:pt idx="114">
                  <c:v>41435</c:v>
                </c:pt>
                <c:pt idx="115">
                  <c:v>41436</c:v>
                </c:pt>
                <c:pt idx="116">
                  <c:v>41437</c:v>
                </c:pt>
                <c:pt idx="117">
                  <c:v>41438</c:v>
                </c:pt>
                <c:pt idx="118">
                  <c:v>41439</c:v>
                </c:pt>
                <c:pt idx="119">
                  <c:v>41442</c:v>
                </c:pt>
                <c:pt idx="120">
                  <c:v>41443</c:v>
                </c:pt>
                <c:pt idx="121">
                  <c:v>41444</c:v>
                </c:pt>
                <c:pt idx="122">
                  <c:v>41445</c:v>
                </c:pt>
                <c:pt idx="123">
                  <c:v>41446</c:v>
                </c:pt>
                <c:pt idx="124">
                  <c:v>41449</c:v>
                </c:pt>
                <c:pt idx="125">
                  <c:v>41450</c:v>
                </c:pt>
                <c:pt idx="126">
                  <c:v>41451</c:v>
                </c:pt>
                <c:pt idx="127">
                  <c:v>41452</c:v>
                </c:pt>
                <c:pt idx="128">
                  <c:v>41453</c:v>
                </c:pt>
                <c:pt idx="129">
                  <c:v>41456</c:v>
                </c:pt>
                <c:pt idx="130">
                  <c:v>41457</c:v>
                </c:pt>
                <c:pt idx="131">
                  <c:v>41458</c:v>
                </c:pt>
                <c:pt idx="132">
                  <c:v>41459</c:v>
                </c:pt>
                <c:pt idx="133">
                  <c:v>41460</c:v>
                </c:pt>
                <c:pt idx="134">
                  <c:v>41463</c:v>
                </c:pt>
                <c:pt idx="135">
                  <c:v>41464</c:v>
                </c:pt>
                <c:pt idx="136">
                  <c:v>41465</c:v>
                </c:pt>
                <c:pt idx="137">
                  <c:v>41466</c:v>
                </c:pt>
                <c:pt idx="138">
                  <c:v>41467</c:v>
                </c:pt>
                <c:pt idx="139">
                  <c:v>41470</c:v>
                </c:pt>
                <c:pt idx="140">
                  <c:v>41471</c:v>
                </c:pt>
                <c:pt idx="141">
                  <c:v>41472</c:v>
                </c:pt>
                <c:pt idx="142">
                  <c:v>41473</c:v>
                </c:pt>
                <c:pt idx="143">
                  <c:v>41474</c:v>
                </c:pt>
                <c:pt idx="144">
                  <c:v>41477</c:v>
                </c:pt>
                <c:pt idx="145">
                  <c:v>41478</c:v>
                </c:pt>
                <c:pt idx="146">
                  <c:v>41479</c:v>
                </c:pt>
                <c:pt idx="147">
                  <c:v>41480</c:v>
                </c:pt>
                <c:pt idx="148">
                  <c:v>41481</c:v>
                </c:pt>
                <c:pt idx="149">
                  <c:v>41484</c:v>
                </c:pt>
                <c:pt idx="150">
                  <c:v>41485</c:v>
                </c:pt>
                <c:pt idx="151">
                  <c:v>41486</c:v>
                </c:pt>
                <c:pt idx="152">
                  <c:v>41487</c:v>
                </c:pt>
                <c:pt idx="153">
                  <c:v>41488</c:v>
                </c:pt>
                <c:pt idx="154">
                  <c:v>41491</c:v>
                </c:pt>
                <c:pt idx="155">
                  <c:v>41492</c:v>
                </c:pt>
                <c:pt idx="156">
                  <c:v>41493</c:v>
                </c:pt>
                <c:pt idx="157">
                  <c:v>41494</c:v>
                </c:pt>
                <c:pt idx="158">
                  <c:v>41495</c:v>
                </c:pt>
                <c:pt idx="159">
                  <c:v>41498</c:v>
                </c:pt>
                <c:pt idx="160">
                  <c:v>41499</c:v>
                </c:pt>
                <c:pt idx="161">
                  <c:v>41500</c:v>
                </c:pt>
                <c:pt idx="162">
                  <c:v>41501</c:v>
                </c:pt>
                <c:pt idx="163">
                  <c:v>41502</c:v>
                </c:pt>
                <c:pt idx="164">
                  <c:v>41505</c:v>
                </c:pt>
                <c:pt idx="165">
                  <c:v>41506</c:v>
                </c:pt>
                <c:pt idx="166">
                  <c:v>41507</c:v>
                </c:pt>
                <c:pt idx="167">
                  <c:v>41508</c:v>
                </c:pt>
                <c:pt idx="168">
                  <c:v>41509</c:v>
                </c:pt>
                <c:pt idx="169">
                  <c:v>41512</c:v>
                </c:pt>
                <c:pt idx="170">
                  <c:v>41513</c:v>
                </c:pt>
                <c:pt idx="171">
                  <c:v>41514</c:v>
                </c:pt>
                <c:pt idx="172">
                  <c:v>41515</c:v>
                </c:pt>
                <c:pt idx="173">
                  <c:v>41516</c:v>
                </c:pt>
                <c:pt idx="174">
                  <c:v>41519</c:v>
                </c:pt>
                <c:pt idx="175">
                  <c:v>41520</c:v>
                </c:pt>
                <c:pt idx="176">
                  <c:v>41521</c:v>
                </c:pt>
                <c:pt idx="177">
                  <c:v>41522</c:v>
                </c:pt>
                <c:pt idx="178">
                  <c:v>41523</c:v>
                </c:pt>
                <c:pt idx="179">
                  <c:v>41526</c:v>
                </c:pt>
                <c:pt idx="180">
                  <c:v>41527</c:v>
                </c:pt>
                <c:pt idx="181">
                  <c:v>41528</c:v>
                </c:pt>
                <c:pt idx="182">
                  <c:v>41529</c:v>
                </c:pt>
                <c:pt idx="183">
                  <c:v>41530</c:v>
                </c:pt>
                <c:pt idx="184">
                  <c:v>41533</c:v>
                </c:pt>
                <c:pt idx="185">
                  <c:v>41534</c:v>
                </c:pt>
                <c:pt idx="186">
                  <c:v>41535</c:v>
                </c:pt>
                <c:pt idx="187">
                  <c:v>41536</c:v>
                </c:pt>
                <c:pt idx="188">
                  <c:v>41537</c:v>
                </c:pt>
                <c:pt idx="189">
                  <c:v>41540</c:v>
                </c:pt>
                <c:pt idx="190">
                  <c:v>41541</c:v>
                </c:pt>
                <c:pt idx="191">
                  <c:v>41542</c:v>
                </c:pt>
                <c:pt idx="192">
                  <c:v>41543</c:v>
                </c:pt>
                <c:pt idx="193">
                  <c:v>41544</c:v>
                </c:pt>
                <c:pt idx="194">
                  <c:v>41547</c:v>
                </c:pt>
                <c:pt idx="195">
                  <c:v>41548</c:v>
                </c:pt>
                <c:pt idx="196">
                  <c:v>41549</c:v>
                </c:pt>
                <c:pt idx="197">
                  <c:v>41550</c:v>
                </c:pt>
                <c:pt idx="198">
                  <c:v>41551</c:v>
                </c:pt>
                <c:pt idx="199">
                  <c:v>41554</c:v>
                </c:pt>
                <c:pt idx="200">
                  <c:v>41555</c:v>
                </c:pt>
                <c:pt idx="201">
                  <c:v>41556</c:v>
                </c:pt>
                <c:pt idx="202">
                  <c:v>41557</c:v>
                </c:pt>
                <c:pt idx="203">
                  <c:v>41558</c:v>
                </c:pt>
                <c:pt idx="204">
                  <c:v>41561</c:v>
                </c:pt>
                <c:pt idx="205">
                  <c:v>41562</c:v>
                </c:pt>
                <c:pt idx="206">
                  <c:v>41563</c:v>
                </c:pt>
                <c:pt idx="207">
                  <c:v>41564</c:v>
                </c:pt>
                <c:pt idx="208">
                  <c:v>41565</c:v>
                </c:pt>
                <c:pt idx="209">
                  <c:v>41568</c:v>
                </c:pt>
                <c:pt idx="210">
                  <c:v>41569</c:v>
                </c:pt>
                <c:pt idx="211">
                  <c:v>41570</c:v>
                </c:pt>
                <c:pt idx="212">
                  <c:v>41571</c:v>
                </c:pt>
                <c:pt idx="213">
                  <c:v>41572</c:v>
                </c:pt>
                <c:pt idx="214">
                  <c:v>41575</c:v>
                </c:pt>
                <c:pt idx="215">
                  <c:v>41576</c:v>
                </c:pt>
                <c:pt idx="216">
                  <c:v>41577</c:v>
                </c:pt>
                <c:pt idx="217">
                  <c:v>41578</c:v>
                </c:pt>
                <c:pt idx="218">
                  <c:v>41579</c:v>
                </c:pt>
                <c:pt idx="219">
                  <c:v>41582</c:v>
                </c:pt>
                <c:pt idx="220">
                  <c:v>41583</c:v>
                </c:pt>
                <c:pt idx="221">
                  <c:v>41584</c:v>
                </c:pt>
                <c:pt idx="222">
                  <c:v>41585</c:v>
                </c:pt>
                <c:pt idx="223">
                  <c:v>41586</c:v>
                </c:pt>
                <c:pt idx="224">
                  <c:v>41589</c:v>
                </c:pt>
                <c:pt idx="225">
                  <c:v>41590</c:v>
                </c:pt>
                <c:pt idx="226">
                  <c:v>41591</c:v>
                </c:pt>
                <c:pt idx="227">
                  <c:v>41592</c:v>
                </c:pt>
                <c:pt idx="228">
                  <c:v>41593</c:v>
                </c:pt>
                <c:pt idx="229">
                  <c:v>41596</c:v>
                </c:pt>
                <c:pt idx="230">
                  <c:v>41597</c:v>
                </c:pt>
                <c:pt idx="231">
                  <c:v>41598</c:v>
                </c:pt>
                <c:pt idx="232">
                  <c:v>41599</c:v>
                </c:pt>
                <c:pt idx="233">
                  <c:v>41600</c:v>
                </c:pt>
                <c:pt idx="234">
                  <c:v>41603</c:v>
                </c:pt>
                <c:pt idx="235">
                  <c:v>41604</c:v>
                </c:pt>
                <c:pt idx="236">
                  <c:v>41605</c:v>
                </c:pt>
                <c:pt idx="237">
                  <c:v>41606</c:v>
                </c:pt>
                <c:pt idx="238">
                  <c:v>41607</c:v>
                </c:pt>
                <c:pt idx="239">
                  <c:v>41610</c:v>
                </c:pt>
                <c:pt idx="240">
                  <c:v>41611</c:v>
                </c:pt>
                <c:pt idx="241">
                  <c:v>41612</c:v>
                </c:pt>
                <c:pt idx="242">
                  <c:v>41613</c:v>
                </c:pt>
                <c:pt idx="243">
                  <c:v>41614</c:v>
                </c:pt>
                <c:pt idx="244">
                  <c:v>41617</c:v>
                </c:pt>
                <c:pt idx="245">
                  <c:v>41618</c:v>
                </c:pt>
                <c:pt idx="246">
                  <c:v>41619</c:v>
                </c:pt>
                <c:pt idx="247">
                  <c:v>41620</c:v>
                </c:pt>
                <c:pt idx="248">
                  <c:v>41621</c:v>
                </c:pt>
                <c:pt idx="249">
                  <c:v>41624</c:v>
                </c:pt>
                <c:pt idx="250">
                  <c:v>41625</c:v>
                </c:pt>
                <c:pt idx="251">
                  <c:v>41626</c:v>
                </c:pt>
                <c:pt idx="252">
                  <c:v>41627</c:v>
                </c:pt>
                <c:pt idx="253">
                  <c:v>41628</c:v>
                </c:pt>
                <c:pt idx="254">
                  <c:v>41631</c:v>
                </c:pt>
                <c:pt idx="255">
                  <c:v>41632</c:v>
                </c:pt>
                <c:pt idx="256">
                  <c:v>41633</c:v>
                </c:pt>
                <c:pt idx="257">
                  <c:v>41634</c:v>
                </c:pt>
                <c:pt idx="258">
                  <c:v>41635</c:v>
                </c:pt>
                <c:pt idx="259">
                  <c:v>41638</c:v>
                </c:pt>
                <c:pt idx="260">
                  <c:v>41639</c:v>
                </c:pt>
                <c:pt idx="261">
                  <c:v>41640</c:v>
                </c:pt>
                <c:pt idx="262">
                  <c:v>41641</c:v>
                </c:pt>
                <c:pt idx="263">
                  <c:v>41642</c:v>
                </c:pt>
                <c:pt idx="264">
                  <c:v>41645</c:v>
                </c:pt>
                <c:pt idx="265">
                  <c:v>41646</c:v>
                </c:pt>
                <c:pt idx="266">
                  <c:v>41647</c:v>
                </c:pt>
                <c:pt idx="267">
                  <c:v>41648</c:v>
                </c:pt>
                <c:pt idx="268">
                  <c:v>41649</c:v>
                </c:pt>
                <c:pt idx="269">
                  <c:v>41652</c:v>
                </c:pt>
                <c:pt idx="270">
                  <c:v>41653</c:v>
                </c:pt>
                <c:pt idx="271">
                  <c:v>41654</c:v>
                </c:pt>
                <c:pt idx="272">
                  <c:v>41655</c:v>
                </c:pt>
                <c:pt idx="273">
                  <c:v>41656</c:v>
                </c:pt>
                <c:pt idx="274">
                  <c:v>41659</c:v>
                </c:pt>
                <c:pt idx="275">
                  <c:v>41660</c:v>
                </c:pt>
                <c:pt idx="276">
                  <c:v>41661</c:v>
                </c:pt>
                <c:pt idx="277">
                  <c:v>41662</c:v>
                </c:pt>
                <c:pt idx="278">
                  <c:v>41663</c:v>
                </c:pt>
                <c:pt idx="279">
                  <c:v>41666</c:v>
                </c:pt>
                <c:pt idx="280">
                  <c:v>41667</c:v>
                </c:pt>
                <c:pt idx="281">
                  <c:v>41668</c:v>
                </c:pt>
                <c:pt idx="282">
                  <c:v>41669</c:v>
                </c:pt>
                <c:pt idx="283">
                  <c:v>41670</c:v>
                </c:pt>
                <c:pt idx="284">
                  <c:v>41673</c:v>
                </c:pt>
                <c:pt idx="285">
                  <c:v>41674</c:v>
                </c:pt>
                <c:pt idx="286">
                  <c:v>41675</c:v>
                </c:pt>
                <c:pt idx="287">
                  <c:v>41676</c:v>
                </c:pt>
                <c:pt idx="288">
                  <c:v>41677</c:v>
                </c:pt>
                <c:pt idx="289">
                  <c:v>41680</c:v>
                </c:pt>
                <c:pt idx="290">
                  <c:v>41681</c:v>
                </c:pt>
                <c:pt idx="291">
                  <c:v>41682</c:v>
                </c:pt>
                <c:pt idx="292">
                  <c:v>41683</c:v>
                </c:pt>
                <c:pt idx="293">
                  <c:v>41684</c:v>
                </c:pt>
                <c:pt idx="294">
                  <c:v>41687</c:v>
                </c:pt>
                <c:pt idx="295">
                  <c:v>41688</c:v>
                </c:pt>
                <c:pt idx="296">
                  <c:v>41689</c:v>
                </c:pt>
                <c:pt idx="297">
                  <c:v>41690</c:v>
                </c:pt>
                <c:pt idx="298">
                  <c:v>41691</c:v>
                </c:pt>
                <c:pt idx="299">
                  <c:v>41694</c:v>
                </c:pt>
                <c:pt idx="300">
                  <c:v>41695</c:v>
                </c:pt>
                <c:pt idx="301">
                  <c:v>41696</c:v>
                </c:pt>
                <c:pt idx="302">
                  <c:v>41697</c:v>
                </c:pt>
                <c:pt idx="303">
                  <c:v>41698</c:v>
                </c:pt>
                <c:pt idx="304">
                  <c:v>41701</c:v>
                </c:pt>
                <c:pt idx="305">
                  <c:v>41702</c:v>
                </c:pt>
                <c:pt idx="306">
                  <c:v>41703</c:v>
                </c:pt>
                <c:pt idx="307">
                  <c:v>41704</c:v>
                </c:pt>
                <c:pt idx="308">
                  <c:v>41705</c:v>
                </c:pt>
                <c:pt idx="309">
                  <c:v>41708</c:v>
                </c:pt>
                <c:pt idx="310">
                  <c:v>41709</c:v>
                </c:pt>
                <c:pt idx="311">
                  <c:v>41710</c:v>
                </c:pt>
                <c:pt idx="312">
                  <c:v>41711</c:v>
                </c:pt>
                <c:pt idx="313">
                  <c:v>41712</c:v>
                </c:pt>
                <c:pt idx="314">
                  <c:v>41715</c:v>
                </c:pt>
                <c:pt idx="315">
                  <c:v>41716</c:v>
                </c:pt>
                <c:pt idx="316">
                  <c:v>41717</c:v>
                </c:pt>
                <c:pt idx="317">
                  <c:v>41718</c:v>
                </c:pt>
                <c:pt idx="318">
                  <c:v>41719</c:v>
                </c:pt>
                <c:pt idx="319">
                  <c:v>41722</c:v>
                </c:pt>
                <c:pt idx="320">
                  <c:v>41723</c:v>
                </c:pt>
                <c:pt idx="321">
                  <c:v>41724</c:v>
                </c:pt>
                <c:pt idx="322">
                  <c:v>41725</c:v>
                </c:pt>
                <c:pt idx="323">
                  <c:v>41726</c:v>
                </c:pt>
                <c:pt idx="324">
                  <c:v>41729</c:v>
                </c:pt>
                <c:pt idx="325">
                  <c:v>41730</c:v>
                </c:pt>
                <c:pt idx="326">
                  <c:v>41731</c:v>
                </c:pt>
                <c:pt idx="327">
                  <c:v>41732</c:v>
                </c:pt>
                <c:pt idx="328">
                  <c:v>41733</c:v>
                </c:pt>
                <c:pt idx="329">
                  <c:v>41736</c:v>
                </c:pt>
                <c:pt idx="330">
                  <c:v>41737</c:v>
                </c:pt>
                <c:pt idx="331">
                  <c:v>41738</c:v>
                </c:pt>
                <c:pt idx="332">
                  <c:v>41739</c:v>
                </c:pt>
                <c:pt idx="333">
                  <c:v>41740</c:v>
                </c:pt>
                <c:pt idx="334">
                  <c:v>41743</c:v>
                </c:pt>
                <c:pt idx="335">
                  <c:v>41744</c:v>
                </c:pt>
                <c:pt idx="336">
                  <c:v>41745</c:v>
                </c:pt>
                <c:pt idx="337">
                  <c:v>41746</c:v>
                </c:pt>
                <c:pt idx="338">
                  <c:v>41747</c:v>
                </c:pt>
                <c:pt idx="339">
                  <c:v>41750</c:v>
                </c:pt>
                <c:pt idx="340">
                  <c:v>41751</c:v>
                </c:pt>
                <c:pt idx="341">
                  <c:v>41752</c:v>
                </c:pt>
                <c:pt idx="342">
                  <c:v>41753</c:v>
                </c:pt>
                <c:pt idx="343">
                  <c:v>41754</c:v>
                </c:pt>
                <c:pt idx="344">
                  <c:v>41757</c:v>
                </c:pt>
                <c:pt idx="345">
                  <c:v>41758</c:v>
                </c:pt>
                <c:pt idx="346">
                  <c:v>41759</c:v>
                </c:pt>
                <c:pt idx="347">
                  <c:v>41760</c:v>
                </c:pt>
                <c:pt idx="348">
                  <c:v>41761</c:v>
                </c:pt>
                <c:pt idx="349">
                  <c:v>41764</c:v>
                </c:pt>
                <c:pt idx="350">
                  <c:v>41765</c:v>
                </c:pt>
                <c:pt idx="351">
                  <c:v>41766</c:v>
                </c:pt>
                <c:pt idx="352">
                  <c:v>41767</c:v>
                </c:pt>
                <c:pt idx="353">
                  <c:v>41768</c:v>
                </c:pt>
                <c:pt idx="354">
                  <c:v>41771</c:v>
                </c:pt>
                <c:pt idx="355">
                  <c:v>41772</c:v>
                </c:pt>
                <c:pt idx="356">
                  <c:v>41773</c:v>
                </c:pt>
                <c:pt idx="357">
                  <c:v>41774</c:v>
                </c:pt>
                <c:pt idx="358">
                  <c:v>41775</c:v>
                </c:pt>
                <c:pt idx="359">
                  <c:v>41778</c:v>
                </c:pt>
                <c:pt idx="360">
                  <c:v>41779</c:v>
                </c:pt>
                <c:pt idx="361">
                  <c:v>41780</c:v>
                </c:pt>
                <c:pt idx="362">
                  <c:v>41781</c:v>
                </c:pt>
                <c:pt idx="363">
                  <c:v>41782</c:v>
                </c:pt>
                <c:pt idx="364">
                  <c:v>41785</c:v>
                </c:pt>
                <c:pt idx="365">
                  <c:v>41786</c:v>
                </c:pt>
                <c:pt idx="366">
                  <c:v>41787</c:v>
                </c:pt>
                <c:pt idx="367">
                  <c:v>41788</c:v>
                </c:pt>
                <c:pt idx="368">
                  <c:v>41789</c:v>
                </c:pt>
                <c:pt idx="369">
                  <c:v>41792</c:v>
                </c:pt>
                <c:pt idx="370">
                  <c:v>41793</c:v>
                </c:pt>
                <c:pt idx="371">
                  <c:v>41794</c:v>
                </c:pt>
                <c:pt idx="372">
                  <c:v>41795</c:v>
                </c:pt>
                <c:pt idx="373">
                  <c:v>41796</c:v>
                </c:pt>
                <c:pt idx="374">
                  <c:v>41799</c:v>
                </c:pt>
                <c:pt idx="375">
                  <c:v>41800</c:v>
                </c:pt>
                <c:pt idx="376">
                  <c:v>41801</c:v>
                </c:pt>
                <c:pt idx="377">
                  <c:v>41802</c:v>
                </c:pt>
                <c:pt idx="378">
                  <c:v>41803</c:v>
                </c:pt>
                <c:pt idx="379">
                  <c:v>41806</c:v>
                </c:pt>
                <c:pt idx="380">
                  <c:v>41807</c:v>
                </c:pt>
                <c:pt idx="381">
                  <c:v>41808</c:v>
                </c:pt>
                <c:pt idx="382">
                  <c:v>41809</c:v>
                </c:pt>
                <c:pt idx="383">
                  <c:v>41810</c:v>
                </c:pt>
                <c:pt idx="384">
                  <c:v>41813</c:v>
                </c:pt>
                <c:pt idx="385">
                  <c:v>41814</c:v>
                </c:pt>
                <c:pt idx="386">
                  <c:v>41815</c:v>
                </c:pt>
                <c:pt idx="387">
                  <c:v>41816</c:v>
                </c:pt>
                <c:pt idx="388">
                  <c:v>41817</c:v>
                </c:pt>
                <c:pt idx="389">
                  <c:v>41820</c:v>
                </c:pt>
                <c:pt idx="390">
                  <c:v>41821</c:v>
                </c:pt>
                <c:pt idx="391">
                  <c:v>41822</c:v>
                </c:pt>
                <c:pt idx="392">
                  <c:v>41823</c:v>
                </c:pt>
                <c:pt idx="393">
                  <c:v>41824</c:v>
                </c:pt>
                <c:pt idx="394">
                  <c:v>41827</c:v>
                </c:pt>
                <c:pt idx="395">
                  <c:v>41828</c:v>
                </c:pt>
                <c:pt idx="396">
                  <c:v>41829</c:v>
                </c:pt>
                <c:pt idx="397">
                  <c:v>41830</c:v>
                </c:pt>
                <c:pt idx="398">
                  <c:v>41831</c:v>
                </c:pt>
                <c:pt idx="399">
                  <c:v>41834</c:v>
                </c:pt>
                <c:pt idx="400">
                  <c:v>41835</c:v>
                </c:pt>
                <c:pt idx="401">
                  <c:v>41836</c:v>
                </c:pt>
                <c:pt idx="402">
                  <c:v>41837</c:v>
                </c:pt>
                <c:pt idx="403">
                  <c:v>41838</c:v>
                </c:pt>
                <c:pt idx="404">
                  <c:v>41841</c:v>
                </c:pt>
                <c:pt idx="405">
                  <c:v>41842</c:v>
                </c:pt>
                <c:pt idx="406">
                  <c:v>41843</c:v>
                </c:pt>
                <c:pt idx="407">
                  <c:v>41844</c:v>
                </c:pt>
                <c:pt idx="408">
                  <c:v>41845</c:v>
                </c:pt>
                <c:pt idx="409">
                  <c:v>41848</c:v>
                </c:pt>
                <c:pt idx="410">
                  <c:v>41849</c:v>
                </c:pt>
                <c:pt idx="411">
                  <c:v>41850</c:v>
                </c:pt>
                <c:pt idx="412">
                  <c:v>41851</c:v>
                </c:pt>
                <c:pt idx="413">
                  <c:v>41852</c:v>
                </c:pt>
                <c:pt idx="414">
                  <c:v>41855</c:v>
                </c:pt>
                <c:pt idx="415">
                  <c:v>41856</c:v>
                </c:pt>
                <c:pt idx="416">
                  <c:v>41857</c:v>
                </c:pt>
                <c:pt idx="417">
                  <c:v>41858</c:v>
                </c:pt>
                <c:pt idx="418">
                  <c:v>41859</c:v>
                </c:pt>
                <c:pt idx="419">
                  <c:v>41862</c:v>
                </c:pt>
                <c:pt idx="420">
                  <c:v>41863</c:v>
                </c:pt>
                <c:pt idx="421">
                  <c:v>41864</c:v>
                </c:pt>
                <c:pt idx="422">
                  <c:v>41865</c:v>
                </c:pt>
                <c:pt idx="423">
                  <c:v>41866</c:v>
                </c:pt>
                <c:pt idx="424">
                  <c:v>41869</c:v>
                </c:pt>
                <c:pt idx="425">
                  <c:v>41870</c:v>
                </c:pt>
                <c:pt idx="426">
                  <c:v>41871</c:v>
                </c:pt>
                <c:pt idx="427">
                  <c:v>41872</c:v>
                </c:pt>
                <c:pt idx="428">
                  <c:v>41873</c:v>
                </c:pt>
                <c:pt idx="429">
                  <c:v>41876</c:v>
                </c:pt>
                <c:pt idx="430">
                  <c:v>41877</c:v>
                </c:pt>
                <c:pt idx="431">
                  <c:v>41878</c:v>
                </c:pt>
                <c:pt idx="432">
                  <c:v>41879</c:v>
                </c:pt>
                <c:pt idx="433">
                  <c:v>41880</c:v>
                </c:pt>
                <c:pt idx="434">
                  <c:v>41883</c:v>
                </c:pt>
                <c:pt idx="435">
                  <c:v>41884</c:v>
                </c:pt>
                <c:pt idx="436">
                  <c:v>41885</c:v>
                </c:pt>
                <c:pt idx="437">
                  <c:v>41886</c:v>
                </c:pt>
                <c:pt idx="438">
                  <c:v>41887</c:v>
                </c:pt>
                <c:pt idx="439">
                  <c:v>41890</c:v>
                </c:pt>
                <c:pt idx="440">
                  <c:v>41891</c:v>
                </c:pt>
                <c:pt idx="441">
                  <c:v>41892</c:v>
                </c:pt>
                <c:pt idx="442">
                  <c:v>41893</c:v>
                </c:pt>
                <c:pt idx="443">
                  <c:v>41894</c:v>
                </c:pt>
                <c:pt idx="444">
                  <c:v>41897</c:v>
                </c:pt>
                <c:pt idx="445">
                  <c:v>41898</c:v>
                </c:pt>
                <c:pt idx="446">
                  <c:v>41899</c:v>
                </c:pt>
                <c:pt idx="447">
                  <c:v>41900</c:v>
                </c:pt>
                <c:pt idx="448">
                  <c:v>41901</c:v>
                </c:pt>
                <c:pt idx="449">
                  <c:v>41904</c:v>
                </c:pt>
                <c:pt idx="450">
                  <c:v>41905</c:v>
                </c:pt>
                <c:pt idx="451">
                  <c:v>41906</c:v>
                </c:pt>
                <c:pt idx="452">
                  <c:v>41907</c:v>
                </c:pt>
                <c:pt idx="453">
                  <c:v>41908</c:v>
                </c:pt>
                <c:pt idx="454">
                  <c:v>41911</c:v>
                </c:pt>
                <c:pt idx="455">
                  <c:v>41912</c:v>
                </c:pt>
                <c:pt idx="456">
                  <c:v>41913</c:v>
                </c:pt>
                <c:pt idx="457">
                  <c:v>41914</c:v>
                </c:pt>
                <c:pt idx="458">
                  <c:v>41915</c:v>
                </c:pt>
                <c:pt idx="459">
                  <c:v>41918</c:v>
                </c:pt>
                <c:pt idx="460">
                  <c:v>41919</c:v>
                </c:pt>
                <c:pt idx="461">
                  <c:v>41920</c:v>
                </c:pt>
                <c:pt idx="462">
                  <c:v>41921</c:v>
                </c:pt>
                <c:pt idx="463">
                  <c:v>41922</c:v>
                </c:pt>
                <c:pt idx="464">
                  <c:v>41925</c:v>
                </c:pt>
                <c:pt idx="465">
                  <c:v>41926</c:v>
                </c:pt>
                <c:pt idx="466">
                  <c:v>41927</c:v>
                </c:pt>
                <c:pt idx="467">
                  <c:v>41928</c:v>
                </c:pt>
                <c:pt idx="468">
                  <c:v>41929</c:v>
                </c:pt>
                <c:pt idx="469">
                  <c:v>41932</c:v>
                </c:pt>
                <c:pt idx="470">
                  <c:v>41933</c:v>
                </c:pt>
                <c:pt idx="471">
                  <c:v>41934</c:v>
                </c:pt>
                <c:pt idx="472">
                  <c:v>41935</c:v>
                </c:pt>
                <c:pt idx="473">
                  <c:v>41936</c:v>
                </c:pt>
                <c:pt idx="474">
                  <c:v>41939</c:v>
                </c:pt>
                <c:pt idx="475">
                  <c:v>41940</c:v>
                </c:pt>
                <c:pt idx="476">
                  <c:v>41941</c:v>
                </c:pt>
                <c:pt idx="477">
                  <c:v>41942</c:v>
                </c:pt>
                <c:pt idx="478">
                  <c:v>41943</c:v>
                </c:pt>
                <c:pt idx="479">
                  <c:v>41946</c:v>
                </c:pt>
                <c:pt idx="480">
                  <c:v>41947</c:v>
                </c:pt>
                <c:pt idx="481">
                  <c:v>41948</c:v>
                </c:pt>
                <c:pt idx="482">
                  <c:v>41949</c:v>
                </c:pt>
                <c:pt idx="483">
                  <c:v>41950</c:v>
                </c:pt>
                <c:pt idx="484">
                  <c:v>41953</c:v>
                </c:pt>
                <c:pt idx="485">
                  <c:v>41954</c:v>
                </c:pt>
                <c:pt idx="486">
                  <c:v>41955</c:v>
                </c:pt>
                <c:pt idx="487">
                  <c:v>41956</c:v>
                </c:pt>
                <c:pt idx="488">
                  <c:v>41957</c:v>
                </c:pt>
                <c:pt idx="489">
                  <c:v>41960</c:v>
                </c:pt>
                <c:pt idx="490">
                  <c:v>41961</c:v>
                </c:pt>
                <c:pt idx="491">
                  <c:v>41962</c:v>
                </c:pt>
                <c:pt idx="492">
                  <c:v>41963</c:v>
                </c:pt>
                <c:pt idx="493">
                  <c:v>41964</c:v>
                </c:pt>
                <c:pt idx="494">
                  <c:v>41967</c:v>
                </c:pt>
                <c:pt idx="495">
                  <c:v>41968</c:v>
                </c:pt>
                <c:pt idx="496">
                  <c:v>41969</c:v>
                </c:pt>
                <c:pt idx="497">
                  <c:v>41970</c:v>
                </c:pt>
                <c:pt idx="498">
                  <c:v>41971</c:v>
                </c:pt>
                <c:pt idx="499">
                  <c:v>41974</c:v>
                </c:pt>
                <c:pt idx="500">
                  <c:v>41975</c:v>
                </c:pt>
                <c:pt idx="501">
                  <c:v>41976</c:v>
                </c:pt>
                <c:pt idx="502">
                  <c:v>41977</c:v>
                </c:pt>
                <c:pt idx="503">
                  <c:v>41978</c:v>
                </c:pt>
                <c:pt idx="504">
                  <c:v>41981</c:v>
                </c:pt>
                <c:pt idx="505">
                  <c:v>41982</c:v>
                </c:pt>
                <c:pt idx="506">
                  <c:v>41983</c:v>
                </c:pt>
                <c:pt idx="507">
                  <c:v>41984</c:v>
                </c:pt>
                <c:pt idx="508">
                  <c:v>41985</c:v>
                </c:pt>
                <c:pt idx="509">
                  <c:v>41988</c:v>
                </c:pt>
                <c:pt idx="510">
                  <c:v>41989</c:v>
                </c:pt>
                <c:pt idx="511">
                  <c:v>41990</c:v>
                </c:pt>
                <c:pt idx="512">
                  <c:v>41991</c:v>
                </c:pt>
                <c:pt idx="513">
                  <c:v>41992</c:v>
                </c:pt>
                <c:pt idx="514">
                  <c:v>41995</c:v>
                </c:pt>
                <c:pt idx="515">
                  <c:v>41996</c:v>
                </c:pt>
                <c:pt idx="516">
                  <c:v>41997</c:v>
                </c:pt>
                <c:pt idx="517">
                  <c:v>41998</c:v>
                </c:pt>
                <c:pt idx="518">
                  <c:v>41999</c:v>
                </c:pt>
                <c:pt idx="519">
                  <c:v>42002</c:v>
                </c:pt>
                <c:pt idx="520">
                  <c:v>42003</c:v>
                </c:pt>
                <c:pt idx="521">
                  <c:v>42004</c:v>
                </c:pt>
                <c:pt idx="522">
                  <c:v>42005</c:v>
                </c:pt>
                <c:pt idx="523">
                  <c:v>42006</c:v>
                </c:pt>
                <c:pt idx="524">
                  <c:v>42009</c:v>
                </c:pt>
                <c:pt idx="525">
                  <c:v>42010</c:v>
                </c:pt>
                <c:pt idx="526">
                  <c:v>42011</c:v>
                </c:pt>
                <c:pt idx="527">
                  <c:v>42012</c:v>
                </c:pt>
                <c:pt idx="528">
                  <c:v>42013</c:v>
                </c:pt>
                <c:pt idx="529">
                  <c:v>42016</c:v>
                </c:pt>
                <c:pt idx="530">
                  <c:v>42017</c:v>
                </c:pt>
                <c:pt idx="531">
                  <c:v>42018</c:v>
                </c:pt>
                <c:pt idx="532">
                  <c:v>42019</c:v>
                </c:pt>
                <c:pt idx="533">
                  <c:v>42020</c:v>
                </c:pt>
                <c:pt idx="534">
                  <c:v>42023</c:v>
                </c:pt>
                <c:pt idx="535">
                  <c:v>42024</c:v>
                </c:pt>
                <c:pt idx="536">
                  <c:v>42025</c:v>
                </c:pt>
                <c:pt idx="537">
                  <c:v>42026</c:v>
                </c:pt>
                <c:pt idx="538">
                  <c:v>42027</c:v>
                </c:pt>
                <c:pt idx="539">
                  <c:v>42030</c:v>
                </c:pt>
                <c:pt idx="540">
                  <c:v>42031</c:v>
                </c:pt>
                <c:pt idx="541">
                  <c:v>42032</c:v>
                </c:pt>
                <c:pt idx="542">
                  <c:v>42033</c:v>
                </c:pt>
                <c:pt idx="543">
                  <c:v>42034</c:v>
                </c:pt>
                <c:pt idx="544">
                  <c:v>42037</c:v>
                </c:pt>
                <c:pt idx="545">
                  <c:v>42038</c:v>
                </c:pt>
                <c:pt idx="546">
                  <c:v>42039</c:v>
                </c:pt>
                <c:pt idx="547">
                  <c:v>42040</c:v>
                </c:pt>
                <c:pt idx="548">
                  <c:v>42041</c:v>
                </c:pt>
                <c:pt idx="549">
                  <c:v>42044</c:v>
                </c:pt>
                <c:pt idx="550">
                  <c:v>42045</c:v>
                </c:pt>
                <c:pt idx="551">
                  <c:v>42046</c:v>
                </c:pt>
                <c:pt idx="552">
                  <c:v>42047</c:v>
                </c:pt>
                <c:pt idx="553">
                  <c:v>42048</c:v>
                </c:pt>
                <c:pt idx="554">
                  <c:v>42051</c:v>
                </c:pt>
                <c:pt idx="555">
                  <c:v>42052</c:v>
                </c:pt>
                <c:pt idx="556">
                  <c:v>42053</c:v>
                </c:pt>
                <c:pt idx="557">
                  <c:v>42054</c:v>
                </c:pt>
                <c:pt idx="558">
                  <c:v>42055</c:v>
                </c:pt>
                <c:pt idx="559">
                  <c:v>42058</c:v>
                </c:pt>
                <c:pt idx="560">
                  <c:v>42059</c:v>
                </c:pt>
                <c:pt idx="561">
                  <c:v>42060</c:v>
                </c:pt>
                <c:pt idx="562">
                  <c:v>42061</c:v>
                </c:pt>
                <c:pt idx="563">
                  <c:v>42062</c:v>
                </c:pt>
                <c:pt idx="564">
                  <c:v>42065</c:v>
                </c:pt>
                <c:pt idx="565">
                  <c:v>42066</c:v>
                </c:pt>
                <c:pt idx="566">
                  <c:v>42067</c:v>
                </c:pt>
                <c:pt idx="567">
                  <c:v>42068</c:v>
                </c:pt>
                <c:pt idx="568">
                  <c:v>42069</c:v>
                </c:pt>
                <c:pt idx="569">
                  <c:v>42072</c:v>
                </c:pt>
                <c:pt idx="570">
                  <c:v>42073</c:v>
                </c:pt>
                <c:pt idx="571">
                  <c:v>42074</c:v>
                </c:pt>
                <c:pt idx="572">
                  <c:v>42075</c:v>
                </c:pt>
                <c:pt idx="573">
                  <c:v>42076</c:v>
                </c:pt>
                <c:pt idx="574">
                  <c:v>42079</c:v>
                </c:pt>
                <c:pt idx="575">
                  <c:v>42080</c:v>
                </c:pt>
                <c:pt idx="576">
                  <c:v>42081</c:v>
                </c:pt>
                <c:pt idx="577">
                  <c:v>42082</c:v>
                </c:pt>
                <c:pt idx="578">
                  <c:v>42083</c:v>
                </c:pt>
                <c:pt idx="579">
                  <c:v>42086</c:v>
                </c:pt>
                <c:pt idx="580">
                  <c:v>42087</c:v>
                </c:pt>
                <c:pt idx="581">
                  <c:v>42088</c:v>
                </c:pt>
                <c:pt idx="582">
                  <c:v>42089</c:v>
                </c:pt>
                <c:pt idx="583">
                  <c:v>42090</c:v>
                </c:pt>
                <c:pt idx="584">
                  <c:v>42093</c:v>
                </c:pt>
                <c:pt idx="585">
                  <c:v>42094</c:v>
                </c:pt>
                <c:pt idx="586">
                  <c:v>42095</c:v>
                </c:pt>
                <c:pt idx="587">
                  <c:v>42096</c:v>
                </c:pt>
                <c:pt idx="588">
                  <c:v>42097</c:v>
                </c:pt>
                <c:pt idx="589">
                  <c:v>42100</c:v>
                </c:pt>
                <c:pt idx="590">
                  <c:v>42101</c:v>
                </c:pt>
                <c:pt idx="591">
                  <c:v>42102</c:v>
                </c:pt>
                <c:pt idx="592">
                  <c:v>42103</c:v>
                </c:pt>
                <c:pt idx="593">
                  <c:v>42104</c:v>
                </c:pt>
                <c:pt idx="594">
                  <c:v>42107</c:v>
                </c:pt>
                <c:pt idx="595">
                  <c:v>42108</c:v>
                </c:pt>
                <c:pt idx="596">
                  <c:v>42109</c:v>
                </c:pt>
                <c:pt idx="597">
                  <c:v>42110</c:v>
                </c:pt>
                <c:pt idx="598">
                  <c:v>42111</c:v>
                </c:pt>
                <c:pt idx="599">
                  <c:v>42114</c:v>
                </c:pt>
                <c:pt idx="600">
                  <c:v>42115</c:v>
                </c:pt>
                <c:pt idx="601">
                  <c:v>42116</c:v>
                </c:pt>
                <c:pt idx="602">
                  <c:v>42117</c:v>
                </c:pt>
                <c:pt idx="603">
                  <c:v>42118</c:v>
                </c:pt>
                <c:pt idx="604">
                  <c:v>42121</c:v>
                </c:pt>
                <c:pt idx="605">
                  <c:v>42122</c:v>
                </c:pt>
                <c:pt idx="606">
                  <c:v>42123</c:v>
                </c:pt>
                <c:pt idx="607">
                  <c:v>42124</c:v>
                </c:pt>
                <c:pt idx="608">
                  <c:v>42125</c:v>
                </c:pt>
                <c:pt idx="609">
                  <c:v>42128</c:v>
                </c:pt>
                <c:pt idx="610">
                  <c:v>42129</c:v>
                </c:pt>
                <c:pt idx="611">
                  <c:v>42130</c:v>
                </c:pt>
                <c:pt idx="612">
                  <c:v>42131</c:v>
                </c:pt>
                <c:pt idx="613">
                  <c:v>42132</c:v>
                </c:pt>
                <c:pt idx="614">
                  <c:v>42135</c:v>
                </c:pt>
                <c:pt idx="615">
                  <c:v>42136</c:v>
                </c:pt>
                <c:pt idx="616">
                  <c:v>42137</c:v>
                </c:pt>
                <c:pt idx="617">
                  <c:v>42138</c:v>
                </c:pt>
                <c:pt idx="618">
                  <c:v>42139</c:v>
                </c:pt>
                <c:pt idx="619">
                  <c:v>42142</c:v>
                </c:pt>
                <c:pt idx="620">
                  <c:v>42143</c:v>
                </c:pt>
                <c:pt idx="621">
                  <c:v>42144</c:v>
                </c:pt>
                <c:pt idx="622">
                  <c:v>42145</c:v>
                </c:pt>
                <c:pt idx="623">
                  <c:v>42146</c:v>
                </c:pt>
                <c:pt idx="624">
                  <c:v>42149</c:v>
                </c:pt>
                <c:pt idx="625">
                  <c:v>42150</c:v>
                </c:pt>
                <c:pt idx="626">
                  <c:v>42151</c:v>
                </c:pt>
                <c:pt idx="627">
                  <c:v>42152</c:v>
                </c:pt>
                <c:pt idx="628">
                  <c:v>42153</c:v>
                </c:pt>
                <c:pt idx="629">
                  <c:v>42156</c:v>
                </c:pt>
                <c:pt idx="630">
                  <c:v>42157</c:v>
                </c:pt>
                <c:pt idx="631">
                  <c:v>42158</c:v>
                </c:pt>
                <c:pt idx="632">
                  <c:v>42159</c:v>
                </c:pt>
                <c:pt idx="633">
                  <c:v>42160</c:v>
                </c:pt>
                <c:pt idx="634">
                  <c:v>42163</c:v>
                </c:pt>
                <c:pt idx="635">
                  <c:v>42164</c:v>
                </c:pt>
                <c:pt idx="636">
                  <c:v>42165</c:v>
                </c:pt>
                <c:pt idx="637">
                  <c:v>42166</c:v>
                </c:pt>
                <c:pt idx="638">
                  <c:v>42167</c:v>
                </c:pt>
                <c:pt idx="639">
                  <c:v>42170</c:v>
                </c:pt>
                <c:pt idx="640">
                  <c:v>42171</c:v>
                </c:pt>
                <c:pt idx="641">
                  <c:v>42172</c:v>
                </c:pt>
                <c:pt idx="642">
                  <c:v>42173</c:v>
                </c:pt>
                <c:pt idx="643">
                  <c:v>42174</c:v>
                </c:pt>
                <c:pt idx="644">
                  <c:v>42177</c:v>
                </c:pt>
                <c:pt idx="645">
                  <c:v>42178</c:v>
                </c:pt>
                <c:pt idx="646">
                  <c:v>42179</c:v>
                </c:pt>
                <c:pt idx="647">
                  <c:v>42180</c:v>
                </c:pt>
                <c:pt idx="648">
                  <c:v>42181</c:v>
                </c:pt>
                <c:pt idx="649">
                  <c:v>42184</c:v>
                </c:pt>
                <c:pt idx="650">
                  <c:v>42185</c:v>
                </c:pt>
                <c:pt idx="651">
                  <c:v>42186</c:v>
                </c:pt>
                <c:pt idx="652">
                  <c:v>42187</c:v>
                </c:pt>
                <c:pt idx="653">
                  <c:v>42188</c:v>
                </c:pt>
                <c:pt idx="654">
                  <c:v>42191</c:v>
                </c:pt>
                <c:pt idx="655">
                  <c:v>42192</c:v>
                </c:pt>
                <c:pt idx="656">
                  <c:v>42193</c:v>
                </c:pt>
                <c:pt idx="657">
                  <c:v>42194</c:v>
                </c:pt>
                <c:pt idx="658">
                  <c:v>42195</c:v>
                </c:pt>
                <c:pt idx="659">
                  <c:v>42198</c:v>
                </c:pt>
                <c:pt idx="660">
                  <c:v>42199</c:v>
                </c:pt>
                <c:pt idx="661">
                  <c:v>42200</c:v>
                </c:pt>
                <c:pt idx="662">
                  <c:v>42201</c:v>
                </c:pt>
                <c:pt idx="663">
                  <c:v>42202</c:v>
                </c:pt>
                <c:pt idx="664">
                  <c:v>42205</c:v>
                </c:pt>
                <c:pt idx="665">
                  <c:v>42206</c:v>
                </c:pt>
                <c:pt idx="666">
                  <c:v>42207</c:v>
                </c:pt>
                <c:pt idx="667">
                  <c:v>42208</c:v>
                </c:pt>
                <c:pt idx="668">
                  <c:v>42209</c:v>
                </c:pt>
                <c:pt idx="669">
                  <c:v>42212</c:v>
                </c:pt>
                <c:pt idx="670">
                  <c:v>42213</c:v>
                </c:pt>
                <c:pt idx="671">
                  <c:v>42214</c:v>
                </c:pt>
                <c:pt idx="672">
                  <c:v>42215</c:v>
                </c:pt>
                <c:pt idx="673">
                  <c:v>42216</c:v>
                </c:pt>
                <c:pt idx="674">
                  <c:v>42219</c:v>
                </c:pt>
                <c:pt idx="675">
                  <c:v>42220</c:v>
                </c:pt>
                <c:pt idx="676">
                  <c:v>42221</c:v>
                </c:pt>
                <c:pt idx="677">
                  <c:v>42222</c:v>
                </c:pt>
                <c:pt idx="678">
                  <c:v>42223</c:v>
                </c:pt>
                <c:pt idx="679">
                  <c:v>42226</c:v>
                </c:pt>
                <c:pt idx="680">
                  <c:v>42227</c:v>
                </c:pt>
                <c:pt idx="681">
                  <c:v>42228</c:v>
                </c:pt>
                <c:pt idx="682">
                  <c:v>42229</c:v>
                </c:pt>
                <c:pt idx="683">
                  <c:v>42230</c:v>
                </c:pt>
                <c:pt idx="684">
                  <c:v>42233</c:v>
                </c:pt>
                <c:pt idx="685">
                  <c:v>42234</c:v>
                </c:pt>
                <c:pt idx="686">
                  <c:v>42235</c:v>
                </c:pt>
                <c:pt idx="687">
                  <c:v>42236</c:v>
                </c:pt>
                <c:pt idx="688">
                  <c:v>42237</c:v>
                </c:pt>
                <c:pt idx="689">
                  <c:v>42240</c:v>
                </c:pt>
                <c:pt idx="690">
                  <c:v>42241</c:v>
                </c:pt>
                <c:pt idx="691">
                  <c:v>42242</c:v>
                </c:pt>
                <c:pt idx="692">
                  <c:v>42243</c:v>
                </c:pt>
                <c:pt idx="693">
                  <c:v>42244</c:v>
                </c:pt>
                <c:pt idx="694">
                  <c:v>42247</c:v>
                </c:pt>
                <c:pt idx="695">
                  <c:v>42248</c:v>
                </c:pt>
                <c:pt idx="696">
                  <c:v>42249</c:v>
                </c:pt>
                <c:pt idx="697">
                  <c:v>42250</c:v>
                </c:pt>
                <c:pt idx="698">
                  <c:v>42251</c:v>
                </c:pt>
                <c:pt idx="699">
                  <c:v>42254</c:v>
                </c:pt>
                <c:pt idx="700">
                  <c:v>42255</c:v>
                </c:pt>
                <c:pt idx="701">
                  <c:v>42256</c:v>
                </c:pt>
                <c:pt idx="702">
                  <c:v>42257</c:v>
                </c:pt>
                <c:pt idx="703">
                  <c:v>42258</c:v>
                </c:pt>
                <c:pt idx="704">
                  <c:v>42261</c:v>
                </c:pt>
                <c:pt idx="705">
                  <c:v>42262</c:v>
                </c:pt>
                <c:pt idx="706">
                  <c:v>42263</c:v>
                </c:pt>
                <c:pt idx="707">
                  <c:v>42264</c:v>
                </c:pt>
                <c:pt idx="708">
                  <c:v>42265</c:v>
                </c:pt>
                <c:pt idx="709">
                  <c:v>42268</c:v>
                </c:pt>
                <c:pt idx="710">
                  <c:v>42269</c:v>
                </c:pt>
                <c:pt idx="711">
                  <c:v>42270</c:v>
                </c:pt>
                <c:pt idx="712">
                  <c:v>42271</c:v>
                </c:pt>
                <c:pt idx="713">
                  <c:v>42272</c:v>
                </c:pt>
                <c:pt idx="714">
                  <c:v>42275</c:v>
                </c:pt>
                <c:pt idx="715">
                  <c:v>42276</c:v>
                </c:pt>
                <c:pt idx="716">
                  <c:v>42277</c:v>
                </c:pt>
                <c:pt idx="717">
                  <c:v>42278</c:v>
                </c:pt>
                <c:pt idx="718">
                  <c:v>42279</c:v>
                </c:pt>
                <c:pt idx="719">
                  <c:v>42282</c:v>
                </c:pt>
                <c:pt idx="720">
                  <c:v>42283</c:v>
                </c:pt>
                <c:pt idx="721">
                  <c:v>42284</c:v>
                </c:pt>
                <c:pt idx="722">
                  <c:v>42285</c:v>
                </c:pt>
                <c:pt idx="723">
                  <c:v>42286</c:v>
                </c:pt>
                <c:pt idx="724">
                  <c:v>42289</c:v>
                </c:pt>
                <c:pt idx="725">
                  <c:v>42290</c:v>
                </c:pt>
                <c:pt idx="726">
                  <c:v>42291</c:v>
                </c:pt>
                <c:pt idx="727">
                  <c:v>42292</c:v>
                </c:pt>
                <c:pt idx="728">
                  <c:v>42293</c:v>
                </c:pt>
                <c:pt idx="729">
                  <c:v>42296</c:v>
                </c:pt>
                <c:pt idx="730">
                  <c:v>42297</c:v>
                </c:pt>
                <c:pt idx="731">
                  <c:v>42298</c:v>
                </c:pt>
                <c:pt idx="732">
                  <c:v>42299</c:v>
                </c:pt>
                <c:pt idx="733">
                  <c:v>42300</c:v>
                </c:pt>
                <c:pt idx="734">
                  <c:v>42303</c:v>
                </c:pt>
                <c:pt idx="735">
                  <c:v>42304</c:v>
                </c:pt>
                <c:pt idx="736">
                  <c:v>42305</c:v>
                </c:pt>
                <c:pt idx="737">
                  <c:v>42306</c:v>
                </c:pt>
                <c:pt idx="738">
                  <c:v>42307</c:v>
                </c:pt>
                <c:pt idx="739">
                  <c:v>42310</c:v>
                </c:pt>
                <c:pt idx="740">
                  <c:v>42311</c:v>
                </c:pt>
                <c:pt idx="741">
                  <c:v>42312</c:v>
                </c:pt>
                <c:pt idx="742">
                  <c:v>42313</c:v>
                </c:pt>
                <c:pt idx="743">
                  <c:v>42314</c:v>
                </c:pt>
                <c:pt idx="744">
                  <c:v>42317</c:v>
                </c:pt>
                <c:pt idx="745">
                  <c:v>42318</c:v>
                </c:pt>
                <c:pt idx="746">
                  <c:v>42319</c:v>
                </c:pt>
                <c:pt idx="747">
                  <c:v>42320</c:v>
                </c:pt>
                <c:pt idx="748">
                  <c:v>42321</c:v>
                </c:pt>
                <c:pt idx="749">
                  <c:v>42324</c:v>
                </c:pt>
                <c:pt idx="750">
                  <c:v>42325</c:v>
                </c:pt>
                <c:pt idx="751">
                  <c:v>42326</c:v>
                </c:pt>
                <c:pt idx="752">
                  <c:v>42327</c:v>
                </c:pt>
                <c:pt idx="753">
                  <c:v>42328</c:v>
                </c:pt>
                <c:pt idx="754">
                  <c:v>42331</c:v>
                </c:pt>
                <c:pt idx="755">
                  <c:v>42332</c:v>
                </c:pt>
                <c:pt idx="756">
                  <c:v>42333</c:v>
                </c:pt>
                <c:pt idx="757">
                  <c:v>42334</c:v>
                </c:pt>
                <c:pt idx="758">
                  <c:v>42335</c:v>
                </c:pt>
                <c:pt idx="759">
                  <c:v>42338</c:v>
                </c:pt>
                <c:pt idx="760">
                  <c:v>42339</c:v>
                </c:pt>
                <c:pt idx="761">
                  <c:v>42340</c:v>
                </c:pt>
                <c:pt idx="762">
                  <c:v>42341</c:v>
                </c:pt>
                <c:pt idx="763">
                  <c:v>42342</c:v>
                </c:pt>
                <c:pt idx="764">
                  <c:v>42345</c:v>
                </c:pt>
                <c:pt idx="765">
                  <c:v>42346</c:v>
                </c:pt>
                <c:pt idx="766">
                  <c:v>42347</c:v>
                </c:pt>
                <c:pt idx="767">
                  <c:v>42348</c:v>
                </c:pt>
                <c:pt idx="768">
                  <c:v>42349</c:v>
                </c:pt>
                <c:pt idx="769">
                  <c:v>42352</c:v>
                </c:pt>
                <c:pt idx="770">
                  <c:v>42353</c:v>
                </c:pt>
                <c:pt idx="771">
                  <c:v>42354</c:v>
                </c:pt>
                <c:pt idx="772">
                  <c:v>42355</c:v>
                </c:pt>
                <c:pt idx="773">
                  <c:v>42356</c:v>
                </c:pt>
                <c:pt idx="774">
                  <c:v>42359</c:v>
                </c:pt>
                <c:pt idx="775">
                  <c:v>42360</c:v>
                </c:pt>
                <c:pt idx="776">
                  <c:v>42361</c:v>
                </c:pt>
                <c:pt idx="777">
                  <c:v>42362</c:v>
                </c:pt>
                <c:pt idx="778">
                  <c:v>42363</c:v>
                </c:pt>
                <c:pt idx="779">
                  <c:v>42366</c:v>
                </c:pt>
                <c:pt idx="780">
                  <c:v>42367</c:v>
                </c:pt>
                <c:pt idx="781">
                  <c:v>42368</c:v>
                </c:pt>
                <c:pt idx="782">
                  <c:v>42369</c:v>
                </c:pt>
                <c:pt idx="783">
                  <c:v>42370</c:v>
                </c:pt>
                <c:pt idx="784">
                  <c:v>42373</c:v>
                </c:pt>
                <c:pt idx="785">
                  <c:v>42374</c:v>
                </c:pt>
                <c:pt idx="786">
                  <c:v>42375</c:v>
                </c:pt>
                <c:pt idx="787">
                  <c:v>42376</c:v>
                </c:pt>
                <c:pt idx="788">
                  <c:v>42377</c:v>
                </c:pt>
                <c:pt idx="789">
                  <c:v>42380</c:v>
                </c:pt>
                <c:pt idx="790">
                  <c:v>42381</c:v>
                </c:pt>
                <c:pt idx="791">
                  <c:v>42382</c:v>
                </c:pt>
                <c:pt idx="792">
                  <c:v>42383</c:v>
                </c:pt>
                <c:pt idx="793">
                  <c:v>42384</c:v>
                </c:pt>
                <c:pt idx="794">
                  <c:v>42387</c:v>
                </c:pt>
                <c:pt idx="795">
                  <c:v>42388</c:v>
                </c:pt>
                <c:pt idx="796">
                  <c:v>42389</c:v>
                </c:pt>
                <c:pt idx="797">
                  <c:v>42390</c:v>
                </c:pt>
                <c:pt idx="798">
                  <c:v>42391</c:v>
                </c:pt>
                <c:pt idx="799">
                  <c:v>42394</c:v>
                </c:pt>
                <c:pt idx="800">
                  <c:v>42395</c:v>
                </c:pt>
                <c:pt idx="801">
                  <c:v>42396</c:v>
                </c:pt>
                <c:pt idx="802">
                  <c:v>42397</c:v>
                </c:pt>
                <c:pt idx="803">
                  <c:v>42398</c:v>
                </c:pt>
                <c:pt idx="804">
                  <c:v>42401</c:v>
                </c:pt>
                <c:pt idx="805">
                  <c:v>42402</c:v>
                </c:pt>
                <c:pt idx="806">
                  <c:v>42403</c:v>
                </c:pt>
                <c:pt idx="807">
                  <c:v>42404</c:v>
                </c:pt>
                <c:pt idx="808">
                  <c:v>42405</c:v>
                </c:pt>
                <c:pt idx="809">
                  <c:v>42408</c:v>
                </c:pt>
                <c:pt idx="810">
                  <c:v>42409</c:v>
                </c:pt>
                <c:pt idx="811">
                  <c:v>42410</c:v>
                </c:pt>
                <c:pt idx="812">
                  <c:v>42411</c:v>
                </c:pt>
                <c:pt idx="813">
                  <c:v>42412</c:v>
                </c:pt>
                <c:pt idx="814">
                  <c:v>42415</c:v>
                </c:pt>
                <c:pt idx="815">
                  <c:v>42416</c:v>
                </c:pt>
                <c:pt idx="816">
                  <c:v>42417</c:v>
                </c:pt>
                <c:pt idx="817">
                  <c:v>42418</c:v>
                </c:pt>
                <c:pt idx="818">
                  <c:v>42419</c:v>
                </c:pt>
                <c:pt idx="819">
                  <c:v>42422</c:v>
                </c:pt>
                <c:pt idx="820">
                  <c:v>42423</c:v>
                </c:pt>
                <c:pt idx="821">
                  <c:v>42424</c:v>
                </c:pt>
                <c:pt idx="822">
                  <c:v>42425</c:v>
                </c:pt>
                <c:pt idx="823">
                  <c:v>42426</c:v>
                </c:pt>
                <c:pt idx="824">
                  <c:v>42429</c:v>
                </c:pt>
                <c:pt idx="825">
                  <c:v>42430</c:v>
                </c:pt>
                <c:pt idx="826">
                  <c:v>42431</c:v>
                </c:pt>
                <c:pt idx="827">
                  <c:v>42432</c:v>
                </c:pt>
                <c:pt idx="828">
                  <c:v>42433</c:v>
                </c:pt>
                <c:pt idx="829">
                  <c:v>42436</c:v>
                </c:pt>
                <c:pt idx="830">
                  <c:v>42437</c:v>
                </c:pt>
                <c:pt idx="831">
                  <c:v>42438</c:v>
                </c:pt>
                <c:pt idx="832">
                  <c:v>42439</c:v>
                </c:pt>
                <c:pt idx="833">
                  <c:v>42440</c:v>
                </c:pt>
                <c:pt idx="834">
                  <c:v>42443</c:v>
                </c:pt>
                <c:pt idx="835">
                  <c:v>42444</c:v>
                </c:pt>
                <c:pt idx="836">
                  <c:v>42445</c:v>
                </c:pt>
                <c:pt idx="837">
                  <c:v>42446</c:v>
                </c:pt>
                <c:pt idx="838">
                  <c:v>42447</c:v>
                </c:pt>
                <c:pt idx="839">
                  <c:v>42450</c:v>
                </c:pt>
                <c:pt idx="840">
                  <c:v>42451</c:v>
                </c:pt>
                <c:pt idx="841">
                  <c:v>42452</c:v>
                </c:pt>
                <c:pt idx="842">
                  <c:v>42453</c:v>
                </c:pt>
                <c:pt idx="843">
                  <c:v>42454</c:v>
                </c:pt>
                <c:pt idx="844">
                  <c:v>42457</c:v>
                </c:pt>
                <c:pt idx="845">
                  <c:v>42458</c:v>
                </c:pt>
                <c:pt idx="846">
                  <c:v>42459</c:v>
                </c:pt>
                <c:pt idx="847">
                  <c:v>42460</c:v>
                </c:pt>
                <c:pt idx="848">
                  <c:v>42461</c:v>
                </c:pt>
                <c:pt idx="849">
                  <c:v>42464</c:v>
                </c:pt>
                <c:pt idx="850">
                  <c:v>42465</c:v>
                </c:pt>
                <c:pt idx="851">
                  <c:v>42466</c:v>
                </c:pt>
                <c:pt idx="852">
                  <c:v>42467</c:v>
                </c:pt>
                <c:pt idx="853">
                  <c:v>42468</c:v>
                </c:pt>
                <c:pt idx="854">
                  <c:v>42471</c:v>
                </c:pt>
                <c:pt idx="855">
                  <c:v>42472</c:v>
                </c:pt>
                <c:pt idx="856">
                  <c:v>42473</c:v>
                </c:pt>
                <c:pt idx="857">
                  <c:v>42474</c:v>
                </c:pt>
                <c:pt idx="858">
                  <c:v>42475</c:v>
                </c:pt>
                <c:pt idx="859">
                  <c:v>42478</c:v>
                </c:pt>
                <c:pt idx="860">
                  <c:v>42479</c:v>
                </c:pt>
                <c:pt idx="861">
                  <c:v>42480</c:v>
                </c:pt>
                <c:pt idx="862">
                  <c:v>42481</c:v>
                </c:pt>
                <c:pt idx="863">
                  <c:v>42482</c:v>
                </c:pt>
                <c:pt idx="864">
                  <c:v>42485</c:v>
                </c:pt>
                <c:pt idx="865">
                  <c:v>42486</c:v>
                </c:pt>
                <c:pt idx="866">
                  <c:v>42487</c:v>
                </c:pt>
                <c:pt idx="867">
                  <c:v>42488</c:v>
                </c:pt>
                <c:pt idx="868">
                  <c:v>42489</c:v>
                </c:pt>
                <c:pt idx="869">
                  <c:v>42492</c:v>
                </c:pt>
                <c:pt idx="870">
                  <c:v>42493</c:v>
                </c:pt>
                <c:pt idx="871">
                  <c:v>42494</c:v>
                </c:pt>
                <c:pt idx="872">
                  <c:v>42495</c:v>
                </c:pt>
                <c:pt idx="873">
                  <c:v>42496</c:v>
                </c:pt>
                <c:pt idx="874">
                  <c:v>42499</c:v>
                </c:pt>
                <c:pt idx="875">
                  <c:v>42500</c:v>
                </c:pt>
                <c:pt idx="876">
                  <c:v>42501</c:v>
                </c:pt>
                <c:pt idx="877">
                  <c:v>42502</c:v>
                </c:pt>
                <c:pt idx="878">
                  <c:v>42503</c:v>
                </c:pt>
                <c:pt idx="879">
                  <c:v>42506</c:v>
                </c:pt>
                <c:pt idx="880">
                  <c:v>42507</c:v>
                </c:pt>
                <c:pt idx="881">
                  <c:v>42508</c:v>
                </c:pt>
                <c:pt idx="882">
                  <c:v>42509</c:v>
                </c:pt>
                <c:pt idx="883">
                  <c:v>42510</c:v>
                </c:pt>
                <c:pt idx="884">
                  <c:v>42513</c:v>
                </c:pt>
                <c:pt idx="885">
                  <c:v>42514</c:v>
                </c:pt>
                <c:pt idx="886">
                  <c:v>42515</c:v>
                </c:pt>
                <c:pt idx="887">
                  <c:v>42516</c:v>
                </c:pt>
                <c:pt idx="888">
                  <c:v>42517</c:v>
                </c:pt>
                <c:pt idx="889">
                  <c:v>42520</c:v>
                </c:pt>
                <c:pt idx="890">
                  <c:v>42521</c:v>
                </c:pt>
                <c:pt idx="891">
                  <c:v>42522</c:v>
                </c:pt>
                <c:pt idx="892">
                  <c:v>42523</c:v>
                </c:pt>
                <c:pt idx="893">
                  <c:v>42524</c:v>
                </c:pt>
                <c:pt idx="894">
                  <c:v>42527</c:v>
                </c:pt>
                <c:pt idx="895">
                  <c:v>42528</c:v>
                </c:pt>
                <c:pt idx="896">
                  <c:v>42529</c:v>
                </c:pt>
                <c:pt idx="897">
                  <c:v>42530</c:v>
                </c:pt>
                <c:pt idx="898">
                  <c:v>42531</c:v>
                </c:pt>
                <c:pt idx="899">
                  <c:v>42534</c:v>
                </c:pt>
                <c:pt idx="900">
                  <c:v>42535</c:v>
                </c:pt>
                <c:pt idx="901">
                  <c:v>42536</c:v>
                </c:pt>
                <c:pt idx="902">
                  <c:v>42537</c:v>
                </c:pt>
                <c:pt idx="903">
                  <c:v>42538</c:v>
                </c:pt>
                <c:pt idx="904">
                  <c:v>42541</c:v>
                </c:pt>
                <c:pt idx="905">
                  <c:v>42542</c:v>
                </c:pt>
                <c:pt idx="906">
                  <c:v>42543</c:v>
                </c:pt>
                <c:pt idx="907">
                  <c:v>42544</c:v>
                </c:pt>
                <c:pt idx="908">
                  <c:v>42545</c:v>
                </c:pt>
                <c:pt idx="909">
                  <c:v>42548</c:v>
                </c:pt>
                <c:pt idx="910">
                  <c:v>42549</c:v>
                </c:pt>
                <c:pt idx="911">
                  <c:v>42550</c:v>
                </c:pt>
                <c:pt idx="912">
                  <c:v>42551</c:v>
                </c:pt>
                <c:pt idx="913">
                  <c:v>42552</c:v>
                </c:pt>
                <c:pt idx="914">
                  <c:v>42555</c:v>
                </c:pt>
                <c:pt idx="915">
                  <c:v>42556</c:v>
                </c:pt>
                <c:pt idx="916">
                  <c:v>42557</c:v>
                </c:pt>
                <c:pt idx="917">
                  <c:v>42558</c:v>
                </c:pt>
                <c:pt idx="918">
                  <c:v>42559</c:v>
                </c:pt>
                <c:pt idx="919">
                  <c:v>42562</c:v>
                </c:pt>
                <c:pt idx="920">
                  <c:v>42563</c:v>
                </c:pt>
                <c:pt idx="921">
                  <c:v>42564</c:v>
                </c:pt>
                <c:pt idx="922">
                  <c:v>42565</c:v>
                </c:pt>
                <c:pt idx="923">
                  <c:v>42566</c:v>
                </c:pt>
                <c:pt idx="924">
                  <c:v>42569</c:v>
                </c:pt>
                <c:pt idx="925">
                  <c:v>42570</c:v>
                </c:pt>
                <c:pt idx="926">
                  <c:v>42571</c:v>
                </c:pt>
                <c:pt idx="927">
                  <c:v>42572</c:v>
                </c:pt>
                <c:pt idx="928">
                  <c:v>42573</c:v>
                </c:pt>
                <c:pt idx="929">
                  <c:v>42576</c:v>
                </c:pt>
                <c:pt idx="930">
                  <c:v>42577</c:v>
                </c:pt>
                <c:pt idx="931">
                  <c:v>42578</c:v>
                </c:pt>
                <c:pt idx="932">
                  <c:v>42579</c:v>
                </c:pt>
                <c:pt idx="933">
                  <c:v>42580</c:v>
                </c:pt>
                <c:pt idx="934">
                  <c:v>42583</c:v>
                </c:pt>
                <c:pt idx="935">
                  <c:v>42584</c:v>
                </c:pt>
                <c:pt idx="936">
                  <c:v>42585</c:v>
                </c:pt>
                <c:pt idx="937">
                  <c:v>42586</c:v>
                </c:pt>
                <c:pt idx="938">
                  <c:v>42587</c:v>
                </c:pt>
                <c:pt idx="939">
                  <c:v>42590</c:v>
                </c:pt>
                <c:pt idx="940">
                  <c:v>42591</c:v>
                </c:pt>
                <c:pt idx="941">
                  <c:v>42592</c:v>
                </c:pt>
                <c:pt idx="942">
                  <c:v>42593</c:v>
                </c:pt>
                <c:pt idx="943">
                  <c:v>42594</c:v>
                </c:pt>
                <c:pt idx="944">
                  <c:v>42597</c:v>
                </c:pt>
                <c:pt idx="945">
                  <c:v>42598</c:v>
                </c:pt>
                <c:pt idx="946">
                  <c:v>42599</c:v>
                </c:pt>
                <c:pt idx="947">
                  <c:v>42600</c:v>
                </c:pt>
                <c:pt idx="948">
                  <c:v>42601</c:v>
                </c:pt>
                <c:pt idx="949">
                  <c:v>42604</c:v>
                </c:pt>
                <c:pt idx="950">
                  <c:v>42605</c:v>
                </c:pt>
                <c:pt idx="951">
                  <c:v>42606</c:v>
                </c:pt>
                <c:pt idx="952">
                  <c:v>42607</c:v>
                </c:pt>
                <c:pt idx="953">
                  <c:v>42608</c:v>
                </c:pt>
                <c:pt idx="954">
                  <c:v>42611</c:v>
                </c:pt>
                <c:pt idx="955">
                  <c:v>42612</c:v>
                </c:pt>
                <c:pt idx="956">
                  <c:v>42613</c:v>
                </c:pt>
                <c:pt idx="957">
                  <c:v>42614</c:v>
                </c:pt>
                <c:pt idx="958">
                  <c:v>42615</c:v>
                </c:pt>
                <c:pt idx="959">
                  <c:v>42618</c:v>
                </c:pt>
                <c:pt idx="960">
                  <c:v>42619</c:v>
                </c:pt>
                <c:pt idx="961">
                  <c:v>42620</c:v>
                </c:pt>
                <c:pt idx="962">
                  <c:v>42621</c:v>
                </c:pt>
                <c:pt idx="963">
                  <c:v>42622</c:v>
                </c:pt>
                <c:pt idx="964">
                  <c:v>42625</c:v>
                </c:pt>
                <c:pt idx="965">
                  <c:v>42626</c:v>
                </c:pt>
                <c:pt idx="966">
                  <c:v>42627</c:v>
                </c:pt>
                <c:pt idx="967">
                  <c:v>42628</c:v>
                </c:pt>
                <c:pt idx="968">
                  <c:v>42629</c:v>
                </c:pt>
                <c:pt idx="969">
                  <c:v>42632</c:v>
                </c:pt>
                <c:pt idx="970">
                  <c:v>42633</c:v>
                </c:pt>
              </c:numCache>
            </c:numRef>
          </c:cat>
          <c:val>
            <c:numRef>
              <c:f>[0]!longExoRange</c:f>
              <c:numCache>
                <c:formatCode>General</c:formatCode>
                <c:ptCount val="971"/>
                <c:pt idx="0">
                  <c:v>0</c:v>
                </c:pt>
                <c:pt idx="1">
                  <c:v>-8500</c:v>
                </c:pt>
                <c:pt idx="2">
                  <c:v>-8000</c:v>
                </c:pt>
                <c:pt idx="3">
                  <c:v>-11750</c:v>
                </c:pt>
                <c:pt idx="4">
                  <c:v>-10875</c:v>
                </c:pt>
                <c:pt idx="5">
                  <c:v>-7500</c:v>
                </c:pt>
                <c:pt idx="6">
                  <c:v>-6250</c:v>
                </c:pt>
                <c:pt idx="7">
                  <c:v>-4375</c:v>
                </c:pt>
                <c:pt idx="8">
                  <c:v>4125</c:v>
                </c:pt>
                <c:pt idx="9">
                  <c:v>8000</c:v>
                </c:pt>
                <c:pt idx="10">
                  <c:v>12500</c:v>
                </c:pt>
                <c:pt idx="11">
                  <c:v>11250</c:v>
                </c:pt>
                <c:pt idx="12">
                  <c:v>10375</c:v>
                </c:pt>
                <c:pt idx="13">
                  <c:v>10875</c:v>
                </c:pt>
                <c:pt idx="14">
                  <c:v>10625</c:v>
                </c:pt>
                <c:pt idx="15">
                  <c:v>11875</c:v>
                </c:pt>
                <c:pt idx="16">
                  <c:v>8375</c:v>
                </c:pt>
                <c:pt idx="17">
                  <c:v>7375</c:v>
                </c:pt>
                <c:pt idx="18">
                  <c:v>7000</c:v>
                </c:pt>
                <c:pt idx="19">
                  <c:v>8500</c:v>
                </c:pt>
                <c:pt idx="20">
                  <c:v>12125</c:v>
                </c:pt>
                <c:pt idx="21">
                  <c:v>16875</c:v>
                </c:pt>
                <c:pt idx="22">
                  <c:v>16500</c:v>
                </c:pt>
                <c:pt idx="23">
                  <c:v>15630</c:v>
                </c:pt>
                <c:pt idx="24">
                  <c:v>13255</c:v>
                </c:pt>
                <c:pt idx="25">
                  <c:v>10130</c:v>
                </c:pt>
                <c:pt idx="26">
                  <c:v>8255</c:v>
                </c:pt>
                <c:pt idx="27">
                  <c:v>3755</c:v>
                </c:pt>
                <c:pt idx="28">
                  <c:v>2755</c:v>
                </c:pt>
                <c:pt idx="29">
                  <c:v>-2495</c:v>
                </c:pt>
                <c:pt idx="30">
                  <c:v>-6495</c:v>
                </c:pt>
                <c:pt idx="31">
                  <c:v>-6995</c:v>
                </c:pt>
                <c:pt idx="32">
                  <c:v>-7995</c:v>
                </c:pt>
                <c:pt idx="33">
                  <c:v>-4745</c:v>
                </c:pt>
                <c:pt idx="34">
                  <c:v>-3870</c:v>
                </c:pt>
                <c:pt idx="35">
                  <c:v>-6745</c:v>
                </c:pt>
                <c:pt idx="36">
                  <c:v>-3870</c:v>
                </c:pt>
                <c:pt idx="37">
                  <c:v>-7370</c:v>
                </c:pt>
                <c:pt idx="38">
                  <c:v>-7995</c:v>
                </c:pt>
                <c:pt idx="39">
                  <c:v>-7745</c:v>
                </c:pt>
                <c:pt idx="40">
                  <c:v>-4495</c:v>
                </c:pt>
                <c:pt idx="41">
                  <c:v>-2870</c:v>
                </c:pt>
                <c:pt idx="42">
                  <c:v>1255</c:v>
                </c:pt>
                <c:pt idx="43">
                  <c:v>3135</c:v>
                </c:pt>
                <c:pt idx="44">
                  <c:v>-1365</c:v>
                </c:pt>
                <c:pt idx="45">
                  <c:v>2510</c:v>
                </c:pt>
                <c:pt idx="46">
                  <c:v>-4240</c:v>
                </c:pt>
                <c:pt idx="47">
                  <c:v>-8365</c:v>
                </c:pt>
                <c:pt idx="48">
                  <c:v>-1365</c:v>
                </c:pt>
                <c:pt idx="49">
                  <c:v>5510</c:v>
                </c:pt>
                <c:pt idx="50">
                  <c:v>6760</c:v>
                </c:pt>
                <c:pt idx="51">
                  <c:v>3635</c:v>
                </c:pt>
                <c:pt idx="52">
                  <c:v>6510</c:v>
                </c:pt>
                <c:pt idx="53">
                  <c:v>7135</c:v>
                </c:pt>
                <c:pt idx="54">
                  <c:v>7260</c:v>
                </c:pt>
                <c:pt idx="55">
                  <c:v>11760</c:v>
                </c:pt>
                <c:pt idx="56">
                  <c:v>14385</c:v>
                </c:pt>
                <c:pt idx="57">
                  <c:v>15885</c:v>
                </c:pt>
                <c:pt idx="58">
                  <c:v>12385</c:v>
                </c:pt>
                <c:pt idx="59">
                  <c:v>14260</c:v>
                </c:pt>
                <c:pt idx="60">
                  <c:v>13010</c:v>
                </c:pt>
                <c:pt idx="61">
                  <c:v>17010</c:v>
                </c:pt>
                <c:pt idx="62">
                  <c:v>-3490</c:v>
                </c:pt>
                <c:pt idx="63">
                  <c:v>-13990</c:v>
                </c:pt>
                <c:pt idx="64">
                  <c:v>-27990</c:v>
                </c:pt>
                <c:pt idx="65">
                  <c:v>-33615</c:v>
                </c:pt>
                <c:pt idx="66">
                  <c:v>-31365</c:v>
                </c:pt>
                <c:pt idx="67">
                  <c:v>-34865</c:v>
                </c:pt>
                <c:pt idx="68">
                  <c:v>-36365</c:v>
                </c:pt>
                <c:pt idx="69">
                  <c:v>-34740</c:v>
                </c:pt>
                <c:pt idx="70">
                  <c:v>-29365</c:v>
                </c:pt>
                <c:pt idx="71">
                  <c:v>-28490</c:v>
                </c:pt>
                <c:pt idx="72">
                  <c:v>-24490</c:v>
                </c:pt>
                <c:pt idx="73">
                  <c:v>-22865</c:v>
                </c:pt>
                <c:pt idx="74">
                  <c:v>-26615</c:v>
                </c:pt>
                <c:pt idx="75">
                  <c:v>-20990</c:v>
                </c:pt>
                <c:pt idx="76">
                  <c:v>-21365</c:v>
                </c:pt>
                <c:pt idx="77">
                  <c:v>-28115</c:v>
                </c:pt>
                <c:pt idx="78">
                  <c:v>-25990</c:v>
                </c:pt>
                <c:pt idx="79">
                  <c:v>-28490</c:v>
                </c:pt>
                <c:pt idx="80">
                  <c:v>-30865</c:v>
                </c:pt>
                <c:pt idx="81">
                  <c:v>-32240</c:v>
                </c:pt>
                <c:pt idx="82">
                  <c:v>-29115</c:v>
                </c:pt>
                <c:pt idx="83">
                  <c:v>-30865</c:v>
                </c:pt>
                <c:pt idx="84">
                  <c:v>-11365</c:v>
                </c:pt>
                <c:pt idx="85">
                  <c:v>-13865</c:v>
                </c:pt>
                <c:pt idx="86">
                  <c:v>-16485</c:v>
                </c:pt>
                <c:pt idx="87">
                  <c:v>-10860</c:v>
                </c:pt>
                <c:pt idx="88">
                  <c:v>-10360</c:v>
                </c:pt>
                <c:pt idx="89">
                  <c:v>-22360</c:v>
                </c:pt>
                <c:pt idx="90">
                  <c:v>-19485</c:v>
                </c:pt>
                <c:pt idx="91">
                  <c:v>-25110</c:v>
                </c:pt>
                <c:pt idx="92">
                  <c:v>-15360</c:v>
                </c:pt>
                <c:pt idx="93">
                  <c:v>-23235</c:v>
                </c:pt>
                <c:pt idx="94">
                  <c:v>-13360</c:v>
                </c:pt>
                <c:pt idx="95">
                  <c:v>-15610</c:v>
                </c:pt>
                <c:pt idx="96">
                  <c:v>-16485</c:v>
                </c:pt>
                <c:pt idx="97">
                  <c:v>-19985</c:v>
                </c:pt>
                <c:pt idx="98">
                  <c:v>-14985</c:v>
                </c:pt>
                <c:pt idx="99">
                  <c:v>-17235</c:v>
                </c:pt>
                <c:pt idx="100">
                  <c:v>-22735</c:v>
                </c:pt>
                <c:pt idx="101">
                  <c:v>-13110</c:v>
                </c:pt>
                <c:pt idx="102">
                  <c:v>-9860</c:v>
                </c:pt>
                <c:pt idx="103">
                  <c:v>-11485</c:v>
                </c:pt>
                <c:pt idx="104">
                  <c:v>-12485</c:v>
                </c:pt>
                <c:pt idx="105">
                  <c:v>-8485</c:v>
                </c:pt>
                <c:pt idx="106">
                  <c:v>-8735</c:v>
                </c:pt>
                <c:pt idx="107">
                  <c:v>-14735</c:v>
                </c:pt>
                <c:pt idx="108">
                  <c:v>-9860</c:v>
                </c:pt>
                <c:pt idx="109">
                  <c:v>-11735</c:v>
                </c:pt>
                <c:pt idx="110">
                  <c:v>-13485</c:v>
                </c:pt>
                <c:pt idx="111">
                  <c:v>-10485</c:v>
                </c:pt>
                <c:pt idx="112">
                  <c:v>-10485</c:v>
                </c:pt>
                <c:pt idx="113">
                  <c:v>-8360</c:v>
                </c:pt>
                <c:pt idx="114">
                  <c:v>-16485</c:v>
                </c:pt>
                <c:pt idx="115">
                  <c:v>-13110</c:v>
                </c:pt>
                <c:pt idx="116">
                  <c:v>-16360</c:v>
                </c:pt>
                <c:pt idx="117">
                  <c:v>-18985</c:v>
                </c:pt>
                <c:pt idx="118">
                  <c:v>-13860</c:v>
                </c:pt>
                <c:pt idx="119">
                  <c:v>-8985</c:v>
                </c:pt>
                <c:pt idx="120">
                  <c:v>-5985</c:v>
                </c:pt>
                <c:pt idx="121">
                  <c:v>-485</c:v>
                </c:pt>
                <c:pt idx="122">
                  <c:v>-4235</c:v>
                </c:pt>
                <c:pt idx="123">
                  <c:v>-5735</c:v>
                </c:pt>
                <c:pt idx="124">
                  <c:v>-13360</c:v>
                </c:pt>
                <c:pt idx="125">
                  <c:v>-14735</c:v>
                </c:pt>
                <c:pt idx="126">
                  <c:v>-15985</c:v>
                </c:pt>
                <c:pt idx="127">
                  <c:v>-17860</c:v>
                </c:pt>
                <c:pt idx="128">
                  <c:v>-28485</c:v>
                </c:pt>
                <c:pt idx="129">
                  <c:v>-37230</c:v>
                </c:pt>
                <c:pt idx="130">
                  <c:v>-37605</c:v>
                </c:pt>
                <c:pt idx="131">
                  <c:v>-37480</c:v>
                </c:pt>
                <c:pt idx="132">
                  <c:v>-36105</c:v>
                </c:pt>
                <c:pt idx="133">
                  <c:v>-39980</c:v>
                </c:pt>
                <c:pt idx="134">
                  <c:v>-36230</c:v>
                </c:pt>
                <c:pt idx="135">
                  <c:v>-29855</c:v>
                </c:pt>
                <c:pt idx="136">
                  <c:v>-27980</c:v>
                </c:pt>
                <c:pt idx="137">
                  <c:v>-23480</c:v>
                </c:pt>
                <c:pt idx="138">
                  <c:v>-29355</c:v>
                </c:pt>
                <c:pt idx="139">
                  <c:v>-35230</c:v>
                </c:pt>
                <c:pt idx="140">
                  <c:v>-31480</c:v>
                </c:pt>
                <c:pt idx="141">
                  <c:v>-34230</c:v>
                </c:pt>
                <c:pt idx="142">
                  <c:v>-33355</c:v>
                </c:pt>
                <c:pt idx="143">
                  <c:v>-31605</c:v>
                </c:pt>
                <c:pt idx="144">
                  <c:v>-32980</c:v>
                </c:pt>
                <c:pt idx="145">
                  <c:v>-41730</c:v>
                </c:pt>
                <c:pt idx="146">
                  <c:v>-49355</c:v>
                </c:pt>
                <c:pt idx="147">
                  <c:v>-55730</c:v>
                </c:pt>
                <c:pt idx="148">
                  <c:v>-56605</c:v>
                </c:pt>
                <c:pt idx="149">
                  <c:v>-59355</c:v>
                </c:pt>
                <c:pt idx="150">
                  <c:v>-57355</c:v>
                </c:pt>
                <c:pt idx="151">
                  <c:v>-54230</c:v>
                </c:pt>
                <c:pt idx="152">
                  <c:v>-59980</c:v>
                </c:pt>
                <c:pt idx="153">
                  <c:v>-64605</c:v>
                </c:pt>
                <c:pt idx="154">
                  <c:v>-69355</c:v>
                </c:pt>
                <c:pt idx="155">
                  <c:v>-67855</c:v>
                </c:pt>
                <c:pt idx="156">
                  <c:v>-69355</c:v>
                </c:pt>
                <c:pt idx="157">
                  <c:v>-68105</c:v>
                </c:pt>
                <c:pt idx="158">
                  <c:v>-69855</c:v>
                </c:pt>
                <c:pt idx="159">
                  <c:v>-66730</c:v>
                </c:pt>
                <c:pt idx="160">
                  <c:v>-74355</c:v>
                </c:pt>
                <c:pt idx="161">
                  <c:v>-72480</c:v>
                </c:pt>
                <c:pt idx="162">
                  <c:v>-64355</c:v>
                </c:pt>
                <c:pt idx="163">
                  <c:v>-66980</c:v>
                </c:pt>
                <c:pt idx="164">
                  <c:v>-58980</c:v>
                </c:pt>
                <c:pt idx="165">
                  <c:v>-60480</c:v>
                </c:pt>
                <c:pt idx="166">
                  <c:v>-54355</c:v>
                </c:pt>
                <c:pt idx="167">
                  <c:v>-63105</c:v>
                </c:pt>
                <c:pt idx="168">
                  <c:v>-60855</c:v>
                </c:pt>
                <c:pt idx="169">
                  <c:v>-43230</c:v>
                </c:pt>
                <c:pt idx="170">
                  <c:v>-50605</c:v>
                </c:pt>
                <c:pt idx="171">
                  <c:v>-55980</c:v>
                </c:pt>
                <c:pt idx="172">
                  <c:v>-56105</c:v>
                </c:pt>
                <c:pt idx="173">
                  <c:v>-57105</c:v>
                </c:pt>
                <c:pt idx="174">
                  <c:v>-55475</c:v>
                </c:pt>
                <c:pt idx="175">
                  <c:v>-60100</c:v>
                </c:pt>
                <c:pt idx="176">
                  <c:v>-62350</c:v>
                </c:pt>
                <c:pt idx="177">
                  <c:v>-66850</c:v>
                </c:pt>
                <c:pt idx="178">
                  <c:v>-62850</c:v>
                </c:pt>
                <c:pt idx="179">
                  <c:v>-64725</c:v>
                </c:pt>
                <c:pt idx="180">
                  <c:v>-62225</c:v>
                </c:pt>
                <c:pt idx="181">
                  <c:v>-61725</c:v>
                </c:pt>
                <c:pt idx="182">
                  <c:v>-66225</c:v>
                </c:pt>
                <c:pt idx="183">
                  <c:v>-66350</c:v>
                </c:pt>
                <c:pt idx="184">
                  <c:v>-68225</c:v>
                </c:pt>
                <c:pt idx="185">
                  <c:v>-68600</c:v>
                </c:pt>
                <c:pt idx="186">
                  <c:v>-69350</c:v>
                </c:pt>
                <c:pt idx="187">
                  <c:v>-67850</c:v>
                </c:pt>
                <c:pt idx="188">
                  <c:v>-70850</c:v>
                </c:pt>
                <c:pt idx="189">
                  <c:v>-70350</c:v>
                </c:pt>
                <c:pt idx="190">
                  <c:v>-72225</c:v>
                </c:pt>
                <c:pt idx="191">
                  <c:v>-68225</c:v>
                </c:pt>
                <c:pt idx="192">
                  <c:v>-68850</c:v>
                </c:pt>
                <c:pt idx="193">
                  <c:v>-69225</c:v>
                </c:pt>
                <c:pt idx="194">
                  <c:v>-74100</c:v>
                </c:pt>
                <c:pt idx="195">
                  <c:v>-77725</c:v>
                </c:pt>
                <c:pt idx="196">
                  <c:v>-76725</c:v>
                </c:pt>
                <c:pt idx="197">
                  <c:v>-75725</c:v>
                </c:pt>
                <c:pt idx="198">
                  <c:v>-74600</c:v>
                </c:pt>
                <c:pt idx="199">
                  <c:v>-72475</c:v>
                </c:pt>
                <c:pt idx="200">
                  <c:v>-75600</c:v>
                </c:pt>
                <c:pt idx="201">
                  <c:v>-74600</c:v>
                </c:pt>
                <c:pt idx="202">
                  <c:v>-77475</c:v>
                </c:pt>
                <c:pt idx="203">
                  <c:v>-79225</c:v>
                </c:pt>
                <c:pt idx="204">
                  <c:v>-78350</c:v>
                </c:pt>
                <c:pt idx="205">
                  <c:v>-74975</c:v>
                </c:pt>
                <c:pt idx="206">
                  <c:v>-75225</c:v>
                </c:pt>
                <c:pt idx="207">
                  <c:v>-75225</c:v>
                </c:pt>
                <c:pt idx="208">
                  <c:v>-74850</c:v>
                </c:pt>
                <c:pt idx="209">
                  <c:v>-74725</c:v>
                </c:pt>
                <c:pt idx="210">
                  <c:v>-76225</c:v>
                </c:pt>
                <c:pt idx="211">
                  <c:v>-74725</c:v>
                </c:pt>
                <c:pt idx="212">
                  <c:v>-76475</c:v>
                </c:pt>
                <c:pt idx="213">
                  <c:v>-76100</c:v>
                </c:pt>
                <c:pt idx="214">
                  <c:v>-80725</c:v>
                </c:pt>
                <c:pt idx="215">
                  <c:v>-80975</c:v>
                </c:pt>
                <c:pt idx="216">
                  <c:v>-80975</c:v>
                </c:pt>
                <c:pt idx="217">
                  <c:v>-82725</c:v>
                </c:pt>
                <c:pt idx="218">
                  <c:v>-82475</c:v>
                </c:pt>
                <c:pt idx="219">
                  <c:v>-82975</c:v>
                </c:pt>
                <c:pt idx="220">
                  <c:v>-83975</c:v>
                </c:pt>
                <c:pt idx="221">
                  <c:v>-85725</c:v>
                </c:pt>
                <c:pt idx="222">
                  <c:v>-85725</c:v>
                </c:pt>
                <c:pt idx="223">
                  <c:v>-83975</c:v>
                </c:pt>
                <c:pt idx="224">
                  <c:v>-78225</c:v>
                </c:pt>
                <c:pt idx="225">
                  <c:v>-79350</c:v>
                </c:pt>
                <c:pt idx="226">
                  <c:v>-81225</c:v>
                </c:pt>
                <c:pt idx="227">
                  <c:v>-83350</c:v>
                </c:pt>
                <c:pt idx="228">
                  <c:v>-84225</c:v>
                </c:pt>
                <c:pt idx="229">
                  <c:v>-89725</c:v>
                </c:pt>
                <c:pt idx="230">
                  <c:v>-88600</c:v>
                </c:pt>
                <c:pt idx="231">
                  <c:v>-87600</c:v>
                </c:pt>
                <c:pt idx="232">
                  <c:v>-85975</c:v>
                </c:pt>
                <c:pt idx="233">
                  <c:v>-85600</c:v>
                </c:pt>
                <c:pt idx="234">
                  <c:v>-85475</c:v>
                </c:pt>
                <c:pt idx="235">
                  <c:v>-88100</c:v>
                </c:pt>
                <c:pt idx="236">
                  <c:v>-87100</c:v>
                </c:pt>
                <c:pt idx="237">
                  <c:v>-87725</c:v>
                </c:pt>
                <c:pt idx="238">
                  <c:v>-88225</c:v>
                </c:pt>
                <c:pt idx="239">
                  <c:v>-88720</c:v>
                </c:pt>
                <c:pt idx="240">
                  <c:v>-85345</c:v>
                </c:pt>
                <c:pt idx="241">
                  <c:v>-82595</c:v>
                </c:pt>
                <c:pt idx="242">
                  <c:v>-83220</c:v>
                </c:pt>
                <c:pt idx="243">
                  <c:v>-84595</c:v>
                </c:pt>
                <c:pt idx="244">
                  <c:v>-81845</c:v>
                </c:pt>
                <c:pt idx="245">
                  <c:v>-82720</c:v>
                </c:pt>
                <c:pt idx="246">
                  <c:v>-81220</c:v>
                </c:pt>
                <c:pt idx="247">
                  <c:v>-84095</c:v>
                </c:pt>
                <c:pt idx="248">
                  <c:v>-87470</c:v>
                </c:pt>
                <c:pt idx="249">
                  <c:v>-88095</c:v>
                </c:pt>
                <c:pt idx="250">
                  <c:v>-87095</c:v>
                </c:pt>
                <c:pt idx="251">
                  <c:v>-88095</c:v>
                </c:pt>
                <c:pt idx="252">
                  <c:v>-85970</c:v>
                </c:pt>
                <c:pt idx="253">
                  <c:v>-84345</c:v>
                </c:pt>
                <c:pt idx="254">
                  <c:v>-83470</c:v>
                </c:pt>
                <c:pt idx="255">
                  <c:v>-83345</c:v>
                </c:pt>
                <c:pt idx="256">
                  <c:v>-86220</c:v>
                </c:pt>
                <c:pt idx="257">
                  <c:v>-86970</c:v>
                </c:pt>
                <c:pt idx="258">
                  <c:v>-87095</c:v>
                </c:pt>
                <c:pt idx="259">
                  <c:v>-88845</c:v>
                </c:pt>
                <c:pt idx="260">
                  <c:v>-89345</c:v>
                </c:pt>
                <c:pt idx="261">
                  <c:v>-89590</c:v>
                </c:pt>
                <c:pt idx="262">
                  <c:v>-91465</c:v>
                </c:pt>
                <c:pt idx="263">
                  <c:v>-88965</c:v>
                </c:pt>
                <c:pt idx="264">
                  <c:v>-87465</c:v>
                </c:pt>
                <c:pt idx="265">
                  <c:v>-87340</c:v>
                </c:pt>
                <c:pt idx="266">
                  <c:v>-91340</c:v>
                </c:pt>
                <c:pt idx="267">
                  <c:v>-95090</c:v>
                </c:pt>
                <c:pt idx="268">
                  <c:v>-86465</c:v>
                </c:pt>
                <c:pt idx="269">
                  <c:v>-83590</c:v>
                </c:pt>
                <c:pt idx="270">
                  <c:v>-85340</c:v>
                </c:pt>
                <c:pt idx="271">
                  <c:v>-87465</c:v>
                </c:pt>
                <c:pt idx="272">
                  <c:v>-87465</c:v>
                </c:pt>
                <c:pt idx="273">
                  <c:v>-88840</c:v>
                </c:pt>
                <c:pt idx="274">
                  <c:v>-88715</c:v>
                </c:pt>
                <c:pt idx="275">
                  <c:v>-88965</c:v>
                </c:pt>
                <c:pt idx="276">
                  <c:v>-87715</c:v>
                </c:pt>
                <c:pt idx="277">
                  <c:v>-86090</c:v>
                </c:pt>
                <c:pt idx="278">
                  <c:v>-85965</c:v>
                </c:pt>
                <c:pt idx="279">
                  <c:v>-84840</c:v>
                </c:pt>
                <c:pt idx="280">
                  <c:v>-84465</c:v>
                </c:pt>
                <c:pt idx="281">
                  <c:v>-86840</c:v>
                </c:pt>
                <c:pt idx="282">
                  <c:v>-84215</c:v>
                </c:pt>
                <c:pt idx="283">
                  <c:v>-84840</c:v>
                </c:pt>
                <c:pt idx="284">
                  <c:v>-82835</c:v>
                </c:pt>
                <c:pt idx="285">
                  <c:v>-80460</c:v>
                </c:pt>
                <c:pt idx="286">
                  <c:v>-79085</c:v>
                </c:pt>
                <c:pt idx="287">
                  <c:v>-79460</c:v>
                </c:pt>
                <c:pt idx="288">
                  <c:v>-79085</c:v>
                </c:pt>
                <c:pt idx="289">
                  <c:v>-80335</c:v>
                </c:pt>
                <c:pt idx="290">
                  <c:v>-79960</c:v>
                </c:pt>
                <c:pt idx="291">
                  <c:v>-80835</c:v>
                </c:pt>
                <c:pt idx="292">
                  <c:v>-81210</c:v>
                </c:pt>
                <c:pt idx="293">
                  <c:v>-78835</c:v>
                </c:pt>
                <c:pt idx="294">
                  <c:v>-78210</c:v>
                </c:pt>
                <c:pt idx="295">
                  <c:v>-76710</c:v>
                </c:pt>
                <c:pt idx="296">
                  <c:v>-74210</c:v>
                </c:pt>
                <c:pt idx="297">
                  <c:v>-73210</c:v>
                </c:pt>
                <c:pt idx="298">
                  <c:v>-73710</c:v>
                </c:pt>
                <c:pt idx="299">
                  <c:v>-75835</c:v>
                </c:pt>
                <c:pt idx="300">
                  <c:v>-74710</c:v>
                </c:pt>
                <c:pt idx="301">
                  <c:v>-72335</c:v>
                </c:pt>
                <c:pt idx="302">
                  <c:v>-75585</c:v>
                </c:pt>
                <c:pt idx="303">
                  <c:v>-72335</c:v>
                </c:pt>
                <c:pt idx="304">
                  <c:v>-70830</c:v>
                </c:pt>
                <c:pt idx="305">
                  <c:v>-63955</c:v>
                </c:pt>
                <c:pt idx="306">
                  <c:v>-63580</c:v>
                </c:pt>
                <c:pt idx="307">
                  <c:v>-58205</c:v>
                </c:pt>
                <c:pt idx="308">
                  <c:v>-59080</c:v>
                </c:pt>
                <c:pt idx="309">
                  <c:v>-64705</c:v>
                </c:pt>
                <c:pt idx="310">
                  <c:v>-63080</c:v>
                </c:pt>
                <c:pt idx="311">
                  <c:v>-60705</c:v>
                </c:pt>
                <c:pt idx="312">
                  <c:v>-61080</c:v>
                </c:pt>
                <c:pt idx="313">
                  <c:v>-63080</c:v>
                </c:pt>
                <c:pt idx="314">
                  <c:v>-64080</c:v>
                </c:pt>
                <c:pt idx="315">
                  <c:v>-60955</c:v>
                </c:pt>
                <c:pt idx="316">
                  <c:v>-59330</c:v>
                </c:pt>
                <c:pt idx="317">
                  <c:v>-64830</c:v>
                </c:pt>
                <c:pt idx="318">
                  <c:v>-64080</c:v>
                </c:pt>
                <c:pt idx="319">
                  <c:v>-59830</c:v>
                </c:pt>
                <c:pt idx="320">
                  <c:v>-61330</c:v>
                </c:pt>
                <c:pt idx="321">
                  <c:v>-62455</c:v>
                </c:pt>
                <c:pt idx="322">
                  <c:v>-58455</c:v>
                </c:pt>
                <c:pt idx="323">
                  <c:v>-57455</c:v>
                </c:pt>
                <c:pt idx="324">
                  <c:v>-53705</c:v>
                </c:pt>
                <c:pt idx="325">
                  <c:v>-50330</c:v>
                </c:pt>
                <c:pt idx="326">
                  <c:v>-57080</c:v>
                </c:pt>
                <c:pt idx="327">
                  <c:v>-55705</c:v>
                </c:pt>
                <c:pt idx="328">
                  <c:v>-54580</c:v>
                </c:pt>
                <c:pt idx="329">
                  <c:v>-55205</c:v>
                </c:pt>
                <c:pt idx="330">
                  <c:v>-50830</c:v>
                </c:pt>
                <c:pt idx="331">
                  <c:v>-52080</c:v>
                </c:pt>
                <c:pt idx="332">
                  <c:v>-53080</c:v>
                </c:pt>
                <c:pt idx="333">
                  <c:v>-54705</c:v>
                </c:pt>
                <c:pt idx="334">
                  <c:v>-52205</c:v>
                </c:pt>
                <c:pt idx="335">
                  <c:v>-52830</c:v>
                </c:pt>
                <c:pt idx="336">
                  <c:v>-55955</c:v>
                </c:pt>
                <c:pt idx="337">
                  <c:v>-57455</c:v>
                </c:pt>
                <c:pt idx="338">
                  <c:v>-57830</c:v>
                </c:pt>
                <c:pt idx="339">
                  <c:v>-60580</c:v>
                </c:pt>
                <c:pt idx="340">
                  <c:v>-55205</c:v>
                </c:pt>
                <c:pt idx="341">
                  <c:v>-52955</c:v>
                </c:pt>
                <c:pt idx="342">
                  <c:v>-53830</c:v>
                </c:pt>
                <c:pt idx="343">
                  <c:v>-50830</c:v>
                </c:pt>
                <c:pt idx="344">
                  <c:v>-50205</c:v>
                </c:pt>
                <c:pt idx="345">
                  <c:v>-47205</c:v>
                </c:pt>
                <c:pt idx="346">
                  <c:v>-48330</c:v>
                </c:pt>
                <c:pt idx="347">
                  <c:v>-53825</c:v>
                </c:pt>
                <c:pt idx="348">
                  <c:v>-58450</c:v>
                </c:pt>
                <c:pt idx="349">
                  <c:v>-53075</c:v>
                </c:pt>
                <c:pt idx="350">
                  <c:v>-48700</c:v>
                </c:pt>
                <c:pt idx="351">
                  <c:v>-52075</c:v>
                </c:pt>
                <c:pt idx="352">
                  <c:v>-49450</c:v>
                </c:pt>
                <c:pt idx="353">
                  <c:v>-52325</c:v>
                </c:pt>
                <c:pt idx="354">
                  <c:v>-57825</c:v>
                </c:pt>
                <c:pt idx="355">
                  <c:v>-56825</c:v>
                </c:pt>
                <c:pt idx="356">
                  <c:v>-59450</c:v>
                </c:pt>
                <c:pt idx="357">
                  <c:v>-65450</c:v>
                </c:pt>
                <c:pt idx="358">
                  <c:v>-66450</c:v>
                </c:pt>
                <c:pt idx="359">
                  <c:v>-68950</c:v>
                </c:pt>
                <c:pt idx="360">
                  <c:v>-70450</c:v>
                </c:pt>
                <c:pt idx="361">
                  <c:v>-70325</c:v>
                </c:pt>
                <c:pt idx="362">
                  <c:v>-69700</c:v>
                </c:pt>
                <c:pt idx="363">
                  <c:v>-68825</c:v>
                </c:pt>
                <c:pt idx="364">
                  <c:v>-68450</c:v>
                </c:pt>
                <c:pt idx="365">
                  <c:v>-72325</c:v>
                </c:pt>
                <c:pt idx="366">
                  <c:v>-71575</c:v>
                </c:pt>
                <c:pt idx="367">
                  <c:v>-73200</c:v>
                </c:pt>
                <c:pt idx="368">
                  <c:v>-74075</c:v>
                </c:pt>
                <c:pt idx="369">
                  <c:v>-74075</c:v>
                </c:pt>
                <c:pt idx="370">
                  <c:v>-78825</c:v>
                </c:pt>
                <c:pt idx="371">
                  <c:v>-79325</c:v>
                </c:pt>
                <c:pt idx="372">
                  <c:v>-82325</c:v>
                </c:pt>
                <c:pt idx="373">
                  <c:v>-79075</c:v>
                </c:pt>
                <c:pt idx="374">
                  <c:v>-83825</c:v>
                </c:pt>
                <c:pt idx="375">
                  <c:v>-84325</c:v>
                </c:pt>
                <c:pt idx="376">
                  <c:v>-87450</c:v>
                </c:pt>
                <c:pt idx="377">
                  <c:v>-86325</c:v>
                </c:pt>
                <c:pt idx="378">
                  <c:v>-85075</c:v>
                </c:pt>
                <c:pt idx="379">
                  <c:v>-86825</c:v>
                </c:pt>
                <c:pt idx="380">
                  <c:v>-88075</c:v>
                </c:pt>
                <c:pt idx="381">
                  <c:v>-86325</c:v>
                </c:pt>
                <c:pt idx="382">
                  <c:v>-83075</c:v>
                </c:pt>
                <c:pt idx="383">
                  <c:v>-81075</c:v>
                </c:pt>
                <c:pt idx="384">
                  <c:v>-84700</c:v>
                </c:pt>
                <c:pt idx="385">
                  <c:v>-86575</c:v>
                </c:pt>
                <c:pt idx="386">
                  <c:v>-87075</c:v>
                </c:pt>
                <c:pt idx="387">
                  <c:v>-84325</c:v>
                </c:pt>
                <c:pt idx="388">
                  <c:v>-84075</c:v>
                </c:pt>
                <c:pt idx="389">
                  <c:v>-94825</c:v>
                </c:pt>
                <c:pt idx="390">
                  <c:v>-97195</c:v>
                </c:pt>
                <c:pt idx="391">
                  <c:v>-98695</c:v>
                </c:pt>
                <c:pt idx="392">
                  <c:v>-99945</c:v>
                </c:pt>
                <c:pt idx="393">
                  <c:v>-103570</c:v>
                </c:pt>
                <c:pt idx="394">
                  <c:v>-104320</c:v>
                </c:pt>
                <c:pt idx="395">
                  <c:v>-105945</c:v>
                </c:pt>
                <c:pt idx="396">
                  <c:v>-109695</c:v>
                </c:pt>
                <c:pt idx="397">
                  <c:v>-111695</c:v>
                </c:pt>
                <c:pt idx="398">
                  <c:v>-115195</c:v>
                </c:pt>
                <c:pt idx="399">
                  <c:v>-114195</c:v>
                </c:pt>
                <c:pt idx="400">
                  <c:v>-117320</c:v>
                </c:pt>
                <c:pt idx="401">
                  <c:v>-116695</c:v>
                </c:pt>
                <c:pt idx="402">
                  <c:v>-114945</c:v>
                </c:pt>
                <c:pt idx="403">
                  <c:v>-118695</c:v>
                </c:pt>
                <c:pt idx="404">
                  <c:v>-122195</c:v>
                </c:pt>
                <c:pt idx="405">
                  <c:v>-124195</c:v>
                </c:pt>
                <c:pt idx="406">
                  <c:v>-123695</c:v>
                </c:pt>
                <c:pt idx="407">
                  <c:v>-124445</c:v>
                </c:pt>
                <c:pt idx="408">
                  <c:v>-123570</c:v>
                </c:pt>
                <c:pt idx="409">
                  <c:v>-120695</c:v>
                </c:pt>
                <c:pt idx="410">
                  <c:v>-124195</c:v>
                </c:pt>
                <c:pt idx="411">
                  <c:v>-124445</c:v>
                </c:pt>
                <c:pt idx="412">
                  <c:v>-125820</c:v>
                </c:pt>
                <c:pt idx="413">
                  <c:v>-127695</c:v>
                </c:pt>
                <c:pt idx="414">
                  <c:v>-125070</c:v>
                </c:pt>
                <c:pt idx="415">
                  <c:v>-127320</c:v>
                </c:pt>
                <c:pt idx="416">
                  <c:v>-123820</c:v>
                </c:pt>
                <c:pt idx="417">
                  <c:v>-125820</c:v>
                </c:pt>
                <c:pt idx="418">
                  <c:v>-128695</c:v>
                </c:pt>
                <c:pt idx="419">
                  <c:v>-126945</c:v>
                </c:pt>
                <c:pt idx="420">
                  <c:v>-125195</c:v>
                </c:pt>
                <c:pt idx="421">
                  <c:v>-125570</c:v>
                </c:pt>
                <c:pt idx="422">
                  <c:v>-123695</c:v>
                </c:pt>
                <c:pt idx="423">
                  <c:v>-121820</c:v>
                </c:pt>
                <c:pt idx="424">
                  <c:v>-124070</c:v>
                </c:pt>
                <c:pt idx="425">
                  <c:v>-123945</c:v>
                </c:pt>
                <c:pt idx="426">
                  <c:v>-125445</c:v>
                </c:pt>
                <c:pt idx="427">
                  <c:v>-124070</c:v>
                </c:pt>
                <c:pt idx="428">
                  <c:v>-122695</c:v>
                </c:pt>
                <c:pt idx="429">
                  <c:v>-124945</c:v>
                </c:pt>
                <c:pt idx="430">
                  <c:v>-127070</c:v>
                </c:pt>
                <c:pt idx="431">
                  <c:v>-126695</c:v>
                </c:pt>
                <c:pt idx="432">
                  <c:v>-124195</c:v>
                </c:pt>
                <c:pt idx="433">
                  <c:v>-127320</c:v>
                </c:pt>
                <c:pt idx="434">
                  <c:v>-126565</c:v>
                </c:pt>
                <c:pt idx="435">
                  <c:v>-127065</c:v>
                </c:pt>
                <c:pt idx="436">
                  <c:v>-132440</c:v>
                </c:pt>
                <c:pt idx="437">
                  <c:v>-135940</c:v>
                </c:pt>
                <c:pt idx="438">
                  <c:v>-131565</c:v>
                </c:pt>
                <c:pt idx="439">
                  <c:v>-135190</c:v>
                </c:pt>
                <c:pt idx="440">
                  <c:v>-136690</c:v>
                </c:pt>
                <c:pt idx="441">
                  <c:v>-135690</c:v>
                </c:pt>
                <c:pt idx="442">
                  <c:v>-139440</c:v>
                </c:pt>
                <c:pt idx="443">
                  <c:v>-139815</c:v>
                </c:pt>
                <c:pt idx="444">
                  <c:v>-137565</c:v>
                </c:pt>
                <c:pt idx="445">
                  <c:v>-136690</c:v>
                </c:pt>
                <c:pt idx="446">
                  <c:v>-138315</c:v>
                </c:pt>
                <c:pt idx="447">
                  <c:v>-139690</c:v>
                </c:pt>
                <c:pt idx="448">
                  <c:v>-142690</c:v>
                </c:pt>
                <c:pt idx="449">
                  <c:v>-143815</c:v>
                </c:pt>
                <c:pt idx="450">
                  <c:v>-146190</c:v>
                </c:pt>
                <c:pt idx="451">
                  <c:v>-144315</c:v>
                </c:pt>
                <c:pt idx="452">
                  <c:v>-146065</c:v>
                </c:pt>
                <c:pt idx="453">
                  <c:v>-147315</c:v>
                </c:pt>
                <c:pt idx="454">
                  <c:v>-146315</c:v>
                </c:pt>
                <c:pt idx="455">
                  <c:v>-148190</c:v>
                </c:pt>
                <c:pt idx="456">
                  <c:v>-148440</c:v>
                </c:pt>
                <c:pt idx="457">
                  <c:v>-148315</c:v>
                </c:pt>
                <c:pt idx="458">
                  <c:v>-147565</c:v>
                </c:pt>
                <c:pt idx="459">
                  <c:v>-143065</c:v>
                </c:pt>
                <c:pt idx="460">
                  <c:v>-139315</c:v>
                </c:pt>
                <c:pt idx="461">
                  <c:v>-137940</c:v>
                </c:pt>
                <c:pt idx="462">
                  <c:v>-136315</c:v>
                </c:pt>
                <c:pt idx="463">
                  <c:v>-142690</c:v>
                </c:pt>
                <c:pt idx="464">
                  <c:v>-136565</c:v>
                </c:pt>
                <c:pt idx="465">
                  <c:v>-131690</c:v>
                </c:pt>
                <c:pt idx="466">
                  <c:v>-134815</c:v>
                </c:pt>
                <c:pt idx="467">
                  <c:v>-133440</c:v>
                </c:pt>
                <c:pt idx="468">
                  <c:v>-135190</c:v>
                </c:pt>
                <c:pt idx="469">
                  <c:v>-135440</c:v>
                </c:pt>
                <c:pt idx="470">
                  <c:v>-130690</c:v>
                </c:pt>
                <c:pt idx="471">
                  <c:v>-132315</c:v>
                </c:pt>
                <c:pt idx="472">
                  <c:v>-129440</c:v>
                </c:pt>
                <c:pt idx="473">
                  <c:v>-132440</c:v>
                </c:pt>
                <c:pt idx="474">
                  <c:v>-128690</c:v>
                </c:pt>
                <c:pt idx="475">
                  <c:v>-126940</c:v>
                </c:pt>
                <c:pt idx="476">
                  <c:v>-122690</c:v>
                </c:pt>
                <c:pt idx="477">
                  <c:v>-121190</c:v>
                </c:pt>
                <c:pt idx="478">
                  <c:v>-122690</c:v>
                </c:pt>
                <c:pt idx="479">
                  <c:v>-123315</c:v>
                </c:pt>
                <c:pt idx="480">
                  <c:v>-126190</c:v>
                </c:pt>
                <c:pt idx="481">
                  <c:v>-124440</c:v>
                </c:pt>
                <c:pt idx="482">
                  <c:v>-123190</c:v>
                </c:pt>
                <c:pt idx="483">
                  <c:v>-124940</c:v>
                </c:pt>
                <c:pt idx="484">
                  <c:v>-123690</c:v>
                </c:pt>
                <c:pt idx="485">
                  <c:v>-122815</c:v>
                </c:pt>
                <c:pt idx="486">
                  <c:v>-120065</c:v>
                </c:pt>
                <c:pt idx="487">
                  <c:v>-117440</c:v>
                </c:pt>
                <c:pt idx="488">
                  <c:v>-117440</c:v>
                </c:pt>
                <c:pt idx="489">
                  <c:v>-120440</c:v>
                </c:pt>
                <c:pt idx="490">
                  <c:v>-122315</c:v>
                </c:pt>
                <c:pt idx="491">
                  <c:v>-127190</c:v>
                </c:pt>
                <c:pt idx="492">
                  <c:v>-122440</c:v>
                </c:pt>
                <c:pt idx="493">
                  <c:v>-120565</c:v>
                </c:pt>
                <c:pt idx="494">
                  <c:v>-125565</c:v>
                </c:pt>
                <c:pt idx="495">
                  <c:v>-122815</c:v>
                </c:pt>
                <c:pt idx="496">
                  <c:v>-119815</c:v>
                </c:pt>
                <c:pt idx="497">
                  <c:v>-121065</c:v>
                </c:pt>
                <c:pt idx="498">
                  <c:v>-120940</c:v>
                </c:pt>
                <c:pt idx="499">
                  <c:v>-121560</c:v>
                </c:pt>
                <c:pt idx="500">
                  <c:v>-124310</c:v>
                </c:pt>
                <c:pt idx="501">
                  <c:v>-125310</c:v>
                </c:pt>
                <c:pt idx="502">
                  <c:v>-120685</c:v>
                </c:pt>
                <c:pt idx="503">
                  <c:v>-117935</c:v>
                </c:pt>
                <c:pt idx="504">
                  <c:v>-119185</c:v>
                </c:pt>
                <c:pt idx="505">
                  <c:v>-118185</c:v>
                </c:pt>
                <c:pt idx="506">
                  <c:v>-119435</c:v>
                </c:pt>
                <c:pt idx="507">
                  <c:v>-117060</c:v>
                </c:pt>
                <c:pt idx="508">
                  <c:v>-110685</c:v>
                </c:pt>
                <c:pt idx="509">
                  <c:v>-111435</c:v>
                </c:pt>
                <c:pt idx="510">
                  <c:v>-112185</c:v>
                </c:pt>
                <c:pt idx="511">
                  <c:v>-111560</c:v>
                </c:pt>
                <c:pt idx="512">
                  <c:v>-110060</c:v>
                </c:pt>
                <c:pt idx="513">
                  <c:v>-111060</c:v>
                </c:pt>
                <c:pt idx="514">
                  <c:v>-109435</c:v>
                </c:pt>
                <c:pt idx="515">
                  <c:v>-108685</c:v>
                </c:pt>
                <c:pt idx="516">
                  <c:v>-111560</c:v>
                </c:pt>
                <c:pt idx="517">
                  <c:v>-110185</c:v>
                </c:pt>
                <c:pt idx="518">
                  <c:v>-108935</c:v>
                </c:pt>
                <c:pt idx="519">
                  <c:v>-109310</c:v>
                </c:pt>
                <c:pt idx="520">
                  <c:v>-112185</c:v>
                </c:pt>
                <c:pt idx="521">
                  <c:v>-117185</c:v>
                </c:pt>
                <c:pt idx="522">
                  <c:v>-116430</c:v>
                </c:pt>
                <c:pt idx="523">
                  <c:v>-117805</c:v>
                </c:pt>
                <c:pt idx="524">
                  <c:v>-112805</c:v>
                </c:pt>
                <c:pt idx="525">
                  <c:v>-113180</c:v>
                </c:pt>
                <c:pt idx="526">
                  <c:v>-117305</c:v>
                </c:pt>
                <c:pt idx="527">
                  <c:v>-118305</c:v>
                </c:pt>
                <c:pt idx="528">
                  <c:v>-115180</c:v>
                </c:pt>
                <c:pt idx="529">
                  <c:v>-114180</c:v>
                </c:pt>
                <c:pt idx="530">
                  <c:v>-122430</c:v>
                </c:pt>
                <c:pt idx="531">
                  <c:v>-125680</c:v>
                </c:pt>
                <c:pt idx="532">
                  <c:v>-126430</c:v>
                </c:pt>
                <c:pt idx="533">
                  <c:v>-122055</c:v>
                </c:pt>
                <c:pt idx="534">
                  <c:v>-122055</c:v>
                </c:pt>
                <c:pt idx="535">
                  <c:v>-120805</c:v>
                </c:pt>
                <c:pt idx="536">
                  <c:v>-121680</c:v>
                </c:pt>
                <c:pt idx="537">
                  <c:v>-123680</c:v>
                </c:pt>
                <c:pt idx="538">
                  <c:v>-122805</c:v>
                </c:pt>
                <c:pt idx="539">
                  <c:v>-123305</c:v>
                </c:pt>
                <c:pt idx="540">
                  <c:v>-124180</c:v>
                </c:pt>
                <c:pt idx="541">
                  <c:v>-127430</c:v>
                </c:pt>
                <c:pt idx="542">
                  <c:v>-130430</c:v>
                </c:pt>
                <c:pt idx="543">
                  <c:v>-130555</c:v>
                </c:pt>
                <c:pt idx="544">
                  <c:v>-130425</c:v>
                </c:pt>
                <c:pt idx="545">
                  <c:v>-122675</c:v>
                </c:pt>
                <c:pt idx="546">
                  <c:v>-125300</c:v>
                </c:pt>
                <c:pt idx="547">
                  <c:v>-123800</c:v>
                </c:pt>
                <c:pt idx="548">
                  <c:v>-124425</c:v>
                </c:pt>
                <c:pt idx="549">
                  <c:v>-120425</c:v>
                </c:pt>
                <c:pt idx="550">
                  <c:v>-122175</c:v>
                </c:pt>
                <c:pt idx="551">
                  <c:v>-122175</c:v>
                </c:pt>
                <c:pt idx="552">
                  <c:v>-124300</c:v>
                </c:pt>
                <c:pt idx="553">
                  <c:v>-123050</c:v>
                </c:pt>
                <c:pt idx="554">
                  <c:v>-122050</c:v>
                </c:pt>
                <c:pt idx="555">
                  <c:v>-121300</c:v>
                </c:pt>
                <c:pt idx="556">
                  <c:v>-123925</c:v>
                </c:pt>
                <c:pt idx="557">
                  <c:v>-121425</c:v>
                </c:pt>
                <c:pt idx="558">
                  <c:v>-123925</c:v>
                </c:pt>
                <c:pt idx="559">
                  <c:v>-126050</c:v>
                </c:pt>
                <c:pt idx="560">
                  <c:v>-126550</c:v>
                </c:pt>
                <c:pt idx="561">
                  <c:v>-129300</c:v>
                </c:pt>
                <c:pt idx="562">
                  <c:v>-125550</c:v>
                </c:pt>
                <c:pt idx="563">
                  <c:v>-121925</c:v>
                </c:pt>
                <c:pt idx="564">
                  <c:v>-125920</c:v>
                </c:pt>
                <c:pt idx="565">
                  <c:v>-124920</c:v>
                </c:pt>
                <c:pt idx="566">
                  <c:v>-125170</c:v>
                </c:pt>
                <c:pt idx="567">
                  <c:v>-124545</c:v>
                </c:pt>
                <c:pt idx="568">
                  <c:v>-128170</c:v>
                </c:pt>
                <c:pt idx="569">
                  <c:v>-125295</c:v>
                </c:pt>
                <c:pt idx="570">
                  <c:v>-126670</c:v>
                </c:pt>
                <c:pt idx="571">
                  <c:v>-124295</c:v>
                </c:pt>
                <c:pt idx="572">
                  <c:v>-125295</c:v>
                </c:pt>
                <c:pt idx="573">
                  <c:v>-129420</c:v>
                </c:pt>
                <c:pt idx="574">
                  <c:v>-130670</c:v>
                </c:pt>
                <c:pt idx="575">
                  <c:v>-134670</c:v>
                </c:pt>
                <c:pt idx="576">
                  <c:v>-133670</c:v>
                </c:pt>
                <c:pt idx="577">
                  <c:v>-133670</c:v>
                </c:pt>
                <c:pt idx="578">
                  <c:v>-126920</c:v>
                </c:pt>
                <c:pt idx="579">
                  <c:v>-124545</c:v>
                </c:pt>
                <c:pt idx="580">
                  <c:v>-123545</c:v>
                </c:pt>
                <c:pt idx="581">
                  <c:v>-122295</c:v>
                </c:pt>
                <c:pt idx="582">
                  <c:v>-124420</c:v>
                </c:pt>
                <c:pt idx="583">
                  <c:v>-124545</c:v>
                </c:pt>
                <c:pt idx="584">
                  <c:v>-123045</c:v>
                </c:pt>
                <c:pt idx="585">
                  <c:v>-131545</c:v>
                </c:pt>
                <c:pt idx="586">
                  <c:v>-129295</c:v>
                </c:pt>
                <c:pt idx="587">
                  <c:v>-126420</c:v>
                </c:pt>
                <c:pt idx="588">
                  <c:v>-125295</c:v>
                </c:pt>
                <c:pt idx="589">
                  <c:v>-127295</c:v>
                </c:pt>
                <c:pt idx="590">
                  <c:v>-128545</c:v>
                </c:pt>
                <c:pt idx="591">
                  <c:v>-130920</c:v>
                </c:pt>
                <c:pt idx="592">
                  <c:v>-130670</c:v>
                </c:pt>
                <c:pt idx="593">
                  <c:v>-131920</c:v>
                </c:pt>
                <c:pt idx="594">
                  <c:v>-134045</c:v>
                </c:pt>
                <c:pt idx="595">
                  <c:v>-132795</c:v>
                </c:pt>
                <c:pt idx="596">
                  <c:v>-132295</c:v>
                </c:pt>
                <c:pt idx="597">
                  <c:v>-131170</c:v>
                </c:pt>
                <c:pt idx="598">
                  <c:v>-130670</c:v>
                </c:pt>
                <c:pt idx="599">
                  <c:v>-130545</c:v>
                </c:pt>
                <c:pt idx="600">
                  <c:v>-133420</c:v>
                </c:pt>
                <c:pt idx="601">
                  <c:v>-133670</c:v>
                </c:pt>
                <c:pt idx="602">
                  <c:v>-132420</c:v>
                </c:pt>
                <c:pt idx="603">
                  <c:v>-137920</c:v>
                </c:pt>
                <c:pt idx="604">
                  <c:v>-140670</c:v>
                </c:pt>
                <c:pt idx="605">
                  <c:v>-140295</c:v>
                </c:pt>
                <c:pt idx="606">
                  <c:v>-139545</c:v>
                </c:pt>
                <c:pt idx="607">
                  <c:v>-140545</c:v>
                </c:pt>
                <c:pt idx="608">
                  <c:v>-142165</c:v>
                </c:pt>
                <c:pt idx="609">
                  <c:v>-141790</c:v>
                </c:pt>
                <c:pt idx="610">
                  <c:v>-143415</c:v>
                </c:pt>
                <c:pt idx="611">
                  <c:v>-140790</c:v>
                </c:pt>
                <c:pt idx="612">
                  <c:v>-142540</c:v>
                </c:pt>
                <c:pt idx="613">
                  <c:v>-142415</c:v>
                </c:pt>
                <c:pt idx="614">
                  <c:v>-143790</c:v>
                </c:pt>
                <c:pt idx="615">
                  <c:v>-141915</c:v>
                </c:pt>
                <c:pt idx="616">
                  <c:v>-142790</c:v>
                </c:pt>
                <c:pt idx="617">
                  <c:v>-139540</c:v>
                </c:pt>
                <c:pt idx="618">
                  <c:v>-141040</c:v>
                </c:pt>
                <c:pt idx="619">
                  <c:v>-138290</c:v>
                </c:pt>
                <c:pt idx="620">
                  <c:v>-142415</c:v>
                </c:pt>
                <c:pt idx="621">
                  <c:v>-143415</c:v>
                </c:pt>
                <c:pt idx="622">
                  <c:v>-140915</c:v>
                </c:pt>
                <c:pt idx="623">
                  <c:v>-142915</c:v>
                </c:pt>
                <c:pt idx="624">
                  <c:v>-143290</c:v>
                </c:pt>
                <c:pt idx="625">
                  <c:v>-146290</c:v>
                </c:pt>
                <c:pt idx="626">
                  <c:v>-148290</c:v>
                </c:pt>
                <c:pt idx="627">
                  <c:v>-146415</c:v>
                </c:pt>
                <c:pt idx="628">
                  <c:v>-148040</c:v>
                </c:pt>
                <c:pt idx="629">
                  <c:v>-147290</c:v>
                </c:pt>
                <c:pt idx="630">
                  <c:v>-143665</c:v>
                </c:pt>
                <c:pt idx="631">
                  <c:v>-144540</c:v>
                </c:pt>
                <c:pt idx="632">
                  <c:v>-141540</c:v>
                </c:pt>
                <c:pt idx="633">
                  <c:v>-143165</c:v>
                </c:pt>
                <c:pt idx="634">
                  <c:v>-141040</c:v>
                </c:pt>
                <c:pt idx="635">
                  <c:v>-140665</c:v>
                </c:pt>
                <c:pt idx="636">
                  <c:v>-143665</c:v>
                </c:pt>
                <c:pt idx="637">
                  <c:v>-145665</c:v>
                </c:pt>
                <c:pt idx="638">
                  <c:v>-146665</c:v>
                </c:pt>
                <c:pt idx="639">
                  <c:v>-149415</c:v>
                </c:pt>
                <c:pt idx="640">
                  <c:v>-147540</c:v>
                </c:pt>
                <c:pt idx="641">
                  <c:v>-144290</c:v>
                </c:pt>
                <c:pt idx="642">
                  <c:v>-143790</c:v>
                </c:pt>
                <c:pt idx="643">
                  <c:v>-146040</c:v>
                </c:pt>
                <c:pt idx="644">
                  <c:v>-144165</c:v>
                </c:pt>
                <c:pt idx="645">
                  <c:v>-139915</c:v>
                </c:pt>
                <c:pt idx="646">
                  <c:v>-139540</c:v>
                </c:pt>
                <c:pt idx="647">
                  <c:v>-135290</c:v>
                </c:pt>
                <c:pt idx="648">
                  <c:v>-129665</c:v>
                </c:pt>
                <c:pt idx="649">
                  <c:v>-129040</c:v>
                </c:pt>
                <c:pt idx="650">
                  <c:v>-116790</c:v>
                </c:pt>
                <c:pt idx="651">
                  <c:v>-117910</c:v>
                </c:pt>
                <c:pt idx="652">
                  <c:v>-111660</c:v>
                </c:pt>
                <c:pt idx="653">
                  <c:v>-112160</c:v>
                </c:pt>
                <c:pt idx="654">
                  <c:v>-112785</c:v>
                </c:pt>
                <c:pt idx="655">
                  <c:v>-115160</c:v>
                </c:pt>
                <c:pt idx="656">
                  <c:v>-114035</c:v>
                </c:pt>
                <c:pt idx="657">
                  <c:v>-110410</c:v>
                </c:pt>
                <c:pt idx="658">
                  <c:v>-108410</c:v>
                </c:pt>
                <c:pt idx="659">
                  <c:v>-105160</c:v>
                </c:pt>
                <c:pt idx="660">
                  <c:v>-110035</c:v>
                </c:pt>
                <c:pt idx="661">
                  <c:v>-112035</c:v>
                </c:pt>
                <c:pt idx="662">
                  <c:v>-110410</c:v>
                </c:pt>
                <c:pt idx="663">
                  <c:v>-115785</c:v>
                </c:pt>
                <c:pt idx="664">
                  <c:v>-122660</c:v>
                </c:pt>
                <c:pt idx="665">
                  <c:v>-122035</c:v>
                </c:pt>
                <c:pt idx="666">
                  <c:v>-124660</c:v>
                </c:pt>
                <c:pt idx="667">
                  <c:v>-125285</c:v>
                </c:pt>
                <c:pt idx="668">
                  <c:v>-128410</c:v>
                </c:pt>
                <c:pt idx="669">
                  <c:v>-137285</c:v>
                </c:pt>
                <c:pt idx="670">
                  <c:v>-140285</c:v>
                </c:pt>
                <c:pt idx="671">
                  <c:v>-141285</c:v>
                </c:pt>
                <c:pt idx="672">
                  <c:v>-140285</c:v>
                </c:pt>
                <c:pt idx="673">
                  <c:v>-138535</c:v>
                </c:pt>
                <c:pt idx="674">
                  <c:v>-141535</c:v>
                </c:pt>
                <c:pt idx="675">
                  <c:v>-142285</c:v>
                </c:pt>
                <c:pt idx="676">
                  <c:v>-139785</c:v>
                </c:pt>
                <c:pt idx="677">
                  <c:v>-140160</c:v>
                </c:pt>
                <c:pt idx="678">
                  <c:v>-139410</c:v>
                </c:pt>
                <c:pt idx="679">
                  <c:v>-132535</c:v>
                </c:pt>
                <c:pt idx="680">
                  <c:v>-135660</c:v>
                </c:pt>
                <c:pt idx="681">
                  <c:v>-147160</c:v>
                </c:pt>
                <c:pt idx="682">
                  <c:v>-145035</c:v>
                </c:pt>
                <c:pt idx="683">
                  <c:v>-144410</c:v>
                </c:pt>
                <c:pt idx="684">
                  <c:v>-143910</c:v>
                </c:pt>
                <c:pt idx="685">
                  <c:v>-142785</c:v>
                </c:pt>
                <c:pt idx="686">
                  <c:v>-142160</c:v>
                </c:pt>
                <c:pt idx="687">
                  <c:v>-140535</c:v>
                </c:pt>
                <c:pt idx="688">
                  <c:v>-143285</c:v>
                </c:pt>
                <c:pt idx="689">
                  <c:v>-141660</c:v>
                </c:pt>
                <c:pt idx="690">
                  <c:v>-143535</c:v>
                </c:pt>
                <c:pt idx="691">
                  <c:v>-144785</c:v>
                </c:pt>
                <c:pt idx="692">
                  <c:v>-144910</c:v>
                </c:pt>
                <c:pt idx="693">
                  <c:v>-143910</c:v>
                </c:pt>
                <c:pt idx="694">
                  <c:v>-144785</c:v>
                </c:pt>
                <c:pt idx="695">
                  <c:v>-147405</c:v>
                </c:pt>
                <c:pt idx="696">
                  <c:v>-149030</c:v>
                </c:pt>
                <c:pt idx="697">
                  <c:v>-151030</c:v>
                </c:pt>
                <c:pt idx="698">
                  <c:v>-150280</c:v>
                </c:pt>
                <c:pt idx="699">
                  <c:v>-150530</c:v>
                </c:pt>
                <c:pt idx="700">
                  <c:v>-148780</c:v>
                </c:pt>
                <c:pt idx="701">
                  <c:v>-147280</c:v>
                </c:pt>
                <c:pt idx="702">
                  <c:v>-144780</c:v>
                </c:pt>
                <c:pt idx="703">
                  <c:v>-139905</c:v>
                </c:pt>
                <c:pt idx="704">
                  <c:v>-135280</c:v>
                </c:pt>
                <c:pt idx="705">
                  <c:v>-136280</c:v>
                </c:pt>
                <c:pt idx="706">
                  <c:v>-138780</c:v>
                </c:pt>
                <c:pt idx="707">
                  <c:v>-141030</c:v>
                </c:pt>
                <c:pt idx="708">
                  <c:v>-142780</c:v>
                </c:pt>
                <c:pt idx="709">
                  <c:v>-139780</c:v>
                </c:pt>
                <c:pt idx="710">
                  <c:v>-141905</c:v>
                </c:pt>
                <c:pt idx="711">
                  <c:v>-140655</c:v>
                </c:pt>
                <c:pt idx="712">
                  <c:v>-141530</c:v>
                </c:pt>
                <c:pt idx="713">
                  <c:v>-137780</c:v>
                </c:pt>
                <c:pt idx="714">
                  <c:v>-138780</c:v>
                </c:pt>
                <c:pt idx="715">
                  <c:v>-137530</c:v>
                </c:pt>
                <c:pt idx="716">
                  <c:v>-139155</c:v>
                </c:pt>
                <c:pt idx="717">
                  <c:v>-136780</c:v>
                </c:pt>
                <c:pt idx="718">
                  <c:v>-136780</c:v>
                </c:pt>
                <c:pt idx="719">
                  <c:v>-135405</c:v>
                </c:pt>
                <c:pt idx="720">
                  <c:v>-133030</c:v>
                </c:pt>
                <c:pt idx="721">
                  <c:v>-133905</c:v>
                </c:pt>
                <c:pt idx="722">
                  <c:v>-135905</c:v>
                </c:pt>
                <c:pt idx="723">
                  <c:v>-139155</c:v>
                </c:pt>
                <c:pt idx="724">
                  <c:v>-141280</c:v>
                </c:pt>
                <c:pt idx="725">
                  <c:v>-139780</c:v>
                </c:pt>
                <c:pt idx="726">
                  <c:v>-142280</c:v>
                </c:pt>
                <c:pt idx="727">
                  <c:v>-144030</c:v>
                </c:pt>
                <c:pt idx="728">
                  <c:v>-143780</c:v>
                </c:pt>
                <c:pt idx="729">
                  <c:v>-145030</c:v>
                </c:pt>
                <c:pt idx="730">
                  <c:v>-144280</c:v>
                </c:pt>
                <c:pt idx="731">
                  <c:v>-141655</c:v>
                </c:pt>
                <c:pt idx="732">
                  <c:v>-142280</c:v>
                </c:pt>
                <c:pt idx="733">
                  <c:v>-142780</c:v>
                </c:pt>
                <c:pt idx="734">
                  <c:v>-139780</c:v>
                </c:pt>
                <c:pt idx="735">
                  <c:v>-141155</c:v>
                </c:pt>
                <c:pt idx="736">
                  <c:v>-143780</c:v>
                </c:pt>
                <c:pt idx="737">
                  <c:v>-142155</c:v>
                </c:pt>
                <c:pt idx="738">
                  <c:v>-140780</c:v>
                </c:pt>
                <c:pt idx="739">
                  <c:v>-143530</c:v>
                </c:pt>
                <c:pt idx="740">
                  <c:v>-142030</c:v>
                </c:pt>
                <c:pt idx="741">
                  <c:v>-140155</c:v>
                </c:pt>
                <c:pt idx="742">
                  <c:v>-144030</c:v>
                </c:pt>
                <c:pt idx="743">
                  <c:v>-145155</c:v>
                </c:pt>
                <c:pt idx="744">
                  <c:v>-147405</c:v>
                </c:pt>
                <c:pt idx="745">
                  <c:v>-152655</c:v>
                </c:pt>
                <c:pt idx="746">
                  <c:v>-151030</c:v>
                </c:pt>
                <c:pt idx="747">
                  <c:v>-151155</c:v>
                </c:pt>
                <c:pt idx="748">
                  <c:v>-152280</c:v>
                </c:pt>
                <c:pt idx="749">
                  <c:v>-152405</c:v>
                </c:pt>
                <c:pt idx="750">
                  <c:v>-151780</c:v>
                </c:pt>
                <c:pt idx="751">
                  <c:v>-151030</c:v>
                </c:pt>
                <c:pt idx="752">
                  <c:v>-149905</c:v>
                </c:pt>
                <c:pt idx="753">
                  <c:v>-150030</c:v>
                </c:pt>
                <c:pt idx="754">
                  <c:v>-148780</c:v>
                </c:pt>
                <c:pt idx="755">
                  <c:v>-150155</c:v>
                </c:pt>
                <c:pt idx="756">
                  <c:v>-149280</c:v>
                </c:pt>
                <c:pt idx="757">
                  <c:v>-149030</c:v>
                </c:pt>
                <c:pt idx="758">
                  <c:v>-151405</c:v>
                </c:pt>
                <c:pt idx="759">
                  <c:v>-149280</c:v>
                </c:pt>
                <c:pt idx="760">
                  <c:v>-148400</c:v>
                </c:pt>
                <c:pt idx="761">
                  <c:v>-149775</c:v>
                </c:pt>
                <c:pt idx="762">
                  <c:v>-146650</c:v>
                </c:pt>
                <c:pt idx="763">
                  <c:v>-144900</c:v>
                </c:pt>
                <c:pt idx="764">
                  <c:v>-148400</c:v>
                </c:pt>
                <c:pt idx="765">
                  <c:v>-148275</c:v>
                </c:pt>
                <c:pt idx="766">
                  <c:v>-148525</c:v>
                </c:pt>
                <c:pt idx="767">
                  <c:v>-145900</c:v>
                </c:pt>
                <c:pt idx="768">
                  <c:v>-147650</c:v>
                </c:pt>
                <c:pt idx="769">
                  <c:v>-145900</c:v>
                </c:pt>
                <c:pt idx="770">
                  <c:v>-145775</c:v>
                </c:pt>
                <c:pt idx="771">
                  <c:v>-150150</c:v>
                </c:pt>
                <c:pt idx="772">
                  <c:v>-148525</c:v>
                </c:pt>
                <c:pt idx="773">
                  <c:v>-147900</c:v>
                </c:pt>
                <c:pt idx="774">
                  <c:v>-149400</c:v>
                </c:pt>
                <c:pt idx="775">
                  <c:v>-151900</c:v>
                </c:pt>
                <c:pt idx="776">
                  <c:v>-152400</c:v>
                </c:pt>
                <c:pt idx="777">
                  <c:v>-152900</c:v>
                </c:pt>
                <c:pt idx="778">
                  <c:v>-153400</c:v>
                </c:pt>
                <c:pt idx="779">
                  <c:v>-154775</c:v>
                </c:pt>
                <c:pt idx="780">
                  <c:v>-154275</c:v>
                </c:pt>
                <c:pt idx="781">
                  <c:v>-155525</c:v>
                </c:pt>
                <c:pt idx="782">
                  <c:v>-155900</c:v>
                </c:pt>
                <c:pt idx="783">
                  <c:v>-155395</c:v>
                </c:pt>
                <c:pt idx="784">
                  <c:v>-159395</c:v>
                </c:pt>
                <c:pt idx="785">
                  <c:v>-158645</c:v>
                </c:pt>
                <c:pt idx="786">
                  <c:v>-158145</c:v>
                </c:pt>
                <c:pt idx="787">
                  <c:v>-159020</c:v>
                </c:pt>
                <c:pt idx="788">
                  <c:v>-157020</c:v>
                </c:pt>
                <c:pt idx="789">
                  <c:v>-159770</c:v>
                </c:pt>
                <c:pt idx="790">
                  <c:v>-156270</c:v>
                </c:pt>
                <c:pt idx="791">
                  <c:v>-155895</c:v>
                </c:pt>
                <c:pt idx="792">
                  <c:v>-155895</c:v>
                </c:pt>
                <c:pt idx="793">
                  <c:v>-154145</c:v>
                </c:pt>
                <c:pt idx="794">
                  <c:v>-153645</c:v>
                </c:pt>
                <c:pt idx="795">
                  <c:v>-151020</c:v>
                </c:pt>
                <c:pt idx="796">
                  <c:v>-151270</c:v>
                </c:pt>
                <c:pt idx="797">
                  <c:v>-151520</c:v>
                </c:pt>
                <c:pt idx="798">
                  <c:v>-150395</c:v>
                </c:pt>
                <c:pt idx="799">
                  <c:v>-150520</c:v>
                </c:pt>
                <c:pt idx="800">
                  <c:v>-150770</c:v>
                </c:pt>
                <c:pt idx="801">
                  <c:v>-150270</c:v>
                </c:pt>
                <c:pt idx="802">
                  <c:v>-152270</c:v>
                </c:pt>
                <c:pt idx="803">
                  <c:v>-149895</c:v>
                </c:pt>
                <c:pt idx="804">
                  <c:v>-150265</c:v>
                </c:pt>
                <c:pt idx="805">
                  <c:v>-149515</c:v>
                </c:pt>
                <c:pt idx="806">
                  <c:v>-150140</c:v>
                </c:pt>
                <c:pt idx="807">
                  <c:v>-151015</c:v>
                </c:pt>
                <c:pt idx="808">
                  <c:v>-152265</c:v>
                </c:pt>
                <c:pt idx="809">
                  <c:v>-154640</c:v>
                </c:pt>
                <c:pt idx="810">
                  <c:v>-155140</c:v>
                </c:pt>
                <c:pt idx="811">
                  <c:v>-155265</c:v>
                </c:pt>
                <c:pt idx="812">
                  <c:v>-155515</c:v>
                </c:pt>
                <c:pt idx="813">
                  <c:v>-156140</c:v>
                </c:pt>
                <c:pt idx="814">
                  <c:v>-155890</c:v>
                </c:pt>
                <c:pt idx="815">
                  <c:v>-154890</c:v>
                </c:pt>
                <c:pt idx="816">
                  <c:v>-152015</c:v>
                </c:pt>
                <c:pt idx="817">
                  <c:v>-152515</c:v>
                </c:pt>
                <c:pt idx="818">
                  <c:v>-153015</c:v>
                </c:pt>
                <c:pt idx="819">
                  <c:v>-151640</c:v>
                </c:pt>
                <c:pt idx="820">
                  <c:v>-154390</c:v>
                </c:pt>
                <c:pt idx="821">
                  <c:v>-155015</c:v>
                </c:pt>
                <c:pt idx="822">
                  <c:v>-157265</c:v>
                </c:pt>
                <c:pt idx="823">
                  <c:v>-158390</c:v>
                </c:pt>
                <c:pt idx="824">
                  <c:v>-159140</c:v>
                </c:pt>
                <c:pt idx="825">
                  <c:v>-159510</c:v>
                </c:pt>
                <c:pt idx="826">
                  <c:v>-160010</c:v>
                </c:pt>
                <c:pt idx="827">
                  <c:v>-160010</c:v>
                </c:pt>
                <c:pt idx="828">
                  <c:v>-158885</c:v>
                </c:pt>
                <c:pt idx="829">
                  <c:v>-157885</c:v>
                </c:pt>
                <c:pt idx="830">
                  <c:v>-158010</c:v>
                </c:pt>
                <c:pt idx="831">
                  <c:v>-158135</c:v>
                </c:pt>
                <c:pt idx="832">
                  <c:v>-156510</c:v>
                </c:pt>
                <c:pt idx="833">
                  <c:v>-155385</c:v>
                </c:pt>
                <c:pt idx="834">
                  <c:v>-153385</c:v>
                </c:pt>
                <c:pt idx="835">
                  <c:v>-153510</c:v>
                </c:pt>
                <c:pt idx="836">
                  <c:v>-154010</c:v>
                </c:pt>
                <c:pt idx="837">
                  <c:v>-153760</c:v>
                </c:pt>
                <c:pt idx="838">
                  <c:v>-154510</c:v>
                </c:pt>
                <c:pt idx="839">
                  <c:v>-153135</c:v>
                </c:pt>
                <c:pt idx="840">
                  <c:v>-153010</c:v>
                </c:pt>
                <c:pt idx="841">
                  <c:v>-153760</c:v>
                </c:pt>
                <c:pt idx="842">
                  <c:v>-153010</c:v>
                </c:pt>
                <c:pt idx="843">
                  <c:v>-152510</c:v>
                </c:pt>
                <c:pt idx="844">
                  <c:v>-152135</c:v>
                </c:pt>
                <c:pt idx="845">
                  <c:v>-151760</c:v>
                </c:pt>
                <c:pt idx="846">
                  <c:v>-153135</c:v>
                </c:pt>
                <c:pt idx="847">
                  <c:v>-163635</c:v>
                </c:pt>
                <c:pt idx="848">
                  <c:v>-162135</c:v>
                </c:pt>
                <c:pt idx="849">
                  <c:v>-160510</c:v>
                </c:pt>
                <c:pt idx="850">
                  <c:v>-160010</c:v>
                </c:pt>
                <c:pt idx="851">
                  <c:v>-158760</c:v>
                </c:pt>
                <c:pt idx="852">
                  <c:v>-157135</c:v>
                </c:pt>
                <c:pt idx="853">
                  <c:v>-156885</c:v>
                </c:pt>
                <c:pt idx="854">
                  <c:v>-159510</c:v>
                </c:pt>
                <c:pt idx="855">
                  <c:v>-158135</c:v>
                </c:pt>
                <c:pt idx="856">
                  <c:v>-150885</c:v>
                </c:pt>
                <c:pt idx="857">
                  <c:v>-150885</c:v>
                </c:pt>
                <c:pt idx="858">
                  <c:v>-147885</c:v>
                </c:pt>
                <c:pt idx="859">
                  <c:v>-147260</c:v>
                </c:pt>
                <c:pt idx="860">
                  <c:v>-145510</c:v>
                </c:pt>
                <c:pt idx="861">
                  <c:v>-142260</c:v>
                </c:pt>
                <c:pt idx="862">
                  <c:v>-142760</c:v>
                </c:pt>
                <c:pt idx="863">
                  <c:v>-151510</c:v>
                </c:pt>
                <c:pt idx="864">
                  <c:v>-147885</c:v>
                </c:pt>
                <c:pt idx="865">
                  <c:v>-147885</c:v>
                </c:pt>
                <c:pt idx="866">
                  <c:v>-149010</c:v>
                </c:pt>
                <c:pt idx="867">
                  <c:v>-145135</c:v>
                </c:pt>
                <c:pt idx="868">
                  <c:v>-145010</c:v>
                </c:pt>
                <c:pt idx="869">
                  <c:v>-146130</c:v>
                </c:pt>
                <c:pt idx="870">
                  <c:v>-151380</c:v>
                </c:pt>
                <c:pt idx="871">
                  <c:v>-151505</c:v>
                </c:pt>
                <c:pt idx="872">
                  <c:v>-153630</c:v>
                </c:pt>
                <c:pt idx="873">
                  <c:v>-151880</c:v>
                </c:pt>
                <c:pt idx="874">
                  <c:v>-155380</c:v>
                </c:pt>
                <c:pt idx="875">
                  <c:v>-151505</c:v>
                </c:pt>
                <c:pt idx="876">
                  <c:v>-152630</c:v>
                </c:pt>
                <c:pt idx="877">
                  <c:v>-147005</c:v>
                </c:pt>
                <c:pt idx="878">
                  <c:v>-145505</c:v>
                </c:pt>
                <c:pt idx="879">
                  <c:v>-144630</c:v>
                </c:pt>
                <c:pt idx="880">
                  <c:v>-142255</c:v>
                </c:pt>
                <c:pt idx="881">
                  <c:v>-141005</c:v>
                </c:pt>
                <c:pt idx="882">
                  <c:v>-146130</c:v>
                </c:pt>
                <c:pt idx="883">
                  <c:v>-144255</c:v>
                </c:pt>
                <c:pt idx="884">
                  <c:v>-142130</c:v>
                </c:pt>
                <c:pt idx="885">
                  <c:v>-140505</c:v>
                </c:pt>
                <c:pt idx="886">
                  <c:v>-138630</c:v>
                </c:pt>
                <c:pt idx="887">
                  <c:v>-136755</c:v>
                </c:pt>
                <c:pt idx="888">
                  <c:v>-134630</c:v>
                </c:pt>
                <c:pt idx="889">
                  <c:v>-133880</c:v>
                </c:pt>
                <c:pt idx="890">
                  <c:v>-137755</c:v>
                </c:pt>
                <c:pt idx="891">
                  <c:v>-134380</c:v>
                </c:pt>
                <c:pt idx="892">
                  <c:v>-132255</c:v>
                </c:pt>
                <c:pt idx="893">
                  <c:v>-131880</c:v>
                </c:pt>
                <c:pt idx="894">
                  <c:v>-127005</c:v>
                </c:pt>
                <c:pt idx="895">
                  <c:v>-127130</c:v>
                </c:pt>
                <c:pt idx="896">
                  <c:v>-124380</c:v>
                </c:pt>
                <c:pt idx="897">
                  <c:v>-127630</c:v>
                </c:pt>
                <c:pt idx="898">
                  <c:v>-129380</c:v>
                </c:pt>
                <c:pt idx="899">
                  <c:v>-126005</c:v>
                </c:pt>
                <c:pt idx="900">
                  <c:v>-123755</c:v>
                </c:pt>
                <c:pt idx="901">
                  <c:v>-125130</c:v>
                </c:pt>
                <c:pt idx="902">
                  <c:v>-128255</c:v>
                </c:pt>
                <c:pt idx="903">
                  <c:v>-123505</c:v>
                </c:pt>
                <c:pt idx="904">
                  <c:v>-129130</c:v>
                </c:pt>
                <c:pt idx="905">
                  <c:v>-141880</c:v>
                </c:pt>
                <c:pt idx="906">
                  <c:v>-142005</c:v>
                </c:pt>
                <c:pt idx="907">
                  <c:v>-146755</c:v>
                </c:pt>
                <c:pt idx="908">
                  <c:v>-149880</c:v>
                </c:pt>
                <c:pt idx="909">
                  <c:v>-149005</c:v>
                </c:pt>
                <c:pt idx="910">
                  <c:v>-148505</c:v>
                </c:pt>
                <c:pt idx="911">
                  <c:v>-153880</c:v>
                </c:pt>
                <c:pt idx="912">
                  <c:v>-159380</c:v>
                </c:pt>
                <c:pt idx="913">
                  <c:v>-163125</c:v>
                </c:pt>
                <c:pt idx="914">
                  <c:v>-167375</c:v>
                </c:pt>
                <c:pt idx="915">
                  <c:v>-168250</c:v>
                </c:pt>
                <c:pt idx="916">
                  <c:v>-171250</c:v>
                </c:pt>
                <c:pt idx="917">
                  <c:v>-172625</c:v>
                </c:pt>
                <c:pt idx="918">
                  <c:v>-166375</c:v>
                </c:pt>
                <c:pt idx="919">
                  <c:v>-170000</c:v>
                </c:pt>
                <c:pt idx="920">
                  <c:v>-167125</c:v>
                </c:pt>
                <c:pt idx="921">
                  <c:v>-162250</c:v>
                </c:pt>
                <c:pt idx="922">
                  <c:v>-164125</c:v>
                </c:pt>
                <c:pt idx="923">
                  <c:v>-166750</c:v>
                </c:pt>
                <c:pt idx="924">
                  <c:v>-165625</c:v>
                </c:pt>
                <c:pt idx="925">
                  <c:v>-171500</c:v>
                </c:pt>
                <c:pt idx="926">
                  <c:v>-175500</c:v>
                </c:pt>
                <c:pt idx="927">
                  <c:v>-175750</c:v>
                </c:pt>
                <c:pt idx="928">
                  <c:v>-175625</c:v>
                </c:pt>
                <c:pt idx="929">
                  <c:v>-176375</c:v>
                </c:pt>
                <c:pt idx="930">
                  <c:v>-177500</c:v>
                </c:pt>
                <c:pt idx="931">
                  <c:v>-175250</c:v>
                </c:pt>
                <c:pt idx="932">
                  <c:v>-178375</c:v>
                </c:pt>
                <c:pt idx="933">
                  <c:v>-176500</c:v>
                </c:pt>
                <c:pt idx="934">
                  <c:v>-179125</c:v>
                </c:pt>
                <c:pt idx="935">
                  <c:v>-182500</c:v>
                </c:pt>
                <c:pt idx="936">
                  <c:v>-180750</c:v>
                </c:pt>
                <c:pt idx="937">
                  <c:v>-182000</c:v>
                </c:pt>
                <c:pt idx="938">
                  <c:v>-181875</c:v>
                </c:pt>
                <c:pt idx="939">
                  <c:v>-180875</c:v>
                </c:pt>
                <c:pt idx="940">
                  <c:v>-181125</c:v>
                </c:pt>
                <c:pt idx="941">
                  <c:v>-180875</c:v>
                </c:pt>
                <c:pt idx="942">
                  <c:v>-182500</c:v>
                </c:pt>
                <c:pt idx="943">
                  <c:v>-183875</c:v>
                </c:pt>
                <c:pt idx="944">
                  <c:v>-179625</c:v>
                </c:pt>
                <c:pt idx="945">
                  <c:v>-179250</c:v>
                </c:pt>
                <c:pt idx="946">
                  <c:v>-179000</c:v>
                </c:pt>
                <c:pt idx="947">
                  <c:v>-177875</c:v>
                </c:pt>
                <c:pt idx="948">
                  <c:v>-176000</c:v>
                </c:pt>
                <c:pt idx="949">
                  <c:v>-176625</c:v>
                </c:pt>
                <c:pt idx="950">
                  <c:v>-178625</c:v>
                </c:pt>
                <c:pt idx="951">
                  <c:v>-179750</c:v>
                </c:pt>
                <c:pt idx="952">
                  <c:v>-181750</c:v>
                </c:pt>
                <c:pt idx="953">
                  <c:v>-184375</c:v>
                </c:pt>
                <c:pt idx="954">
                  <c:v>-187625</c:v>
                </c:pt>
                <c:pt idx="955">
                  <c:v>-189125</c:v>
                </c:pt>
                <c:pt idx="956">
                  <c:v>-189375</c:v>
                </c:pt>
                <c:pt idx="957">
                  <c:v>-186745</c:v>
                </c:pt>
                <c:pt idx="958">
                  <c:v>-183495</c:v>
                </c:pt>
                <c:pt idx="959">
                  <c:v>-183495</c:v>
                </c:pt>
                <c:pt idx="960">
                  <c:v>-184120</c:v>
                </c:pt>
                <c:pt idx="961">
                  <c:v>-181745</c:v>
                </c:pt>
                <c:pt idx="962">
                  <c:v>-178620</c:v>
                </c:pt>
                <c:pt idx="963">
                  <c:v>-176995</c:v>
                </c:pt>
                <c:pt idx="964">
                  <c:v>-177870</c:v>
                </c:pt>
                <c:pt idx="965">
                  <c:v>-182620</c:v>
                </c:pt>
                <c:pt idx="966">
                  <c:v>-182370</c:v>
                </c:pt>
                <c:pt idx="967">
                  <c:v>-183245</c:v>
                </c:pt>
                <c:pt idx="968">
                  <c:v>-179245</c:v>
                </c:pt>
                <c:pt idx="969">
                  <c:v>-180370</c:v>
                </c:pt>
                <c:pt idx="970">
                  <c:v>-177620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477-4910-8C05-8FB841B6841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30230248"/>
        <c:axId val="530236520"/>
      </c:lineChart>
      <c:dateAx>
        <c:axId val="530230248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0236520"/>
        <c:crosses val="autoZero"/>
        <c:auto val="1"/>
        <c:lblOffset val="100"/>
        <c:baseTimeUnit val="days"/>
      </c:dateAx>
      <c:valAx>
        <c:axId val="5302365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02302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DHP</a:t>
            </a:r>
            <a:r>
              <a:rPr lang="en-US" baseline="0"/>
              <a:t> and Futures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Data!$J$11</c:f>
              <c:strCache>
                <c:ptCount val="1"/>
                <c:pt idx="0">
                  <c:v>Long Corn Futures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[0]!dateRange</c:f>
              <c:numCache>
                <c:formatCode>m/d/yyyy</c:formatCode>
                <c:ptCount val="971"/>
                <c:pt idx="0">
                  <c:v>41275</c:v>
                </c:pt>
                <c:pt idx="1">
                  <c:v>41276</c:v>
                </c:pt>
                <c:pt idx="2">
                  <c:v>41277</c:v>
                </c:pt>
                <c:pt idx="3">
                  <c:v>41278</c:v>
                </c:pt>
                <c:pt idx="4">
                  <c:v>41281</c:v>
                </c:pt>
                <c:pt idx="5">
                  <c:v>41282</c:v>
                </c:pt>
                <c:pt idx="6">
                  <c:v>41283</c:v>
                </c:pt>
                <c:pt idx="7">
                  <c:v>41284</c:v>
                </c:pt>
                <c:pt idx="8">
                  <c:v>41285</c:v>
                </c:pt>
                <c:pt idx="9">
                  <c:v>41288</c:v>
                </c:pt>
                <c:pt idx="10">
                  <c:v>41289</c:v>
                </c:pt>
                <c:pt idx="11">
                  <c:v>41290</c:v>
                </c:pt>
                <c:pt idx="12">
                  <c:v>41291</c:v>
                </c:pt>
                <c:pt idx="13">
                  <c:v>41292</c:v>
                </c:pt>
                <c:pt idx="14">
                  <c:v>41295</c:v>
                </c:pt>
                <c:pt idx="15">
                  <c:v>41296</c:v>
                </c:pt>
                <c:pt idx="16">
                  <c:v>41297</c:v>
                </c:pt>
                <c:pt idx="17">
                  <c:v>41298</c:v>
                </c:pt>
                <c:pt idx="18">
                  <c:v>41299</c:v>
                </c:pt>
                <c:pt idx="19">
                  <c:v>41302</c:v>
                </c:pt>
                <c:pt idx="20">
                  <c:v>41303</c:v>
                </c:pt>
                <c:pt idx="21">
                  <c:v>41304</c:v>
                </c:pt>
                <c:pt idx="22">
                  <c:v>41305</c:v>
                </c:pt>
                <c:pt idx="23">
                  <c:v>41306</c:v>
                </c:pt>
                <c:pt idx="24">
                  <c:v>41309</c:v>
                </c:pt>
                <c:pt idx="25">
                  <c:v>41310</c:v>
                </c:pt>
                <c:pt idx="26">
                  <c:v>41311</c:v>
                </c:pt>
                <c:pt idx="27">
                  <c:v>41312</c:v>
                </c:pt>
                <c:pt idx="28">
                  <c:v>41313</c:v>
                </c:pt>
                <c:pt idx="29">
                  <c:v>41316</c:v>
                </c:pt>
                <c:pt idx="30">
                  <c:v>41317</c:v>
                </c:pt>
                <c:pt idx="31">
                  <c:v>41318</c:v>
                </c:pt>
                <c:pt idx="32">
                  <c:v>41319</c:v>
                </c:pt>
                <c:pt idx="33">
                  <c:v>41320</c:v>
                </c:pt>
                <c:pt idx="34">
                  <c:v>41323</c:v>
                </c:pt>
                <c:pt idx="35">
                  <c:v>41324</c:v>
                </c:pt>
                <c:pt idx="36">
                  <c:v>41325</c:v>
                </c:pt>
                <c:pt idx="37">
                  <c:v>41326</c:v>
                </c:pt>
                <c:pt idx="38">
                  <c:v>41327</c:v>
                </c:pt>
                <c:pt idx="39">
                  <c:v>41330</c:v>
                </c:pt>
                <c:pt idx="40">
                  <c:v>41331</c:v>
                </c:pt>
                <c:pt idx="41">
                  <c:v>41332</c:v>
                </c:pt>
                <c:pt idx="42">
                  <c:v>41333</c:v>
                </c:pt>
                <c:pt idx="43">
                  <c:v>41334</c:v>
                </c:pt>
                <c:pt idx="44">
                  <c:v>41337</c:v>
                </c:pt>
                <c:pt idx="45">
                  <c:v>41338</c:v>
                </c:pt>
                <c:pt idx="46">
                  <c:v>41339</c:v>
                </c:pt>
                <c:pt idx="47">
                  <c:v>41340</c:v>
                </c:pt>
                <c:pt idx="48">
                  <c:v>41341</c:v>
                </c:pt>
                <c:pt idx="49">
                  <c:v>41344</c:v>
                </c:pt>
                <c:pt idx="50">
                  <c:v>41345</c:v>
                </c:pt>
                <c:pt idx="51">
                  <c:v>41346</c:v>
                </c:pt>
                <c:pt idx="52">
                  <c:v>41347</c:v>
                </c:pt>
                <c:pt idx="53">
                  <c:v>41348</c:v>
                </c:pt>
                <c:pt idx="54">
                  <c:v>41351</c:v>
                </c:pt>
                <c:pt idx="55">
                  <c:v>41352</c:v>
                </c:pt>
                <c:pt idx="56">
                  <c:v>41353</c:v>
                </c:pt>
                <c:pt idx="57">
                  <c:v>41354</c:v>
                </c:pt>
                <c:pt idx="58">
                  <c:v>41355</c:v>
                </c:pt>
                <c:pt idx="59">
                  <c:v>41358</c:v>
                </c:pt>
                <c:pt idx="60">
                  <c:v>41359</c:v>
                </c:pt>
                <c:pt idx="61">
                  <c:v>41360</c:v>
                </c:pt>
                <c:pt idx="62">
                  <c:v>41361</c:v>
                </c:pt>
                <c:pt idx="63">
                  <c:v>41362</c:v>
                </c:pt>
                <c:pt idx="64">
                  <c:v>41365</c:v>
                </c:pt>
                <c:pt idx="65">
                  <c:v>41366</c:v>
                </c:pt>
                <c:pt idx="66">
                  <c:v>41367</c:v>
                </c:pt>
                <c:pt idx="67">
                  <c:v>41368</c:v>
                </c:pt>
                <c:pt idx="68">
                  <c:v>41369</c:v>
                </c:pt>
                <c:pt idx="69">
                  <c:v>41372</c:v>
                </c:pt>
                <c:pt idx="70">
                  <c:v>41373</c:v>
                </c:pt>
                <c:pt idx="71">
                  <c:v>41374</c:v>
                </c:pt>
                <c:pt idx="72">
                  <c:v>41375</c:v>
                </c:pt>
                <c:pt idx="73">
                  <c:v>41376</c:v>
                </c:pt>
                <c:pt idx="74">
                  <c:v>41379</c:v>
                </c:pt>
                <c:pt idx="75">
                  <c:v>41380</c:v>
                </c:pt>
                <c:pt idx="76">
                  <c:v>41381</c:v>
                </c:pt>
                <c:pt idx="77">
                  <c:v>41382</c:v>
                </c:pt>
                <c:pt idx="78">
                  <c:v>41383</c:v>
                </c:pt>
                <c:pt idx="79">
                  <c:v>41386</c:v>
                </c:pt>
                <c:pt idx="80">
                  <c:v>41387</c:v>
                </c:pt>
                <c:pt idx="81">
                  <c:v>41388</c:v>
                </c:pt>
                <c:pt idx="82">
                  <c:v>41389</c:v>
                </c:pt>
                <c:pt idx="83">
                  <c:v>41390</c:v>
                </c:pt>
                <c:pt idx="84">
                  <c:v>41393</c:v>
                </c:pt>
                <c:pt idx="85">
                  <c:v>41394</c:v>
                </c:pt>
                <c:pt idx="86">
                  <c:v>41395</c:v>
                </c:pt>
                <c:pt idx="87">
                  <c:v>41396</c:v>
                </c:pt>
                <c:pt idx="88">
                  <c:v>41397</c:v>
                </c:pt>
                <c:pt idx="89">
                  <c:v>41400</c:v>
                </c:pt>
                <c:pt idx="90">
                  <c:v>41401</c:v>
                </c:pt>
                <c:pt idx="91">
                  <c:v>41402</c:v>
                </c:pt>
                <c:pt idx="92">
                  <c:v>41403</c:v>
                </c:pt>
                <c:pt idx="93">
                  <c:v>41404</c:v>
                </c:pt>
                <c:pt idx="94">
                  <c:v>41407</c:v>
                </c:pt>
                <c:pt idx="95">
                  <c:v>41408</c:v>
                </c:pt>
                <c:pt idx="96">
                  <c:v>41409</c:v>
                </c:pt>
                <c:pt idx="97">
                  <c:v>41410</c:v>
                </c:pt>
                <c:pt idx="98">
                  <c:v>41411</c:v>
                </c:pt>
                <c:pt idx="99">
                  <c:v>41414</c:v>
                </c:pt>
                <c:pt idx="100">
                  <c:v>41415</c:v>
                </c:pt>
                <c:pt idx="101">
                  <c:v>41416</c:v>
                </c:pt>
                <c:pt idx="102">
                  <c:v>41417</c:v>
                </c:pt>
                <c:pt idx="103">
                  <c:v>41418</c:v>
                </c:pt>
                <c:pt idx="104">
                  <c:v>41421</c:v>
                </c:pt>
                <c:pt idx="105">
                  <c:v>41422</c:v>
                </c:pt>
                <c:pt idx="106">
                  <c:v>41423</c:v>
                </c:pt>
                <c:pt idx="107">
                  <c:v>41424</c:v>
                </c:pt>
                <c:pt idx="108">
                  <c:v>41425</c:v>
                </c:pt>
                <c:pt idx="109">
                  <c:v>41428</c:v>
                </c:pt>
                <c:pt idx="110">
                  <c:v>41429</c:v>
                </c:pt>
                <c:pt idx="111">
                  <c:v>41430</c:v>
                </c:pt>
                <c:pt idx="112">
                  <c:v>41431</c:v>
                </c:pt>
                <c:pt idx="113">
                  <c:v>41432</c:v>
                </c:pt>
                <c:pt idx="114">
                  <c:v>41435</c:v>
                </c:pt>
                <c:pt idx="115">
                  <c:v>41436</c:v>
                </c:pt>
                <c:pt idx="116">
                  <c:v>41437</c:v>
                </c:pt>
                <c:pt idx="117">
                  <c:v>41438</c:v>
                </c:pt>
                <c:pt idx="118">
                  <c:v>41439</c:v>
                </c:pt>
                <c:pt idx="119">
                  <c:v>41442</c:v>
                </c:pt>
                <c:pt idx="120">
                  <c:v>41443</c:v>
                </c:pt>
                <c:pt idx="121">
                  <c:v>41444</c:v>
                </c:pt>
                <c:pt idx="122">
                  <c:v>41445</c:v>
                </c:pt>
                <c:pt idx="123">
                  <c:v>41446</c:v>
                </c:pt>
                <c:pt idx="124">
                  <c:v>41449</c:v>
                </c:pt>
                <c:pt idx="125">
                  <c:v>41450</c:v>
                </c:pt>
                <c:pt idx="126">
                  <c:v>41451</c:v>
                </c:pt>
                <c:pt idx="127">
                  <c:v>41452</c:v>
                </c:pt>
                <c:pt idx="128">
                  <c:v>41453</c:v>
                </c:pt>
                <c:pt idx="129">
                  <c:v>41456</c:v>
                </c:pt>
                <c:pt idx="130">
                  <c:v>41457</c:v>
                </c:pt>
                <c:pt idx="131">
                  <c:v>41458</c:v>
                </c:pt>
                <c:pt idx="132">
                  <c:v>41459</c:v>
                </c:pt>
                <c:pt idx="133">
                  <c:v>41460</c:v>
                </c:pt>
                <c:pt idx="134">
                  <c:v>41463</c:v>
                </c:pt>
                <c:pt idx="135">
                  <c:v>41464</c:v>
                </c:pt>
                <c:pt idx="136">
                  <c:v>41465</c:v>
                </c:pt>
                <c:pt idx="137">
                  <c:v>41466</c:v>
                </c:pt>
                <c:pt idx="138">
                  <c:v>41467</c:v>
                </c:pt>
                <c:pt idx="139">
                  <c:v>41470</c:v>
                </c:pt>
                <c:pt idx="140">
                  <c:v>41471</c:v>
                </c:pt>
                <c:pt idx="141">
                  <c:v>41472</c:v>
                </c:pt>
                <c:pt idx="142">
                  <c:v>41473</c:v>
                </c:pt>
                <c:pt idx="143">
                  <c:v>41474</c:v>
                </c:pt>
                <c:pt idx="144">
                  <c:v>41477</c:v>
                </c:pt>
                <c:pt idx="145">
                  <c:v>41478</c:v>
                </c:pt>
                <c:pt idx="146">
                  <c:v>41479</c:v>
                </c:pt>
                <c:pt idx="147">
                  <c:v>41480</c:v>
                </c:pt>
                <c:pt idx="148">
                  <c:v>41481</c:v>
                </c:pt>
                <c:pt idx="149">
                  <c:v>41484</c:v>
                </c:pt>
                <c:pt idx="150">
                  <c:v>41485</c:v>
                </c:pt>
                <c:pt idx="151">
                  <c:v>41486</c:v>
                </c:pt>
                <c:pt idx="152">
                  <c:v>41487</c:v>
                </c:pt>
                <c:pt idx="153">
                  <c:v>41488</c:v>
                </c:pt>
                <c:pt idx="154">
                  <c:v>41491</c:v>
                </c:pt>
                <c:pt idx="155">
                  <c:v>41492</c:v>
                </c:pt>
                <c:pt idx="156">
                  <c:v>41493</c:v>
                </c:pt>
                <c:pt idx="157">
                  <c:v>41494</c:v>
                </c:pt>
                <c:pt idx="158">
                  <c:v>41495</c:v>
                </c:pt>
                <c:pt idx="159">
                  <c:v>41498</c:v>
                </c:pt>
                <c:pt idx="160">
                  <c:v>41499</c:v>
                </c:pt>
                <c:pt idx="161">
                  <c:v>41500</c:v>
                </c:pt>
                <c:pt idx="162">
                  <c:v>41501</c:v>
                </c:pt>
                <c:pt idx="163">
                  <c:v>41502</c:v>
                </c:pt>
                <c:pt idx="164">
                  <c:v>41505</c:v>
                </c:pt>
                <c:pt idx="165">
                  <c:v>41506</c:v>
                </c:pt>
                <c:pt idx="166">
                  <c:v>41507</c:v>
                </c:pt>
                <c:pt idx="167">
                  <c:v>41508</c:v>
                </c:pt>
                <c:pt idx="168">
                  <c:v>41509</c:v>
                </c:pt>
                <c:pt idx="169">
                  <c:v>41512</c:v>
                </c:pt>
                <c:pt idx="170">
                  <c:v>41513</c:v>
                </c:pt>
                <c:pt idx="171">
                  <c:v>41514</c:v>
                </c:pt>
                <c:pt idx="172">
                  <c:v>41515</c:v>
                </c:pt>
                <c:pt idx="173">
                  <c:v>41516</c:v>
                </c:pt>
                <c:pt idx="174">
                  <c:v>41519</c:v>
                </c:pt>
                <c:pt idx="175">
                  <c:v>41520</c:v>
                </c:pt>
                <c:pt idx="176">
                  <c:v>41521</c:v>
                </c:pt>
                <c:pt idx="177">
                  <c:v>41522</c:v>
                </c:pt>
                <c:pt idx="178">
                  <c:v>41523</c:v>
                </c:pt>
                <c:pt idx="179">
                  <c:v>41526</c:v>
                </c:pt>
                <c:pt idx="180">
                  <c:v>41527</c:v>
                </c:pt>
                <c:pt idx="181">
                  <c:v>41528</c:v>
                </c:pt>
                <c:pt idx="182">
                  <c:v>41529</c:v>
                </c:pt>
                <c:pt idx="183">
                  <c:v>41530</c:v>
                </c:pt>
                <c:pt idx="184">
                  <c:v>41533</c:v>
                </c:pt>
                <c:pt idx="185">
                  <c:v>41534</c:v>
                </c:pt>
                <c:pt idx="186">
                  <c:v>41535</c:v>
                </c:pt>
                <c:pt idx="187">
                  <c:v>41536</c:v>
                </c:pt>
                <c:pt idx="188">
                  <c:v>41537</c:v>
                </c:pt>
                <c:pt idx="189">
                  <c:v>41540</c:v>
                </c:pt>
                <c:pt idx="190">
                  <c:v>41541</c:v>
                </c:pt>
                <c:pt idx="191">
                  <c:v>41542</c:v>
                </c:pt>
                <c:pt idx="192">
                  <c:v>41543</c:v>
                </c:pt>
                <c:pt idx="193">
                  <c:v>41544</c:v>
                </c:pt>
                <c:pt idx="194">
                  <c:v>41547</c:v>
                </c:pt>
                <c:pt idx="195">
                  <c:v>41548</c:v>
                </c:pt>
                <c:pt idx="196">
                  <c:v>41549</c:v>
                </c:pt>
                <c:pt idx="197">
                  <c:v>41550</c:v>
                </c:pt>
                <c:pt idx="198">
                  <c:v>41551</c:v>
                </c:pt>
                <c:pt idx="199">
                  <c:v>41554</c:v>
                </c:pt>
                <c:pt idx="200">
                  <c:v>41555</c:v>
                </c:pt>
                <c:pt idx="201">
                  <c:v>41556</c:v>
                </c:pt>
                <c:pt idx="202">
                  <c:v>41557</c:v>
                </c:pt>
                <c:pt idx="203">
                  <c:v>41558</c:v>
                </c:pt>
                <c:pt idx="204">
                  <c:v>41561</c:v>
                </c:pt>
                <c:pt idx="205">
                  <c:v>41562</c:v>
                </c:pt>
                <c:pt idx="206">
                  <c:v>41563</c:v>
                </c:pt>
                <c:pt idx="207">
                  <c:v>41564</c:v>
                </c:pt>
                <c:pt idx="208">
                  <c:v>41565</c:v>
                </c:pt>
                <c:pt idx="209">
                  <c:v>41568</c:v>
                </c:pt>
                <c:pt idx="210">
                  <c:v>41569</c:v>
                </c:pt>
                <c:pt idx="211">
                  <c:v>41570</c:v>
                </c:pt>
                <c:pt idx="212">
                  <c:v>41571</c:v>
                </c:pt>
                <c:pt idx="213">
                  <c:v>41572</c:v>
                </c:pt>
                <c:pt idx="214">
                  <c:v>41575</c:v>
                </c:pt>
                <c:pt idx="215">
                  <c:v>41576</c:v>
                </c:pt>
                <c:pt idx="216">
                  <c:v>41577</c:v>
                </c:pt>
                <c:pt idx="217">
                  <c:v>41578</c:v>
                </c:pt>
                <c:pt idx="218">
                  <c:v>41579</c:v>
                </c:pt>
                <c:pt idx="219">
                  <c:v>41582</c:v>
                </c:pt>
                <c:pt idx="220">
                  <c:v>41583</c:v>
                </c:pt>
                <c:pt idx="221">
                  <c:v>41584</c:v>
                </c:pt>
                <c:pt idx="222">
                  <c:v>41585</c:v>
                </c:pt>
                <c:pt idx="223">
                  <c:v>41586</c:v>
                </c:pt>
                <c:pt idx="224">
                  <c:v>41589</c:v>
                </c:pt>
                <c:pt idx="225">
                  <c:v>41590</c:v>
                </c:pt>
                <c:pt idx="226">
                  <c:v>41591</c:v>
                </c:pt>
                <c:pt idx="227">
                  <c:v>41592</c:v>
                </c:pt>
                <c:pt idx="228">
                  <c:v>41593</c:v>
                </c:pt>
                <c:pt idx="229">
                  <c:v>41596</c:v>
                </c:pt>
                <c:pt idx="230">
                  <c:v>41597</c:v>
                </c:pt>
                <c:pt idx="231">
                  <c:v>41598</c:v>
                </c:pt>
                <c:pt idx="232">
                  <c:v>41599</c:v>
                </c:pt>
                <c:pt idx="233">
                  <c:v>41600</c:v>
                </c:pt>
                <c:pt idx="234">
                  <c:v>41603</c:v>
                </c:pt>
                <c:pt idx="235">
                  <c:v>41604</c:v>
                </c:pt>
                <c:pt idx="236">
                  <c:v>41605</c:v>
                </c:pt>
                <c:pt idx="237">
                  <c:v>41606</c:v>
                </c:pt>
                <c:pt idx="238">
                  <c:v>41607</c:v>
                </c:pt>
                <c:pt idx="239">
                  <c:v>41610</c:v>
                </c:pt>
                <c:pt idx="240">
                  <c:v>41611</c:v>
                </c:pt>
                <c:pt idx="241">
                  <c:v>41612</c:v>
                </c:pt>
                <c:pt idx="242">
                  <c:v>41613</c:v>
                </c:pt>
                <c:pt idx="243">
                  <c:v>41614</c:v>
                </c:pt>
                <c:pt idx="244">
                  <c:v>41617</c:v>
                </c:pt>
                <c:pt idx="245">
                  <c:v>41618</c:v>
                </c:pt>
                <c:pt idx="246">
                  <c:v>41619</c:v>
                </c:pt>
                <c:pt idx="247">
                  <c:v>41620</c:v>
                </c:pt>
                <c:pt idx="248">
                  <c:v>41621</c:v>
                </c:pt>
                <c:pt idx="249">
                  <c:v>41624</c:v>
                </c:pt>
                <c:pt idx="250">
                  <c:v>41625</c:v>
                </c:pt>
                <c:pt idx="251">
                  <c:v>41626</c:v>
                </c:pt>
                <c:pt idx="252">
                  <c:v>41627</c:v>
                </c:pt>
                <c:pt idx="253">
                  <c:v>41628</c:v>
                </c:pt>
                <c:pt idx="254">
                  <c:v>41631</c:v>
                </c:pt>
                <c:pt idx="255">
                  <c:v>41632</c:v>
                </c:pt>
                <c:pt idx="256">
                  <c:v>41633</c:v>
                </c:pt>
                <c:pt idx="257">
                  <c:v>41634</c:v>
                </c:pt>
                <c:pt idx="258">
                  <c:v>41635</c:v>
                </c:pt>
                <c:pt idx="259">
                  <c:v>41638</c:v>
                </c:pt>
                <c:pt idx="260">
                  <c:v>41639</c:v>
                </c:pt>
                <c:pt idx="261">
                  <c:v>41640</c:v>
                </c:pt>
                <c:pt idx="262">
                  <c:v>41641</c:v>
                </c:pt>
                <c:pt idx="263">
                  <c:v>41642</c:v>
                </c:pt>
                <c:pt idx="264">
                  <c:v>41645</c:v>
                </c:pt>
                <c:pt idx="265">
                  <c:v>41646</c:v>
                </c:pt>
                <c:pt idx="266">
                  <c:v>41647</c:v>
                </c:pt>
                <c:pt idx="267">
                  <c:v>41648</c:v>
                </c:pt>
                <c:pt idx="268">
                  <c:v>41649</c:v>
                </c:pt>
                <c:pt idx="269">
                  <c:v>41652</c:v>
                </c:pt>
                <c:pt idx="270">
                  <c:v>41653</c:v>
                </c:pt>
                <c:pt idx="271">
                  <c:v>41654</c:v>
                </c:pt>
                <c:pt idx="272">
                  <c:v>41655</c:v>
                </c:pt>
                <c:pt idx="273">
                  <c:v>41656</c:v>
                </c:pt>
                <c:pt idx="274">
                  <c:v>41659</c:v>
                </c:pt>
                <c:pt idx="275">
                  <c:v>41660</c:v>
                </c:pt>
                <c:pt idx="276">
                  <c:v>41661</c:v>
                </c:pt>
                <c:pt idx="277">
                  <c:v>41662</c:v>
                </c:pt>
                <c:pt idx="278">
                  <c:v>41663</c:v>
                </c:pt>
                <c:pt idx="279">
                  <c:v>41666</c:v>
                </c:pt>
                <c:pt idx="280">
                  <c:v>41667</c:v>
                </c:pt>
                <c:pt idx="281">
                  <c:v>41668</c:v>
                </c:pt>
                <c:pt idx="282">
                  <c:v>41669</c:v>
                </c:pt>
                <c:pt idx="283">
                  <c:v>41670</c:v>
                </c:pt>
                <c:pt idx="284">
                  <c:v>41673</c:v>
                </c:pt>
                <c:pt idx="285">
                  <c:v>41674</c:v>
                </c:pt>
                <c:pt idx="286">
                  <c:v>41675</c:v>
                </c:pt>
                <c:pt idx="287">
                  <c:v>41676</c:v>
                </c:pt>
                <c:pt idx="288">
                  <c:v>41677</c:v>
                </c:pt>
                <c:pt idx="289">
                  <c:v>41680</c:v>
                </c:pt>
                <c:pt idx="290">
                  <c:v>41681</c:v>
                </c:pt>
                <c:pt idx="291">
                  <c:v>41682</c:v>
                </c:pt>
                <c:pt idx="292">
                  <c:v>41683</c:v>
                </c:pt>
                <c:pt idx="293">
                  <c:v>41684</c:v>
                </c:pt>
                <c:pt idx="294">
                  <c:v>41687</c:v>
                </c:pt>
                <c:pt idx="295">
                  <c:v>41688</c:v>
                </c:pt>
                <c:pt idx="296">
                  <c:v>41689</c:v>
                </c:pt>
                <c:pt idx="297">
                  <c:v>41690</c:v>
                </c:pt>
                <c:pt idx="298">
                  <c:v>41691</c:v>
                </c:pt>
                <c:pt idx="299">
                  <c:v>41694</c:v>
                </c:pt>
                <c:pt idx="300">
                  <c:v>41695</c:v>
                </c:pt>
                <c:pt idx="301">
                  <c:v>41696</c:v>
                </c:pt>
                <c:pt idx="302">
                  <c:v>41697</c:v>
                </c:pt>
                <c:pt idx="303">
                  <c:v>41698</c:v>
                </c:pt>
                <c:pt idx="304">
                  <c:v>41701</c:v>
                </c:pt>
                <c:pt idx="305">
                  <c:v>41702</c:v>
                </c:pt>
                <c:pt idx="306">
                  <c:v>41703</c:v>
                </c:pt>
                <c:pt idx="307">
                  <c:v>41704</c:v>
                </c:pt>
                <c:pt idx="308">
                  <c:v>41705</c:v>
                </c:pt>
                <c:pt idx="309">
                  <c:v>41708</c:v>
                </c:pt>
                <c:pt idx="310">
                  <c:v>41709</c:v>
                </c:pt>
                <c:pt idx="311">
                  <c:v>41710</c:v>
                </c:pt>
                <c:pt idx="312">
                  <c:v>41711</c:v>
                </c:pt>
                <c:pt idx="313">
                  <c:v>41712</c:v>
                </c:pt>
                <c:pt idx="314">
                  <c:v>41715</c:v>
                </c:pt>
                <c:pt idx="315">
                  <c:v>41716</c:v>
                </c:pt>
                <c:pt idx="316">
                  <c:v>41717</c:v>
                </c:pt>
                <c:pt idx="317">
                  <c:v>41718</c:v>
                </c:pt>
                <c:pt idx="318">
                  <c:v>41719</c:v>
                </c:pt>
                <c:pt idx="319">
                  <c:v>41722</c:v>
                </c:pt>
                <c:pt idx="320">
                  <c:v>41723</c:v>
                </c:pt>
                <c:pt idx="321">
                  <c:v>41724</c:v>
                </c:pt>
                <c:pt idx="322">
                  <c:v>41725</c:v>
                </c:pt>
                <c:pt idx="323">
                  <c:v>41726</c:v>
                </c:pt>
                <c:pt idx="324">
                  <c:v>41729</c:v>
                </c:pt>
                <c:pt idx="325">
                  <c:v>41730</c:v>
                </c:pt>
                <c:pt idx="326">
                  <c:v>41731</c:v>
                </c:pt>
                <c:pt idx="327">
                  <c:v>41732</c:v>
                </c:pt>
                <c:pt idx="328">
                  <c:v>41733</c:v>
                </c:pt>
                <c:pt idx="329">
                  <c:v>41736</c:v>
                </c:pt>
                <c:pt idx="330">
                  <c:v>41737</c:v>
                </c:pt>
                <c:pt idx="331">
                  <c:v>41738</c:v>
                </c:pt>
                <c:pt idx="332">
                  <c:v>41739</c:v>
                </c:pt>
                <c:pt idx="333">
                  <c:v>41740</c:v>
                </c:pt>
                <c:pt idx="334">
                  <c:v>41743</c:v>
                </c:pt>
                <c:pt idx="335">
                  <c:v>41744</c:v>
                </c:pt>
                <c:pt idx="336">
                  <c:v>41745</c:v>
                </c:pt>
                <c:pt idx="337">
                  <c:v>41746</c:v>
                </c:pt>
                <c:pt idx="338">
                  <c:v>41747</c:v>
                </c:pt>
                <c:pt idx="339">
                  <c:v>41750</c:v>
                </c:pt>
                <c:pt idx="340">
                  <c:v>41751</c:v>
                </c:pt>
                <c:pt idx="341">
                  <c:v>41752</c:v>
                </c:pt>
                <c:pt idx="342">
                  <c:v>41753</c:v>
                </c:pt>
                <c:pt idx="343">
                  <c:v>41754</c:v>
                </c:pt>
                <c:pt idx="344">
                  <c:v>41757</c:v>
                </c:pt>
                <c:pt idx="345">
                  <c:v>41758</c:v>
                </c:pt>
                <c:pt idx="346">
                  <c:v>41759</c:v>
                </c:pt>
                <c:pt idx="347">
                  <c:v>41760</c:v>
                </c:pt>
                <c:pt idx="348">
                  <c:v>41761</c:v>
                </c:pt>
                <c:pt idx="349">
                  <c:v>41764</c:v>
                </c:pt>
                <c:pt idx="350">
                  <c:v>41765</c:v>
                </c:pt>
                <c:pt idx="351">
                  <c:v>41766</c:v>
                </c:pt>
                <c:pt idx="352">
                  <c:v>41767</c:v>
                </c:pt>
                <c:pt idx="353">
                  <c:v>41768</c:v>
                </c:pt>
                <c:pt idx="354">
                  <c:v>41771</c:v>
                </c:pt>
                <c:pt idx="355">
                  <c:v>41772</c:v>
                </c:pt>
                <c:pt idx="356">
                  <c:v>41773</c:v>
                </c:pt>
                <c:pt idx="357">
                  <c:v>41774</c:v>
                </c:pt>
                <c:pt idx="358">
                  <c:v>41775</c:v>
                </c:pt>
                <c:pt idx="359">
                  <c:v>41778</c:v>
                </c:pt>
                <c:pt idx="360">
                  <c:v>41779</c:v>
                </c:pt>
                <c:pt idx="361">
                  <c:v>41780</c:v>
                </c:pt>
                <c:pt idx="362">
                  <c:v>41781</c:v>
                </c:pt>
                <c:pt idx="363">
                  <c:v>41782</c:v>
                </c:pt>
                <c:pt idx="364">
                  <c:v>41785</c:v>
                </c:pt>
                <c:pt idx="365">
                  <c:v>41786</c:v>
                </c:pt>
                <c:pt idx="366">
                  <c:v>41787</c:v>
                </c:pt>
                <c:pt idx="367">
                  <c:v>41788</c:v>
                </c:pt>
                <c:pt idx="368">
                  <c:v>41789</c:v>
                </c:pt>
                <c:pt idx="369">
                  <c:v>41792</c:v>
                </c:pt>
                <c:pt idx="370">
                  <c:v>41793</c:v>
                </c:pt>
                <c:pt idx="371">
                  <c:v>41794</c:v>
                </c:pt>
                <c:pt idx="372">
                  <c:v>41795</c:v>
                </c:pt>
                <c:pt idx="373">
                  <c:v>41796</c:v>
                </c:pt>
                <c:pt idx="374">
                  <c:v>41799</c:v>
                </c:pt>
                <c:pt idx="375">
                  <c:v>41800</c:v>
                </c:pt>
                <c:pt idx="376">
                  <c:v>41801</c:v>
                </c:pt>
                <c:pt idx="377">
                  <c:v>41802</c:v>
                </c:pt>
                <c:pt idx="378">
                  <c:v>41803</c:v>
                </c:pt>
                <c:pt idx="379">
                  <c:v>41806</c:v>
                </c:pt>
                <c:pt idx="380">
                  <c:v>41807</c:v>
                </c:pt>
                <c:pt idx="381">
                  <c:v>41808</c:v>
                </c:pt>
                <c:pt idx="382">
                  <c:v>41809</c:v>
                </c:pt>
                <c:pt idx="383">
                  <c:v>41810</c:v>
                </c:pt>
                <c:pt idx="384">
                  <c:v>41813</c:v>
                </c:pt>
                <c:pt idx="385">
                  <c:v>41814</c:v>
                </c:pt>
                <c:pt idx="386">
                  <c:v>41815</c:v>
                </c:pt>
                <c:pt idx="387">
                  <c:v>41816</c:v>
                </c:pt>
                <c:pt idx="388">
                  <c:v>41817</c:v>
                </c:pt>
                <c:pt idx="389">
                  <c:v>41820</c:v>
                </c:pt>
                <c:pt idx="390">
                  <c:v>41821</c:v>
                </c:pt>
                <c:pt idx="391">
                  <c:v>41822</c:v>
                </c:pt>
                <c:pt idx="392">
                  <c:v>41823</c:v>
                </c:pt>
                <c:pt idx="393">
                  <c:v>41824</c:v>
                </c:pt>
                <c:pt idx="394">
                  <c:v>41827</c:v>
                </c:pt>
                <c:pt idx="395">
                  <c:v>41828</c:v>
                </c:pt>
                <c:pt idx="396">
                  <c:v>41829</c:v>
                </c:pt>
                <c:pt idx="397">
                  <c:v>41830</c:v>
                </c:pt>
                <c:pt idx="398">
                  <c:v>41831</c:v>
                </c:pt>
                <c:pt idx="399">
                  <c:v>41834</c:v>
                </c:pt>
                <c:pt idx="400">
                  <c:v>41835</c:v>
                </c:pt>
                <c:pt idx="401">
                  <c:v>41836</c:v>
                </c:pt>
                <c:pt idx="402">
                  <c:v>41837</c:v>
                </c:pt>
                <c:pt idx="403">
                  <c:v>41838</c:v>
                </c:pt>
                <c:pt idx="404">
                  <c:v>41841</c:v>
                </c:pt>
                <c:pt idx="405">
                  <c:v>41842</c:v>
                </c:pt>
                <c:pt idx="406">
                  <c:v>41843</c:v>
                </c:pt>
                <c:pt idx="407">
                  <c:v>41844</c:v>
                </c:pt>
                <c:pt idx="408">
                  <c:v>41845</c:v>
                </c:pt>
                <c:pt idx="409">
                  <c:v>41848</c:v>
                </c:pt>
                <c:pt idx="410">
                  <c:v>41849</c:v>
                </c:pt>
                <c:pt idx="411">
                  <c:v>41850</c:v>
                </c:pt>
                <c:pt idx="412">
                  <c:v>41851</c:v>
                </c:pt>
                <c:pt idx="413">
                  <c:v>41852</c:v>
                </c:pt>
                <c:pt idx="414">
                  <c:v>41855</c:v>
                </c:pt>
                <c:pt idx="415">
                  <c:v>41856</c:v>
                </c:pt>
                <c:pt idx="416">
                  <c:v>41857</c:v>
                </c:pt>
                <c:pt idx="417">
                  <c:v>41858</c:v>
                </c:pt>
                <c:pt idx="418">
                  <c:v>41859</c:v>
                </c:pt>
                <c:pt idx="419">
                  <c:v>41862</c:v>
                </c:pt>
                <c:pt idx="420">
                  <c:v>41863</c:v>
                </c:pt>
                <c:pt idx="421">
                  <c:v>41864</c:v>
                </c:pt>
                <c:pt idx="422">
                  <c:v>41865</c:v>
                </c:pt>
                <c:pt idx="423">
                  <c:v>41866</c:v>
                </c:pt>
                <c:pt idx="424">
                  <c:v>41869</c:v>
                </c:pt>
                <c:pt idx="425">
                  <c:v>41870</c:v>
                </c:pt>
                <c:pt idx="426">
                  <c:v>41871</c:v>
                </c:pt>
                <c:pt idx="427">
                  <c:v>41872</c:v>
                </c:pt>
                <c:pt idx="428">
                  <c:v>41873</c:v>
                </c:pt>
                <c:pt idx="429">
                  <c:v>41876</c:v>
                </c:pt>
                <c:pt idx="430">
                  <c:v>41877</c:v>
                </c:pt>
                <c:pt idx="431">
                  <c:v>41878</c:v>
                </c:pt>
                <c:pt idx="432">
                  <c:v>41879</c:v>
                </c:pt>
                <c:pt idx="433">
                  <c:v>41880</c:v>
                </c:pt>
                <c:pt idx="434">
                  <c:v>41883</c:v>
                </c:pt>
                <c:pt idx="435">
                  <c:v>41884</c:v>
                </c:pt>
                <c:pt idx="436">
                  <c:v>41885</c:v>
                </c:pt>
                <c:pt idx="437">
                  <c:v>41886</c:v>
                </c:pt>
                <c:pt idx="438">
                  <c:v>41887</c:v>
                </c:pt>
                <c:pt idx="439">
                  <c:v>41890</c:v>
                </c:pt>
                <c:pt idx="440">
                  <c:v>41891</c:v>
                </c:pt>
                <c:pt idx="441">
                  <c:v>41892</c:v>
                </c:pt>
                <c:pt idx="442">
                  <c:v>41893</c:v>
                </c:pt>
                <c:pt idx="443">
                  <c:v>41894</c:v>
                </c:pt>
                <c:pt idx="444">
                  <c:v>41897</c:v>
                </c:pt>
                <c:pt idx="445">
                  <c:v>41898</c:v>
                </c:pt>
                <c:pt idx="446">
                  <c:v>41899</c:v>
                </c:pt>
                <c:pt idx="447">
                  <c:v>41900</c:v>
                </c:pt>
                <c:pt idx="448">
                  <c:v>41901</c:v>
                </c:pt>
                <c:pt idx="449">
                  <c:v>41904</c:v>
                </c:pt>
                <c:pt idx="450">
                  <c:v>41905</c:v>
                </c:pt>
                <c:pt idx="451">
                  <c:v>41906</c:v>
                </c:pt>
                <c:pt idx="452">
                  <c:v>41907</c:v>
                </c:pt>
                <c:pt idx="453">
                  <c:v>41908</c:v>
                </c:pt>
                <c:pt idx="454">
                  <c:v>41911</c:v>
                </c:pt>
                <c:pt idx="455">
                  <c:v>41912</c:v>
                </c:pt>
                <c:pt idx="456">
                  <c:v>41913</c:v>
                </c:pt>
                <c:pt idx="457">
                  <c:v>41914</c:v>
                </c:pt>
                <c:pt idx="458">
                  <c:v>41915</c:v>
                </c:pt>
                <c:pt idx="459">
                  <c:v>41918</c:v>
                </c:pt>
                <c:pt idx="460">
                  <c:v>41919</c:v>
                </c:pt>
                <c:pt idx="461">
                  <c:v>41920</c:v>
                </c:pt>
                <c:pt idx="462">
                  <c:v>41921</c:v>
                </c:pt>
                <c:pt idx="463">
                  <c:v>41922</c:v>
                </c:pt>
                <c:pt idx="464">
                  <c:v>41925</c:v>
                </c:pt>
                <c:pt idx="465">
                  <c:v>41926</c:v>
                </c:pt>
                <c:pt idx="466">
                  <c:v>41927</c:v>
                </c:pt>
                <c:pt idx="467">
                  <c:v>41928</c:v>
                </c:pt>
                <c:pt idx="468">
                  <c:v>41929</c:v>
                </c:pt>
                <c:pt idx="469">
                  <c:v>41932</c:v>
                </c:pt>
                <c:pt idx="470">
                  <c:v>41933</c:v>
                </c:pt>
                <c:pt idx="471">
                  <c:v>41934</c:v>
                </c:pt>
                <c:pt idx="472">
                  <c:v>41935</c:v>
                </c:pt>
                <c:pt idx="473">
                  <c:v>41936</c:v>
                </c:pt>
                <c:pt idx="474">
                  <c:v>41939</c:v>
                </c:pt>
                <c:pt idx="475">
                  <c:v>41940</c:v>
                </c:pt>
                <c:pt idx="476">
                  <c:v>41941</c:v>
                </c:pt>
                <c:pt idx="477">
                  <c:v>41942</c:v>
                </c:pt>
                <c:pt idx="478">
                  <c:v>41943</c:v>
                </c:pt>
                <c:pt idx="479">
                  <c:v>41946</c:v>
                </c:pt>
                <c:pt idx="480">
                  <c:v>41947</c:v>
                </c:pt>
                <c:pt idx="481">
                  <c:v>41948</c:v>
                </c:pt>
                <c:pt idx="482">
                  <c:v>41949</c:v>
                </c:pt>
                <c:pt idx="483">
                  <c:v>41950</c:v>
                </c:pt>
                <c:pt idx="484">
                  <c:v>41953</c:v>
                </c:pt>
                <c:pt idx="485">
                  <c:v>41954</c:v>
                </c:pt>
                <c:pt idx="486">
                  <c:v>41955</c:v>
                </c:pt>
                <c:pt idx="487">
                  <c:v>41956</c:v>
                </c:pt>
                <c:pt idx="488">
                  <c:v>41957</c:v>
                </c:pt>
                <c:pt idx="489">
                  <c:v>41960</c:v>
                </c:pt>
                <c:pt idx="490">
                  <c:v>41961</c:v>
                </c:pt>
                <c:pt idx="491">
                  <c:v>41962</c:v>
                </c:pt>
                <c:pt idx="492">
                  <c:v>41963</c:v>
                </c:pt>
                <c:pt idx="493">
                  <c:v>41964</c:v>
                </c:pt>
                <c:pt idx="494">
                  <c:v>41967</c:v>
                </c:pt>
                <c:pt idx="495">
                  <c:v>41968</c:v>
                </c:pt>
                <c:pt idx="496">
                  <c:v>41969</c:v>
                </c:pt>
                <c:pt idx="497">
                  <c:v>41970</c:v>
                </c:pt>
                <c:pt idx="498">
                  <c:v>41971</c:v>
                </c:pt>
                <c:pt idx="499">
                  <c:v>41974</c:v>
                </c:pt>
                <c:pt idx="500">
                  <c:v>41975</c:v>
                </c:pt>
                <c:pt idx="501">
                  <c:v>41976</c:v>
                </c:pt>
                <c:pt idx="502">
                  <c:v>41977</c:v>
                </c:pt>
                <c:pt idx="503">
                  <c:v>41978</c:v>
                </c:pt>
                <c:pt idx="504">
                  <c:v>41981</c:v>
                </c:pt>
                <c:pt idx="505">
                  <c:v>41982</c:v>
                </c:pt>
                <c:pt idx="506">
                  <c:v>41983</c:v>
                </c:pt>
                <c:pt idx="507">
                  <c:v>41984</c:v>
                </c:pt>
                <c:pt idx="508">
                  <c:v>41985</c:v>
                </c:pt>
                <c:pt idx="509">
                  <c:v>41988</c:v>
                </c:pt>
                <c:pt idx="510">
                  <c:v>41989</c:v>
                </c:pt>
                <c:pt idx="511">
                  <c:v>41990</c:v>
                </c:pt>
                <c:pt idx="512">
                  <c:v>41991</c:v>
                </c:pt>
                <c:pt idx="513">
                  <c:v>41992</c:v>
                </c:pt>
                <c:pt idx="514">
                  <c:v>41995</c:v>
                </c:pt>
                <c:pt idx="515">
                  <c:v>41996</c:v>
                </c:pt>
                <c:pt idx="516">
                  <c:v>41997</c:v>
                </c:pt>
                <c:pt idx="517">
                  <c:v>41998</c:v>
                </c:pt>
                <c:pt idx="518">
                  <c:v>41999</c:v>
                </c:pt>
                <c:pt idx="519">
                  <c:v>42002</c:v>
                </c:pt>
                <c:pt idx="520">
                  <c:v>42003</c:v>
                </c:pt>
                <c:pt idx="521">
                  <c:v>42004</c:v>
                </c:pt>
                <c:pt idx="522">
                  <c:v>42005</c:v>
                </c:pt>
                <c:pt idx="523">
                  <c:v>42006</c:v>
                </c:pt>
                <c:pt idx="524">
                  <c:v>42009</c:v>
                </c:pt>
                <c:pt idx="525">
                  <c:v>42010</c:v>
                </c:pt>
                <c:pt idx="526">
                  <c:v>42011</c:v>
                </c:pt>
                <c:pt idx="527">
                  <c:v>42012</c:v>
                </c:pt>
                <c:pt idx="528">
                  <c:v>42013</c:v>
                </c:pt>
                <c:pt idx="529">
                  <c:v>42016</c:v>
                </c:pt>
                <c:pt idx="530">
                  <c:v>42017</c:v>
                </c:pt>
                <c:pt idx="531">
                  <c:v>42018</c:v>
                </c:pt>
                <c:pt idx="532">
                  <c:v>42019</c:v>
                </c:pt>
                <c:pt idx="533">
                  <c:v>42020</c:v>
                </c:pt>
                <c:pt idx="534">
                  <c:v>42023</c:v>
                </c:pt>
                <c:pt idx="535">
                  <c:v>42024</c:v>
                </c:pt>
                <c:pt idx="536">
                  <c:v>42025</c:v>
                </c:pt>
                <c:pt idx="537">
                  <c:v>42026</c:v>
                </c:pt>
                <c:pt idx="538">
                  <c:v>42027</c:v>
                </c:pt>
                <c:pt idx="539">
                  <c:v>42030</c:v>
                </c:pt>
                <c:pt idx="540">
                  <c:v>42031</c:v>
                </c:pt>
                <c:pt idx="541">
                  <c:v>42032</c:v>
                </c:pt>
                <c:pt idx="542">
                  <c:v>42033</c:v>
                </c:pt>
                <c:pt idx="543">
                  <c:v>42034</c:v>
                </c:pt>
                <c:pt idx="544">
                  <c:v>42037</c:v>
                </c:pt>
                <c:pt idx="545">
                  <c:v>42038</c:v>
                </c:pt>
                <c:pt idx="546">
                  <c:v>42039</c:v>
                </c:pt>
                <c:pt idx="547">
                  <c:v>42040</c:v>
                </c:pt>
                <c:pt idx="548">
                  <c:v>42041</c:v>
                </c:pt>
                <c:pt idx="549">
                  <c:v>42044</c:v>
                </c:pt>
                <c:pt idx="550">
                  <c:v>42045</c:v>
                </c:pt>
                <c:pt idx="551">
                  <c:v>42046</c:v>
                </c:pt>
                <c:pt idx="552">
                  <c:v>42047</c:v>
                </c:pt>
                <c:pt idx="553">
                  <c:v>42048</c:v>
                </c:pt>
                <c:pt idx="554">
                  <c:v>42051</c:v>
                </c:pt>
                <c:pt idx="555">
                  <c:v>42052</c:v>
                </c:pt>
                <c:pt idx="556">
                  <c:v>42053</c:v>
                </c:pt>
                <c:pt idx="557">
                  <c:v>42054</c:v>
                </c:pt>
                <c:pt idx="558">
                  <c:v>42055</c:v>
                </c:pt>
                <c:pt idx="559">
                  <c:v>42058</c:v>
                </c:pt>
                <c:pt idx="560">
                  <c:v>42059</c:v>
                </c:pt>
                <c:pt idx="561">
                  <c:v>42060</c:v>
                </c:pt>
                <c:pt idx="562">
                  <c:v>42061</c:v>
                </c:pt>
                <c:pt idx="563">
                  <c:v>42062</c:v>
                </c:pt>
                <c:pt idx="564">
                  <c:v>42065</c:v>
                </c:pt>
                <c:pt idx="565">
                  <c:v>42066</c:v>
                </c:pt>
                <c:pt idx="566">
                  <c:v>42067</c:v>
                </c:pt>
                <c:pt idx="567">
                  <c:v>42068</c:v>
                </c:pt>
                <c:pt idx="568">
                  <c:v>42069</c:v>
                </c:pt>
                <c:pt idx="569">
                  <c:v>42072</c:v>
                </c:pt>
                <c:pt idx="570">
                  <c:v>42073</c:v>
                </c:pt>
                <c:pt idx="571">
                  <c:v>42074</c:v>
                </c:pt>
                <c:pt idx="572">
                  <c:v>42075</c:v>
                </c:pt>
                <c:pt idx="573">
                  <c:v>42076</c:v>
                </c:pt>
                <c:pt idx="574">
                  <c:v>42079</c:v>
                </c:pt>
                <c:pt idx="575">
                  <c:v>42080</c:v>
                </c:pt>
                <c:pt idx="576">
                  <c:v>42081</c:v>
                </c:pt>
                <c:pt idx="577">
                  <c:v>42082</c:v>
                </c:pt>
                <c:pt idx="578">
                  <c:v>42083</c:v>
                </c:pt>
                <c:pt idx="579">
                  <c:v>42086</c:v>
                </c:pt>
                <c:pt idx="580">
                  <c:v>42087</c:v>
                </c:pt>
                <c:pt idx="581">
                  <c:v>42088</c:v>
                </c:pt>
                <c:pt idx="582">
                  <c:v>42089</c:v>
                </c:pt>
                <c:pt idx="583">
                  <c:v>42090</c:v>
                </c:pt>
                <c:pt idx="584">
                  <c:v>42093</c:v>
                </c:pt>
                <c:pt idx="585">
                  <c:v>42094</c:v>
                </c:pt>
                <c:pt idx="586">
                  <c:v>42095</c:v>
                </c:pt>
                <c:pt idx="587">
                  <c:v>42096</c:v>
                </c:pt>
                <c:pt idx="588">
                  <c:v>42097</c:v>
                </c:pt>
                <c:pt idx="589">
                  <c:v>42100</c:v>
                </c:pt>
                <c:pt idx="590">
                  <c:v>42101</c:v>
                </c:pt>
                <c:pt idx="591">
                  <c:v>42102</c:v>
                </c:pt>
                <c:pt idx="592">
                  <c:v>42103</c:v>
                </c:pt>
                <c:pt idx="593">
                  <c:v>42104</c:v>
                </c:pt>
                <c:pt idx="594">
                  <c:v>42107</c:v>
                </c:pt>
                <c:pt idx="595">
                  <c:v>42108</c:v>
                </c:pt>
                <c:pt idx="596">
                  <c:v>42109</c:v>
                </c:pt>
                <c:pt idx="597">
                  <c:v>42110</c:v>
                </c:pt>
                <c:pt idx="598">
                  <c:v>42111</c:v>
                </c:pt>
                <c:pt idx="599">
                  <c:v>42114</c:v>
                </c:pt>
                <c:pt idx="600">
                  <c:v>42115</c:v>
                </c:pt>
                <c:pt idx="601">
                  <c:v>42116</c:v>
                </c:pt>
                <c:pt idx="602">
                  <c:v>42117</c:v>
                </c:pt>
                <c:pt idx="603">
                  <c:v>42118</c:v>
                </c:pt>
                <c:pt idx="604">
                  <c:v>42121</c:v>
                </c:pt>
                <c:pt idx="605">
                  <c:v>42122</c:v>
                </c:pt>
                <c:pt idx="606">
                  <c:v>42123</c:v>
                </c:pt>
                <c:pt idx="607">
                  <c:v>42124</c:v>
                </c:pt>
                <c:pt idx="608">
                  <c:v>42125</c:v>
                </c:pt>
                <c:pt idx="609">
                  <c:v>42128</c:v>
                </c:pt>
                <c:pt idx="610">
                  <c:v>42129</c:v>
                </c:pt>
                <c:pt idx="611">
                  <c:v>42130</c:v>
                </c:pt>
                <c:pt idx="612">
                  <c:v>42131</c:v>
                </c:pt>
                <c:pt idx="613">
                  <c:v>42132</c:v>
                </c:pt>
                <c:pt idx="614">
                  <c:v>42135</c:v>
                </c:pt>
                <c:pt idx="615">
                  <c:v>42136</c:v>
                </c:pt>
                <c:pt idx="616">
                  <c:v>42137</c:v>
                </c:pt>
                <c:pt idx="617">
                  <c:v>42138</c:v>
                </c:pt>
                <c:pt idx="618">
                  <c:v>42139</c:v>
                </c:pt>
                <c:pt idx="619">
                  <c:v>42142</c:v>
                </c:pt>
                <c:pt idx="620">
                  <c:v>42143</c:v>
                </c:pt>
                <c:pt idx="621">
                  <c:v>42144</c:v>
                </c:pt>
                <c:pt idx="622">
                  <c:v>42145</c:v>
                </c:pt>
                <c:pt idx="623">
                  <c:v>42146</c:v>
                </c:pt>
                <c:pt idx="624">
                  <c:v>42149</c:v>
                </c:pt>
                <c:pt idx="625">
                  <c:v>42150</c:v>
                </c:pt>
                <c:pt idx="626">
                  <c:v>42151</c:v>
                </c:pt>
                <c:pt idx="627">
                  <c:v>42152</c:v>
                </c:pt>
                <c:pt idx="628">
                  <c:v>42153</c:v>
                </c:pt>
                <c:pt idx="629">
                  <c:v>42156</c:v>
                </c:pt>
                <c:pt idx="630">
                  <c:v>42157</c:v>
                </c:pt>
                <c:pt idx="631">
                  <c:v>42158</c:v>
                </c:pt>
                <c:pt idx="632">
                  <c:v>42159</c:v>
                </c:pt>
                <c:pt idx="633">
                  <c:v>42160</c:v>
                </c:pt>
                <c:pt idx="634">
                  <c:v>42163</c:v>
                </c:pt>
                <c:pt idx="635">
                  <c:v>42164</c:v>
                </c:pt>
                <c:pt idx="636">
                  <c:v>42165</c:v>
                </c:pt>
                <c:pt idx="637">
                  <c:v>42166</c:v>
                </c:pt>
                <c:pt idx="638">
                  <c:v>42167</c:v>
                </c:pt>
                <c:pt idx="639">
                  <c:v>42170</c:v>
                </c:pt>
                <c:pt idx="640">
                  <c:v>42171</c:v>
                </c:pt>
                <c:pt idx="641">
                  <c:v>42172</c:v>
                </c:pt>
                <c:pt idx="642">
                  <c:v>42173</c:v>
                </c:pt>
                <c:pt idx="643">
                  <c:v>42174</c:v>
                </c:pt>
                <c:pt idx="644">
                  <c:v>42177</c:v>
                </c:pt>
                <c:pt idx="645">
                  <c:v>42178</c:v>
                </c:pt>
                <c:pt idx="646">
                  <c:v>42179</c:v>
                </c:pt>
                <c:pt idx="647">
                  <c:v>42180</c:v>
                </c:pt>
                <c:pt idx="648">
                  <c:v>42181</c:v>
                </c:pt>
                <c:pt idx="649">
                  <c:v>42184</c:v>
                </c:pt>
                <c:pt idx="650">
                  <c:v>42185</c:v>
                </c:pt>
                <c:pt idx="651">
                  <c:v>42186</c:v>
                </c:pt>
                <c:pt idx="652">
                  <c:v>42187</c:v>
                </c:pt>
                <c:pt idx="653">
                  <c:v>42188</c:v>
                </c:pt>
                <c:pt idx="654">
                  <c:v>42191</c:v>
                </c:pt>
                <c:pt idx="655">
                  <c:v>42192</c:v>
                </c:pt>
                <c:pt idx="656">
                  <c:v>42193</c:v>
                </c:pt>
                <c:pt idx="657">
                  <c:v>42194</c:v>
                </c:pt>
                <c:pt idx="658">
                  <c:v>42195</c:v>
                </c:pt>
                <c:pt idx="659">
                  <c:v>42198</c:v>
                </c:pt>
                <c:pt idx="660">
                  <c:v>42199</c:v>
                </c:pt>
                <c:pt idx="661">
                  <c:v>42200</c:v>
                </c:pt>
                <c:pt idx="662">
                  <c:v>42201</c:v>
                </c:pt>
                <c:pt idx="663">
                  <c:v>42202</c:v>
                </c:pt>
                <c:pt idx="664">
                  <c:v>42205</c:v>
                </c:pt>
                <c:pt idx="665">
                  <c:v>42206</c:v>
                </c:pt>
                <c:pt idx="666">
                  <c:v>42207</c:v>
                </c:pt>
                <c:pt idx="667">
                  <c:v>42208</c:v>
                </c:pt>
                <c:pt idx="668">
                  <c:v>42209</c:v>
                </c:pt>
                <c:pt idx="669">
                  <c:v>42212</c:v>
                </c:pt>
                <c:pt idx="670">
                  <c:v>42213</c:v>
                </c:pt>
                <c:pt idx="671">
                  <c:v>42214</c:v>
                </c:pt>
                <c:pt idx="672">
                  <c:v>42215</c:v>
                </c:pt>
                <c:pt idx="673">
                  <c:v>42216</c:v>
                </c:pt>
                <c:pt idx="674">
                  <c:v>42219</c:v>
                </c:pt>
                <c:pt idx="675">
                  <c:v>42220</c:v>
                </c:pt>
                <c:pt idx="676">
                  <c:v>42221</c:v>
                </c:pt>
                <c:pt idx="677">
                  <c:v>42222</c:v>
                </c:pt>
                <c:pt idx="678">
                  <c:v>42223</c:v>
                </c:pt>
                <c:pt idx="679">
                  <c:v>42226</c:v>
                </c:pt>
                <c:pt idx="680">
                  <c:v>42227</c:v>
                </c:pt>
                <c:pt idx="681">
                  <c:v>42228</c:v>
                </c:pt>
                <c:pt idx="682">
                  <c:v>42229</c:v>
                </c:pt>
                <c:pt idx="683">
                  <c:v>42230</c:v>
                </c:pt>
                <c:pt idx="684">
                  <c:v>42233</c:v>
                </c:pt>
                <c:pt idx="685">
                  <c:v>42234</c:v>
                </c:pt>
                <c:pt idx="686">
                  <c:v>42235</c:v>
                </c:pt>
                <c:pt idx="687">
                  <c:v>42236</c:v>
                </c:pt>
                <c:pt idx="688">
                  <c:v>42237</c:v>
                </c:pt>
                <c:pt idx="689">
                  <c:v>42240</c:v>
                </c:pt>
                <c:pt idx="690">
                  <c:v>42241</c:v>
                </c:pt>
                <c:pt idx="691">
                  <c:v>42242</c:v>
                </c:pt>
                <c:pt idx="692">
                  <c:v>42243</c:v>
                </c:pt>
                <c:pt idx="693">
                  <c:v>42244</c:v>
                </c:pt>
                <c:pt idx="694">
                  <c:v>42247</c:v>
                </c:pt>
                <c:pt idx="695">
                  <c:v>42248</c:v>
                </c:pt>
                <c:pt idx="696">
                  <c:v>42249</c:v>
                </c:pt>
                <c:pt idx="697">
                  <c:v>42250</c:v>
                </c:pt>
                <c:pt idx="698">
                  <c:v>42251</c:v>
                </c:pt>
                <c:pt idx="699">
                  <c:v>42254</c:v>
                </c:pt>
                <c:pt idx="700">
                  <c:v>42255</c:v>
                </c:pt>
                <c:pt idx="701">
                  <c:v>42256</c:v>
                </c:pt>
                <c:pt idx="702">
                  <c:v>42257</c:v>
                </c:pt>
                <c:pt idx="703">
                  <c:v>42258</c:v>
                </c:pt>
                <c:pt idx="704">
                  <c:v>42261</c:v>
                </c:pt>
                <c:pt idx="705">
                  <c:v>42262</c:v>
                </c:pt>
                <c:pt idx="706">
                  <c:v>42263</c:v>
                </c:pt>
                <c:pt idx="707">
                  <c:v>42264</c:v>
                </c:pt>
                <c:pt idx="708">
                  <c:v>42265</c:v>
                </c:pt>
                <c:pt idx="709">
                  <c:v>42268</c:v>
                </c:pt>
                <c:pt idx="710">
                  <c:v>42269</c:v>
                </c:pt>
                <c:pt idx="711">
                  <c:v>42270</c:v>
                </c:pt>
                <c:pt idx="712">
                  <c:v>42271</c:v>
                </c:pt>
                <c:pt idx="713">
                  <c:v>42272</c:v>
                </c:pt>
                <c:pt idx="714">
                  <c:v>42275</c:v>
                </c:pt>
                <c:pt idx="715">
                  <c:v>42276</c:v>
                </c:pt>
                <c:pt idx="716">
                  <c:v>42277</c:v>
                </c:pt>
                <c:pt idx="717">
                  <c:v>42278</c:v>
                </c:pt>
                <c:pt idx="718">
                  <c:v>42279</c:v>
                </c:pt>
                <c:pt idx="719">
                  <c:v>42282</c:v>
                </c:pt>
                <c:pt idx="720">
                  <c:v>42283</c:v>
                </c:pt>
                <c:pt idx="721">
                  <c:v>42284</c:v>
                </c:pt>
                <c:pt idx="722">
                  <c:v>42285</c:v>
                </c:pt>
                <c:pt idx="723">
                  <c:v>42286</c:v>
                </c:pt>
                <c:pt idx="724">
                  <c:v>42289</c:v>
                </c:pt>
                <c:pt idx="725">
                  <c:v>42290</c:v>
                </c:pt>
                <c:pt idx="726">
                  <c:v>42291</c:v>
                </c:pt>
                <c:pt idx="727">
                  <c:v>42292</c:v>
                </c:pt>
                <c:pt idx="728">
                  <c:v>42293</c:v>
                </c:pt>
                <c:pt idx="729">
                  <c:v>42296</c:v>
                </c:pt>
                <c:pt idx="730">
                  <c:v>42297</c:v>
                </c:pt>
                <c:pt idx="731">
                  <c:v>42298</c:v>
                </c:pt>
                <c:pt idx="732">
                  <c:v>42299</c:v>
                </c:pt>
                <c:pt idx="733">
                  <c:v>42300</c:v>
                </c:pt>
                <c:pt idx="734">
                  <c:v>42303</c:v>
                </c:pt>
                <c:pt idx="735">
                  <c:v>42304</c:v>
                </c:pt>
                <c:pt idx="736">
                  <c:v>42305</c:v>
                </c:pt>
                <c:pt idx="737">
                  <c:v>42306</c:v>
                </c:pt>
                <c:pt idx="738">
                  <c:v>42307</c:v>
                </c:pt>
                <c:pt idx="739">
                  <c:v>42310</c:v>
                </c:pt>
                <c:pt idx="740">
                  <c:v>42311</c:v>
                </c:pt>
                <c:pt idx="741">
                  <c:v>42312</c:v>
                </c:pt>
                <c:pt idx="742">
                  <c:v>42313</c:v>
                </c:pt>
                <c:pt idx="743">
                  <c:v>42314</c:v>
                </c:pt>
                <c:pt idx="744">
                  <c:v>42317</c:v>
                </c:pt>
                <c:pt idx="745">
                  <c:v>42318</c:v>
                </c:pt>
                <c:pt idx="746">
                  <c:v>42319</c:v>
                </c:pt>
                <c:pt idx="747">
                  <c:v>42320</c:v>
                </c:pt>
                <c:pt idx="748">
                  <c:v>42321</c:v>
                </c:pt>
                <c:pt idx="749">
                  <c:v>42324</c:v>
                </c:pt>
                <c:pt idx="750">
                  <c:v>42325</c:v>
                </c:pt>
                <c:pt idx="751">
                  <c:v>42326</c:v>
                </c:pt>
                <c:pt idx="752">
                  <c:v>42327</c:v>
                </c:pt>
                <c:pt idx="753">
                  <c:v>42328</c:v>
                </c:pt>
                <c:pt idx="754">
                  <c:v>42331</c:v>
                </c:pt>
                <c:pt idx="755">
                  <c:v>42332</c:v>
                </c:pt>
                <c:pt idx="756">
                  <c:v>42333</c:v>
                </c:pt>
                <c:pt idx="757">
                  <c:v>42334</c:v>
                </c:pt>
                <c:pt idx="758">
                  <c:v>42335</c:v>
                </c:pt>
                <c:pt idx="759">
                  <c:v>42338</c:v>
                </c:pt>
                <c:pt idx="760">
                  <c:v>42339</c:v>
                </c:pt>
                <c:pt idx="761">
                  <c:v>42340</c:v>
                </c:pt>
                <c:pt idx="762">
                  <c:v>42341</c:v>
                </c:pt>
                <c:pt idx="763">
                  <c:v>42342</c:v>
                </c:pt>
                <c:pt idx="764">
                  <c:v>42345</c:v>
                </c:pt>
                <c:pt idx="765">
                  <c:v>42346</c:v>
                </c:pt>
                <c:pt idx="766">
                  <c:v>42347</c:v>
                </c:pt>
                <c:pt idx="767">
                  <c:v>42348</c:v>
                </c:pt>
                <c:pt idx="768">
                  <c:v>42349</c:v>
                </c:pt>
                <c:pt idx="769">
                  <c:v>42352</c:v>
                </c:pt>
                <c:pt idx="770">
                  <c:v>42353</c:v>
                </c:pt>
                <c:pt idx="771">
                  <c:v>42354</c:v>
                </c:pt>
                <c:pt idx="772">
                  <c:v>42355</c:v>
                </c:pt>
                <c:pt idx="773">
                  <c:v>42356</c:v>
                </c:pt>
                <c:pt idx="774">
                  <c:v>42359</c:v>
                </c:pt>
                <c:pt idx="775">
                  <c:v>42360</c:v>
                </c:pt>
                <c:pt idx="776">
                  <c:v>42361</c:v>
                </c:pt>
                <c:pt idx="777">
                  <c:v>42362</c:v>
                </c:pt>
                <c:pt idx="778">
                  <c:v>42363</c:v>
                </c:pt>
                <c:pt idx="779">
                  <c:v>42366</c:v>
                </c:pt>
                <c:pt idx="780">
                  <c:v>42367</c:v>
                </c:pt>
                <c:pt idx="781">
                  <c:v>42368</c:v>
                </c:pt>
                <c:pt idx="782">
                  <c:v>42369</c:v>
                </c:pt>
                <c:pt idx="783">
                  <c:v>42370</c:v>
                </c:pt>
                <c:pt idx="784">
                  <c:v>42373</c:v>
                </c:pt>
                <c:pt idx="785">
                  <c:v>42374</c:v>
                </c:pt>
                <c:pt idx="786">
                  <c:v>42375</c:v>
                </c:pt>
                <c:pt idx="787">
                  <c:v>42376</c:v>
                </c:pt>
                <c:pt idx="788">
                  <c:v>42377</c:v>
                </c:pt>
                <c:pt idx="789">
                  <c:v>42380</c:v>
                </c:pt>
                <c:pt idx="790">
                  <c:v>42381</c:v>
                </c:pt>
                <c:pt idx="791">
                  <c:v>42382</c:v>
                </c:pt>
                <c:pt idx="792">
                  <c:v>42383</c:v>
                </c:pt>
                <c:pt idx="793">
                  <c:v>42384</c:v>
                </c:pt>
                <c:pt idx="794">
                  <c:v>42387</c:v>
                </c:pt>
                <c:pt idx="795">
                  <c:v>42388</c:v>
                </c:pt>
                <c:pt idx="796">
                  <c:v>42389</c:v>
                </c:pt>
                <c:pt idx="797">
                  <c:v>42390</c:v>
                </c:pt>
                <c:pt idx="798">
                  <c:v>42391</c:v>
                </c:pt>
                <c:pt idx="799">
                  <c:v>42394</c:v>
                </c:pt>
                <c:pt idx="800">
                  <c:v>42395</c:v>
                </c:pt>
                <c:pt idx="801">
                  <c:v>42396</c:v>
                </c:pt>
                <c:pt idx="802">
                  <c:v>42397</c:v>
                </c:pt>
                <c:pt idx="803">
                  <c:v>42398</c:v>
                </c:pt>
                <c:pt idx="804">
                  <c:v>42401</c:v>
                </c:pt>
                <c:pt idx="805">
                  <c:v>42402</c:v>
                </c:pt>
                <c:pt idx="806">
                  <c:v>42403</c:v>
                </c:pt>
                <c:pt idx="807">
                  <c:v>42404</c:v>
                </c:pt>
                <c:pt idx="808">
                  <c:v>42405</c:v>
                </c:pt>
                <c:pt idx="809">
                  <c:v>42408</c:v>
                </c:pt>
                <c:pt idx="810">
                  <c:v>42409</c:v>
                </c:pt>
                <c:pt idx="811">
                  <c:v>42410</c:v>
                </c:pt>
                <c:pt idx="812">
                  <c:v>42411</c:v>
                </c:pt>
                <c:pt idx="813">
                  <c:v>42412</c:v>
                </c:pt>
                <c:pt idx="814">
                  <c:v>42415</c:v>
                </c:pt>
                <c:pt idx="815">
                  <c:v>42416</c:v>
                </c:pt>
                <c:pt idx="816">
                  <c:v>42417</c:v>
                </c:pt>
                <c:pt idx="817">
                  <c:v>42418</c:v>
                </c:pt>
                <c:pt idx="818">
                  <c:v>42419</c:v>
                </c:pt>
                <c:pt idx="819">
                  <c:v>42422</c:v>
                </c:pt>
                <c:pt idx="820">
                  <c:v>42423</c:v>
                </c:pt>
                <c:pt idx="821">
                  <c:v>42424</c:v>
                </c:pt>
                <c:pt idx="822">
                  <c:v>42425</c:v>
                </c:pt>
                <c:pt idx="823">
                  <c:v>42426</c:v>
                </c:pt>
                <c:pt idx="824">
                  <c:v>42429</c:v>
                </c:pt>
                <c:pt idx="825">
                  <c:v>42430</c:v>
                </c:pt>
                <c:pt idx="826">
                  <c:v>42431</c:v>
                </c:pt>
                <c:pt idx="827">
                  <c:v>42432</c:v>
                </c:pt>
                <c:pt idx="828">
                  <c:v>42433</c:v>
                </c:pt>
                <c:pt idx="829">
                  <c:v>42436</c:v>
                </c:pt>
                <c:pt idx="830">
                  <c:v>42437</c:v>
                </c:pt>
                <c:pt idx="831">
                  <c:v>42438</c:v>
                </c:pt>
                <c:pt idx="832">
                  <c:v>42439</c:v>
                </c:pt>
                <c:pt idx="833">
                  <c:v>42440</c:v>
                </c:pt>
                <c:pt idx="834">
                  <c:v>42443</c:v>
                </c:pt>
                <c:pt idx="835">
                  <c:v>42444</c:v>
                </c:pt>
                <c:pt idx="836">
                  <c:v>42445</c:v>
                </c:pt>
                <c:pt idx="837">
                  <c:v>42446</c:v>
                </c:pt>
                <c:pt idx="838">
                  <c:v>42447</c:v>
                </c:pt>
                <c:pt idx="839">
                  <c:v>42450</c:v>
                </c:pt>
                <c:pt idx="840">
                  <c:v>42451</c:v>
                </c:pt>
                <c:pt idx="841">
                  <c:v>42452</c:v>
                </c:pt>
                <c:pt idx="842">
                  <c:v>42453</c:v>
                </c:pt>
                <c:pt idx="843">
                  <c:v>42454</c:v>
                </c:pt>
                <c:pt idx="844">
                  <c:v>42457</c:v>
                </c:pt>
                <c:pt idx="845">
                  <c:v>42458</c:v>
                </c:pt>
                <c:pt idx="846">
                  <c:v>42459</c:v>
                </c:pt>
                <c:pt idx="847">
                  <c:v>42460</c:v>
                </c:pt>
                <c:pt idx="848">
                  <c:v>42461</c:v>
                </c:pt>
                <c:pt idx="849">
                  <c:v>42464</c:v>
                </c:pt>
                <c:pt idx="850">
                  <c:v>42465</c:v>
                </c:pt>
                <c:pt idx="851">
                  <c:v>42466</c:v>
                </c:pt>
                <c:pt idx="852">
                  <c:v>42467</c:v>
                </c:pt>
                <c:pt idx="853">
                  <c:v>42468</c:v>
                </c:pt>
                <c:pt idx="854">
                  <c:v>42471</c:v>
                </c:pt>
                <c:pt idx="855">
                  <c:v>42472</c:v>
                </c:pt>
                <c:pt idx="856">
                  <c:v>42473</c:v>
                </c:pt>
                <c:pt idx="857">
                  <c:v>42474</c:v>
                </c:pt>
                <c:pt idx="858">
                  <c:v>42475</c:v>
                </c:pt>
                <c:pt idx="859">
                  <c:v>42478</c:v>
                </c:pt>
                <c:pt idx="860">
                  <c:v>42479</c:v>
                </c:pt>
                <c:pt idx="861">
                  <c:v>42480</c:v>
                </c:pt>
                <c:pt idx="862">
                  <c:v>42481</c:v>
                </c:pt>
                <c:pt idx="863">
                  <c:v>42482</c:v>
                </c:pt>
                <c:pt idx="864">
                  <c:v>42485</c:v>
                </c:pt>
                <c:pt idx="865">
                  <c:v>42486</c:v>
                </c:pt>
                <c:pt idx="866">
                  <c:v>42487</c:v>
                </c:pt>
                <c:pt idx="867">
                  <c:v>42488</c:v>
                </c:pt>
                <c:pt idx="868">
                  <c:v>42489</c:v>
                </c:pt>
                <c:pt idx="869">
                  <c:v>42492</c:v>
                </c:pt>
                <c:pt idx="870">
                  <c:v>42493</c:v>
                </c:pt>
                <c:pt idx="871">
                  <c:v>42494</c:v>
                </c:pt>
                <c:pt idx="872">
                  <c:v>42495</c:v>
                </c:pt>
                <c:pt idx="873">
                  <c:v>42496</c:v>
                </c:pt>
                <c:pt idx="874">
                  <c:v>42499</c:v>
                </c:pt>
                <c:pt idx="875">
                  <c:v>42500</c:v>
                </c:pt>
                <c:pt idx="876">
                  <c:v>42501</c:v>
                </c:pt>
                <c:pt idx="877">
                  <c:v>42502</c:v>
                </c:pt>
                <c:pt idx="878">
                  <c:v>42503</c:v>
                </c:pt>
                <c:pt idx="879">
                  <c:v>42506</c:v>
                </c:pt>
                <c:pt idx="880">
                  <c:v>42507</c:v>
                </c:pt>
                <c:pt idx="881">
                  <c:v>42508</c:v>
                </c:pt>
                <c:pt idx="882">
                  <c:v>42509</c:v>
                </c:pt>
                <c:pt idx="883">
                  <c:v>42510</c:v>
                </c:pt>
                <c:pt idx="884">
                  <c:v>42513</c:v>
                </c:pt>
                <c:pt idx="885">
                  <c:v>42514</c:v>
                </c:pt>
                <c:pt idx="886">
                  <c:v>42515</c:v>
                </c:pt>
                <c:pt idx="887">
                  <c:v>42516</c:v>
                </c:pt>
                <c:pt idx="888">
                  <c:v>42517</c:v>
                </c:pt>
                <c:pt idx="889">
                  <c:v>42520</c:v>
                </c:pt>
                <c:pt idx="890">
                  <c:v>42521</c:v>
                </c:pt>
                <c:pt idx="891">
                  <c:v>42522</c:v>
                </c:pt>
                <c:pt idx="892">
                  <c:v>42523</c:v>
                </c:pt>
                <c:pt idx="893">
                  <c:v>42524</c:v>
                </c:pt>
                <c:pt idx="894">
                  <c:v>42527</c:v>
                </c:pt>
                <c:pt idx="895">
                  <c:v>42528</c:v>
                </c:pt>
                <c:pt idx="896">
                  <c:v>42529</c:v>
                </c:pt>
                <c:pt idx="897">
                  <c:v>42530</c:v>
                </c:pt>
                <c:pt idx="898">
                  <c:v>42531</c:v>
                </c:pt>
                <c:pt idx="899">
                  <c:v>42534</c:v>
                </c:pt>
                <c:pt idx="900">
                  <c:v>42535</c:v>
                </c:pt>
                <c:pt idx="901">
                  <c:v>42536</c:v>
                </c:pt>
                <c:pt idx="902">
                  <c:v>42537</c:v>
                </c:pt>
                <c:pt idx="903">
                  <c:v>42538</c:v>
                </c:pt>
                <c:pt idx="904">
                  <c:v>42541</c:v>
                </c:pt>
                <c:pt idx="905">
                  <c:v>42542</c:v>
                </c:pt>
                <c:pt idx="906">
                  <c:v>42543</c:v>
                </c:pt>
                <c:pt idx="907">
                  <c:v>42544</c:v>
                </c:pt>
                <c:pt idx="908">
                  <c:v>42545</c:v>
                </c:pt>
                <c:pt idx="909">
                  <c:v>42548</c:v>
                </c:pt>
                <c:pt idx="910">
                  <c:v>42549</c:v>
                </c:pt>
                <c:pt idx="911">
                  <c:v>42550</c:v>
                </c:pt>
                <c:pt idx="912">
                  <c:v>42551</c:v>
                </c:pt>
                <c:pt idx="913">
                  <c:v>42552</c:v>
                </c:pt>
                <c:pt idx="914">
                  <c:v>42555</c:v>
                </c:pt>
                <c:pt idx="915">
                  <c:v>42556</c:v>
                </c:pt>
                <c:pt idx="916">
                  <c:v>42557</c:v>
                </c:pt>
                <c:pt idx="917">
                  <c:v>42558</c:v>
                </c:pt>
                <c:pt idx="918">
                  <c:v>42559</c:v>
                </c:pt>
                <c:pt idx="919">
                  <c:v>42562</c:v>
                </c:pt>
                <c:pt idx="920">
                  <c:v>42563</c:v>
                </c:pt>
                <c:pt idx="921">
                  <c:v>42564</c:v>
                </c:pt>
                <c:pt idx="922">
                  <c:v>42565</c:v>
                </c:pt>
                <c:pt idx="923">
                  <c:v>42566</c:v>
                </c:pt>
                <c:pt idx="924">
                  <c:v>42569</c:v>
                </c:pt>
                <c:pt idx="925">
                  <c:v>42570</c:v>
                </c:pt>
                <c:pt idx="926">
                  <c:v>42571</c:v>
                </c:pt>
                <c:pt idx="927">
                  <c:v>42572</c:v>
                </c:pt>
                <c:pt idx="928">
                  <c:v>42573</c:v>
                </c:pt>
                <c:pt idx="929">
                  <c:v>42576</c:v>
                </c:pt>
                <c:pt idx="930">
                  <c:v>42577</c:v>
                </c:pt>
                <c:pt idx="931">
                  <c:v>42578</c:v>
                </c:pt>
                <c:pt idx="932">
                  <c:v>42579</c:v>
                </c:pt>
                <c:pt idx="933">
                  <c:v>42580</c:v>
                </c:pt>
                <c:pt idx="934">
                  <c:v>42583</c:v>
                </c:pt>
                <c:pt idx="935">
                  <c:v>42584</c:v>
                </c:pt>
                <c:pt idx="936">
                  <c:v>42585</c:v>
                </c:pt>
                <c:pt idx="937">
                  <c:v>42586</c:v>
                </c:pt>
                <c:pt idx="938">
                  <c:v>42587</c:v>
                </c:pt>
                <c:pt idx="939">
                  <c:v>42590</c:v>
                </c:pt>
                <c:pt idx="940">
                  <c:v>42591</c:v>
                </c:pt>
                <c:pt idx="941">
                  <c:v>42592</c:v>
                </c:pt>
                <c:pt idx="942">
                  <c:v>42593</c:v>
                </c:pt>
                <c:pt idx="943">
                  <c:v>42594</c:v>
                </c:pt>
                <c:pt idx="944">
                  <c:v>42597</c:v>
                </c:pt>
                <c:pt idx="945">
                  <c:v>42598</c:v>
                </c:pt>
                <c:pt idx="946">
                  <c:v>42599</c:v>
                </c:pt>
                <c:pt idx="947">
                  <c:v>42600</c:v>
                </c:pt>
                <c:pt idx="948">
                  <c:v>42601</c:v>
                </c:pt>
                <c:pt idx="949">
                  <c:v>42604</c:v>
                </c:pt>
                <c:pt idx="950">
                  <c:v>42605</c:v>
                </c:pt>
                <c:pt idx="951">
                  <c:v>42606</c:v>
                </c:pt>
                <c:pt idx="952">
                  <c:v>42607</c:v>
                </c:pt>
                <c:pt idx="953">
                  <c:v>42608</c:v>
                </c:pt>
                <c:pt idx="954">
                  <c:v>42611</c:v>
                </c:pt>
                <c:pt idx="955">
                  <c:v>42612</c:v>
                </c:pt>
                <c:pt idx="956">
                  <c:v>42613</c:v>
                </c:pt>
                <c:pt idx="957">
                  <c:v>42614</c:v>
                </c:pt>
                <c:pt idx="958">
                  <c:v>42615</c:v>
                </c:pt>
                <c:pt idx="959">
                  <c:v>42618</c:v>
                </c:pt>
                <c:pt idx="960">
                  <c:v>42619</c:v>
                </c:pt>
                <c:pt idx="961">
                  <c:v>42620</c:v>
                </c:pt>
                <c:pt idx="962">
                  <c:v>42621</c:v>
                </c:pt>
                <c:pt idx="963">
                  <c:v>42622</c:v>
                </c:pt>
                <c:pt idx="964">
                  <c:v>42625</c:v>
                </c:pt>
                <c:pt idx="965">
                  <c:v>42626</c:v>
                </c:pt>
                <c:pt idx="966">
                  <c:v>42627</c:v>
                </c:pt>
                <c:pt idx="967">
                  <c:v>42628</c:v>
                </c:pt>
                <c:pt idx="968">
                  <c:v>42629</c:v>
                </c:pt>
                <c:pt idx="969">
                  <c:v>42632</c:v>
                </c:pt>
                <c:pt idx="970">
                  <c:v>42633</c:v>
                </c:pt>
              </c:numCache>
            </c:numRef>
          </c:cat>
          <c:val>
            <c:numRef>
              <c:f>[0]!longExoRange</c:f>
              <c:numCache>
                <c:formatCode>General</c:formatCode>
                <c:ptCount val="971"/>
                <c:pt idx="0">
                  <c:v>0</c:v>
                </c:pt>
                <c:pt idx="1">
                  <c:v>-8500</c:v>
                </c:pt>
                <c:pt idx="2">
                  <c:v>-8000</c:v>
                </c:pt>
                <c:pt idx="3">
                  <c:v>-11750</c:v>
                </c:pt>
                <c:pt idx="4">
                  <c:v>-10875</c:v>
                </c:pt>
                <c:pt idx="5">
                  <c:v>-7500</c:v>
                </c:pt>
                <c:pt idx="6">
                  <c:v>-6250</c:v>
                </c:pt>
                <c:pt idx="7">
                  <c:v>-4375</c:v>
                </c:pt>
                <c:pt idx="8">
                  <c:v>4125</c:v>
                </c:pt>
                <c:pt idx="9">
                  <c:v>8000</c:v>
                </c:pt>
                <c:pt idx="10">
                  <c:v>12500</c:v>
                </c:pt>
                <c:pt idx="11">
                  <c:v>11250</c:v>
                </c:pt>
                <c:pt idx="12">
                  <c:v>10375</c:v>
                </c:pt>
                <c:pt idx="13">
                  <c:v>10875</c:v>
                </c:pt>
                <c:pt idx="14">
                  <c:v>10625</c:v>
                </c:pt>
                <c:pt idx="15">
                  <c:v>11875</c:v>
                </c:pt>
                <c:pt idx="16">
                  <c:v>8375</c:v>
                </c:pt>
                <c:pt idx="17">
                  <c:v>7375</c:v>
                </c:pt>
                <c:pt idx="18">
                  <c:v>7000</c:v>
                </c:pt>
                <c:pt idx="19">
                  <c:v>8500</c:v>
                </c:pt>
                <c:pt idx="20">
                  <c:v>12125</c:v>
                </c:pt>
                <c:pt idx="21">
                  <c:v>16875</c:v>
                </c:pt>
                <c:pt idx="22">
                  <c:v>16500</c:v>
                </c:pt>
                <c:pt idx="23">
                  <c:v>15630</c:v>
                </c:pt>
                <c:pt idx="24">
                  <c:v>13255</c:v>
                </c:pt>
                <c:pt idx="25">
                  <c:v>10130</c:v>
                </c:pt>
                <c:pt idx="26">
                  <c:v>8255</c:v>
                </c:pt>
                <c:pt idx="27">
                  <c:v>3755</c:v>
                </c:pt>
                <c:pt idx="28">
                  <c:v>2755</c:v>
                </c:pt>
                <c:pt idx="29">
                  <c:v>-2495</c:v>
                </c:pt>
                <c:pt idx="30">
                  <c:v>-6495</c:v>
                </c:pt>
                <c:pt idx="31">
                  <c:v>-6995</c:v>
                </c:pt>
                <c:pt idx="32">
                  <c:v>-7995</c:v>
                </c:pt>
                <c:pt idx="33">
                  <c:v>-4745</c:v>
                </c:pt>
                <c:pt idx="34">
                  <c:v>-3870</c:v>
                </c:pt>
                <c:pt idx="35">
                  <c:v>-6745</c:v>
                </c:pt>
                <c:pt idx="36">
                  <c:v>-3870</c:v>
                </c:pt>
                <c:pt idx="37">
                  <c:v>-7370</c:v>
                </c:pt>
                <c:pt idx="38">
                  <c:v>-7995</c:v>
                </c:pt>
                <c:pt idx="39">
                  <c:v>-7745</c:v>
                </c:pt>
                <c:pt idx="40">
                  <c:v>-4495</c:v>
                </c:pt>
                <c:pt idx="41">
                  <c:v>-2870</c:v>
                </c:pt>
                <c:pt idx="42">
                  <c:v>1255</c:v>
                </c:pt>
                <c:pt idx="43">
                  <c:v>3135</c:v>
                </c:pt>
                <c:pt idx="44">
                  <c:v>-1365</c:v>
                </c:pt>
                <c:pt idx="45">
                  <c:v>2510</c:v>
                </c:pt>
                <c:pt idx="46">
                  <c:v>-4240</c:v>
                </c:pt>
                <c:pt idx="47">
                  <c:v>-8365</c:v>
                </c:pt>
                <c:pt idx="48">
                  <c:v>-1365</c:v>
                </c:pt>
                <c:pt idx="49">
                  <c:v>5510</c:v>
                </c:pt>
                <c:pt idx="50">
                  <c:v>6760</c:v>
                </c:pt>
                <c:pt idx="51">
                  <c:v>3635</c:v>
                </c:pt>
                <c:pt idx="52">
                  <c:v>6510</c:v>
                </c:pt>
                <c:pt idx="53">
                  <c:v>7135</c:v>
                </c:pt>
                <c:pt idx="54">
                  <c:v>7260</c:v>
                </c:pt>
                <c:pt idx="55">
                  <c:v>11760</c:v>
                </c:pt>
                <c:pt idx="56">
                  <c:v>14385</c:v>
                </c:pt>
                <c:pt idx="57">
                  <c:v>15885</c:v>
                </c:pt>
                <c:pt idx="58">
                  <c:v>12385</c:v>
                </c:pt>
                <c:pt idx="59">
                  <c:v>14260</c:v>
                </c:pt>
                <c:pt idx="60">
                  <c:v>13010</c:v>
                </c:pt>
                <c:pt idx="61">
                  <c:v>17010</c:v>
                </c:pt>
                <c:pt idx="62">
                  <c:v>-3490</c:v>
                </c:pt>
                <c:pt idx="63">
                  <c:v>-13990</c:v>
                </c:pt>
                <c:pt idx="64">
                  <c:v>-27990</c:v>
                </c:pt>
                <c:pt idx="65">
                  <c:v>-33615</c:v>
                </c:pt>
                <c:pt idx="66">
                  <c:v>-31365</c:v>
                </c:pt>
                <c:pt idx="67">
                  <c:v>-34865</c:v>
                </c:pt>
                <c:pt idx="68">
                  <c:v>-36365</c:v>
                </c:pt>
                <c:pt idx="69">
                  <c:v>-34740</c:v>
                </c:pt>
                <c:pt idx="70">
                  <c:v>-29365</c:v>
                </c:pt>
                <c:pt idx="71">
                  <c:v>-28490</c:v>
                </c:pt>
                <c:pt idx="72">
                  <c:v>-24490</c:v>
                </c:pt>
                <c:pt idx="73">
                  <c:v>-22865</c:v>
                </c:pt>
                <c:pt idx="74">
                  <c:v>-26615</c:v>
                </c:pt>
                <c:pt idx="75">
                  <c:v>-20990</c:v>
                </c:pt>
                <c:pt idx="76">
                  <c:v>-21365</c:v>
                </c:pt>
                <c:pt idx="77">
                  <c:v>-28115</c:v>
                </c:pt>
                <c:pt idx="78">
                  <c:v>-25990</c:v>
                </c:pt>
                <c:pt idx="79">
                  <c:v>-28490</c:v>
                </c:pt>
                <c:pt idx="80">
                  <c:v>-30865</c:v>
                </c:pt>
                <c:pt idx="81">
                  <c:v>-32240</c:v>
                </c:pt>
                <c:pt idx="82">
                  <c:v>-29115</c:v>
                </c:pt>
                <c:pt idx="83">
                  <c:v>-30865</c:v>
                </c:pt>
                <c:pt idx="84">
                  <c:v>-11365</c:v>
                </c:pt>
                <c:pt idx="85">
                  <c:v>-13865</c:v>
                </c:pt>
                <c:pt idx="86">
                  <c:v>-16485</c:v>
                </c:pt>
                <c:pt idx="87">
                  <c:v>-10860</c:v>
                </c:pt>
                <c:pt idx="88">
                  <c:v>-10360</c:v>
                </c:pt>
                <c:pt idx="89">
                  <c:v>-22360</c:v>
                </c:pt>
                <c:pt idx="90">
                  <c:v>-19485</c:v>
                </c:pt>
                <c:pt idx="91">
                  <c:v>-25110</c:v>
                </c:pt>
                <c:pt idx="92">
                  <c:v>-15360</c:v>
                </c:pt>
                <c:pt idx="93">
                  <c:v>-23235</c:v>
                </c:pt>
                <c:pt idx="94">
                  <c:v>-13360</c:v>
                </c:pt>
                <c:pt idx="95">
                  <c:v>-15610</c:v>
                </c:pt>
                <c:pt idx="96">
                  <c:v>-16485</c:v>
                </c:pt>
                <c:pt idx="97">
                  <c:v>-19985</c:v>
                </c:pt>
                <c:pt idx="98">
                  <c:v>-14985</c:v>
                </c:pt>
                <c:pt idx="99">
                  <c:v>-17235</c:v>
                </c:pt>
                <c:pt idx="100">
                  <c:v>-22735</c:v>
                </c:pt>
                <c:pt idx="101">
                  <c:v>-13110</c:v>
                </c:pt>
                <c:pt idx="102">
                  <c:v>-9860</c:v>
                </c:pt>
                <c:pt idx="103">
                  <c:v>-11485</c:v>
                </c:pt>
                <c:pt idx="104">
                  <c:v>-12485</c:v>
                </c:pt>
                <c:pt idx="105">
                  <c:v>-8485</c:v>
                </c:pt>
                <c:pt idx="106">
                  <c:v>-8735</c:v>
                </c:pt>
                <c:pt idx="107">
                  <c:v>-14735</c:v>
                </c:pt>
                <c:pt idx="108">
                  <c:v>-9860</c:v>
                </c:pt>
                <c:pt idx="109">
                  <c:v>-11735</c:v>
                </c:pt>
                <c:pt idx="110">
                  <c:v>-13485</c:v>
                </c:pt>
                <c:pt idx="111">
                  <c:v>-10485</c:v>
                </c:pt>
                <c:pt idx="112">
                  <c:v>-10485</c:v>
                </c:pt>
                <c:pt idx="113">
                  <c:v>-8360</c:v>
                </c:pt>
                <c:pt idx="114">
                  <c:v>-16485</c:v>
                </c:pt>
                <c:pt idx="115">
                  <c:v>-13110</c:v>
                </c:pt>
                <c:pt idx="116">
                  <c:v>-16360</c:v>
                </c:pt>
                <c:pt idx="117">
                  <c:v>-18985</c:v>
                </c:pt>
                <c:pt idx="118">
                  <c:v>-13860</c:v>
                </c:pt>
                <c:pt idx="119">
                  <c:v>-8985</c:v>
                </c:pt>
                <c:pt idx="120">
                  <c:v>-5985</c:v>
                </c:pt>
                <c:pt idx="121">
                  <c:v>-485</c:v>
                </c:pt>
                <c:pt idx="122">
                  <c:v>-4235</c:v>
                </c:pt>
                <c:pt idx="123">
                  <c:v>-5735</c:v>
                </c:pt>
                <c:pt idx="124">
                  <c:v>-13360</c:v>
                </c:pt>
                <c:pt idx="125">
                  <c:v>-14735</c:v>
                </c:pt>
                <c:pt idx="126">
                  <c:v>-15985</c:v>
                </c:pt>
                <c:pt idx="127">
                  <c:v>-17860</c:v>
                </c:pt>
                <c:pt idx="128">
                  <c:v>-28485</c:v>
                </c:pt>
                <c:pt idx="129">
                  <c:v>-37230</c:v>
                </c:pt>
                <c:pt idx="130">
                  <c:v>-37605</c:v>
                </c:pt>
                <c:pt idx="131">
                  <c:v>-37480</c:v>
                </c:pt>
                <c:pt idx="132">
                  <c:v>-36105</c:v>
                </c:pt>
                <c:pt idx="133">
                  <c:v>-39980</c:v>
                </c:pt>
                <c:pt idx="134">
                  <c:v>-36230</c:v>
                </c:pt>
                <c:pt idx="135">
                  <c:v>-29855</c:v>
                </c:pt>
                <c:pt idx="136">
                  <c:v>-27980</c:v>
                </c:pt>
                <c:pt idx="137">
                  <c:v>-23480</c:v>
                </c:pt>
                <c:pt idx="138">
                  <c:v>-29355</c:v>
                </c:pt>
                <c:pt idx="139">
                  <c:v>-35230</c:v>
                </c:pt>
                <c:pt idx="140">
                  <c:v>-31480</c:v>
                </c:pt>
                <c:pt idx="141">
                  <c:v>-34230</c:v>
                </c:pt>
                <c:pt idx="142">
                  <c:v>-33355</c:v>
                </c:pt>
                <c:pt idx="143">
                  <c:v>-31605</c:v>
                </c:pt>
                <c:pt idx="144">
                  <c:v>-32980</c:v>
                </c:pt>
                <c:pt idx="145">
                  <c:v>-41730</c:v>
                </c:pt>
                <c:pt idx="146">
                  <c:v>-49355</c:v>
                </c:pt>
                <c:pt idx="147">
                  <c:v>-55730</c:v>
                </c:pt>
                <c:pt idx="148">
                  <c:v>-56605</c:v>
                </c:pt>
                <c:pt idx="149">
                  <c:v>-59355</c:v>
                </c:pt>
                <c:pt idx="150">
                  <c:v>-57355</c:v>
                </c:pt>
                <c:pt idx="151">
                  <c:v>-54230</c:v>
                </c:pt>
                <c:pt idx="152">
                  <c:v>-59980</c:v>
                </c:pt>
                <c:pt idx="153">
                  <c:v>-64605</c:v>
                </c:pt>
                <c:pt idx="154">
                  <c:v>-69355</c:v>
                </c:pt>
                <c:pt idx="155">
                  <c:v>-67855</c:v>
                </c:pt>
                <c:pt idx="156">
                  <c:v>-69355</c:v>
                </c:pt>
                <c:pt idx="157">
                  <c:v>-68105</c:v>
                </c:pt>
                <c:pt idx="158">
                  <c:v>-69855</c:v>
                </c:pt>
                <c:pt idx="159">
                  <c:v>-66730</c:v>
                </c:pt>
                <c:pt idx="160">
                  <c:v>-74355</c:v>
                </c:pt>
                <c:pt idx="161">
                  <c:v>-72480</c:v>
                </c:pt>
                <c:pt idx="162">
                  <c:v>-64355</c:v>
                </c:pt>
                <c:pt idx="163">
                  <c:v>-66980</c:v>
                </c:pt>
                <c:pt idx="164">
                  <c:v>-58980</c:v>
                </c:pt>
                <c:pt idx="165">
                  <c:v>-60480</c:v>
                </c:pt>
                <c:pt idx="166">
                  <c:v>-54355</c:v>
                </c:pt>
                <c:pt idx="167">
                  <c:v>-63105</c:v>
                </c:pt>
                <c:pt idx="168">
                  <c:v>-60855</c:v>
                </c:pt>
                <c:pt idx="169">
                  <c:v>-43230</c:v>
                </c:pt>
                <c:pt idx="170">
                  <c:v>-50605</c:v>
                </c:pt>
                <c:pt idx="171">
                  <c:v>-55980</c:v>
                </c:pt>
                <c:pt idx="172">
                  <c:v>-56105</c:v>
                </c:pt>
                <c:pt idx="173">
                  <c:v>-57105</c:v>
                </c:pt>
                <c:pt idx="174">
                  <c:v>-55475</c:v>
                </c:pt>
                <c:pt idx="175">
                  <c:v>-60100</c:v>
                </c:pt>
                <c:pt idx="176">
                  <c:v>-62350</c:v>
                </c:pt>
                <c:pt idx="177">
                  <c:v>-66850</c:v>
                </c:pt>
                <c:pt idx="178">
                  <c:v>-62850</c:v>
                </c:pt>
                <c:pt idx="179">
                  <c:v>-64725</c:v>
                </c:pt>
                <c:pt idx="180">
                  <c:v>-62225</c:v>
                </c:pt>
                <c:pt idx="181">
                  <c:v>-61725</c:v>
                </c:pt>
                <c:pt idx="182">
                  <c:v>-66225</c:v>
                </c:pt>
                <c:pt idx="183">
                  <c:v>-66350</c:v>
                </c:pt>
                <c:pt idx="184">
                  <c:v>-68225</c:v>
                </c:pt>
                <c:pt idx="185">
                  <c:v>-68600</c:v>
                </c:pt>
                <c:pt idx="186">
                  <c:v>-69350</c:v>
                </c:pt>
                <c:pt idx="187">
                  <c:v>-67850</c:v>
                </c:pt>
                <c:pt idx="188">
                  <c:v>-70850</c:v>
                </c:pt>
                <c:pt idx="189">
                  <c:v>-70350</c:v>
                </c:pt>
                <c:pt idx="190">
                  <c:v>-72225</c:v>
                </c:pt>
                <c:pt idx="191">
                  <c:v>-68225</c:v>
                </c:pt>
                <c:pt idx="192">
                  <c:v>-68850</c:v>
                </c:pt>
                <c:pt idx="193">
                  <c:v>-69225</c:v>
                </c:pt>
                <c:pt idx="194">
                  <c:v>-74100</c:v>
                </c:pt>
                <c:pt idx="195">
                  <c:v>-77725</c:v>
                </c:pt>
                <c:pt idx="196">
                  <c:v>-76725</c:v>
                </c:pt>
                <c:pt idx="197">
                  <c:v>-75725</c:v>
                </c:pt>
                <c:pt idx="198">
                  <c:v>-74600</c:v>
                </c:pt>
                <c:pt idx="199">
                  <c:v>-72475</c:v>
                </c:pt>
                <c:pt idx="200">
                  <c:v>-75600</c:v>
                </c:pt>
                <c:pt idx="201">
                  <c:v>-74600</c:v>
                </c:pt>
                <c:pt idx="202">
                  <c:v>-77475</c:v>
                </c:pt>
                <c:pt idx="203">
                  <c:v>-79225</c:v>
                </c:pt>
                <c:pt idx="204">
                  <c:v>-78350</c:v>
                </c:pt>
                <c:pt idx="205">
                  <c:v>-74975</c:v>
                </c:pt>
                <c:pt idx="206">
                  <c:v>-75225</c:v>
                </c:pt>
                <c:pt idx="207">
                  <c:v>-75225</c:v>
                </c:pt>
                <c:pt idx="208">
                  <c:v>-74850</c:v>
                </c:pt>
                <c:pt idx="209">
                  <c:v>-74725</c:v>
                </c:pt>
                <c:pt idx="210">
                  <c:v>-76225</c:v>
                </c:pt>
                <c:pt idx="211">
                  <c:v>-74725</c:v>
                </c:pt>
                <c:pt idx="212">
                  <c:v>-76475</c:v>
                </c:pt>
                <c:pt idx="213">
                  <c:v>-76100</c:v>
                </c:pt>
                <c:pt idx="214">
                  <c:v>-80725</c:v>
                </c:pt>
                <c:pt idx="215">
                  <c:v>-80975</c:v>
                </c:pt>
                <c:pt idx="216">
                  <c:v>-80975</c:v>
                </c:pt>
                <c:pt idx="217">
                  <c:v>-82725</c:v>
                </c:pt>
                <c:pt idx="218">
                  <c:v>-82475</c:v>
                </c:pt>
                <c:pt idx="219">
                  <c:v>-82975</c:v>
                </c:pt>
                <c:pt idx="220">
                  <c:v>-83975</c:v>
                </c:pt>
                <c:pt idx="221">
                  <c:v>-85725</c:v>
                </c:pt>
                <c:pt idx="222">
                  <c:v>-85725</c:v>
                </c:pt>
                <c:pt idx="223">
                  <c:v>-83975</c:v>
                </c:pt>
                <c:pt idx="224">
                  <c:v>-78225</c:v>
                </c:pt>
                <c:pt idx="225">
                  <c:v>-79350</c:v>
                </c:pt>
                <c:pt idx="226">
                  <c:v>-81225</c:v>
                </c:pt>
                <c:pt idx="227">
                  <c:v>-83350</c:v>
                </c:pt>
                <c:pt idx="228">
                  <c:v>-84225</c:v>
                </c:pt>
                <c:pt idx="229">
                  <c:v>-89725</c:v>
                </c:pt>
                <c:pt idx="230">
                  <c:v>-88600</c:v>
                </c:pt>
                <c:pt idx="231">
                  <c:v>-87600</c:v>
                </c:pt>
                <c:pt idx="232">
                  <c:v>-85975</c:v>
                </c:pt>
                <c:pt idx="233">
                  <c:v>-85600</c:v>
                </c:pt>
                <c:pt idx="234">
                  <c:v>-85475</c:v>
                </c:pt>
                <c:pt idx="235">
                  <c:v>-88100</c:v>
                </c:pt>
                <c:pt idx="236">
                  <c:v>-87100</c:v>
                </c:pt>
                <c:pt idx="237">
                  <c:v>-87725</c:v>
                </c:pt>
                <c:pt idx="238">
                  <c:v>-88225</c:v>
                </c:pt>
                <c:pt idx="239">
                  <c:v>-88720</c:v>
                </c:pt>
                <c:pt idx="240">
                  <c:v>-85345</c:v>
                </c:pt>
                <c:pt idx="241">
                  <c:v>-82595</c:v>
                </c:pt>
                <c:pt idx="242">
                  <c:v>-83220</c:v>
                </c:pt>
                <c:pt idx="243">
                  <c:v>-84595</c:v>
                </c:pt>
                <c:pt idx="244">
                  <c:v>-81845</c:v>
                </c:pt>
                <c:pt idx="245">
                  <c:v>-82720</c:v>
                </c:pt>
                <c:pt idx="246">
                  <c:v>-81220</c:v>
                </c:pt>
                <c:pt idx="247">
                  <c:v>-84095</c:v>
                </c:pt>
                <c:pt idx="248">
                  <c:v>-87470</c:v>
                </c:pt>
                <c:pt idx="249">
                  <c:v>-88095</c:v>
                </c:pt>
                <c:pt idx="250">
                  <c:v>-87095</c:v>
                </c:pt>
                <c:pt idx="251">
                  <c:v>-88095</c:v>
                </c:pt>
                <c:pt idx="252">
                  <c:v>-85970</c:v>
                </c:pt>
                <c:pt idx="253">
                  <c:v>-84345</c:v>
                </c:pt>
                <c:pt idx="254">
                  <c:v>-83470</c:v>
                </c:pt>
                <c:pt idx="255">
                  <c:v>-83345</c:v>
                </c:pt>
                <c:pt idx="256">
                  <c:v>-86220</c:v>
                </c:pt>
                <c:pt idx="257">
                  <c:v>-86970</c:v>
                </c:pt>
                <c:pt idx="258">
                  <c:v>-87095</c:v>
                </c:pt>
                <c:pt idx="259">
                  <c:v>-88845</c:v>
                </c:pt>
                <c:pt idx="260">
                  <c:v>-89345</c:v>
                </c:pt>
                <c:pt idx="261">
                  <c:v>-89590</c:v>
                </c:pt>
                <c:pt idx="262">
                  <c:v>-91465</c:v>
                </c:pt>
                <c:pt idx="263">
                  <c:v>-88965</c:v>
                </c:pt>
                <c:pt idx="264">
                  <c:v>-87465</c:v>
                </c:pt>
                <c:pt idx="265">
                  <c:v>-87340</c:v>
                </c:pt>
                <c:pt idx="266">
                  <c:v>-91340</c:v>
                </c:pt>
                <c:pt idx="267">
                  <c:v>-95090</c:v>
                </c:pt>
                <c:pt idx="268">
                  <c:v>-86465</c:v>
                </c:pt>
                <c:pt idx="269">
                  <c:v>-83590</c:v>
                </c:pt>
                <c:pt idx="270">
                  <c:v>-85340</c:v>
                </c:pt>
                <c:pt idx="271">
                  <c:v>-87465</c:v>
                </c:pt>
                <c:pt idx="272">
                  <c:v>-87465</c:v>
                </c:pt>
                <c:pt idx="273">
                  <c:v>-88840</c:v>
                </c:pt>
                <c:pt idx="274">
                  <c:v>-88715</c:v>
                </c:pt>
                <c:pt idx="275">
                  <c:v>-88965</c:v>
                </c:pt>
                <c:pt idx="276">
                  <c:v>-87715</c:v>
                </c:pt>
                <c:pt idx="277">
                  <c:v>-86090</c:v>
                </c:pt>
                <c:pt idx="278">
                  <c:v>-85965</c:v>
                </c:pt>
                <c:pt idx="279">
                  <c:v>-84840</c:v>
                </c:pt>
                <c:pt idx="280">
                  <c:v>-84465</c:v>
                </c:pt>
                <c:pt idx="281">
                  <c:v>-86840</c:v>
                </c:pt>
                <c:pt idx="282">
                  <c:v>-84215</c:v>
                </c:pt>
                <c:pt idx="283">
                  <c:v>-84840</c:v>
                </c:pt>
                <c:pt idx="284">
                  <c:v>-82835</c:v>
                </c:pt>
                <c:pt idx="285">
                  <c:v>-80460</c:v>
                </c:pt>
                <c:pt idx="286">
                  <c:v>-79085</c:v>
                </c:pt>
                <c:pt idx="287">
                  <c:v>-79460</c:v>
                </c:pt>
                <c:pt idx="288">
                  <c:v>-79085</c:v>
                </c:pt>
                <c:pt idx="289">
                  <c:v>-80335</c:v>
                </c:pt>
                <c:pt idx="290">
                  <c:v>-79960</c:v>
                </c:pt>
                <c:pt idx="291">
                  <c:v>-80835</c:v>
                </c:pt>
                <c:pt idx="292">
                  <c:v>-81210</c:v>
                </c:pt>
                <c:pt idx="293">
                  <c:v>-78835</c:v>
                </c:pt>
                <c:pt idx="294">
                  <c:v>-78210</c:v>
                </c:pt>
                <c:pt idx="295">
                  <c:v>-76710</c:v>
                </c:pt>
                <c:pt idx="296">
                  <c:v>-74210</c:v>
                </c:pt>
                <c:pt idx="297">
                  <c:v>-73210</c:v>
                </c:pt>
                <c:pt idx="298">
                  <c:v>-73710</c:v>
                </c:pt>
                <c:pt idx="299">
                  <c:v>-75835</c:v>
                </c:pt>
                <c:pt idx="300">
                  <c:v>-74710</c:v>
                </c:pt>
                <c:pt idx="301">
                  <c:v>-72335</c:v>
                </c:pt>
                <c:pt idx="302">
                  <c:v>-75585</c:v>
                </c:pt>
                <c:pt idx="303">
                  <c:v>-72335</c:v>
                </c:pt>
                <c:pt idx="304">
                  <c:v>-70830</c:v>
                </c:pt>
                <c:pt idx="305">
                  <c:v>-63955</c:v>
                </c:pt>
                <c:pt idx="306">
                  <c:v>-63580</c:v>
                </c:pt>
                <c:pt idx="307">
                  <c:v>-58205</c:v>
                </c:pt>
                <c:pt idx="308">
                  <c:v>-59080</c:v>
                </c:pt>
                <c:pt idx="309">
                  <c:v>-64705</c:v>
                </c:pt>
                <c:pt idx="310">
                  <c:v>-63080</c:v>
                </c:pt>
                <c:pt idx="311">
                  <c:v>-60705</c:v>
                </c:pt>
                <c:pt idx="312">
                  <c:v>-61080</c:v>
                </c:pt>
                <c:pt idx="313">
                  <c:v>-63080</c:v>
                </c:pt>
                <c:pt idx="314">
                  <c:v>-64080</c:v>
                </c:pt>
                <c:pt idx="315">
                  <c:v>-60955</c:v>
                </c:pt>
                <c:pt idx="316">
                  <c:v>-59330</c:v>
                </c:pt>
                <c:pt idx="317">
                  <c:v>-64830</c:v>
                </c:pt>
                <c:pt idx="318">
                  <c:v>-64080</c:v>
                </c:pt>
                <c:pt idx="319">
                  <c:v>-59830</c:v>
                </c:pt>
                <c:pt idx="320">
                  <c:v>-61330</c:v>
                </c:pt>
                <c:pt idx="321">
                  <c:v>-62455</c:v>
                </c:pt>
                <c:pt idx="322">
                  <c:v>-58455</c:v>
                </c:pt>
                <c:pt idx="323">
                  <c:v>-57455</c:v>
                </c:pt>
                <c:pt idx="324">
                  <c:v>-53705</c:v>
                </c:pt>
                <c:pt idx="325">
                  <c:v>-50330</c:v>
                </c:pt>
                <c:pt idx="326">
                  <c:v>-57080</c:v>
                </c:pt>
                <c:pt idx="327">
                  <c:v>-55705</c:v>
                </c:pt>
                <c:pt idx="328">
                  <c:v>-54580</c:v>
                </c:pt>
                <c:pt idx="329">
                  <c:v>-55205</c:v>
                </c:pt>
                <c:pt idx="330">
                  <c:v>-50830</c:v>
                </c:pt>
                <c:pt idx="331">
                  <c:v>-52080</c:v>
                </c:pt>
                <c:pt idx="332">
                  <c:v>-53080</c:v>
                </c:pt>
                <c:pt idx="333">
                  <c:v>-54705</c:v>
                </c:pt>
                <c:pt idx="334">
                  <c:v>-52205</c:v>
                </c:pt>
                <c:pt idx="335">
                  <c:v>-52830</c:v>
                </c:pt>
                <c:pt idx="336">
                  <c:v>-55955</c:v>
                </c:pt>
                <c:pt idx="337">
                  <c:v>-57455</c:v>
                </c:pt>
                <c:pt idx="338">
                  <c:v>-57830</c:v>
                </c:pt>
                <c:pt idx="339">
                  <c:v>-60580</c:v>
                </c:pt>
                <c:pt idx="340">
                  <c:v>-55205</c:v>
                </c:pt>
                <c:pt idx="341">
                  <c:v>-52955</c:v>
                </c:pt>
                <c:pt idx="342">
                  <c:v>-53830</c:v>
                </c:pt>
                <c:pt idx="343">
                  <c:v>-50830</c:v>
                </c:pt>
                <c:pt idx="344">
                  <c:v>-50205</c:v>
                </c:pt>
                <c:pt idx="345">
                  <c:v>-47205</c:v>
                </c:pt>
                <c:pt idx="346">
                  <c:v>-48330</c:v>
                </c:pt>
                <c:pt idx="347">
                  <c:v>-53825</c:v>
                </c:pt>
                <c:pt idx="348">
                  <c:v>-58450</c:v>
                </c:pt>
                <c:pt idx="349">
                  <c:v>-53075</c:v>
                </c:pt>
                <c:pt idx="350">
                  <c:v>-48700</c:v>
                </c:pt>
                <c:pt idx="351">
                  <c:v>-52075</c:v>
                </c:pt>
                <c:pt idx="352">
                  <c:v>-49450</c:v>
                </c:pt>
                <c:pt idx="353">
                  <c:v>-52325</c:v>
                </c:pt>
                <c:pt idx="354">
                  <c:v>-57825</c:v>
                </c:pt>
                <c:pt idx="355">
                  <c:v>-56825</c:v>
                </c:pt>
                <c:pt idx="356">
                  <c:v>-59450</c:v>
                </c:pt>
                <c:pt idx="357">
                  <c:v>-65450</c:v>
                </c:pt>
                <c:pt idx="358">
                  <c:v>-66450</c:v>
                </c:pt>
                <c:pt idx="359">
                  <c:v>-68950</c:v>
                </c:pt>
                <c:pt idx="360">
                  <c:v>-70450</c:v>
                </c:pt>
                <c:pt idx="361">
                  <c:v>-70325</c:v>
                </c:pt>
                <c:pt idx="362">
                  <c:v>-69700</c:v>
                </c:pt>
                <c:pt idx="363">
                  <c:v>-68825</c:v>
                </c:pt>
                <c:pt idx="364">
                  <c:v>-68450</c:v>
                </c:pt>
                <c:pt idx="365">
                  <c:v>-72325</c:v>
                </c:pt>
                <c:pt idx="366">
                  <c:v>-71575</c:v>
                </c:pt>
                <c:pt idx="367">
                  <c:v>-73200</c:v>
                </c:pt>
                <c:pt idx="368">
                  <c:v>-74075</c:v>
                </c:pt>
                <c:pt idx="369">
                  <c:v>-74075</c:v>
                </c:pt>
                <c:pt idx="370">
                  <c:v>-78825</c:v>
                </c:pt>
                <c:pt idx="371">
                  <c:v>-79325</c:v>
                </c:pt>
                <c:pt idx="372">
                  <c:v>-82325</c:v>
                </c:pt>
                <c:pt idx="373">
                  <c:v>-79075</c:v>
                </c:pt>
                <c:pt idx="374">
                  <c:v>-83825</c:v>
                </c:pt>
                <c:pt idx="375">
                  <c:v>-84325</c:v>
                </c:pt>
                <c:pt idx="376">
                  <c:v>-87450</c:v>
                </c:pt>
                <c:pt idx="377">
                  <c:v>-86325</c:v>
                </c:pt>
                <c:pt idx="378">
                  <c:v>-85075</c:v>
                </c:pt>
                <c:pt idx="379">
                  <c:v>-86825</c:v>
                </c:pt>
                <c:pt idx="380">
                  <c:v>-88075</c:v>
                </c:pt>
                <c:pt idx="381">
                  <c:v>-86325</c:v>
                </c:pt>
                <c:pt idx="382">
                  <c:v>-83075</c:v>
                </c:pt>
                <c:pt idx="383">
                  <c:v>-81075</c:v>
                </c:pt>
                <c:pt idx="384">
                  <c:v>-84700</c:v>
                </c:pt>
                <c:pt idx="385">
                  <c:v>-86575</c:v>
                </c:pt>
                <c:pt idx="386">
                  <c:v>-87075</c:v>
                </c:pt>
                <c:pt idx="387">
                  <c:v>-84325</c:v>
                </c:pt>
                <c:pt idx="388">
                  <c:v>-84075</c:v>
                </c:pt>
                <c:pt idx="389">
                  <c:v>-94825</c:v>
                </c:pt>
                <c:pt idx="390">
                  <c:v>-97195</c:v>
                </c:pt>
                <c:pt idx="391">
                  <c:v>-98695</c:v>
                </c:pt>
                <c:pt idx="392">
                  <c:v>-99945</c:v>
                </c:pt>
                <c:pt idx="393">
                  <c:v>-103570</c:v>
                </c:pt>
                <c:pt idx="394">
                  <c:v>-104320</c:v>
                </c:pt>
                <c:pt idx="395">
                  <c:v>-105945</c:v>
                </c:pt>
                <c:pt idx="396">
                  <c:v>-109695</c:v>
                </c:pt>
                <c:pt idx="397">
                  <c:v>-111695</c:v>
                </c:pt>
                <c:pt idx="398">
                  <c:v>-115195</c:v>
                </c:pt>
                <c:pt idx="399">
                  <c:v>-114195</c:v>
                </c:pt>
                <c:pt idx="400">
                  <c:v>-117320</c:v>
                </c:pt>
                <c:pt idx="401">
                  <c:v>-116695</c:v>
                </c:pt>
                <c:pt idx="402">
                  <c:v>-114945</c:v>
                </c:pt>
                <c:pt idx="403">
                  <c:v>-118695</c:v>
                </c:pt>
                <c:pt idx="404">
                  <c:v>-122195</c:v>
                </c:pt>
                <c:pt idx="405">
                  <c:v>-124195</c:v>
                </c:pt>
                <c:pt idx="406">
                  <c:v>-123695</c:v>
                </c:pt>
                <c:pt idx="407">
                  <c:v>-124445</c:v>
                </c:pt>
                <c:pt idx="408">
                  <c:v>-123570</c:v>
                </c:pt>
                <c:pt idx="409">
                  <c:v>-120695</c:v>
                </c:pt>
                <c:pt idx="410">
                  <c:v>-124195</c:v>
                </c:pt>
                <c:pt idx="411">
                  <c:v>-124445</c:v>
                </c:pt>
                <c:pt idx="412">
                  <c:v>-125820</c:v>
                </c:pt>
                <c:pt idx="413">
                  <c:v>-127695</c:v>
                </c:pt>
                <c:pt idx="414">
                  <c:v>-125070</c:v>
                </c:pt>
                <c:pt idx="415">
                  <c:v>-127320</c:v>
                </c:pt>
                <c:pt idx="416">
                  <c:v>-123820</c:v>
                </c:pt>
                <c:pt idx="417">
                  <c:v>-125820</c:v>
                </c:pt>
                <c:pt idx="418">
                  <c:v>-128695</c:v>
                </c:pt>
                <c:pt idx="419">
                  <c:v>-126945</c:v>
                </c:pt>
                <c:pt idx="420">
                  <c:v>-125195</c:v>
                </c:pt>
                <c:pt idx="421">
                  <c:v>-125570</c:v>
                </c:pt>
                <c:pt idx="422">
                  <c:v>-123695</c:v>
                </c:pt>
                <c:pt idx="423">
                  <c:v>-121820</c:v>
                </c:pt>
                <c:pt idx="424">
                  <c:v>-124070</c:v>
                </c:pt>
                <c:pt idx="425">
                  <c:v>-123945</c:v>
                </c:pt>
                <c:pt idx="426">
                  <c:v>-125445</c:v>
                </c:pt>
                <c:pt idx="427">
                  <c:v>-124070</c:v>
                </c:pt>
                <c:pt idx="428">
                  <c:v>-122695</c:v>
                </c:pt>
                <c:pt idx="429">
                  <c:v>-124945</c:v>
                </c:pt>
                <c:pt idx="430">
                  <c:v>-127070</c:v>
                </c:pt>
                <c:pt idx="431">
                  <c:v>-126695</c:v>
                </c:pt>
                <c:pt idx="432">
                  <c:v>-124195</c:v>
                </c:pt>
                <c:pt idx="433">
                  <c:v>-127320</c:v>
                </c:pt>
                <c:pt idx="434">
                  <c:v>-126565</c:v>
                </c:pt>
                <c:pt idx="435">
                  <c:v>-127065</c:v>
                </c:pt>
                <c:pt idx="436">
                  <c:v>-132440</c:v>
                </c:pt>
                <c:pt idx="437">
                  <c:v>-135940</c:v>
                </c:pt>
                <c:pt idx="438">
                  <c:v>-131565</c:v>
                </c:pt>
                <c:pt idx="439">
                  <c:v>-135190</c:v>
                </c:pt>
                <c:pt idx="440">
                  <c:v>-136690</c:v>
                </c:pt>
                <c:pt idx="441">
                  <c:v>-135690</c:v>
                </c:pt>
                <c:pt idx="442">
                  <c:v>-139440</c:v>
                </c:pt>
                <c:pt idx="443">
                  <c:v>-139815</c:v>
                </c:pt>
                <c:pt idx="444">
                  <c:v>-137565</c:v>
                </c:pt>
                <c:pt idx="445">
                  <c:v>-136690</c:v>
                </c:pt>
                <c:pt idx="446">
                  <c:v>-138315</c:v>
                </c:pt>
                <c:pt idx="447">
                  <c:v>-139690</c:v>
                </c:pt>
                <c:pt idx="448">
                  <c:v>-142690</c:v>
                </c:pt>
                <c:pt idx="449">
                  <c:v>-143815</c:v>
                </c:pt>
                <c:pt idx="450">
                  <c:v>-146190</c:v>
                </c:pt>
                <c:pt idx="451">
                  <c:v>-144315</c:v>
                </c:pt>
                <c:pt idx="452">
                  <c:v>-146065</c:v>
                </c:pt>
                <c:pt idx="453">
                  <c:v>-147315</c:v>
                </c:pt>
                <c:pt idx="454">
                  <c:v>-146315</c:v>
                </c:pt>
                <c:pt idx="455">
                  <c:v>-148190</c:v>
                </c:pt>
                <c:pt idx="456">
                  <c:v>-148440</c:v>
                </c:pt>
                <c:pt idx="457">
                  <c:v>-148315</c:v>
                </c:pt>
                <c:pt idx="458">
                  <c:v>-147565</c:v>
                </c:pt>
                <c:pt idx="459">
                  <c:v>-143065</c:v>
                </c:pt>
                <c:pt idx="460">
                  <c:v>-139315</c:v>
                </c:pt>
                <c:pt idx="461">
                  <c:v>-137940</c:v>
                </c:pt>
                <c:pt idx="462">
                  <c:v>-136315</c:v>
                </c:pt>
                <c:pt idx="463">
                  <c:v>-142690</c:v>
                </c:pt>
                <c:pt idx="464">
                  <c:v>-136565</c:v>
                </c:pt>
                <c:pt idx="465">
                  <c:v>-131690</c:v>
                </c:pt>
                <c:pt idx="466">
                  <c:v>-134815</c:v>
                </c:pt>
                <c:pt idx="467">
                  <c:v>-133440</c:v>
                </c:pt>
                <c:pt idx="468">
                  <c:v>-135190</c:v>
                </c:pt>
                <c:pt idx="469">
                  <c:v>-135440</c:v>
                </c:pt>
                <c:pt idx="470">
                  <c:v>-130690</c:v>
                </c:pt>
                <c:pt idx="471">
                  <c:v>-132315</c:v>
                </c:pt>
                <c:pt idx="472">
                  <c:v>-129440</c:v>
                </c:pt>
                <c:pt idx="473">
                  <c:v>-132440</c:v>
                </c:pt>
                <c:pt idx="474">
                  <c:v>-128690</c:v>
                </c:pt>
                <c:pt idx="475">
                  <c:v>-126940</c:v>
                </c:pt>
                <c:pt idx="476">
                  <c:v>-122690</c:v>
                </c:pt>
                <c:pt idx="477">
                  <c:v>-121190</c:v>
                </c:pt>
                <c:pt idx="478">
                  <c:v>-122690</c:v>
                </c:pt>
                <c:pt idx="479">
                  <c:v>-123315</c:v>
                </c:pt>
                <c:pt idx="480">
                  <c:v>-126190</c:v>
                </c:pt>
                <c:pt idx="481">
                  <c:v>-124440</c:v>
                </c:pt>
                <c:pt idx="482">
                  <c:v>-123190</c:v>
                </c:pt>
                <c:pt idx="483">
                  <c:v>-124940</c:v>
                </c:pt>
                <c:pt idx="484">
                  <c:v>-123690</c:v>
                </c:pt>
                <c:pt idx="485">
                  <c:v>-122815</c:v>
                </c:pt>
                <c:pt idx="486">
                  <c:v>-120065</c:v>
                </c:pt>
                <c:pt idx="487">
                  <c:v>-117440</c:v>
                </c:pt>
                <c:pt idx="488">
                  <c:v>-117440</c:v>
                </c:pt>
                <c:pt idx="489">
                  <c:v>-120440</c:v>
                </c:pt>
                <c:pt idx="490">
                  <c:v>-122315</c:v>
                </c:pt>
                <c:pt idx="491">
                  <c:v>-127190</c:v>
                </c:pt>
                <c:pt idx="492">
                  <c:v>-122440</c:v>
                </c:pt>
                <c:pt idx="493">
                  <c:v>-120565</c:v>
                </c:pt>
                <c:pt idx="494">
                  <c:v>-125565</c:v>
                </c:pt>
                <c:pt idx="495">
                  <c:v>-122815</c:v>
                </c:pt>
                <c:pt idx="496">
                  <c:v>-119815</c:v>
                </c:pt>
                <c:pt idx="497">
                  <c:v>-121065</c:v>
                </c:pt>
                <c:pt idx="498">
                  <c:v>-120940</c:v>
                </c:pt>
                <c:pt idx="499">
                  <c:v>-121560</c:v>
                </c:pt>
                <c:pt idx="500">
                  <c:v>-124310</c:v>
                </c:pt>
                <c:pt idx="501">
                  <c:v>-125310</c:v>
                </c:pt>
                <c:pt idx="502">
                  <c:v>-120685</c:v>
                </c:pt>
                <c:pt idx="503">
                  <c:v>-117935</c:v>
                </c:pt>
                <c:pt idx="504">
                  <c:v>-119185</c:v>
                </c:pt>
                <c:pt idx="505">
                  <c:v>-118185</c:v>
                </c:pt>
                <c:pt idx="506">
                  <c:v>-119435</c:v>
                </c:pt>
                <c:pt idx="507">
                  <c:v>-117060</c:v>
                </c:pt>
                <c:pt idx="508">
                  <c:v>-110685</c:v>
                </c:pt>
                <c:pt idx="509">
                  <c:v>-111435</c:v>
                </c:pt>
                <c:pt idx="510">
                  <c:v>-112185</c:v>
                </c:pt>
                <c:pt idx="511">
                  <c:v>-111560</c:v>
                </c:pt>
                <c:pt idx="512">
                  <c:v>-110060</c:v>
                </c:pt>
                <c:pt idx="513">
                  <c:v>-111060</c:v>
                </c:pt>
                <c:pt idx="514">
                  <c:v>-109435</c:v>
                </c:pt>
                <c:pt idx="515">
                  <c:v>-108685</c:v>
                </c:pt>
                <c:pt idx="516">
                  <c:v>-111560</c:v>
                </c:pt>
                <c:pt idx="517">
                  <c:v>-110185</c:v>
                </c:pt>
                <c:pt idx="518">
                  <c:v>-108935</c:v>
                </c:pt>
                <c:pt idx="519">
                  <c:v>-109310</c:v>
                </c:pt>
                <c:pt idx="520">
                  <c:v>-112185</c:v>
                </c:pt>
                <c:pt idx="521">
                  <c:v>-117185</c:v>
                </c:pt>
                <c:pt idx="522">
                  <c:v>-116430</c:v>
                </c:pt>
                <c:pt idx="523">
                  <c:v>-117805</c:v>
                </c:pt>
                <c:pt idx="524">
                  <c:v>-112805</c:v>
                </c:pt>
                <c:pt idx="525">
                  <c:v>-113180</c:v>
                </c:pt>
                <c:pt idx="526">
                  <c:v>-117305</c:v>
                </c:pt>
                <c:pt idx="527">
                  <c:v>-118305</c:v>
                </c:pt>
                <c:pt idx="528">
                  <c:v>-115180</c:v>
                </c:pt>
                <c:pt idx="529">
                  <c:v>-114180</c:v>
                </c:pt>
                <c:pt idx="530">
                  <c:v>-122430</c:v>
                </c:pt>
                <c:pt idx="531">
                  <c:v>-125680</c:v>
                </c:pt>
                <c:pt idx="532">
                  <c:v>-126430</c:v>
                </c:pt>
                <c:pt idx="533">
                  <c:v>-122055</c:v>
                </c:pt>
                <c:pt idx="534">
                  <c:v>-122055</c:v>
                </c:pt>
                <c:pt idx="535">
                  <c:v>-120805</c:v>
                </c:pt>
                <c:pt idx="536">
                  <c:v>-121680</c:v>
                </c:pt>
                <c:pt idx="537">
                  <c:v>-123680</c:v>
                </c:pt>
                <c:pt idx="538">
                  <c:v>-122805</c:v>
                </c:pt>
                <c:pt idx="539">
                  <c:v>-123305</c:v>
                </c:pt>
                <c:pt idx="540">
                  <c:v>-124180</c:v>
                </c:pt>
                <c:pt idx="541">
                  <c:v>-127430</c:v>
                </c:pt>
                <c:pt idx="542">
                  <c:v>-130430</c:v>
                </c:pt>
                <c:pt idx="543">
                  <c:v>-130555</c:v>
                </c:pt>
                <c:pt idx="544">
                  <c:v>-130425</c:v>
                </c:pt>
                <c:pt idx="545">
                  <c:v>-122675</c:v>
                </c:pt>
                <c:pt idx="546">
                  <c:v>-125300</c:v>
                </c:pt>
                <c:pt idx="547">
                  <c:v>-123800</c:v>
                </c:pt>
                <c:pt idx="548">
                  <c:v>-124425</c:v>
                </c:pt>
                <c:pt idx="549">
                  <c:v>-120425</c:v>
                </c:pt>
                <c:pt idx="550">
                  <c:v>-122175</c:v>
                </c:pt>
                <c:pt idx="551">
                  <c:v>-122175</c:v>
                </c:pt>
                <c:pt idx="552">
                  <c:v>-124300</c:v>
                </c:pt>
                <c:pt idx="553">
                  <c:v>-123050</c:v>
                </c:pt>
                <c:pt idx="554">
                  <c:v>-122050</c:v>
                </c:pt>
                <c:pt idx="555">
                  <c:v>-121300</c:v>
                </c:pt>
                <c:pt idx="556">
                  <c:v>-123925</c:v>
                </c:pt>
                <c:pt idx="557">
                  <c:v>-121425</c:v>
                </c:pt>
                <c:pt idx="558">
                  <c:v>-123925</c:v>
                </c:pt>
                <c:pt idx="559">
                  <c:v>-126050</c:v>
                </c:pt>
                <c:pt idx="560">
                  <c:v>-126550</c:v>
                </c:pt>
                <c:pt idx="561">
                  <c:v>-129300</c:v>
                </c:pt>
                <c:pt idx="562">
                  <c:v>-125550</c:v>
                </c:pt>
                <c:pt idx="563">
                  <c:v>-121925</c:v>
                </c:pt>
                <c:pt idx="564">
                  <c:v>-125920</c:v>
                </c:pt>
                <c:pt idx="565">
                  <c:v>-124920</c:v>
                </c:pt>
                <c:pt idx="566">
                  <c:v>-125170</c:v>
                </c:pt>
                <c:pt idx="567">
                  <c:v>-124545</c:v>
                </c:pt>
                <c:pt idx="568">
                  <c:v>-128170</c:v>
                </c:pt>
                <c:pt idx="569">
                  <c:v>-125295</c:v>
                </c:pt>
                <c:pt idx="570">
                  <c:v>-126670</c:v>
                </c:pt>
                <c:pt idx="571">
                  <c:v>-124295</c:v>
                </c:pt>
                <c:pt idx="572">
                  <c:v>-125295</c:v>
                </c:pt>
                <c:pt idx="573">
                  <c:v>-129420</c:v>
                </c:pt>
                <c:pt idx="574">
                  <c:v>-130670</c:v>
                </c:pt>
                <c:pt idx="575">
                  <c:v>-134670</c:v>
                </c:pt>
                <c:pt idx="576">
                  <c:v>-133670</c:v>
                </c:pt>
                <c:pt idx="577">
                  <c:v>-133670</c:v>
                </c:pt>
                <c:pt idx="578">
                  <c:v>-126920</c:v>
                </c:pt>
                <c:pt idx="579">
                  <c:v>-124545</c:v>
                </c:pt>
                <c:pt idx="580">
                  <c:v>-123545</c:v>
                </c:pt>
                <c:pt idx="581">
                  <c:v>-122295</c:v>
                </c:pt>
                <c:pt idx="582">
                  <c:v>-124420</c:v>
                </c:pt>
                <c:pt idx="583">
                  <c:v>-124545</c:v>
                </c:pt>
                <c:pt idx="584">
                  <c:v>-123045</c:v>
                </c:pt>
                <c:pt idx="585">
                  <c:v>-131545</c:v>
                </c:pt>
                <c:pt idx="586">
                  <c:v>-129295</c:v>
                </c:pt>
                <c:pt idx="587">
                  <c:v>-126420</c:v>
                </c:pt>
                <c:pt idx="588">
                  <c:v>-125295</c:v>
                </c:pt>
                <c:pt idx="589">
                  <c:v>-127295</c:v>
                </c:pt>
                <c:pt idx="590">
                  <c:v>-128545</c:v>
                </c:pt>
                <c:pt idx="591">
                  <c:v>-130920</c:v>
                </c:pt>
                <c:pt idx="592">
                  <c:v>-130670</c:v>
                </c:pt>
                <c:pt idx="593">
                  <c:v>-131920</c:v>
                </c:pt>
                <c:pt idx="594">
                  <c:v>-134045</c:v>
                </c:pt>
                <c:pt idx="595">
                  <c:v>-132795</c:v>
                </c:pt>
                <c:pt idx="596">
                  <c:v>-132295</c:v>
                </c:pt>
                <c:pt idx="597">
                  <c:v>-131170</c:v>
                </c:pt>
                <c:pt idx="598">
                  <c:v>-130670</c:v>
                </c:pt>
                <c:pt idx="599">
                  <c:v>-130545</c:v>
                </c:pt>
                <c:pt idx="600">
                  <c:v>-133420</c:v>
                </c:pt>
                <c:pt idx="601">
                  <c:v>-133670</c:v>
                </c:pt>
                <c:pt idx="602">
                  <c:v>-132420</c:v>
                </c:pt>
                <c:pt idx="603">
                  <c:v>-137920</c:v>
                </c:pt>
                <c:pt idx="604">
                  <c:v>-140670</c:v>
                </c:pt>
                <c:pt idx="605">
                  <c:v>-140295</c:v>
                </c:pt>
                <c:pt idx="606">
                  <c:v>-139545</c:v>
                </c:pt>
                <c:pt idx="607">
                  <c:v>-140545</c:v>
                </c:pt>
                <c:pt idx="608">
                  <c:v>-142165</c:v>
                </c:pt>
                <c:pt idx="609">
                  <c:v>-141790</c:v>
                </c:pt>
                <c:pt idx="610">
                  <c:v>-143415</c:v>
                </c:pt>
                <c:pt idx="611">
                  <c:v>-140790</c:v>
                </c:pt>
                <c:pt idx="612">
                  <c:v>-142540</c:v>
                </c:pt>
                <c:pt idx="613">
                  <c:v>-142415</c:v>
                </c:pt>
                <c:pt idx="614">
                  <c:v>-143790</c:v>
                </c:pt>
                <c:pt idx="615">
                  <c:v>-141915</c:v>
                </c:pt>
                <c:pt idx="616">
                  <c:v>-142790</c:v>
                </c:pt>
                <c:pt idx="617">
                  <c:v>-139540</c:v>
                </c:pt>
                <c:pt idx="618">
                  <c:v>-141040</c:v>
                </c:pt>
                <c:pt idx="619">
                  <c:v>-138290</c:v>
                </c:pt>
                <c:pt idx="620">
                  <c:v>-142415</c:v>
                </c:pt>
                <c:pt idx="621">
                  <c:v>-143415</c:v>
                </c:pt>
                <c:pt idx="622">
                  <c:v>-140915</c:v>
                </c:pt>
                <c:pt idx="623">
                  <c:v>-142915</c:v>
                </c:pt>
                <c:pt idx="624">
                  <c:v>-143290</c:v>
                </c:pt>
                <c:pt idx="625">
                  <c:v>-146290</c:v>
                </c:pt>
                <c:pt idx="626">
                  <c:v>-148290</c:v>
                </c:pt>
                <c:pt idx="627">
                  <c:v>-146415</c:v>
                </c:pt>
                <c:pt idx="628">
                  <c:v>-148040</c:v>
                </c:pt>
                <c:pt idx="629">
                  <c:v>-147290</c:v>
                </c:pt>
                <c:pt idx="630">
                  <c:v>-143665</c:v>
                </c:pt>
                <c:pt idx="631">
                  <c:v>-144540</c:v>
                </c:pt>
                <c:pt idx="632">
                  <c:v>-141540</c:v>
                </c:pt>
                <c:pt idx="633">
                  <c:v>-143165</c:v>
                </c:pt>
                <c:pt idx="634">
                  <c:v>-141040</c:v>
                </c:pt>
                <c:pt idx="635">
                  <c:v>-140665</c:v>
                </c:pt>
                <c:pt idx="636">
                  <c:v>-143665</c:v>
                </c:pt>
                <c:pt idx="637">
                  <c:v>-145665</c:v>
                </c:pt>
                <c:pt idx="638">
                  <c:v>-146665</c:v>
                </c:pt>
                <c:pt idx="639">
                  <c:v>-149415</c:v>
                </c:pt>
                <c:pt idx="640">
                  <c:v>-147540</c:v>
                </c:pt>
                <c:pt idx="641">
                  <c:v>-144290</c:v>
                </c:pt>
                <c:pt idx="642">
                  <c:v>-143790</c:v>
                </c:pt>
                <c:pt idx="643">
                  <c:v>-146040</c:v>
                </c:pt>
                <c:pt idx="644">
                  <c:v>-144165</c:v>
                </c:pt>
                <c:pt idx="645">
                  <c:v>-139915</c:v>
                </c:pt>
                <c:pt idx="646">
                  <c:v>-139540</c:v>
                </c:pt>
                <c:pt idx="647">
                  <c:v>-135290</c:v>
                </c:pt>
                <c:pt idx="648">
                  <c:v>-129665</c:v>
                </c:pt>
                <c:pt idx="649">
                  <c:v>-129040</c:v>
                </c:pt>
                <c:pt idx="650">
                  <c:v>-116790</c:v>
                </c:pt>
                <c:pt idx="651">
                  <c:v>-117910</c:v>
                </c:pt>
                <c:pt idx="652">
                  <c:v>-111660</c:v>
                </c:pt>
                <c:pt idx="653">
                  <c:v>-112160</c:v>
                </c:pt>
                <c:pt idx="654">
                  <c:v>-112785</c:v>
                </c:pt>
                <c:pt idx="655">
                  <c:v>-115160</c:v>
                </c:pt>
                <c:pt idx="656">
                  <c:v>-114035</c:v>
                </c:pt>
                <c:pt idx="657">
                  <c:v>-110410</c:v>
                </c:pt>
                <c:pt idx="658">
                  <c:v>-108410</c:v>
                </c:pt>
                <c:pt idx="659">
                  <c:v>-105160</c:v>
                </c:pt>
                <c:pt idx="660">
                  <c:v>-110035</c:v>
                </c:pt>
                <c:pt idx="661">
                  <c:v>-112035</c:v>
                </c:pt>
                <c:pt idx="662">
                  <c:v>-110410</c:v>
                </c:pt>
                <c:pt idx="663">
                  <c:v>-115785</c:v>
                </c:pt>
                <c:pt idx="664">
                  <c:v>-122660</c:v>
                </c:pt>
                <c:pt idx="665">
                  <c:v>-122035</c:v>
                </c:pt>
                <c:pt idx="666">
                  <c:v>-124660</c:v>
                </c:pt>
                <c:pt idx="667">
                  <c:v>-125285</c:v>
                </c:pt>
                <c:pt idx="668">
                  <c:v>-128410</c:v>
                </c:pt>
                <c:pt idx="669">
                  <c:v>-137285</c:v>
                </c:pt>
                <c:pt idx="670">
                  <c:v>-140285</c:v>
                </c:pt>
                <c:pt idx="671">
                  <c:v>-141285</c:v>
                </c:pt>
                <c:pt idx="672">
                  <c:v>-140285</c:v>
                </c:pt>
                <c:pt idx="673">
                  <c:v>-138535</c:v>
                </c:pt>
                <c:pt idx="674">
                  <c:v>-141535</c:v>
                </c:pt>
                <c:pt idx="675">
                  <c:v>-142285</c:v>
                </c:pt>
                <c:pt idx="676">
                  <c:v>-139785</c:v>
                </c:pt>
                <c:pt idx="677">
                  <c:v>-140160</c:v>
                </c:pt>
                <c:pt idx="678">
                  <c:v>-139410</c:v>
                </c:pt>
                <c:pt idx="679">
                  <c:v>-132535</c:v>
                </c:pt>
                <c:pt idx="680">
                  <c:v>-135660</c:v>
                </c:pt>
                <c:pt idx="681">
                  <c:v>-147160</c:v>
                </c:pt>
                <c:pt idx="682">
                  <c:v>-145035</c:v>
                </c:pt>
                <c:pt idx="683">
                  <c:v>-144410</c:v>
                </c:pt>
                <c:pt idx="684">
                  <c:v>-143910</c:v>
                </c:pt>
                <c:pt idx="685">
                  <c:v>-142785</c:v>
                </c:pt>
                <c:pt idx="686">
                  <c:v>-142160</c:v>
                </c:pt>
                <c:pt idx="687">
                  <c:v>-140535</c:v>
                </c:pt>
                <c:pt idx="688">
                  <c:v>-143285</c:v>
                </c:pt>
                <c:pt idx="689">
                  <c:v>-141660</c:v>
                </c:pt>
                <c:pt idx="690">
                  <c:v>-143535</c:v>
                </c:pt>
                <c:pt idx="691">
                  <c:v>-144785</c:v>
                </c:pt>
                <c:pt idx="692">
                  <c:v>-144910</c:v>
                </c:pt>
                <c:pt idx="693">
                  <c:v>-143910</c:v>
                </c:pt>
                <c:pt idx="694">
                  <c:v>-144785</c:v>
                </c:pt>
                <c:pt idx="695">
                  <c:v>-147405</c:v>
                </c:pt>
                <c:pt idx="696">
                  <c:v>-149030</c:v>
                </c:pt>
                <c:pt idx="697">
                  <c:v>-151030</c:v>
                </c:pt>
                <c:pt idx="698">
                  <c:v>-150280</c:v>
                </c:pt>
                <c:pt idx="699">
                  <c:v>-150530</c:v>
                </c:pt>
                <c:pt idx="700">
                  <c:v>-148780</c:v>
                </c:pt>
                <c:pt idx="701">
                  <c:v>-147280</c:v>
                </c:pt>
                <c:pt idx="702">
                  <c:v>-144780</c:v>
                </c:pt>
                <c:pt idx="703">
                  <c:v>-139905</c:v>
                </c:pt>
                <c:pt idx="704">
                  <c:v>-135280</c:v>
                </c:pt>
                <c:pt idx="705">
                  <c:v>-136280</c:v>
                </c:pt>
                <c:pt idx="706">
                  <c:v>-138780</c:v>
                </c:pt>
                <c:pt idx="707">
                  <c:v>-141030</c:v>
                </c:pt>
                <c:pt idx="708">
                  <c:v>-142780</c:v>
                </c:pt>
                <c:pt idx="709">
                  <c:v>-139780</c:v>
                </c:pt>
                <c:pt idx="710">
                  <c:v>-141905</c:v>
                </c:pt>
                <c:pt idx="711">
                  <c:v>-140655</c:v>
                </c:pt>
                <c:pt idx="712">
                  <c:v>-141530</c:v>
                </c:pt>
                <c:pt idx="713">
                  <c:v>-137780</c:v>
                </c:pt>
                <c:pt idx="714">
                  <c:v>-138780</c:v>
                </c:pt>
                <c:pt idx="715">
                  <c:v>-137530</c:v>
                </c:pt>
                <c:pt idx="716">
                  <c:v>-139155</c:v>
                </c:pt>
                <c:pt idx="717">
                  <c:v>-136780</c:v>
                </c:pt>
                <c:pt idx="718">
                  <c:v>-136780</c:v>
                </c:pt>
                <c:pt idx="719">
                  <c:v>-135405</c:v>
                </c:pt>
                <c:pt idx="720">
                  <c:v>-133030</c:v>
                </c:pt>
                <c:pt idx="721">
                  <c:v>-133905</c:v>
                </c:pt>
                <c:pt idx="722">
                  <c:v>-135905</c:v>
                </c:pt>
                <c:pt idx="723">
                  <c:v>-139155</c:v>
                </c:pt>
                <c:pt idx="724">
                  <c:v>-141280</c:v>
                </c:pt>
                <c:pt idx="725">
                  <c:v>-139780</c:v>
                </c:pt>
                <c:pt idx="726">
                  <c:v>-142280</c:v>
                </c:pt>
                <c:pt idx="727">
                  <c:v>-144030</c:v>
                </c:pt>
                <c:pt idx="728">
                  <c:v>-143780</c:v>
                </c:pt>
                <c:pt idx="729">
                  <c:v>-145030</c:v>
                </c:pt>
                <c:pt idx="730">
                  <c:v>-144280</c:v>
                </c:pt>
                <c:pt idx="731">
                  <c:v>-141655</c:v>
                </c:pt>
                <c:pt idx="732">
                  <c:v>-142280</c:v>
                </c:pt>
                <c:pt idx="733">
                  <c:v>-142780</c:v>
                </c:pt>
                <c:pt idx="734">
                  <c:v>-139780</c:v>
                </c:pt>
                <c:pt idx="735">
                  <c:v>-141155</c:v>
                </c:pt>
                <c:pt idx="736">
                  <c:v>-143780</c:v>
                </c:pt>
                <c:pt idx="737">
                  <c:v>-142155</c:v>
                </c:pt>
                <c:pt idx="738">
                  <c:v>-140780</c:v>
                </c:pt>
                <c:pt idx="739">
                  <c:v>-143530</c:v>
                </c:pt>
                <c:pt idx="740">
                  <c:v>-142030</c:v>
                </c:pt>
                <c:pt idx="741">
                  <c:v>-140155</c:v>
                </c:pt>
                <c:pt idx="742">
                  <c:v>-144030</c:v>
                </c:pt>
                <c:pt idx="743">
                  <c:v>-145155</c:v>
                </c:pt>
                <c:pt idx="744">
                  <c:v>-147405</c:v>
                </c:pt>
                <c:pt idx="745">
                  <c:v>-152655</c:v>
                </c:pt>
                <c:pt idx="746">
                  <c:v>-151030</c:v>
                </c:pt>
                <c:pt idx="747">
                  <c:v>-151155</c:v>
                </c:pt>
                <c:pt idx="748">
                  <c:v>-152280</c:v>
                </c:pt>
                <c:pt idx="749">
                  <c:v>-152405</c:v>
                </c:pt>
                <c:pt idx="750">
                  <c:v>-151780</c:v>
                </c:pt>
                <c:pt idx="751">
                  <c:v>-151030</c:v>
                </c:pt>
                <c:pt idx="752">
                  <c:v>-149905</c:v>
                </c:pt>
                <c:pt idx="753">
                  <c:v>-150030</c:v>
                </c:pt>
                <c:pt idx="754">
                  <c:v>-148780</c:v>
                </c:pt>
                <c:pt idx="755">
                  <c:v>-150155</c:v>
                </c:pt>
                <c:pt idx="756">
                  <c:v>-149280</c:v>
                </c:pt>
                <c:pt idx="757">
                  <c:v>-149030</c:v>
                </c:pt>
                <c:pt idx="758">
                  <c:v>-151405</c:v>
                </c:pt>
                <c:pt idx="759">
                  <c:v>-149280</c:v>
                </c:pt>
                <c:pt idx="760">
                  <c:v>-148400</c:v>
                </c:pt>
                <c:pt idx="761">
                  <c:v>-149775</c:v>
                </c:pt>
                <c:pt idx="762">
                  <c:v>-146650</c:v>
                </c:pt>
                <c:pt idx="763">
                  <c:v>-144900</c:v>
                </c:pt>
                <c:pt idx="764">
                  <c:v>-148400</c:v>
                </c:pt>
                <c:pt idx="765">
                  <c:v>-148275</c:v>
                </c:pt>
                <c:pt idx="766">
                  <c:v>-148525</c:v>
                </c:pt>
                <c:pt idx="767">
                  <c:v>-145900</c:v>
                </c:pt>
                <c:pt idx="768">
                  <c:v>-147650</c:v>
                </c:pt>
                <c:pt idx="769">
                  <c:v>-145900</c:v>
                </c:pt>
                <c:pt idx="770">
                  <c:v>-145775</c:v>
                </c:pt>
                <c:pt idx="771">
                  <c:v>-150150</c:v>
                </c:pt>
                <c:pt idx="772">
                  <c:v>-148525</c:v>
                </c:pt>
                <c:pt idx="773">
                  <c:v>-147900</c:v>
                </c:pt>
                <c:pt idx="774">
                  <c:v>-149400</c:v>
                </c:pt>
                <c:pt idx="775">
                  <c:v>-151900</c:v>
                </c:pt>
                <c:pt idx="776">
                  <c:v>-152400</c:v>
                </c:pt>
                <c:pt idx="777">
                  <c:v>-152900</c:v>
                </c:pt>
                <c:pt idx="778">
                  <c:v>-153400</c:v>
                </c:pt>
                <c:pt idx="779">
                  <c:v>-154775</c:v>
                </c:pt>
                <c:pt idx="780">
                  <c:v>-154275</c:v>
                </c:pt>
                <c:pt idx="781">
                  <c:v>-155525</c:v>
                </c:pt>
                <c:pt idx="782">
                  <c:v>-155900</c:v>
                </c:pt>
                <c:pt idx="783">
                  <c:v>-155395</c:v>
                </c:pt>
                <c:pt idx="784">
                  <c:v>-159395</c:v>
                </c:pt>
                <c:pt idx="785">
                  <c:v>-158645</c:v>
                </c:pt>
                <c:pt idx="786">
                  <c:v>-158145</c:v>
                </c:pt>
                <c:pt idx="787">
                  <c:v>-159020</c:v>
                </c:pt>
                <c:pt idx="788">
                  <c:v>-157020</c:v>
                </c:pt>
                <c:pt idx="789">
                  <c:v>-159770</c:v>
                </c:pt>
                <c:pt idx="790">
                  <c:v>-156270</c:v>
                </c:pt>
                <c:pt idx="791">
                  <c:v>-155895</c:v>
                </c:pt>
                <c:pt idx="792">
                  <c:v>-155895</c:v>
                </c:pt>
                <c:pt idx="793">
                  <c:v>-154145</c:v>
                </c:pt>
                <c:pt idx="794">
                  <c:v>-153645</c:v>
                </c:pt>
                <c:pt idx="795">
                  <c:v>-151020</c:v>
                </c:pt>
                <c:pt idx="796">
                  <c:v>-151270</c:v>
                </c:pt>
                <c:pt idx="797">
                  <c:v>-151520</c:v>
                </c:pt>
                <c:pt idx="798">
                  <c:v>-150395</c:v>
                </c:pt>
                <c:pt idx="799">
                  <c:v>-150520</c:v>
                </c:pt>
                <c:pt idx="800">
                  <c:v>-150770</c:v>
                </c:pt>
                <c:pt idx="801">
                  <c:v>-150270</c:v>
                </c:pt>
                <c:pt idx="802">
                  <c:v>-152270</c:v>
                </c:pt>
                <c:pt idx="803">
                  <c:v>-149895</c:v>
                </c:pt>
                <c:pt idx="804">
                  <c:v>-150265</c:v>
                </c:pt>
                <c:pt idx="805">
                  <c:v>-149515</c:v>
                </c:pt>
                <c:pt idx="806">
                  <c:v>-150140</c:v>
                </c:pt>
                <c:pt idx="807">
                  <c:v>-151015</c:v>
                </c:pt>
                <c:pt idx="808">
                  <c:v>-152265</c:v>
                </c:pt>
                <c:pt idx="809">
                  <c:v>-154640</c:v>
                </c:pt>
                <c:pt idx="810">
                  <c:v>-155140</c:v>
                </c:pt>
                <c:pt idx="811">
                  <c:v>-155265</c:v>
                </c:pt>
                <c:pt idx="812">
                  <c:v>-155515</c:v>
                </c:pt>
                <c:pt idx="813">
                  <c:v>-156140</c:v>
                </c:pt>
                <c:pt idx="814">
                  <c:v>-155890</c:v>
                </c:pt>
                <c:pt idx="815">
                  <c:v>-154890</c:v>
                </c:pt>
                <c:pt idx="816">
                  <c:v>-152015</c:v>
                </c:pt>
                <c:pt idx="817">
                  <c:v>-152515</c:v>
                </c:pt>
                <c:pt idx="818">
                  <c:v>-153015</c:v>
                </c:pt>
                <c:pt idx="819">
                  <c:v>-151640</c:v>
                </c:pt>
                <c:pt idx="820">
                  <c:v>-154390</c:v>
                </c:pt>
                <c:pt idx="821">
                  <c:v>-155015</c:v>
                </c:pt>
                <c:pt idx="822">
                  <c:v>-157265</c:v>
                </c:pt>
                <c:pt idx="823">
                  <c:v>-158390</c:v>
                </c:pt>
                <c:pt idx="824">
                  <c:v>-159140</c:v>
                </c:pt>
                <c:pt idx="825">
                  <c:v>-159510</c:v>
                </c:pt>
                <c:pt idx="826">
                  <c:v>-160010</c:v>
                </c:pt>
                <c:pt idx="827">
                  <c:v>-160010</c:v>
                </c:pt>
                <c:pt idx="828">
                  <c:v>-158885</c:v>
                </c:pt>
                <c:pt idx="829">
                  <c:v>-157885</c:v>
                </c:pt>
                <c:pt idx="830">
                  <c:v>-158010</c:v>
                </c:pt>
                <c:pt idx="831">
                  <c:v>-158135</c:v>
                </c:pt>
                <c:pt idx="832">
                  <c:v>-156510</c:v>
                </c:pt>
                <c:pt idx="833">
                  <c:v>-155385</c:v>
                </c:pt>
                <c:pt idx="834">
                  <c:v>-153385</c:v>
                </c:pt>
                <c:pt idx="835">
                  <c:v>-153510</c:v>
                </c:pt>
                <c:pt idx="836">
                  <c:v>-154010</c:v>
                </c:pt>
                <c:pt idx="837">
                  <c:v>-153760</c:v>
                </c:pt>
                <c:pt idx="838">
                  <c:v>-154510</c:v>
                </c:pt>
                <c:pt idx="839">
                  <c:v>-153135</c:v>
                </c:pt>
                <c:pt idx="840">
                  <c:v>-153010</c:v>
                </c:pt>
                <c:pt idx="841">
                  <c:v>-153760</c:v>
                </c:pt>
                <c:pt idx="842">
                  <c:v>-153010</c:v>
                </c:pt>
                <c:pt idx="843">
                  <c:v>-152510</c:v>
                </c:pt>
                <c:pt idx="844">
                  <c:v>-152135</c:v>
                </c:pt>
                <c:pt idx="845">
                  <c:v>-151760</c:v>
                </c:pt>
                <c:pt idx="846">
                  <c:v>-153135</c:v>
                </c:pt>
                <c:pt idx="847">
                  <c:v>-163635</c:v>
                </c:pt>
                <c:pt idx="848">
                  <c:v>-162135</c:v>
                </c:pt>
                <c:pt idx="849">
                  <c:v>-160510</c:v>
                </c:pt>
                <c:pt idx="850">
                  <c:v>-160010</c:v>
                </c:pt>
                <c:pt idx="851">
                  <c:v>-158760</c:v>
                </c:pt>
                <c:pt idx="852">
                  <c:v>-157135</c:v>
                </c:pt>
                <c:pt idx="853">
                  <c:v>-156885</c:v>
                </c:pt>
                <c:pt idx="854">
                  <c:v>-159510</c:v>
                </c:pt>
                <c:pt idx="855">
                  <c:v>-158135</c:v>
                </c:pt>
                <c:pt idx="856">
                  <c:v>-150885</c:v>
                </c:pt>
                <c:pt idx="857">
                  <c:v>-150885</c:v>
                </c:pt>
                <c:pt idx="858">
                  <c:v>-147885</c:v>
                </c:pt>
                <c:pt idx="859">
                  <c:v>-147260</c:v>
                </c:pt>
                <c:pt idx="860">
                  <c:v>-145510</c:v>
                </c:pt>
                <c:pt idx="861">
                  <c:v>-142260</c:v>
                </c:pt>
                <c:pt idx="862">
                  <c:v>-142760</c:v>
                </c:pt>
                <c:pt idx="863">
                  <c:v>-151510</c:v>
                </c:pt>
                <c:pt idx="864">
                  <c:v>-147885</c:v>
                </c:pt>
                <c:pt idx="865">
                  <c:v>-147885</c:v>
                </c:pt>
                <c:pt idx="866">
                  <c:v>-149010</c:v>
                </c:pt>
                <c:pt idx="867">
                  <c:v>-145135</c:v>
                </c:pt>
                <c:pt idx="868">
                  <c:v>-145010</c:v>
                </c:pt>
                <c:pt idx="869">
                  <c:v>-146130</c:v>
                </c:pt>
                <c:pt idx="870">
                  <c:v>-151380</c:v>
                </c:pt>
                <c:pt idx="871">
                  <c:v>-151505</c:v>
                </c:pt>
                <c:pt idx="872">
                  <c:v>-153630</c:v>
                </c:pt>
                <c:pt idx="873">
                  <c:v>-151880</c:v>
                </c:pt>
                <c:pt idx="874">
                  <c:v>-155380</c:v>
                </c:pt>
                <c:pt idx="875">
                  <c:v>-151505</c:v>
                </c:pt>
                <c:pt idx="876">
                  <c:v>-152630</c:v>
                </c:pt>
                <c:pt idx="877">
                  <c:v>-147005</c:v>
                </c:pt>
                <c:pt idx="878">
                  <c:v>-145505</c:v>
                </c:pt>
                <c:pt idx="879">
                  <c:v>-144630</c:v>
                </c:pt>
                <c:pt idx="880">
                  <c:v>-142255</c:v>
                </c:pt>
                <c:pt idx="881">
                  <c:v>-141005</c:v>
                </c:pt>
                <c:pt idx="882">
                  <c:v>-146130</c:v>
                </c:pt>
                <c:pt idx="883">
                  <c:v>-144255</c:v>
                </c:pt>
                <c:pt idx="884">
                  <c:v>-142130</c:v>
                </c:pt>
                <c:pt idx="885">
                  <c:v>-140505</c:v>
                </c:pt>
                <c:pt idx="886">
                  <c:v>-138630</c:v>
                </c:pt>
                <c:pt idx="887">
                  <c:v>-136755</c:v>
                </c:pt>
                <c:pt idx="888">
                  <c:v>-134630</c:v>
                </c:pt>
                <c:pt idx="889">
                  <c:v>-133880</c:v>
                </c:pt>
                <c:pt idx="890">
                  <c:v>-137755</c:v>
                </c:pt>
                <c:pt idx="891">
                  <c:v>-134380</c:v>
                </c:pt>
                <c:pt idx="892">
                  <c:v>-132255</c:v>
                </c:pt>
                <c:pt idx="893">
                  <c:v>-131880</c:v>
                </c:pt>
                <c:pt idx="894">
                  <c:v>-127005</c:v>
                </c:pt>
                <c:pt idx="895">
                  <c:v>-127130</c:v>
                </c:pt>
                <c:pt idx="896">
                  <c:v>-124380</c:v>
                </c:pt>
                <c:pt idx="897">
                  <c:v>-127630</c:v>
                </c:pt>
                <c:pt idx="898">
                  <c:v>-129380</c:v>
                </c:pt>
                <c:pt idx="899">
                  <c:v>-126005</c:v>
                </c:pt>
                <c:pt idx="900">
                  <c:v>-123755</c:v>
                </c:pt>
                <c:pt idx="901">
                  <c:v>-125130</c:v>
                </c:pt>
                <c:pt idx="902">
                  <c:v>-128255</c:v>
                </c:pt>
                <c:pt idx="903">
                  <c:v>-123505</c:v>
                </c:pt>
                <c:pt idx="904">
                  <c:v>-129130</c:v>
                </c:pt>
                <c:pt idx="905">
                  <c:v>-141880</c:v>
                </c:pt>
                <c:pt idx="906">
                  <c:v>-142005</c:v>
                </c:pt>
                <c:pt idx="907">
                  <c:v>-146755</c:v>
                </c:pt>
                <c:pt idx="908">
                  <c:v>-149880</c:v>
                </c:pt>
                <c:pt idx="909">
                  <c:v>-149005</c:v>
                </c:pt>
                <c:pt idx="910">
                  <c:v>-148505</c:v>
                </c:pt>
                <c:pt idx="911">
                  <c:v>-153880</c:v>
                </c:pt>
                <c:pt idx="912">
                  <c:v>-159380</c:v>
                </c:pt>
                <c:pt idx="913">
                  <c:v>-163125</c:v>
                </c:pt>
                <c:pt idx="914">
                  <c:v>-167375</c:v>
                </c:pt>
                <c:pt idx="915">
                  <c:v>-168250</c:v>
                </c:pt>
                <c:pt idx="916">
                  <c:v>-171250</c:v>
                </c:pt>
                <c:pt idx="917">
                  <c:v>-172625</c:v>
                </c:pt>
                <c:pt idx="918">
                  <c:v>-166375</c:v>
                </c:pt>
                <c:pt idx="919">
                  <c:v>-170000</c:v>
                </c:pt>
                <c:pt idx="920">
                  <c:v>-167125</c:v>
                </c:pt>
                <c:pt idx="921">
                  <c:v>-162250</c:v>
                </c:pt>
                <c:pt idx="922">
                  <c:v>-164125</c:v>
                </c:pt>
                <c:pt idx="923">
                  <c:v>-166750</c:v>
                </c:pt>
                <c:pt idx="924">
                  <c:v>-165625</c:v>
                </c:pt>
                <c:pt idx="925">
                  <c:v>-171500</c:v>
                </c:pt>
                <c:pt idx="926">
                  <c:v>-175500</c:v>
                </c:pt>
                <c:pt idx="927">
                  <c:v>-175750</c:v>
                </c:pt>
                <c:pt idx="928">
                  <c:v>-175625</c:v>
                </c:pt>
                <c:pt idx="929">
                  <c:v>-176375</c:v>
                </c:pt>
                <c:pt idx="930">
                  <c:v>-177500</c:v>
                </c:pt>
                <c:pt idx="931">
                  <c:v>-175250</c:v>
                </c:pt>
                <c:pt idx="932">
                  <c:v>-178375</c:v>
                </c:pt>
                <c:pt idx="933">
                  <c:v>-176500</c:v>
                </c:pt>
                <c:pt idx="934">
                  <c:v>-179125</c:v>
                </c:pt>
                <c:pt idx="935">
                  <c:v>-182500</c:v>
                </c:pt>
                <c:pt idx="936">
                  <c:v>-180750</c:v>
                </c:pt>
                <c:pt idx="937">
                  <c:v>-182000</c:v>
                </c:pt>
                <c:pt idx="938">
                  <c:v>-181875</c:v>
                </c:pt>
                <c:pt idx="939">
                  <c:v>-180875</c:v>
                </c:pt>
                <c:pt idx="940">
                  <c:v>-181125</c:v>
                </c:pt>
                <c:pt idx="941">
                  <c:v>-180875</c:v>
                </c:pt>
                <c:pt idx="942">
                  <c:v>-182500</c:v>
                </c:pt>
                <c:pt idx="943">
                  <c:v>-183875</c:v>
                </c:pt>
                <c:pt idx="944">
                  <c:v>-179625</c:v>
                </c:pt>
                <c:pt idx="945">
                  <c:v>-179250</c:v>
                </c:pt>
                <c:pt idx="946">
                  <c:v>-179000</c:v>
                </c:pt>
                <c:pt idx="947">
                  <c:v>-177875</c:v>
                </c:pt>
                <c:pt idx="948">
                  <c:v>-176000</c:v>
                </c:pt>
                <c:pt idx="949">
                  <c:v>-176625</c:v>
                </c:pt>
                <c:pt idx="950">
                  <c:v>-178625</c:v>
                </c:pt>
                <c:pt idx="951">
                  <c:v>-179750</c:v>
                </c:pt>
                <c:pt idx="952">
                  <c:v>-181750</c:v>
                </c:pt>
                <c:pt idx="953">
                  <c:v>-184375</c:v>
                </c:pt>
                <c:pt idx="954">
                  <c:v>-187625</c:v>
                </c:pt>
                <c:pt idx="955">
                  <c:v>-189125</c:v>
                </c:pt>
                <c:pt idx="956">
                  <c:v>-189375</c:v>
                </c:pt>
                <c:pt idx="957">
                  <c:v>-186745</c:v>
                </c:pt>
                <c:pt idx="958">
                  <c:v>-183495</c:v>
                </c:pt>
                <c:pt idx="959">
                  <c:v>-183495</c:v>
                </c:pt>
                <c:pt idx="960">
                  <c:v>-184120</c:v>
                </c:pt>
                <c:pt idx="961">
                  <c:v>-181745</c:v>
                </c:pt>
                <c:pt idx="962">
                  <c:v>-178620</c:v>
                </c:pt>
                <c:pt idx="963">
                  <c:v>-176995</c:v>
                </c:pt>
                <c:pt idx="964">
                  <c:v>-177870</c:v>
                </c:pt>
                <c:pt idx="965">
                  <c:v>-182620</c:v>
                </c:pt>
                <c:pt idx="966">
                  <c:v>-182370</c:v>
                </c:pt>
                <c:pt idx="967">
                  <c:v>-183245</c:v>
                </c:pt>
                <c:pt idx="968">
                  <c:v>-179245</c:v>
                </c:pt>
                <c:pt idx="969">
                  <c:v>-180370</c:v>
                </c:pt>
                <c:pt idx="970">
                  <c:v>-177620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A68C-43A1-80E4-4B0FEF6A888C}"/>
            </c:ext>
          </c:extLst>
        </c:ser>
        <c:ser>
          <c:idx val="2"/>
          <c:order val="1"/>
          <c:tx>
            <c:strRef>
              <c:f>Data!$K$11</c:f>
              <c:strCache>
                <c:ptCount val="1"/>
                <c:pt idx="0">
                  <c:v>Short Corn Futures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[0]!dateRange</c:f>
              <c:numCache>
                <c:formatCode>m/d/yyyy</c:formatCode>
                <c:ptCount val="971"/>
                <c:pt idx="0">
                  <c:v>41275</c:v>
                </c:pt>
                <c:pt idx="1">
                  <c:v>41276</c:v>
                </c:pt>
                <c:pt idx="2">
                  <c:v>41277</c:v>
                </c:pt>
                <c:pt idx="3">
                  <c:v>41278</c:v>
                </c:pt>
                <c:pt idx="4">
                  <c:v>41281</c:v>
                </c:pt>
                <c:pt idx="5">
                  <c:v>41282</c:v>
                </c:pt>
                <c:pt idx="6">
                  <c:v>41283</c:v>
                </c:pt>
                <c:pt idx="7">
                  <c:v>41284</c:v>
                </c:pt>
                <c:pt idx="8">
                  <c:v>41285</c:v>
                </c:pt>
                <c:pt idx="9">
                  <c:v>41288</c:v>
                </c:pt>
                <c:pt idx="10">
                  <c:v>41289</c:v>
                </c:pt>
                <c:pt idx="11">
                  <c:v>41290</c:v>
                </c:pt>
                <c:pt idx="12">
                  <c:v>41291</c:v>
                </c:pt>
                <c:pt idx="13">
                  <c:v>41292</c:v>
                </c:pt>
                <c:pt idx="14">
                  <c:v>41295</c:v>
                </c:pt>
                <c:pt idx="15">
                  <c:v>41296</c:v>
                </c:pt>
                <c:pt idx="16">
                  <c:v>41297</c:v>
                </c:pt>
                <c:pt idx="17">
                  <c:v>41298</c:v>
                </c:pt>
                <c:pt idx="18">
                  <c:v>41299</c:v>
                </c:pt>
                <c:pt idx="19">
                  <c:v>41302</c:v>
                </c:pt>
                <c:pt idx="20">
                  <c:v>41303</c:v>
                </c:pt>
                <c:pt idx="21">
                  <c:v>41304</c:v>
                </c:pt>
                <c:pt idx="22">
                  <c:v>41305</c:v>
                </c:pt>
                <c:pt idx="23">
                  <c:v>41306</c:v>
                </c:pt>
                <c:pt idx="24">
                  <c:v>41309</c:v>
                </c:pt>
                <c:pt idx="25">
                  <c:v>41310</c:v>
                </c:pt>
                <c:pt idx="26">
                  <c:v>41311</c:v>
                </c:pt>
                <c:pt idx="27">
                  <c:v>41312</c:v>
                </c:pt>
                <c:pt idx="28">
                  <c:v>41313</c:v>
                </c:pt>
                <c:pt idx="29">
                  <c:v>41316</c:v>
                </c:pt>
                <c:pt idx="30">
                  <c:v>41317</c:v>
                </c:pt>
                <c:pt idx="31">
                  <c:v>41318</c:v>
                </c:pt>
                <c:pt idx="32">
                  <c:v>41319</c:v>
                </c:pt>
                <c:pt idx="33">
                  <c:v>41320</c:v>
                </c:pt>
                <c:pt idx="34">
                  <c:v>41323</c:v>
                </c:pt>
                <c:pt idx="35">
                  <c:v>41324</c:v>
                </c:pt>
                <c:pt idx="36">
                  <c:v>41325</c:v>
                </c:pt>
                <c:pt idx="37">
                  <c:v>41326</c:v>
                </c:pt>
                <c:pt idx="38">
                  <c:v>41327</c:v>
                </c:pt>
                <c:pt idx="39">
                  <c:v>41330</c:v>
                </c:pt>
                <c:pt idx="40">
                  <c:v>41331</c:v>
                </c:pt>
                <c:pt idx="41">
                  <c:v>41332</c:v>
                </c:pt>
                <c:pt idx="42">
                  <c:v>41333</c:v>
                </c:pt>
                <c:pt idx="43">
                  <c:v>41334</c:v>
                </c:pt>
                <c:pt idx="44">
                  <c:v>41337</c:v>
                </c:pt>
                <c:pt idx="45">
                  <c:v>41338</c:v>
                </c:pt>
                <c:pt idx="46">
                  <c:v>41339</c:v>
                </c:pt>
                <c:pt idx="47">
                  <c:v>41340</c:v>
                </c:pt>
                <c:pt idx="48">
                  <c:v>41341</c:v>
                </c:pt>
                <c:pt idx="49">
                  <c:v>41344</c:v>
                </c:pt>
                <c:pt idx="50">
                  <c:v>41345</c:v>
                </c:pt>
                <c:pt idx="51">
                  <c:v>41346</c:v>
                </c:pt>
                <c:pt idx="52">
                  <c:v>41347</c:v>
                </c:pt>
                <c:pt idx="53">
                  <c:v>41348</c:v>
                </c:pt>
                <c:pt idx="54">
                  <c:v>41351</c:v>
                </c:pt>
                <c:pt idx="55">
                  <c:v>41352</c:v>
                </c:pt>
                <c:pt idx="56">
                  <c:v>41353</c:v>
                </c:pt>
                <c:pt idx="57">
                  <c:v>41354</c:v>
                </c:pt>
                <c:pt idx="58">
                  <c:v>41355</c:v>
                </c:pt>
                <c:pt idx="59">
                  <c:v>41358</c:v>
                </c:pt>
                <c:pt idx="60">
                  <c:v>41359</c:v>
                </c:pt>
                <c:pt idx="61">
                  <c:v>41360</c:v>
                </c:pt>
                <c:pt idx="62">
                  <c:v>41361</c:v>
                </c:pt>
                <c:pt idx="63">
                  <c:v>41362</c:v>
                </c:pt>
                <c:pt idx="64">
                  <c:v>41365</c:v>
                </c:pt>
                <c:pt idx="65">
                  <c:v>41366</c:v>
                </c:pt>
                <c:pt idx="66">
                  <c:v>41367</c:v>
                </c:pt>
                <c:pt idx="67">
                  <c:v>41368</c:v>
                </c:pt>
                <c:pt idx="68">
                  <c:v>41369</c:v>
                </c:pt>
                <c:pt idx="69">
                  <c:v>41372</c:v>
                </c:pt>
                <c:pt idx="70">
                  <c:v>41373</c:v>
                </c:pt>
                <c:pt idx="71">
                  <c:v>41374</c:v>
                </c:pt>
                <c:pt idx="72">
                  <c:v>41375</c:v>
                </c:pt>
                <c:pt idx="73">
                  <c:v>41376</c:v>
                </c:pt>
                <c:pt idx="74">
                  <c:v>41379</c:v>
                </c:pt>
                <c:pt idx="75">
                  <c:v>41380</c:v>
                </c:pt>
                <c:pt idx="76">
                  <c:v>41381</c:v>
                </c:pt>
                <c:pt idx="77">
                  <c:v>41382</c:v>
                </c:pt>
                <c:pt idx="78">
                  <c:v>41383</c:v>
                </c:pt>
                <c:pt idx="79">
                  <c:v>41386</c:v>
                </c:pt>
                <c:pt idx="80">
                  <c:v>41387</c:v>
                </c:pt>
                <c:pt idx="81">
                  <c:v>41388</c:v>
                </c:pt>
                <c:pt idx="82">
                  <c:v>41389</c:v>
                </c:pt>
                <c:pt idx="83">
                  <c:v>41390</c:v>
                </c:pt>
                <c:pt idx="84">
                  <c:v>41393</c:v>
                </c:pt>
                <c:pt idx="85">
                  <c:v>41394</c:v>
                </c:pt>
                <c:pt idx="86">
                  <c:v>41395</c:v>
                </c:pt>
                <c:pt idx="87">
                  <c:v>41396</c:v>
                </c:pt>
                <c:pt idx="88">
                  <c:v>41397</c:v>
                </c:pt>
                <c:pt idx="89">
                  <c:v>41400</c:v>
                </c:pt>
                <c:pt idx="90">
                  <c:v>41401</c:v>
                </c:pt>
                <c:pt idx="91">
                  <c:v>41402</c:v>
                </c:pt>
                <c:pt idx="92">
                  <c:v>41403</c:v>
                </c:pt>
                <c:pt idx="93">
                  <c:v>41404</c:v>
                </c:pt>
                <c:pt idx="94">
                  <c:v>41407</c:v>
                </c:pt>
                <c:pt idx="95">
                  <c:v>41408</c:v>
                </c:pt>
                <c:pt idx="96">
                  <c:v>41409</c:v>
                </c:pt>
                <c:pt idx="97">
                  <c:v>41410</c:v>
                </c:pt>
                <c:pt idx="98">
                  <c:v>41411</c:v>
                </c:pt>
                <c:pt idx="99">
                  <c:v>41414</c:v>
                </c:pt>
                <c:pt idx="100">
                  <c:v>41415</c:v>
                </c:pt>
                <c:pt idx="101">
                  <c:v>41416</c:v>
                </c:pt>
                <c:pt idx="102">
                  <c:v>41417</c:v>
                </c:pt>
                <c:pt idx="103">
                  <c:v>41418</c:v>
                </c:pt>
                <c:pt idx="104">
                  <c:v>41421</c:v>
                </c:pt>
                <c:pt idx="105">
                  <c:v>41422</c:v>
                </c:pt>
                <c:pt idx="106">
                  <c:v>41423</c:v>
                </c:pt>
                <c:pt idx="107">
                  <c:v>41424</c:v>
                </c:pt>
                <c:pt idx="108">
                  <c:v>41425</c:v>
                </c:pt>
                <c:pt idx="109">
                  <c:v>41428</c:v>
                </c:pt>
                <c:pt idx="110">
                  <c:v>41429</c:v>
                </c:pt>
                <c:pt idx="111">
                  <c:v>41430</c:v>
                </c:pt>
                <c:pt idx="112">
                  <c:v>41431</c:v>
                </c:pt>
                <c:pt idx="113">
                  <c:v>41432</c:v>
                </c:pt>
                <c:pt idx="114">
                  <c:v>41435</c:v>
                </c:pt>
                <c:pt idx="115">
                  <c:v>41436</c:v>
                </c:pt>
                <c:pt idx="116">
                  <c:v>41437</c:v>
                </c:pt>
                <c:pt idx="117">
                  <c:v>41438</c:v>
                </c:pt>
                <c:pt idx="118">
                  <c:v>41439</c:v>
                </c:pt>
                <c:pt idx="119">
                  <c:v>41442</c:v>
                </c:pt>
                <c:pt idx="120">
                  <c:v>41443</c:v>
                </c:pt>
                <c:pt idx="121">
                  <c:v>41444</c:v>
                </c:pt>
                <c:pt idx="122">
                  <c:v>41445</c:v>
                </c:pt>
                <c:pt idx="123">
                  <c:v>41446</c:v>
                </c:pt>
                <c:pt idx="124">
                  <c:v>41449</c:v>
                </c:pt>
                <c:pt idx="125">
                  <c:v>41450</c:v>
                </c:pt>
                <c:pt idx="126">
                  <c:v>41451</c:v>
                </c:pt>
                <c:pt idx="127">
                  <c:v>41452</c:v>
                </c:pt>
                <c:pt idx="128">
                  <c:v>41453</c:v>
                </c:pt>
                <c:pt idx="129">
                  <c:v>41456</c:v>
                </c:pt>
                <c:pt idx="130">
                  <c:v>41457</c:v>
                </c:pt>
                <c:pt idx="131">
                  <c:v>41458</c:v>
                </c:pt>
                <c:pt idx="132">
                  <c:v>41459</c:v>
                </c:pt>
                <c:pt idx="133">
                  <c:v>41460</c:v>
                </c:pt>
                <c:pt idx="134">
                  <c:v>41463</c:v>
                </c:pt>
                <c:pt idx="135">
                  <c:v>41464</c:v>
                </c:pt>
                <c:pt idx="136">
                  <c:v>41465</c:v>
                </c:pt>
                <c:pt idx="137">
                  <c:v>41466</c:v>
                </c:pt>
                <c:pt idx="138">
                  <c:v>41467</c:v>
                </c:pt>
                <c:pt idx="139">
                  <c:v>41470</c:v>
                </c:pt>
                <c:pt idx="140">
                  <c:v>41471</c:v>
                </c:pt>
                <c:pt idx="141">
                  <c:v>41472</c:v>
                </c:pt>
                <c:pt idx="142">
                  <c:v>41473</c:v>
                </c:pt>
                <c:pt idx="143">
                  <c:v>41474</c:v>
                </c:pt>
                <c:pt idx="144">
                  <c:v>41477</c:v>
                </c:pt>
                <c:pt idx="145">
                  <c:v>41478</c:v>
                </c:pt>
                <c:pt idx="146">
                  <c:v>41479</c:v>
                </c:pt>
                <c:pt idx="147">
                  <c:v>41480</c:v>
                </c:pt>
                <c:pt idx="148">
                  <c:v>41481</c:v>
                </c:pt>
                <c:pt idx="149">
                  <c:v>41484</c:v>
                </c:pt>
                <c:pt idx="150">
                  <c:v>41485</c:v>
                </c:pt>
                <c:pt idx="151">
                  <c:v>41486</c:v>
                </c:pt>
                <c:pt idx="152">
                  <c:v>41487</c:v>
                </c:pt>
                <c:pt idx="153">
                  <c:v>41488</c:v>
                </c:pt>
                <c:pt idx="154">
                  <c:v>41491</c:v>
                </c:pt>
                <c:pt idx="155">
                  <c:v>41492</c:v>
                </c:pt>
                <c:pt idx="156">
                  <c:v>41493</c:v>
                </c:pt>
                <c:pt idx="157">
                  <c:v>41494</c:v>
                </c:pt>
                <c:pt idx="158">
                  <c:v>41495</c:v>
                </c:pt>
                <c:pt idx="159">
                  <c:v>41498</c:v>
                </c:pt>
                <c:pt idx="160">
                  <c:v>41499</c:v>
                </c:pt>
                <c:pt idx="161">
                  <c:v>41500</c:v>
                </c:pt>
                <c:pt idx="162">
                  <c:v>41501</c:v>
                </c:pt>
                <c:pt idx="163">
                  <c:v>41502</c:v>
                </c:pt>
                <c:pt idx="164">
                  <c:v>41505</c:v>
                </c:pt>
                <c:pt idx="165">
                  <c:v>41506</c:v>
                </c:pt>
                <c:pt idx="166">
                  <c:v>41507</c:v>
                </c:pt>
                <c:pt idx="167">
                  <c:v>41508</c:v>
                </c:pt>
                <c:pt idx="168">
                  <c:v>41509</c:v>
                </c:pt>
                <c:pt idx="169">
                  <c:v>41512</c:v>
                </c:pt>
                <c:pt idx="170">
                  <c:v>41513</c:v>
                </c:pt>
                <c:pt idx="171">
                  <c:v>41514</c:v>
                </c:pt>
                <c:pt idx="172">
                  <c:v>41515</c:v>
                </c:pt>
                <c:pt idx="173">
                  <c:v>41516</c:v>
                </c:pt>
                <c:pt idx="174">
                  <c:v>41519</c:v>
                </c:pt>
                <c:pt idx="175">
                  <c:v>41520</c:v>
                </c:pt>
                <c:pt idx="176">
                  <c:v>41521</c:v>
                </c:pt>
                <c:pt idx="177">
                  <c:v>41522</c:v>
                </c:pt>
                <c:pt idx="178">
                  <c:v>41523</c:v>
                </c:pt>
                <c:pt idx="179">
                  <c:v>41526</c:v>
                </c:pt>
                <c:pt idx="180">
                  <c:v>41527</c:v>
                </c:pt>
                <c:pt idx="181">
                  <c:v>41528</c:v>
                </c:pt>
                <c:pt idx="182">
                  <c:v>41529</c:v>
                </c:pt>
                <c:pt idx="183">
                  <c:v>41530</c:v>
                </c:pt>
                <c:pt idx="184">
                  <c:v>41533</c:v>
                </c:pt>
                <c:pt idx="185">
                  <c:v>41534</c:v>
                </c:pt>
                <c:pt idx="186">
                  <c:v>41535</c:v>
                </c:pt>
                <c:pt idx="187">
                  <c:v>41536</c:v>
                </c:pt>
                <c:pt idx="188">
                  <c:v>41537</c:v>
                </c:pt>
                <c:pt idx="189">
                  <c:v>41540</c:v>
                </c:pt>
                <c:pt idx="190">
                  <c:v>41541</c:v>
                </c:pt>
                <c:pt idx="191">
                  <c:v>41542</c:v>
                </c:pt>
                <c:pt idx="192">
                  <c:v>41543</c:v>
                </c:pt>
                <c:pt idx="193">
                  <c:v>41544</c:v>
                </c:pt>
                <c:pt idx="194">
                  <c:v>41547</c:v>
                </c:pt>
                <c:pt idx="195">
                  <c:v>41548</c:v>
                </c:pt>
                <c:pt idx="196">
                  <c:v>41549</c:v>
                </c:pt>
                <c:pt idx="197">
                  <c:v>41550</c:v>
                </c:pt>
                <c:pt idx="198">
                  <c:v>41551</c:v>
                </c:pt>
                <c:pt idx="199">
                  <c:v>41554</c:v>
                </c:pt>
                <c:pt idx="200">
                  <c:v>41555</c:v>
                </c:pt>
                <c:pt idx="201">
                  <c:v>41556</c:v>
                </c:pt>
                <c:pt idx="202">
                  <c:v>41557</c:v>
                </c:pt>
                <c:pt idx="203">
                  <c:v>41558</c:v>
                </c:pt>
                <c:pt idx="204">
                  <c:v>41561</c:v>
                </c:pt>
                <c:pt idx="205">
                  <c:v>41562</c:v>
                </c:pt>
                <c:pt idx="206">
                  <c:v>41563</c:v>
                </c:pt>
                <c:pt idx="207">
                  <c:v>41564</c:v>
                </c:pt>
                <c:pt idx="208">
                  <c:v>41565</c:v>
                </c:pt>
                <c:pt idx="209">
                  <c:v>41568</c:v>
                </c:pt>
                <c:pt idx="210">
                  <c:v>41569</c:v>
                </c:pt>
                <c:pt idx="211">
                  <c:v>41570</c:v>
                </c:pt>
                <c:pt idx="212">
                  <c:v>41571</c:v>
                </c:pt>
                <c:pt idx="213">
                  <c:v>41572</c:v>
                </c:pt>
                <c:pt idx="214">
                  <c:v>41575</c:v>
                </c:pt>
                <c:pt idx="215">
                  <c:v>41576</c:v>
                </c:pt>
                <c:pt idx="216">
                  <c:v>41577</c:v>
                </c:pt>
                <c:pt idx="217">
                  <c:v>41578</c:v>
                </c:pt>
                <c:pt idx="218">
                  <c:v>41579</c:v>
                </c:pt>
                <c:pt idx="219">
                  <c:v>41582</c:v>
                </c:pt>
                <c:pt idx="220">
                  <c:v>41583</c:v>
                </c:pt>
                <c:pt idx="221">
                  <c:v>41584</c:v>
                </c:pt>
                <c:pt idx="222">
                  <c:v>41585</c:v>
                </c:pt>
                <c:pt idx="223">
                  <c:v>41586</c:v>
                </c:pt>
                <c:pt idx="224">
                  <c:v>41589</c:v>
                </c:pt>
                <c:pt idx="225">
                  <c:v>41590</c:v>
                </c:pt>
                <c:pt idx="226">
                  <c:v>41591</c:v>
                </c:pt>
                <c:pt idx="227">
                  <c:v>41592</c:v>
                </c:pt>
                <c:pt idx="228">
                  <c:v>41593</c:v>
                </c:pt>
                <c:pt idx="229">
                  <c:v>41596</c:v>
                </c:pt>
                <c:pt idx="230">
                  <c:v>41597</c:v>
                </c:pt>
                <c:pt idx="231">
                  <c:v>41598</c:v>
                </c:pt>
                <c:pt idx="232">
                  <c:v>41599</c:v>
                </c:pt>
                <c:pt idx="233">
                  <c:v>41600</c:v>
                </c:pt>
                <c:pt idx="234">
                  <c:v>41603</c:v>
                </c:pt>
                <c:pt idx="235">
                  <c:v>41604</c:v>
                </c:pt>
                <c:pt idx="236">
                  <c:v>41605</c:v>
                </c:pt>
                <c:pt idx="237">
                  <c:v>41606</c:v>
                </c:pt>
                <c:pt idx="238">
                  <c:v>41607</c:v>
                </c:pt>
                <c:pt idx="239">
                  <c:v>41610</c:v>
                </c:pt>
                <c:pt idx="240">
                  <c:v>41611</c:v>
                </c:pt>
                <c:pt idx="241">
                  <c:v>41612</c:v>
                </c:pt>
                <c:pt idx="242">
                  <c:v>41613</c:v>
                </c:pt>
                <c:pt idx="243">
                  <c:v>41614</c:v>
                </c:pt>
                <c:pt idx="244">
                  <c:v>41617</c:v>
                </c:pt>
                <c:pt idx="245">
                  <c:v>41618</c:v>
                </c:pt>
                <c:pt idx="246">
                  <c:v>41619</c:v>
                </c:pt>
                <c:pt idx="247">
                  <c:v>41620</c:v>
                </c:pt>
                <c:pt idx="248">
                  <c:v>41621</c:v>
                </c:pt>
                <c:pt idx="249">
                  <c:v>41624</c:v>
                </c:pt>
                <c:pt idx="250">
                  <c:v>41625</c:v>
                </c:pt>
                <c:pt idx="251">
                  <c:v>41626</c:v>
                </c:pt>
                <c:pt idx="252">
                  <c:v>41627</c:v>
                </c:pt>
                <c:pt idx="253">
                  <c:v>41628</c:v>
                </c:pt>
                <c:pt idx="254">
                  <c:v>41631</c:v>
                </c:pt>
                <c:pt idx="255">
                  <c:v>41632</c:v>
                </c:pt>
                <c:pt idx="256">
                  <c:v>41633</c:v>
                </c:pt>
                <c:pt idx="257">
                  <c:v>41634</c:v>
                </c:pt>
                <c:pt idx="258">
                  <c:v>41635</c:v>
                </c:pt>
                <c:pt idx="259">
                  <c:v>41638</c:v>
                </c:pt>
                <c:pt idx="260">
                  <c:v>41639</c:v>
                </c:pt>
                <c:pt idx="261">
                  <c:v>41640</c:v>
                </c:pt>
                <c:pt idx="262">
                  <c:v>41641</c:v>
                </c:pt>
                <c:pt idx="263">
                  <c:v>41642</c:v>
                </c:pt>
                <c:pt idx="264">
                  <c:v>41645</c:v>
                </c:pt>
                <c:pt idx="265">
                  <c:v>41646</c:v>
                </c:pt>
                <c:pt idx="266">
                  <c:v>41647</c:v>
                </c:pt>
                <c:pt idx="267">
                  <c:v>41648</c:v>
                </c:pt>
                <c:pt idx="268">
                  <c:v>41649</c:v>
                </c:pt>
                <c:pt idx="269">
                  <c:v>41652</c:v>
                </c:pt>
                <c:pt idx="270">
                  <c:v>41653</c:v>
                </c:pt>
                <c:pt idx="271">
                  <c:v>41654</c:v>
                </c:pt>
                <c:pt idx="272">
                  <c:v>41655</c:v>
                </c:pt>
                <c:pt idx="273">
                  <c:v>41656</c:v>
                </c:pt>
                <c:pt idx="274">
                  <c:v>41659</c:v>
                </c:pt>
                <c:pt idx="275">
                  <c:v>41660</c:v>
                </c:pt>
                <c:pt idx="276">
                  <c:v>41661</c:v>
                </c:pt>
                <c:pt idx="277">
                  <c:v>41662</c:v>
                </c:pt>
                <c:pt idx="278">
                  <c:v>41663</c:v>
                </c:pt>
                <c:pt idx="279">
                  <c:v>41666</c:v>
                </c:pt>
                <c:pt idx="280">
                  <c:v>41667</c:v>
                </c:pt>
                <c:pt idx="281">
                  <c:v>41668</c:v>
                </c:pt>
                <c:pt idx="282">
                  <c:v>41669</c:v>
                </c:pt>
                <c:pt idx="283">
                  <c:v>41670</c:v>
                </c:pt>
                <c:pt idx="284">
                  <c:v>41673</c:v>
                </c:pt>
                <c:pt idx="285">
                  <c:v>41674</c:v>
                </c:pt>
                <c:pt idx="286">
                  <c:v>41675</c:v>
                </c:pt>
                <c:pt idx="287">
                  <c:v>41676</c:v>
                </c:pt>
                <c:pt idx="288">
                  <c:v>41677</c:v>
                </c:pt>
                <c:pt idx="289">
                  <c:v>41680</c:v>
                </c:pt>
                <c:pt idx="290">
                  <c:v>41681</c:v>
                </c:pt>
                <c:pt idx="291">
                  <c:v>41682</c:v>
                </c:pt>
                <c:pt idx="292">
                  <c:v>41683</c:v>
                </c:pt>
                <c:pt idx="293">
                  <c:v>41684</c:v>
                </c:pt>
                <c:pt idx="294">
                  <c:v>41687</c:v>
                </c:pt>
                <c:pt idx="295">
                  <c:v>41688</c:v>
                </c:pt>
                <c:pt idx="296">
                  <c:v>41689</c:v>
                </c:pt>
                <c:pt idx="297">
                  <c:v>41690</c:v>
                </c:pt>
                <c:pt idx="298">
                  <c:v>41691</c:v>
                </c:pt>
                <c:pt idx="299">
                  <c:v>41694</c:v>
                </c:pt>
                <c:pt idx="300">
                  <c:v>41695</c:v>
                </c:pt>
                <c:pt idx="301">
                  <c:v>41696</c:v>
                </c:pt>
                <c:pt idx="302">
                  <c:v>41697</c:v>
                </c:pt>
                <c:pt idx="303">
                  <c:v>41698</c:v>
                </c:pt>
                <c:pt idx="304">
                  <c:v>41701</c:v>
                </c:pt>
                <c:pt idx="305">
                  <c:v>41702</c:v>
                </c:pt>
                <c:pt idx="306">
                  <c:v>41703</c:v>
                </c:pt>
                <c:pt idx="307">
                  <c:v>41704</c:v>
                </c:pt>
                <c:pt idx="308">
                  <c:v>41705</c:v>
                </c:pt>
                <c:pt idx="309">
                  <c:v>41708</c:v>
                </c:pt>
                <c:pt idx="310">
                  <c:v>41709</c:v>
                </c:pt>
                <c:pt idx="311">
                  <c:v>41710</c:v>
                </c:pt>
                <c:pt idx="312">
                  <c:v>41711</c:v>
                </c:pt>
                <c:pt idx="313">
                  <c:v>41712</c:v>
                </c:pt>
                <c:pt idx="314">
                  <c:v>41715</c:v>
                </c:pt>
                <c:pt idx="315">
                  <c:v>41716</c:v>
                </c:pt>
                <c:pt idx="316">
                  <c:v>41717</c:v>
                </c:pt>
                <c:pt idx="317">
                  <c:v>41718</c:v>
                </c:pt>
                <c:pt idx="318">
                  <c:v>41719</c:v>
                </c:pt>
                <c:pt idx="319">
                  <c:v>41722</c:v>
                </c:pt>
                <c:pt idx="320">
                  <c:v>41723</c:v>
                </c:pt>
                <c:pt idx="321">
                  <c:v>41724</c:v>
                </c:pt>
                <c:pt idx="322">
                  <c:v>41725</c:v>
                </c:pt>
                <c:pt idx="323">
                  <c:v>41726</c:v>
                </c:pt>
                <c:pt idx="324">
                  <c:v>41729</c:v>
                </c:pt>
                <c:pt idx="325">
                  <c:v>41730</c:v>
                </c:pt>
                <c:pt idx="326">
                  <c:v>41731</c:v>
                </c:pt>
                <c:pt idx="327">
                  <c:v>41732</c:v>
                </c:pt>
                <c:pt idx="328">
                  <c:v>41733</c:v>
                </c:pt>
                <c:pt idx="329">
                  <c:v>41736</c:v>
                </c:pt>
                <c:pt idx="330">
                  <c:v>41737</c:v>
                </c:pt>
                <c:pt idx="331">
                  <c:v>41738</c:v>
                </c:pt>
                <c:pt idx="332">
                  <c:v>41739</c:v>
                </c:pt>
                <c:pt idx="333">
                  <c:v>41740</c:v>
                </c:pt>
                <c:pt idx="334">
                  <c:v>41743</c:v>
                </c:pt>
                <c:pt idx="335">
                  <c:v>41744</c:v>
                </c:pt>
                <c:pt idx="336">
                  <c:v>41745</c:v>
                </c:pt>
                <c:pt idx="337">
                  <c:v>41746</c:v>
                </c:pt>
                <c:pt idx="338">
                  <c:v>41747</c:v>
                </c:pt>
                <c:pt idx="339">
                  <c:v>41750</c:v>
                </c:pt>
                <c:pt idx="340">
                  <c:v>41751</c:v>
                </c:pt>
                <c:pt idx="341">
                  <c:v>41752</c:v>
                </c:pt>
                <c:pt idx="342">
                  <c:v>41753</c:v>
                </c:pt>
                <c:pt idx="343">
                  <c:v>41754</c:v>
                </c:pt>
                <c:pt idx="344">
                  <c:v>41757</c:v>
                </c:pt>
                <c:pt idx="345">
                  <c:v>41758</c:v>
                </c:pt>
                <c:pt idx="346">
                  <c:v>41759</c:v>
                </c:pt>
                <c:pt idx="347">
                  <c:v>41760</c:v>
                </c:pt>
                <c:pt idx="348">
                  <c:v>41761</c:v>
                </c:pt>
                <c:pt idx="349">
                  <c:v>41764</c:v>
                </c:pt>
                <c:pt idx="350">
                  <c:v>41765</c:v>
                </c:pt>
                <c:pt idx="351">
                  <c:v>41766</c:v>
                </c:pt>
                <c:pt idx="352">
                  <c:v>41767</c:v>
                </c:pt>
                <c:pt idx="353">
                  <c:v>41768</c:v>
                </c:pt>
                <c:pt idx="354">
                  <c:v>41771</c:v>
                </c:pt>
                <c:pt idx="355">
                  <c:v>41772</c:v>
                </c:pt>
                <c:pt idx="356">
                  <c:v>41773</c:v>
                </c:pt>
                <c:pt idx="357">
                  <c:v>41774</c:v>
                </c:pt>
                <c:pt idx="358">
                  <c:v>41775</c:v>
                </c:pt>
                <c:pt idx="359">
                  <c:v>41778</c:v>
                </c:pt>
                <c:pt idx="360">
                  <c:v>41779</c:v>
                </c:pt>
                <c:pt idx="361">
                  <c:v>41780</c:v>
                </c:pt>
                <c:pt idx="362">
                  <c:v>41781</c:v>
                </c:pt>
                <c:pt idx="363">
                  <c:v>41782</c:v>
                </c:pt>
                <c:pt idx="364">
                  <c:v>41785</c:v>
                </c:pt>
                <c:pt idx="365">
                  <c:v>41786</c:v>
                </c:pt>
                <c:pt idx="366">
                  <c:v>41787</c:v>
                </c:pt>
                <c:pt idx="367">
                  <c:v>41788</c:v>
                </c:pt>
                <c:pt idx="368">
                  <c:v>41789</c:v>
                </c:pt>
                <c:pt idx="369">
                  <c:v>41792</c:v>
                </c:pt>
                <c:pt idx="370">
                  <c:v>41793</c:v>
                </c:pt>
                <c:pt idx="371">
                  <c:v>41794</c:v>
                </c:pt>
                <c:pt idx="372">
                  <c:v>41795</c:v>
                </c:pt>
                <c:pt idx="373">
                  <c:v>41796</c:v>
                </c:pt>
                <c:pt idx="374">
                  <c:v>41799</c:v>
                </c:pt>
                <c:pt idx="375">
                  <c:v>41800</c:v>
                </c:pt>
                <c:pt idx="376">
                  <c:v>41801</c:v>
                </c:pt>
                <c:pt idx="377">
                  <c:v>41802</c:v>
                </c:pt>
                <c:pt idx="378">
                  <c:v>41803</c:v>
                </c:pt>
                <c:pt idx="379">
                  <c:v>41806</c:v>
                </c:pt>
                <c:pt idx="380">
                  <c:v>41807</c:v>
                </c:pt>
                <c:pt idx="381">
                  <c:v>41808</c:v>
                </c:pt>
                <c:pt idx="382">
                  <c:v>41809</c:v>
                </c:pt>
                <c:pt idx="383">
                  <c:v>41810</c:v>
                </c:pt>
                <c:pt idx="384">
                  <c:v>41813</c:v>
                </c:pt>
                <c:pt idx="385">
                  <c:v>41814</c:v>
                </c:pt>
                <c:pt idx="386">
                  <c:v>41815</c:v>
                </c:pt>
                <c:pt idx="387">
                  <c:v>41816</c:v>
                </c:pt>
                <c:pt idx="388">
                  <c:v>41817</c:v>
                </c:pt>
                <c:pt idx="389">
                  <c:v>41820</c:v>
                </c:pt>
                <c:pt idx="390">
                  <c:v>41821</c:v>
                </c:pt>
                <c:pt idx="391">
                  <c:v>41822</c:v>
                </c:pt>
                <c:pt idx="392">
                  <c:v>41823</c:v>
                </c:pt>
                <c:pt idx="393">
                  <c:v>41824</c:v>
                </c:pt>
                <c:pt idx="394">
                  <c:v>41827</c:v>
                </c:pt>
                <c:pt idx="395">
                  <c:v>41828</c:v>
                </c:pt>
                <c:pt idx="396">
                  <c:v>41829</c:v>
                </c:pt>
                <c:pt idx="397">
                  <c:v>41830</c:v>
                </c:pt>
                <c:pt idx="398">
                  <c:v>41831</c:v>
                </c:pt>
                <c:pt idx="399">
                  <c:v>41834</c:v>
                </c:pt>
                <c:pt idx="400">
                  <c:v>41835</c:v>
                </c:pt>
                <c:pt idx="401">
                  <c:v>41836</c:v>
                </c:pt>
                <c:pt idx="402">
                  <c:v>41837</c:v>
                </c:pt>
                <c:pt idx="403">
                  <c:v>41838</c:v>
                </c:pt>
                <c:pt idx="404">
                  <c:v>41841</c:v>
                </c:pt>
                <c:pt idx="405">
                  <c:v>41842</c:v>
                </c:pt>
                <c:pt idx="406">
                  <c:v>41843</c:v>
                </c:pt>
                <c:pt idx="407">
                  <c:v>41844</c:v>
                </c:pt>
                <c:pt idx="408">
                  <c:v>41845</c:v>
                </c:pt>
                <c:pt idx="409">
                  <c:v>41848</c:v>
                </c:pt>
                <c:pt idx="410">
                  <c:v>41849</c:v>
                </c:pt>
                <c:pt idx="411">
                  <c:v>41850</c:v>
                </c:pt>
                <c:pt idx="412">
                  <c:v>41851</c:v>
                </c:pt>
                <c:pt idx="413">
                  <c:v>41852</c:v>
                </c:pt>
                <c:pt idx="414">
                  <c:v>41855</c:v>
                </c:pt>
                <c:pt idx="415">
                  <c:v>41856</c:v>
                </c:pt>
                <c:pt idx="416">
                  <c:v>41857</c:v>
                </c:pt>
                <c:pt idx="417">
                  <c:v>41858</c:v>
                </c:pt>
                <c:pt idx="418">
                  <c:v>41859</c:v>
                </c:pt>
                <c:pt idx="419">
                  <c:v>41862</c:v>
                </c:pt>
                <c:pt idx="420">
                  <c:v>41863</c:v>
                </c:pt>
                <c:pt idx="421">
                  <c:v>41864</c:v>
                </c:pt>
                <c:pt idx="422">
                  <c:v>41865</c:v>
                </c:pt>
                <c:pt idx="423">
                  <c:v>41866</c:v>
                </c:pt>
                <c:pt idx="424">
                  <c:v>41869</c:v>
                </c:pt>
                <c:pt idx="425">
                  <c:v>41870</c:v>
                </c:pt>
                <c:pt idx="426">
                  <c:v>41871</c:v>
                </c:pt>
                <c:pt idx="427">
                  <c:v>41872</c:v>
                </c:pt>
                <c:pt idx="428">
                  <c:v>41873</c:v>
                </c:pt>
                <c:pt idx="429">
                  <c:v>41876</c:v>
                </c:pt>
                <c:pt idx="430">
                  <c:v>41877</c:v>
                </c:pt>
                <c:pt idx="431">
                  <c:v>41878</c:v>
                </c:pt>
                <c:pt idx="432">
                  <c:v>41879</c:v>
                </c:pt>
                <c:pt idx="433">
                  <c:v>41880</c:v>
                </c:pt>
                <c:pt idx="434">
                  <c:v>41883</c:v>
                </c:pt>
                <c:pt idx="435">
                  <c:v>41884</c:v>
                </c:pt>
                <c:pt idx="436">
                  <c:v>41885</c:v>
                </c:pt>
                <c:pt idx="437">
                  <c:v>41886</c:v>
                </c:pt>
                <c:pt idx="438">
                  <c:v>41887</c:v>
                </c:pt>
                <c:pt idx="439">
                  <c:v>41890</c:v>
                </c:pt>
                <c:pt idx="440">
                  <c:v>41891</c:v>
                </c:pt>
                <c:pt idx="441">
                  <c:v>41892</c:v>
                </c:pt>
                <c:pt idx="442">
                  <c:v>41893</c:v>
                </c:pt>
                <c:pt idx="443">
                  <c:v>41894</c:v>
                </c:pt>
                <c:pt idx="444">
                  <c:v>41897</c:v>
                </c:pt>
                <c:pt idx="445">
                  <c:v>41898</c:v>
                </c:pt>
                <c:pt idx="446">
                  <c:v>41899</c:v>
                </c:pt>
                <c:pt idx="447">
                  <c:v>41900</c:v>
                </c:pt>
                <c:pt idx="448">
                  <c:v>41901</c:v>
                </c:pt>
                <c:pt idx="449">
                  <c:v>41904</c:v>
                </c:pt>
                <c:pt idx="450">
                  <c:v>41905</c:v>
                </c:pt>
                <c:pt idx="451">
                  <c:v>41906</c:v>
                </c:pt>
                <c:pt idx="452">
                  <c:v>41907</c:v>
                </c:pt>
                <c:pt idx="453">
                  <c:v>41908</c:v>
                </c:pt>
                <c:pt idx="454">
                  <c:v>41911</c:v>
                </c:pt>
                <c:pt idx="455">
                  <c:v>41912</c:v>
                </c:pt>
                <c:pt idx="456">
                  <c:v>41913</c:v>
                </c:pt>
                <c:pt idx="457">
                  <c:v>41914</c:v>
                </c:pt>
                <c:pt idx="458">
                  <c:v>41915</c:v>
                </c:pt>
                <c:pt idx="459">
                  <c:v>41918</c:v>
                </c:pt>
                <c:pt idx="460">
                  <c:v>41919</c:v>
                </c:pt>
                <c:pt idx="461">
                  <c:v>41920</c:v>
                </c:pt>
                <c:pt idx="462">
                  <c:v>41921</c:v>
                </c:pt>
                <c:pt idx="463">
                  <c:v>41922</c:v>
                </c:pt>
                <c:pt idx="464">
                  <c:v>41925</c:v>
                </c:pt>
                <c:pt idx="465">
                  <c:v>41926</c:v>
                </c:pt>
                <c:pt idx="466">
                  <c:v>41927</c:v>
                </c:pt>
                <c:pt idx="467">
                  <c:v>41928</c:v>
                </c:pt>
                <c:pt idx="468">
                  <c:v>41929</c:v>
                </c:pt>
                <c:pt idx="469">
                  <c:v>41932</c:v>
                </c:pt>
                <c:pt idx="470">
                  <c:v>41933</c:v>
                </c:pt>
                <c:pt idx="471">
                  <c:v>41934</c:v>
                </c:pt>
                <c:pt idx="472">
                  <c:v>41935</c:v>
                </c:pt>
                <c:pt idx="473">
                  <c:v>41936</c:v>
                </c:pt>
                <c:pt idx="474">
                  <c:v>41939</c:v>
                </c:pt>
                <c:pt idx="475">
                  <c:v>41940</c:v>
                </c:pt>
                <c:pt idx="476">
                  <c:v>41941</c:v>
                </c:pt>
                <c:pt idx="477">
                  <c:v>41942</c:v>
                </c:pt>
                <c:pt idx="478">
                  <c:v>41943</c:v>
                </c:pt>
                <c:pt idx="479">
                  <c:v>41946</c:v>
                </c:pt>
                <c:pt idx="480">
                  <c:v>41947</c:v>
                </c:pt>
                <c:pt idx="481">
                  <c:v>41948</c:v>
                </c:pt>
                <c:pt idx="482">
                  <c:v>41949</c:v>
                </c:pt>
                <c:pt idx="483">
                  <c:v>41950</c:v>
                </c:pt>
                <c:pt idx="484">
                  <c:v>41953</c:v>
                </c:pt>
                <c:pt idx="485">
                  <c:v>41954</c:v>
                </c:pt>
                <c:pt idx="486">
                  <c:v>41955</c:v>
                </c:pt>
                <c:pt idx="487">
                  <c:v>41956</c:v>
                </c:pt>
                <c:pt idx="488">
                  <c:v>41957</c:v>
                </c:pt>
                <c:pt idx="489">
                  <c:v>41960</c:v>
                </c:pt>
                <c:pt idx="490">
                  <c:v>41961</c:v>
                </c:pt>
                <c:pt idx="491">
                  <c:v>41962</c:v>
                </c:pt>
                <c:pt idx="492">
                  <c:v>41963</c:v>
                </c:pt>
                <c:pt idx="493">
                  <c:v>41964</c:v>
                </c:pt>
                <c:pt idx="494">
                  <c:v>41967</c:v>
                </c:pt>
                <c:pt idx="495">
                  <c:v>41968</c:v>
                </c:pt>
                <c:pt idx="496">
                  <c:v>41969</c:v>
                </c:pt>
                <c:pt idx="497">
                  <c:v>41970</c:v>
                </c:pt>
                <c:pt idx="498">
                  <c:v>41971</c:v>
                </c:pt>
                <c:pt idx="499">
                  <c:v>41974</c:v>
                </c:pt>
                <c:pt idx="500">
                  <c:v>41975</c:v>
                </c:pt>
                <c:pt idx="501">
                  <c:v>41976</c:v>
                </c:pt>
                <c:pt idx="502">
                  <c:v>41977</c:v>
                </c:pt>
                <c:pt idx="503">
                  <c:v>41978</c:v>
                </c:pt>
                <c:pt idx="504">
                  <c:v>41981</c:v>
                </c:pt>
                <c:pt idx="505">
                  <c:v>41982</c:v>
                </c:pt>
                <c:pt idx="506">
                  <c:v>41983</c:v>
                </c:pt>
                <c:pt idx="507">
                  <c:v>41984</c:v>
                </c:pt>
                <c:pt idx="508">
                  <c:v>41985</c:v>
                </c:pt>
                <c:pt idx="509">
                  <c:v>41988</c:v>
                </c:pt>
                <c:pt idx="510">
                  <c:v>41989</c:v>
                </c:pt>
                <c:pt idx="511">
                  <c:v>41990</c:v>
                </c:pt>
                <c:pt idx="512">
                  <c:v>41991</c:v>
                </c:pt>
                <c:pt idx="513">
                  <c:v>41992</c:v>
                </c:pt>
                <c:pt idx="514">
                  <c:v>41995</c:v>
                </c:pt>
                <c:pt idx="515">
                  <c:v>41996</c:v>
                </c:pt>
                <c:pt idx="516">
                  <c:v>41997</c:v>
                </c:pt>
                <c:pt idx="517">
                  <c:v>41998</c:v>
                </c:pt>
                <c:pt idx="518">
                  <c:v>41999</c:v>
                </c:pt>
                <c:pt idx="519">
                  <c:v>42002</c:v>
                </c:pt>
                <c:pt idx="520">
                  <c:v>42003</c:v>
                </c:pt>
                <c:pt idx="521">
                  <c:v>42004</c:v>
                </c:pt>
                <c:pt idx="522">
                  <c:v>42005</c:v>
                </c:pt>
                <c:pt idx="523">
                  <c:v>42006</c:v>
                </c:pt>
                <c:pt idx="524">
                  <c:v>42009</c:v>
                </c:pt>
                <c:pt idx="525">
                  <c:v>42010</c:v>
                </c:pt>
                <c:pt idx="526">
                  <c:v>42011</c:v>
                </c:pt>
                <c:pt idx="527">
                  <c:v>42012</c:v>
                </c:pt>
                <c:pt idx="528">
                  <c:v>42013</c:v>
                </c:pt>
                <c:pt idx="529">
                  <c:v>42016</c:v>
                </c:pt>
                <c:pt idx="530">
                  <c:v>42017</c:v>
                </c:pt>
                <c:pt idx="531">
                  <c:v>42018</c:v>
                </c:pt>
                <c:pt idx="532">
                  <c:v>42019</c:v>
                </c:pt>
                <c:pt idx="533">
                  <c:v>42020</c:v>
                </c:pt>
                <c:pt idx="534">
                  <c:v>42023</c:v>
                </c:pt>
                <c:pt idx="535">
                  <c:v>42024</c:v>
                </c:pt>
                <c:pt idx="536">
                  <c:v>42025</c:v>
                </c:pt>
                <c:pt idx="537">
                  <c:v>42026</c:v>
                </c:pt>
                <c:pt idx="538">
                  <c:v>42027</c:v>
                </c:pt>
                <c:pt idx="539">
                  <c:v>42030</c:v>
                </c:pt>
                <c:pt idx="540">
                  <c:v>42031</c:v>
                </c:pt>
                <c:pt idx="541">
                  <c:v>42032</c:v>
                </c:pt>
                <c:pt idx="542">
                  <c:v>42033</c:v>
                </c:pt>
                <c:pt idx="543">
                  <c:v>42034</c:v>
                </c:pt>
                <c:pt idx="544">
                  <c:v>42037</c:v>
                </c:pt>
                <c:pt idx="545">
                  <c:v>42038</c:v>
                </c:pt>
                <c:pt idx="546">
                  <c:v>42039</c:v>
                </c:pt>
                <c:pt idx="547">
                  <c:v>42040</c:v>
                </c:pt>
                <c:pt idx="548">
                  <c:v>42041</c:v>
                </c:pt>
                <c:pt idx="549">
                  <c:v>42044</c:v>
                </c:pt>
                <c:pt idx="550">
                  <c:v>42045</c:v>
                </c:pt>
                <c:pt idx="551">
                  <c:v>42046</c:v>
                </c:pt>
                <c:pt idx="552">
                  <c:v>42047</c:v>
                </c:pt>
                <c:pt idx="553">
                  <c:v>42048</c:v>
                </c:pt>
                <c:pt idx="554">
                  <c:v>42051</c:v>
                </c:pt>
                <c:pt idx="555">
                  <c:v>42052</c:v>
                </c:pt>
                <c:pt idx="556">
                  <c:v>42053</c:v>
                </c:pt>
                <c:pt idx="557">
                  <c:v>42054</c:v>
                </c:pt>
                <c:pt idx="558">
                  <c:v>42055</c:v>
                </c:pt>
                <c:pt idx="559">
                  <c:v>42058</c:v>
                </c:pt>
                <c:pt idx="560">
                  <c:v>42059</c:v>
                </c:pt>
                <c:pt idx="561">
                  <c:v>42060</c:v>
                </c:pt>
                <c:pt idx="562">
                  <c:v>42061</c:v>
                </c:pt>
                <c:pt idx="563">
                  <c:v>42062</c:v>
                </c:pt>
                <c:pt idx="564">
                  <c:v>42065</c:v>
                </c:pt>
                <c:pt idx="565">
                  <c:v>42066</c:v>
                </c:pt>
                <c:pt idx="566">
                  <c:v>42067</c:v>
                </c:pt>
                <c:pt idx="567">
                  <c:v>42068</c:v>
                </c:pt>
                <c:pt idx="568">
                  <c:v>42069</c:v>
                </c:pt>
                <c:pt idx="569">
                  <c:v>42072</c:v>
                </c:pt>
                <c:pt idx="570">
                  <c:v>42073</c:v>
                </c:pt>
                <c:pt idx="571">
                  <c:v>42074</c:v>
                </c:pt>
                <c:pt idx="572">
                  <c:v>42075</c:v>
                </c:pt>
                <c:pt idx="573">
                  <c:v>42076</c:v>
                </c:pt>
                <c:pt idx="574">
                  <c:v>42079</c:v>
                </c:pt>
                <c:pt idx="575">
                  <c:v>42080</c:v>
                </c:pt>
                <c:pt idx="576">
                  <c:v>42081</c:v>
                </c:pt>
                <c:pt idx="577">
                  <c:v>42082</c:v>
                </c:pt>
                <c:pt idx="578">
                  <c:v>42083</c:v>
                </c:pt>
                <c:pt idx="579">
                  <c:v>42086</c:v>
                </c:pt>
                <c:pt idx="580">
                  <c:v>42087</c:v>
                </c:pt>
                <c:pt idx="581">
                  <c:v>42088</c:v>
                </c:pt>
                <c:pt idx="582">
                  <c:v>42089</c:v>
                </c:pt>
                <c:pt idx="583">
                  <c:v>42090</c:v>
                </c:pt>
                <c:pt idx="584">
                  <c:v>42093</c:v>
                </c:pt>
                <c:pt idx="585">
                  <c:v>42094</c:v>
                </c:pt>
                <c:pt idx="586">
                  <c:v>42095</c:v>
                </c:pt>
                <c:pt idx="587">
                  <c:v>42096</c:v>
                </c:pt>
                <c:pt idx="588">
                  <c:v>42097</c:v>
                </c:pt>
                <c:pt idx="589">
                  <c:v>42100</c:v>
                </c:pt>
                <c:pt idx="590">
                  <c:v>42101</c:v>
                </c:pt>
                <c:pt idx="591">
                  <c:v>42102</c:v>
                </c:pt>
                <c:pt idx="592">
                  <c:v>42103</c:v>
                </c:pt>
                <c:pt idx="593">
                  <c:v>42104</c:v>
                </c:pt>
                <c:pt idx="594">
                  <c:v>42107</c:v>
                </c:pt>
                <c:pt idx="595">
                  <c:v>42108</c:v>
                </c:pt>
                <c:pt idx="596">
                  <c:v>42109</c:v>
                </c:pt>
                <c:pt idx="597">
                  <c:v>42110</c:v>
                </c:pt>
                <c:pt idx="598">
                  <c:v>42111</c:v>
                </c:pt>
                <c:pt idx="599">
                  <c:v>42114</c:v>
                </c:pt>
                <c:pt idx="600">
                  <c:v>42115</c:v>
                </c:pt>
                <c:pt idx="601">
                  <c:v>42116</c:v>
                </c:pt>
                <c:pt idx="602">
                  <c:v>42117</c:v>
                </c:pt>
                <c:pt idx="603">
                  <c:v>42118</c:v>
                </c:pt>
                <c:pt idx="604">
                  <c:v>42121</c:v>
                </c:pt>
                <c:pt idx="605">
                  <c:v>42122</c:v>
                </c:pt>
                <c:pt idx="606">
                  <c:v>42123</c:v>
                </c:pt>
                <c:pt idx="607">
                  <c:v>42124</c:v>
                </c:pt>
                <c:pt idx="608">
                  <c:v>42125</c:v>
                </c:pt>
                <c:pt idx="609">
                  <c:v>42128</c:v>
                </c:pt>
                <c:pt idx="610">
                  <c:v>42129</c:v>
                </c:pt>
                <c:pt idx="611">
                  <c:v>42130</c:v>
                </c:pt>
                <c:pt idx="612">
                  <c:v>42131</c:v>
                </c:pt>
                <c:pt idx="613">
                  <c:v>42132</c:v>
                </c:pt>
                <c:pt idx="614">
                  <c:v>42135</c:v>
                </c:pt>
                <c:pt idx="615">
                  <c:v>42136</c:v>
                </c:pt>
                <c:pt idx="616">
                  <c:v>42137</c:v>
                </c:pt>
                <c:pt idx="617">
                  <c:v>42138</c:v>
                </c:pt>
                <c:pt idx="618">
                  <c:v>42139</c:v>
                </c:pt>
                <c:pt idx="619">
                  <c:v>42142</c:v>
                </c:pt>
                <c:pt idx="620">
                  <c:v>42143</c:v>
                </c:pt>
                <c:pt idx="621">
                  <c:v>42144</c:v>
                </c:pt>
                <c:pt idx="622">
                  <c:v>42145</c:v>
                </c:pt>
                <c:pt idx="623">
                  <c:v>42146</c:v>
                </c:pt>
                <c:pt idx="624">
                  <c:v>42149</c:v>
                </c:pt>
                <c:pt idx="625">
                  <c:v>42150</c:v>
                </c:pt>
                <c:pt idx="626">
                  <c:v>42151</c:v>
                </c:pt>
                <c:pt idx="627">
                  <c:v>42152</c:v>
                </c:pt>
                <c:pt idx="628">
                  <c:v>42153</c:v>
                </c:pt>
                <c:pt idx="629">
                  <c:v>42156</c:v>
                </c:pt>
                <c:pt idx="630">
                  <c:v>42157</c:v>
                </c:pt>
                <c:pt idx="631">
                  <c:v>42158</c:v>
                </c:pt>
                <c:pt idx="632">
                  <c:v>42159</c:v>
                </c:pt>
                <c:pt idx="633">
                  <c:v>42160</c:v>
                </c:pt>
                <c:pt idx="634">
                  <c:v>42163</c:v>
                </c:pt>
                <c:pt idx="635">
                  <c:v>42164</c:v>
                </c:pt>
                <c:pt idx="636">
                  <c:v>42165</c:v>
                </c:pt>
                <c:pt idx="637">
                  <c:v>42166</c:v>
                </c:pt>
                <c:pt idx="638">
                  <c:v>42167</c:v>
                </c:pt>
                <c:pt idx="639">
                  <c:v>42170</c:v>
                </c:pt>
                <c:pt idx="640">
                  <c:v>42171</c:v>
                </c:pt>
                <c:pt idx="641">
                  <c:v>42172</c:v>
                </c:pt>
                <c:pt idx="642">
                  <c:v>42173</c:v>
                </c:pt>
                <c:pt idx="643">
                  <c:v>42174</c:v>
                </c:pt>
                <c:pt idx="644">
                  <c:v>42177</c:v>
                </c:pt>
                <c:pt idx="645">
                  <c:v>42178</c:v>
                </c:pt>
                <c:pt idx="646">
                  <c:v>42179</c:v>
                </c:pt>
                <c:pt idx="647">
                  <c:v>42180</c:v>
                </c:pt>
                <c:pt idx="648">
                  <c:v>42181</c:v>
                </c:pt>
                <c:pt idx="649">
                  <c:v>42184</c:v>
                </c:pt>
                <c:pt idx="650">
                  <c:v>42185</c:v>
                </c:pt>
                <c:pt idx="651">
                  <c:v>42186</c:v>
                </c:pt>
                <c:pt idx="652">
                  <c:v>42187</c:v>
                </c:pt>
                <c:pt idx="653">
                  <c:v>42188</c:v>
                </c:pt>
                <c:pt idx="654">
                  <c:v>42191</c:v>
                </c:pt>
                <c:pt idx="655">
                  <c:v>42192</c:v>
                </c:pt>
                <c:pt idx="656">
                  <c:v>42193</c:v>
                </c:pt>
                <c:pt idx="657">
                  <c:v>42194</c:v>
                </c:pt>
                <c:pt idx="658">
                  <c:v>42195</c:v>
                </c:pt>
                <c:pt idx="659">
                  <c:v>42198</c:v>
                </c:pt>
                <c:pt idx="660">
                  <c:v>42199</c:v>
                </c:pt>
                <c:pt idx="661">
                  <c:v>42200</c:v>
                </c:pt>
                <c:pt idx="662">
                  <c:v>42201</c:v>
                </c:pt>
                <c:pt idx="663">
                  <c:v>42202</c:v>
                </c:pt>
                <c:pt idx="664">
                  <c:v>42205</c:v>
                </c:pt>
                <c:pt idx="665">
                  <c:v>42206</c:v>
                </c:pt>
                <c:pt idx="666">
                  <c:v>42207</c:v>
                </c:pt>
                <c:pt idx="667">
                  <c:v>42208</c:v>
                </c:pt>
                <c:pt idx="668">
                  <c:v>42209</c:v>
                </c:pt>
                <c:pt idx="669">
                  <c:v>42212</c:v>
                </c:pt>
                <c:pt idx="670">
                  <c:v>42213</c:v>
                </c:pt>
                <c:pt idx="671">
                  <c:v>42214</c:v>
                </c:pt>
                <c:pt idx="672">
                  <c:v>42215</c:v>
                </c:pt>
                <c:pt idx="673">
                  <c:v>42216</c:v>
                </c:pt>
                <c:pt idx="674">
                  <c:v>42219</c:v>
                </c:pt>
                <c:pt idx="675">
                  <c:v>42220</c:v>
                </c:pt>
                <c:pt idx="676">
                  <c:v>42221</c:v>
                </c:pt>
                <c:pt idx="677">
                  <c:v>42222</c:v>
                </c:pt>
                <c:pt idx="678">
                  <c:v>42223</c:v>
                </c:pt>
                <c:pt idx="679">
                  <c:v>42226</c:v>
                </c:pt>
                <c:pt idx="680">
                  <c:v>42227</c:v>
                </c:pt>
                <c:pt idx="681">
                  <c:v>42228</c:v>
                </c:pt>
                <c:pt idx="682">
                  <c:v>42229</c:v>
                </c:pt>
                <c:pt idx="683">
                  <c:v>42230</c:v>
                </c:pt>
                <c:pt idx="684">
                  <c:v>42233</c:v>
                </c:pt>
                <c:pt idx="685">
                  <c:v>42234</c:v>
                </c:pt>
                <c:pt idx="686">
                  <c:v>42235</c:v>
                </c:pt>
                <c:pt idx="687">
                  <c:v>42236</c:v>
                </c:pt>
                <c:pt idx="688">
                  <c:v>42237</c:v>
                </c:pt>
                <c:pt idx="689">
                  <c:v>42240</c:v>
                </c:pt>
                <c:pt idx="690">
                  <c:v>42241</c:v>
                </c:pt>
                <c:pt idx="691">
                  <c:v>42242</c:v>
                </c:pt>
                <c:pt idx="692">
                  <c:v>42243</c:v>
                </c:pt>
                <c:pt idx="693">
                  <c:v>42244</c:v>
                </c:pt>
                <c:pt idx="694">
                  <c:v>42247</c:v>
                </c:pt>
                <c:pt idx="695">
                  <c:v>42248</c:v>
                </c:pt>
                <c:pt idx="696">
                  <c:v>42249</c:v>
                </c:pt>
                <c:pt idx="697">
                  <c:v>42250</c:v>
                </c:pt>
                <c:pt idx="698">
                  <c:v>42251</c:v>
                </c:pt>
                <c:pt idx="699">
                  <c:v>42254</c:v>
                </c:pt>
                <c:pt idx="700">
                  <c:v>42255</c:v>
                </c:pt>
                <c:pt idx="701">
                  <c:v>42256</c:v>
                </c:pt>
                <c:pt idx="702">
                  <c:v>42257</c:v>
                </c:pt>
                <c:pt idx="703">
                  <c:v>42258</c:v>
                </c:pt>
                <c:pt idx="704">
                  <c:v>42261</c:v>
                </c:pt>
                <c:pt idx="705">
                  <c:v>42262</c:v>
                </c:pt>
                <c:pt idx="706">
                  <c:v>42263</c:v>
                </c:pt>
                <c:pt idx="707">
                  <c:v>42264</c:v>
                </c:pt>
                <c:pt idx="708">
                  <c:v>42265</c:v>
                </c:pt>
                <c:pt idx="709">
                  <c:v>42268</c:v>
                </c:pt>
                <c:pt idx="710">
                  <c:v>42269</c:v>
                </c:pt>
                <c:pt idx="711">
                  <c:v>42270</c:v>
                </c:pt>
                <c:pt idx="712">
                  <c:v>42271</c:v>
                </c:pt>
                <c:pt idx="713">
                  <c:v>42272</c:v>
                </c:pt>
                <c:pt idx="714">
                  <c:v>42275</c:v>
                </c:pt>
                <c:pt idx="715">
                  <c:v>42276</c:v>
                </c:pt>
                <c:pt idx="716">
                  <c:v>42277</c:v>
                </c:pt>
                <c:pt idx="717">
                  <c:v>42278</c:v>
                </c:pt>
                <c:pt idx="718">
                  <c:v>42279</c:v>
                </c:pt>
                <c:pt idx="719">
                  <c:v>42282</c:v>
                </c:pt>
                <c:pt idx="720">
                  <c:v>42283</c:v>
                </c:pt>
                <c:pt idx="721">
                  <c:v>42284</c:v>
                </c:pt>
                <c:pt idx="722">
                  <c:v>42285</c:v>
                </c:pt>
                <c:pt idx="723">
                  <c:v>42286</c:v>
                </c:pt>
                <c:pt idx="724">
                  <c:v>42289</c:v>
                </c:pt>
                <c:pt idx="725">
                  <c:v>42290</c:v>
                </c:pt>
                <c:pt idx="726">
                  <c:v>42291</c:v>
                </c:pt>
                <c:pt idx="727">
                  <c:v>42292</c:v>
                </c:pt>
                <c:pt idx="728">
                  <c:v>42293</c:v>
                </c:pt>
                <c:pt idx="729">
                  <c:v>42296</c:v>
                </c:pt>
                <c:pt idx="730">
                  <c:v>42297</c:v>
                </c:pt>
                <c:pt idx="731">
                  <c:v>42298</c:v>
                </c:pt>
                <c:pt idx="732">
                  <c:v>42299</c:v>
                </c:pt>
                <c:pt idx="733">
                  <c:v>42300</c:v>
                </c:pt>
                <c:pt idx="734">
                  <c:v>42303</c:v>
                </c:pt>
                <c:pt idx="735">
                  <c:v>42304</c:v>
                </c:pt>
                <c:pt idx="736">
                  <c:v>42305</c:v>
                </c:pt>
                <c:pt idx="737">
                  <c:v>42306</c:v>
                </c:pt>
                <c:pt idx="738">
                  <c:v>42307</c:v>
                </c:pt>
                <c:pt idx="739">
                  <c:v>42310</c:v>
                </c:pt>
                <c:pt idx="740">
                  <c:v>42311</c:v>
                </c:pt>
                <c:pt idx="741">
                  <c:v>42312</c:v>
                </c:pt>
                <c:pt idx="742">
                  <c:v>42313</c:v>
                </c:pt>
                <c:pt idx="743">
                  <c:v>42314</c:v>
                </c:pt>
                <c:pt idx="744">
                  <c:v>42317</c:v>
                </c:pt>
                <c:pt idx="745">
                  <c:v>42318</c:v>
                </c:pt>
                <c:pt idx="746">
                  <c:v>42319</c:v>
                </c:pt>
                <c:pt idx="747">
                  <c:v>42320</c:v>
                </c:pt>
                <c:pt idx="748">
                  <c:v>42321</c:v>
                </c:pt>
                <c:pt idx="749">
                  <c:v>42324</c:v>
                </c:pt>
                <c:pt idx="750">
                  <c:v>42325</c:v>
                </c:pt>
                <c:pt idx="751">
                  <c:v>42326</c:v>
                </c:pt>
                <c:pt idx="752">
                  <c:v>42327</c:v>
                </c:pt>
                <c:pt idx="753">
                  <c:v>42328</c:v>
                </c:pt>
                <c:pt idx="754">
                  <c:v>42331</c:v>
                </c:pt>
                <c:pt idx="755">
                  <c:v>42332</c:v>
                </c:pt>
                <c:pt idx="756">
                  <c:v>42333</c:v>
                </c:pt>
                <c:pt idx="757">
                  <c:v>42334</c:v>
                </c:pt>
                <c:pt idx="758">
                  <c:v>42335</c:v>
                </c:pt>
                <c:pt idx="759">
                  <c:v>42338</c:v>
                </c:pt>
                <c:pt idx="760">
                  <c:v>42339</c:v>
                </c:pt>
                <c:pt idx="761">
                  <c:v>42340</c:v>
                </c:pt>
                <c:pt idx="762">
                  <c:v>42341</c:v>
                </c:pt>
                <c:pt idx="763">
                  <c:v>42342</c:v>
                </c:pt>
                <c:pt idx="764">
                  <c:v>42345</c:v>
                </c:pt>
                <c:pt idx="765">
                  <c:v>42346</c:v>
                </c:pt>
                <c:pt idx="766">
                  <c:v>42347</c:v>
                </c:pt>
                <c:pt idx="767">
                  <c:v>42348</c:v>
                </c:pt>
                <c:pt idx="768">
                  <c:v>42349</c:v>
                </c:pt>
                <c:pt idx="769">
                  <c:v>42352</c:v>
                </c:pt>
                <c:pt idx="770">
                  <c:v>42353</c:v>
                </c:pt>
                <c:pt idx="771">
                  <c:v>42354</c:v>
                </c:pt>
                <c:pt idx="772">
                  <c:v>42355</c:v>
                </c:pt>
                <c:pt idx="773">
                  <c:v>42356</c:v>
                </c:pt>
                <c:pt idx="774">
                  <c:v>42359</c:v>
                </c:pt>
                <c:pt idx="775">
                  <c:v>42360</c:v>
                </c:pt>
                <c:pt idx="776">
                  <c:v>42361</c:v>
                </c:pt>
                <c:pt idx="777">
                  <c:v>42362</c:v>
                </c:pt>
                <c:pt idx="778">
                  <c:v>42363</c:v>
                </c:pt>
                <c:pt idx="779">
                  <c:v>42366</c:v>
                </c:pt>
                <c:pt idx="780">
                  <c:v>42367</c:v>
                </c:pt>
                <c:pt idx="781">
                  <c:v>42368</c:v>
                </c:pt>
                <c:pt idx="782">
                  <c:v>42369</c:v>
                </c:pt>
                <c:pt idx="783">
                  <c:v>42370</c:v>
                </c:pt>
                <c:pt idx="784">
                  <c:v>42373</c:v>
                </c:pt>
                <c:pt idx="785">
                  <c:v>42374</c:v>
                </c:pt>
                <c:pt idx="786">
                  <c:v>42375</c:v>
                </c:pt>
                <c:pt idx="787">
                  <c:v>42376</c:v>
                </c:pt>
                <c:pt idx="788">
                  <c:v>42377</c:v>
                </c:pt>
                <c:pt idx="789">
                  <c:v>42380</c:v>
                </c:pt>
                <c:pt idx="790">
                  <c:v>42381</c:v>
                </c:pt>
                <c:pt idx="791">
                  <c:v>42382</c:v>
                </c:pt>
                <c:pt idx="792">
                  <c:v>42383</c:v>
                </c:pt>
                <c:pt idx="793">
                  <c:v>42384</c:v>
                </c:pt>
                <c:pt idx="794">
                  <c:v>42387</c:v>
                </c:pt>
                <c:pt idx="795">
                  <c:v>42388</c:v>
                </c:pt>
                <c:pt idx="796">
                  <c:v>42389</c:v>
                </c:pt>
                <c:pt idx="797">
                  <c:v>42390</c:v>
                </c:pt>
                <c:pt idx="798">
                  <c:v>42391</c:v>
                </c:pt>
                <c:pt idx="799">
                  <c:v>42394</c:v>
                </c:pt>
                <c:pt idx="800">
                  <c:v>42395</c:v>
                </c:pt>
                <c:pt idx="801">
                  <c:v>42396</c:v>
                </c:pt>
                <c:pt idx="802">
                  <c:v>42397</c:v>
                </c:pt>
                <c:pt idx="803">
                  <c:v>42398</c:v>
                </c:pt>
                <c:pt idx="804">
                  <c:v>42401</c:v>
                </c:pt>
                <c:pt idx="805">
                  <c:v>42402</c:v>
                </c:pt>
                <c:pt idx="806">
                  <c:v>42403</c:v>
                </c:pt>
                <c:pt idx="807">
                  <c:v>42404</c:v>
                </c:pt>
                <c:pt idx="808">
                  <c:v>42405</c:v>
                </c:pt>
                <c:pt idx="809">
                  <c:v>42408</c:v>
                </c:pt>
                <c:pt idx="810">
                  <c:v>42409</c:v>
                </c:pt>
                <c:pt idx="811">
                  <c:v>42410</c:v>
                </c:pt>
                <c:pt idx="812">
                  <c:v>42411</c:v>
                </c:pt>
                <c:pt idx="813">
                  <c:v>42412</c:v>
                </c:pt>
                <c:pt idx="814">
                  <c:v>42415</c:v>
                </c:pt>
                <c:pt idx="815">
                  <c:v>42416</c:v>
                </c:pt>
                <c:pt idx="816">
                  <c:v>42417</c:v>
                </c:pt>
                <c:pt idx="817">
                  <c:v>42418</c:v>
                </c:pt>
                <c:pt idx="818">
                  <c:v>42419</c:v>
                </c:pt>
                <c:pt idx="819">
                  <c:v>42422</c:v>
                </c:pt>
                <c:pt idx="820">
                  <c:v>42423</c:v>
                </c:pt>
                <c:pt idx="821">
                  <c:v>42424</c:v>
                </c:pt>
                <c:pt idx="822">
                  <c:v>42425</c:v>
                </c:pt>
                <c:pt idx="823">
                  <c:v>42426</c:v>
                </c:pt>
                <c:pt idx="824">
                  <c:v>42429</c:v>
                </c:pt>
                <c:pt idx="825">
                  <c:v>42430</c:v>
                </c:pt>
                <c:pt idx="826">
                  <c:v>42431</c:v>
                </c:pt>
                <c:pt idx="827">
                  <c:v>42432</c:v>
                </c:pt>
                <c:pt idx="828">
                  <c:v>42433</c:v>
                </c:pt>
                <c:pt idx="829">
                  <c:v>42436</c:v>
                </c:pt>
                <c:pt idx="830">
                  <c:v>42437</c:v>
                </c:pt>
                <c:pt idx="831">
                  <c:v>42438</c:v>
                </c:pt>
                <c:pt idx="832">
                  <c:v>42439</c:v>
                </c:pt>
                <c:pt idx="833">
                  <c:v>42440</c:v>
                </c:pt>
                <c:pt idx="834">
                  <c:v>42443</c:v>
                </c:pt>
                <c:pt idx="835">
                  <c:v>42444</c:v>
                </c:pt>
                <c:pt idx="836">
                  <c:v>42445</c:v>
                </c:pt>
                <c:pt idx="837">
                  <c:v>42446</c:v>
                </c:pt>
                <c:pt idx="838">
                  <c:v>42447</c:v>
                </c:pt>
                <c:pt idx="839">
                  <c:v>42450</c:v>
                </c:pt>
                <c:pt idx="840">
                  <c:v>42451</c:v>
                </c:pt>
                <c:pt idx="841">
                  <c:v>42452</c:v>
                </c:pt>
                <c:pt idx="842">
                  <c:v>42453</c:v>
                </c:pt>
                <c:pt idx="843">
                  <c:v>42454</c:v>
                </c:pt>
                <c:pt idx="844">
                  <c:v>42457</c:v>
                </c:pt>
                <c:pt idx="845">
                  <c:v>42458</c:v>
                </c:pt>
                <c:pt idx="846">
                  <c:v>42459</c:v>
                </c:pt>
                <c:pt idx="847">
                  <c:v>42460</c:v>
                </c:pt>
                <c:pt idx="848">
                  <c:v>42461</c:v>
                </c:pt>
                <c:pt idx="849">
                  <c:v>42464</c:v>
                </c:pt>
                <c:pt idx="850">
                  <c:v>42465</c:v>
                </c:pt>
                <c:pt idx="851">
                  <c:v>42466</c:v>
                </c:pt>
                <c:pt idx="852">
                  <c:v>42467</c:v>
                </c:pt>
                <c:pt idx="853">
                  <c:v>42468</c:v>
                </c:pt>
                <c:pt idx="854">
                  <c:v>42471</c:v>
                </c:pt>
                <c:pt idx="855">
                  <c:v>42472</c:v>
                </c:pt>
                <c:pt idx="856">
                  <c:v>42473</c:v>
                </c:pt>
                <c:pt idx="857">
                  <c:v>42474</c:v>
                </c:pt>
                <c:pt idx="858">
                  <c:v>42475</c:v>
                </c:pt>
                <c:pt idx="859">
                  <c:v>42478</c:v>
                </c:pt>
                <c:pt idx="860">
                  <c:v>42479</c:v>
                </c:pt>
                <c:pt idx="861">
                  <c:v>42480</c:v>
                </c:pt>
                <c:pt idx="862">
                  <c:v>42481</c:v>
                </c:pt>
                <c:pt idx="863">
                  <c:v>42482</c:v>
                </c:pt>
                <c:pt idx="864">
                  <c:v>42485</c:v>
                </c:pt>
                <c:pt idx="865">
                  <c:v>42486</c:v>
                </c:pt>
                <c:pt idx="866">
                  <c:v>42487</c:v>
                </c:pt>
                <c:pt idx="867">
                  <c:v>42488</c:v>
                </c:pt>
                <c:pt idx="868">
                  <c:v>42489</c:v>
                </c:pt>
                <c:pt idx="869">
                  <c:v>42492</c:v>
                </c:pt>
                <c:pt idx="870">
                  <c:v>42493</c:v>
                </c:pt>
                <c:pt idx="871">
                  <c:v>42494</c:v>
                </c:pt>
                <c:pt idx="872">
                  <c:v>42495</c:v>
                </c:pt>
                <c:pt idx="873">
                  <c:v>42496</c:v>
                </c:pt>
                <c:pt idx="874">
                  <c:v>42499</c:v>
                </c:pt>
                <c:pt idx="875">
                  <c:v>42500</c:v>
                </c:pt>
                <c:pt idx="876">
                  <c:v>42501</c:v>
                </c:pt>
                <c:pt idx="877">
                  <c:v>42502</c:v>
                </c:pt>
                <c:pt idx="878">
                  <c:v>42503</c:v>
                </c:pt>
                <c:pt idx="879">
                  <c:v>42506</c:v>
                </c:pt>
                <c:pt idx="880">
                  <c:v>42507</c:v>
                </c:pt>
                <c:pt idx="881">
                  <c:v>42508</c:v>
                </c:pt>
                <c:pt idx="882">
                  <c:v>42509</c:v>
                </c:pt>
                <c:pt idx="883">
                  <c:v>42510</c:v>
                </c:pt>
                <c:pt idx="884">
                  <c:v>42513</c:v>
                </c:pt>
                <c:pt idx="885">
                  <c:v>42514</c:v>
                </c:pt>
                <c:pt idx="886">
                  <c:v>42515</c:v>
                </c:pt>
                <c:pt idx="887">
                  <c:v>42516</c:v>
                </c:pt>
                <c:pt idx="888">
                  <c:v>42517</c:v>
                </c:pt>
                <c:pt idx="889">
                  <c:v>42520</c:v>
                </c:pt>
                <c:pt idx="890">
                  <c:v>42521</c:v>
                </c:pt>
                <c:pt idx="891">
                  <c:v>42522</c:v>
                </c:pt>
                <c:pt idx="892">
                  <c:v>42523</c:v>
                </c:pt>
                <c:pt idx="893">
                  <c:v>42524</c:v>
                </c:pt>
                <c:pt idx="894">
                  <c:v>42527</c:v>
                </c:pt>
                <c:pt idx="895">
                  <c:v>42528</c:v>
                </c:pt>
                <c:pt idx="896">
                  <c:v>42529</c:v>
                </c:pt>
                <c:pt idx="897">
                  <c:v>42530</c:v>
                </c:pt>
                <c:pt idx="898">
                  <c:v>42531</c:v>
                </c:pt>
                <c:pt idx="899">
                  <c:v>42534</c:v>
                </c:pt>
                <c:pt idx="900">
                  <c:v>42535</c:v>
                </c:pt>
                <c:pt idx="901">
                  <c:v>42536</c:v>
                </c:pt>
                <c:pt idx="902">
                  <c:v>42537</c:v>
                </c:pt>
                <c:pt idx="903">
                  <c:v>42538</c:v>
                </c:pt>
                <c:pt idx="904">
                  <c:v>42541</c:v>
                </c:pt>
                <c:pt idx="905">
                  <c:v>42542</c:v>
                </c:pt>
                <c:pt idx="906">
                  <c:v>42543</c:v>
                </c:pt>
                <c:pt idx="907">
                  <c:v>42544</c:v>
                </c:pt>
                <c:pt idx="908">
                  <c:v>42545</c:v>
                </c:pt>
                <c:pt idx="909">
                  <c:v>42548</c:v>
                </c:pt>
                <c:pt idx="910">
                  <c:v>42549</c:v>
                </c:pt>
                <c:pt idx="911">
                  <c:v>42550</c:v>
                </c:pt>
                <c:pt idx="912">
                  <c:v>42551</c:v>
                </c:pt>
                <c:pt idx="913">
                  <c:v>42552</c:v>
                </c:pt>
                <c:pt idx="914">
                  <c:v>42555</c:v>
                </c:pt>
                <c:pt idx="915">
                  <c:v>42556</c:v>
                </c:pt>
                <c:pt idx="916">
                  <c:v>42557</c:v>
                </c:pt>
                <c:pt idx="917">
                  <c:v>42558</c:v>
                </c:pt>
                <c:pt idx="918">
                  <c:v>42559</c:v>
                </c:pt>
                <c:pt idx="919">
                  <c:v>42562</c:v>
                </c:pt>
                <c:pt idx="920">
                  <c:v>42563</c:v>
                </c:pt>
                <c:pt idx="921">
                  <c:v>42564</c:v>
                </c:pt>
                <c:pt idx="922">
                  <c:v>42565</c:v>
                </c:pt>
                <c:pt idx="923">
                  <c:v>42566</c:v>
                </c:pt>
                <c:pt idx="924">
                  <c:v>42569</c:v>
                </c:pt>
                <c:pt idx="925">
                  <c:v>42570</c:v>
                </c:pt>
                <c:pt idx="926">
                  <c:v>42571</c:v>
                </c:pt>
                <c:pt idx="927">
                  <c:v>42572</c:v>
                </c:pt>
                <c:pt idx="928">
                  <c:v>42573</c:v>
                </c:pt>
                <c:pt idx="929">
                  <c:v>42576</c:v>
                </c:pt>
                <c:pt idx="930">
                  <c:v>42577</c:v>
                </c:pt>
                <c:pt idx="931">
                  <c:v>42578</c:v>
                </c:pt>
                <c:pt idx="932">
                  <c:v>42579</c:v>
                </c:pt>
                <c:pt idx="933">
                  <c:v>42580</c:v>
                </c:pt>
                <c:pt idx="934">
                  <c:v>42583</c:v>
                </c:pt>
                <c:pt idx="935">
                  <c:v>42584</c:v>
                </c:pt>
                <c:pt idx="936">
                  <c:v>42585</c:v>
                </c:pt>
                <c:pt idx="937">
                  <c:v>42586</c:v>
                </c:pt>
                <c:pt idx="938">
                  <c:v>42587</c:v>
                </c:pt>
                <c:pt idx="939">
                  <c:v>42590</c:v>
                </c:pt>
                <c:pt idx="940">
                  <c:v>42591</c:v>
                </c:pt>
                <c:pt idx="941">
                  <c:v>42592</c:v>
                </c:pt>
                <c:pt idx="942">
                  <c:v>42593</c:v>
                </c:pt>
                <c:pt idx="943">
                  <c:v>42594</c:v>
                </c:pt>
                <c:pt idx="944">
                  <c:v>42597</c:v>
                </c:pt>
                <c:pt idx="945">
                  <c:v>42598</c:v>
                </c:pt>
                <c:pt idx="946">
                  <c:v>42599</c:v>
                </c:pt>
                <c:pt idx="947">
                  <c:v>42600</c:v>
                </c:pt>
                <c:pt idx="948">
                  <c:v>42601</c:v>
                </c:pt>
                <c:pt idx="949">
                  <c:v>42604</c:v>
                </c:pt>
                <c:pt idx="950">
                  <c:v>42605</c:v>
                </c:pt>
                <c:pt idx="951">
                  <c:v>42606</c:v>
                </c:pt>
                <c:pt idx="952">
                  <c:v>42607</c:v>
                </c:pt>
                <c:pt idx="953">
                  <c:v>42608</c:v>
                </c:pt>
                <c:pt idx="954">
                  <c:v>42611</c:v>
                </c:pt>
                <c:pt idx="955">
                  <c:v>42612</c:v>
                </c:pt>
                <c:pt idx="956">
                  <c:v>42613</c:v>
                </c:pt>
                <c:pt idx="957">
                  <c:v>42614</c:v>
                </c:pt>
                <c:pt idx="958">
                  <c:v>42615</c:v>
                </c:pt>
                <c:pt idx="959">
                  <c:v>42618</c:v>
                </c:pt>
                <c:pt idx="960">
                  <c:v>42619</c:v>
                </c:pt>
                <c:pt idx="961">
                  <c:v>42620</c:v>
                </c:pt>
                <c:pt idx="962">
                  <c:v>42621</c:v>
                </c:pt>
                <c:pt idx="963">
                  <c:v>42622</c:v>
                </c:pt>
                <c:pt idx="964">
                  <c:v>42625</c:v>
                </c:pt>
                <c:pt idx="965">
                  <c:v>42626</c:v>
                </c:pt>
                <c:pt idx="966">
                  <c:v>42627</c:v>
                </c:pt>
                <c:pt idx="967">
                  <c:v>42628</c:v>
                </c:pt>
                <c:pt idx="968">
                  <c:v>42629</c:v>
                </c:pt>
                <c:pt idx="969">
                  <c:v>42632</c:v>
                </c:pt>
                <c:pt idx="970">
                  <c:v>42633</c:v>
                </c:pt>
              </c:numCache>
            </c:numRef>
          </c:cat>
          <c:val>
            <c:numRef>
              <c:f>[0]!shortExoRange</c:f>
              <c:numCache>
                <c:formatCode>General</c:formatCode>
                <c:ptCount val="971"/>
                <c:pt idx="0">
                  <c:v>0</c:v>
                </c:pt>
                <c:pt idx="1">
                  <c:v>8500</c:v>
                </c:pt>
                <c:pt idx="2">
                  <c:v>8000</c:v>
                </c:pt>
                <c:pt idx="3">
                  <c:v>11750</c:v>
                </c:pt>
                <c:pt idx="4">
                  <c:v>10875</c:v>
                </c:pt>
                <c:pt idx="5">
                  <c:v>7500</c:v>
                </c:pt>
                <c:pt idx="6">
                  <c:v>6250</c:v>
                </c:pt>
                <c:pt idx="7">
                  <c:v>4375</c:v>
                </c:pt>
                <c:pt idx="8">
                  <c:v>-4125</c:v>
                </c:pt>
                <c:pt idx="9">
                  <c:v>-8000</c:v>
                </c:pt>
                <c:pt idx="10">
                  <c:v>-12500</c:v>
                </c:pt>
                <c:pt idx="11">
                  <c:v>-11250</c:v>
                </c:pt>
                <c:pt idx="12">
                  <c:v>-10375</c:v>
                </c:pt>
                <c:pt idx="13">
                  <c:v>-10875</c:v>
                </c:pt>
                <c:pt idx="14">
                  <c:v>-10625</c:v>
                </c:pt>
                <c:pt idx="15">
                  <c:v>-11875</c:v>
                </c:pt>
                <c:pt idx="16">
                  <c:v>-8375</c:v>
                </c:pt>
                <c:pt idx="17">
                  <c:v>-7375</c:v>
                </c:pt>
                <c:pt idx="18">
                  <c:v>-7000</c:v>
                </c:pt>
                <c:pt idx="19">
                  <c:v>-8500</c:v>
                </c:pt>
                <c:pt idx="20">
                  <c:v>-12125</c:v>
                </c:pt>
                <c:pt idx="21">
                  <c:v>-16875</c:v>
                </c:pt>
                <c:pt idx="22">
                  <c:v>-16500</c:v>
                </c:pt>
                <c:pt idx="23">
                  <c:v>-15630</c:v>
                </c:pt>
                <c:pt idx="24">
                  <c:v>-13255</c:v>
                </c:pt>
                <c:pt idx="25">
                  <c:v>-10130</c:v>
                </c:pt>
                <c:pt idx="26">
                  <c:v>-8255</c:v>
                </c:pt>
                <c:pt idx="27">
                  <c:v>-3755</c:v>
                </c:pt>
                <c:pt idx="28">
                  <c:v>-2755</c:v>
                </c:pt>
                <c:pt idx="29">
                  <c:v>2495</c:v>
                </c:pt>
                <c:pt idx="30">
                  <c:v>6495</c:v>
                </c:pt>
                <c:pt idx="31">
                  <c:v>6995</c:v>
                </c:pt>
                <c:pt idx="32">
                  <c:v>7995</c:v>
                </c:pt>
                <c:pt idx="33">
                  <c:v>4745</c:v>
                </c:pt>
                <c:pt idx="34">
                  <c:v>3870</c:v>
                </c:pt>
                <c:pt idx="35">
                  <c:v>6745</c:v>
                </c:pt>
                <c:pt idx="36">
                  <c:v>3870</c:v>
                </c:pt>
                <c:pt idx="37">
                  <c:v>7370</c:v>
                </c:pt>
                <c:pt idx="38">
                  <c:v>7995</c:v>
                </c:pt>
                <c:pt idx="39">
                  <c:v>7745</c:v>
                </c:pt>
                <c:pt idx="40">
                  <c:v>4495</c:v>
                </c:pt>
                <c:pt idx="41">
                  <c:v>2870</c:v>
                </c:pt>
                <c:pt idx="42">
                  <c:v>-1255</c:v>
                </c:pt>
                <c:pt idx="43">
                  <c:v>-3135</c:v>
                </c:pt>
                <c:pt idx="44">
                  <c:v>1365</c:v>
                </c:pt>
                <c:pt idx="45">
                  <c:v>-2510</c:v>
                </c:pt>
                <c:pt idx="46">
                  <c:v>4240</c:v>
                </c:pt>
                <c:pt idx="47">
                  <c:v>8365</c:v>
                </c:pt>
                <c:pt idx="48">
                  <c:v>1365</c:v>
                </c:pt>
                <c:pt idx="49">
                  <c:v>-5510</c:v>
                </c:pt>
                <c:pt idx="50">
                  <c:v>-6760</c:v>
                </c:pt>
                <c:pt idx="51">
                  <c:v>-3635</c:v>
                </c:pt>
                <c:pt idx="52">
                  <c:v>-6510</c:v>
                </c:pt>
                <c:pt idx="53">
                  <c:v>-7135</c:v>
                </c:pt>
                <c:pt idx="54">
                  <c:v>-7260</c:v>
                </c:pt>
                <c:pt idx="55">
                  <c:v>-11760</c:v>
                </c:pt>
                <c:pt idx="56">
                  <c:v>-14385</c:v>
                </c:pt>
                <c:pt idx="57">
                  <c:v>-15885</c:v>
                </c:pt>
                <c:pt idx="58">
                  <c:v>-12385</c:v>
                </c:pt>
                <c:pt idx="59">
                  <c:v>-14260</c:v>
                </c:pt>
                <c:pt idx="60">
                  <c:v>-13010</c:v>
                </c:pt>
                <c:pt idx="61">
                  <c:v>-17010</c:v>
                </c:pt>
                <c:pt idx="62">
                  <c:v>3490</c:v>
                </c:pt>
                <c:pt idx="63">
                  <c:v>13990</c:v>
                </c:pt>
                <c:pt idx="64">
                  <c:v>27990</c:v>
                </c:pt>
                <c:pt idx="65">
                  <c:v>33615</c:v>
                </c:pt>
                <c:pt idx="66">
                  <c:v>31365</c:v>
                </c:pt>
                <c:pt idx="67">
                  <c:v>34865</c:v>
                </c:pt>
                <c:pt idx="68">
                  <c:v>36365</c:v>
                </c:pt>
                <c:pt idx="69">
                  <c:v>34740</c:v>
                </c:pt>
                <c:pt idx="70">
                  <c:v>29365</c:v>
                </c:pt>
                <c:pt idx="71">
                  <c:v>28490</c:v>
                </c:pt>
                <c:pt idx="72">
                  <c:v>24490</c:v>
                </c:pt>
                <c:pt idx="73">
                  <c:v>22865</c:v>
                </c:pt>
                <c:pt idx="74">
                  <c:v>26615</c:v>
                </c:pt>
                <c:pt idx="75">
                  <c:v>20990</c:v>
                </c:pt>
                <c:pt idx="76">
                  <c:v>21365</c:v>
                </c:pt>
                <c:pt idx="77">
                  <c:v>28115</c:v>
                </c:pt>
                <c:pt idx="78">
                  <c:v>25990</c:v>
                </c:pt>
                <c:pt idx="79">
                  <c:v>28490</c:v>
                </c:pt>
                <c:pt idx="80">
                  <c:v>30865</c:v>
                </c:pt>
                <c:pt idx="81">
                  <c:v>32240</c:v>
                </c:pt>
                <c:pt idx="82">
                  <c:v>29115</c:v>
                </c:pt>
                <c:pt idx="83">
                  <c:v>30865</c:v>
                </c:pt>
                <c:pt idx="84">
                  <c:v>11365</c:v>
                </c:pt>
                <c:pt idx="85">
                  <c:v>13865</c:v>
                </c:pt>
                <c:pt idx="86">
                  <c:v>16485</c:v>
                </c:pt>
                <c:pt idx="87">
                  <c:v>10860</c:v>
                </c:pt>
                <c:pt idx="88">
                  <c:v>10360</c:v>
                </c:pt>
                <c:pt idx="89">
                  <c:v>22360</c:v>
                </c:pt>
                <c:pt idx="90">
                  <c:v>19485</c:v>
                </c:pt>
                <c:pt idx="91">
                  <c:v>25110</c:v>
                </c:pt>
                <c:pt idx="92">
                  <c:v>15360</c:v>
                </c:pt>
                <c:pt idx="93">
                  <c:v>23235</c:v>
                </c:pt>
                <c:pt idx="94">
                  <c:v>13360</c:v>
                </c:pt>
                <c:pt idx="95">
                  <c:v>15610</c:v>
                </c:pt>
                <c:pt idx="96">
                  <c:v>16485</c:v>
                </c:pt>
                <c:pt idx="97">
                  <c:v>19985</c:v>
                </c:pt>
                <c:pt idx="98">
                  <c:v>14985</c:v>
                </c:pt>
                <c:pt idx="99">
                  <c:v>17235</c:v>
                </c:pt>
                <c:pt idx="100">
                  <c:v>22735</c:v>
                </c:pt>
                <c:pt idx="101">
                  <c:v>13110</c:v>
                </c:pt>
                <c:pt idx="102">
                  <c:v>9860</c:v>
                </c:pt>
                <c:pt idx="103">
                  <c:v>11485</c:v>
                </c:pt>
                <c:pt idx="104">
                  <c:v>12485</c:v>
                </c:pt>
                <c:pt idx="105">
                  <c:v>8485</c:v>
                </c:pt>
                <c:pt idx="106">
                  <c:v>8735</c:v>
                </c:pt>
                <c:pt idx="107">
                  <c:v>14735</c:v>
                </c:pt>
                <c:pt idx="108">
                  <c:v>9860</c:v>
                </c:pt>
                <c:pt idx="109">
                  <c:v>11735</c:v>
                </c:pt>
                <c:pt idx="110">
                  <c:v>13485</c:v>
                </c:pt>
                <c:pt idx="111">
                  <c:v>10485</c:v>
                </c:pt>
                <c:pt idx="112">
                  <c:v>10485</c:v>
                </c:pt>
                <c:pt idx="113">
                  <c:v>8360</c:v>
                </c:pt>
                <c:pt idx="114">
                  <c:v>16485</c:v>
                </c:pt>
                <c:pt idx="115">
                  <c:v>13110</c:v>
                </c:pt>
                <c:pt idx="116">
                  <c:v>16360</c:v>
                </c:pt>
                <c:pt idx="117">
                  <c:v>18985</c:v>
                </c:pt>
                <c:pt idx="118">
                  <c:v>13860</c:v>
                </c:pt>
                <c:pt idx="119">
                  <c:v>8985</c:v>
                </c:pt>
                <c:pt idx="120">
                  <c:v>5985</c:v>
                </c:pt>
                <c:pt idx="121">
                  <c:v>485</c:v>
                </c:pt>
                <c:pt idx="122">
                  <c:v>4235</c:v>
                </c:pt>
                <c:pt idx="123">
                  <c:v>5735</c:v>
                </c:pt>
                <c:pt idx="124">
                  <c:v>13360</c:v>
                </c:pt>
                <c:pt idx="125">
                  <c:v>14735</c:v>
                </c:pt>
                <c:pt idx="126">
                  <c:v>15985</c:v>
                </c:pt>
                <c:pt idx="127">
                  <c:v>17860</c:v>
                </c:pt>
                <c:pt idx="128">
                  <c:v>28485</c:v>
                </c:pt>
                <c:pt idx="129">
                  <c:v>37230</c:v>
                </c:pt>
                <c:pt idx="130">
                  <c:v>37605</c:v>
                </c:pt>
                <c:pt idx="131">
                  <c:v>37480</c:v>
                </c:pt>
                <c:pt idx="132">
                  <c:v>36105</c:v>
                </c:pt>
                <c:pt idx="133">
                  <c:v>39980</c:v>
                </c:pt>
                <c:pt idx="134">
                  <c:v>36230</c:v>
                </c:pt>
                <c:pt idx="135">
                  <c:v>29855</c:v>
                </c:pt>
                <c:pt idx="136">
                  <c:v>27980</c:v>
                </c:pt>
                <c:pt idx="137">
                  <c:v>23480</c:v>
                </c:pt>
                <c:pt idx="138">
                  <c:v>29355</c:v>
                </c:pt>
                <c:pt idx="139">
                  <c:v>35230</c:v>
                </c:pt>
                <c:pt idx="140">
                  <c:v>31480</c:v>
                </c:pt>
                <c:pt idx="141">
                  <c:v>34230</c:v>
                </c:pt>
                <c:pt idx="142">
                  <c:v>33355</c:v>
                </c:pt>
                <c:pt idx="143">
                  <c:v>31605</c:v>
                </c:pt>
                <c:pt idx="144">
                  <c:v>32980</c:v>
                </c:pt>
                <c:pt idx="145">
                  <c:v>41730</c:v>
                </c:pt>
                <c:pt idx="146">
                  <c:v>49355</c:v>
                </c:pt>
                <c:pt idx="147">
                  <c:v>55730</c:v>
                </c:pt>
                <c:pt idx="148">
                  <c:v>56605</c:v>
                </c:pt>
                <c:pt idx="149">
                  <c:v>59355</c:v>
                </c:pt>
                <c:pt idx="150">
                  <c:v>57355</c:v>
                </c:pt>
                <c:pt idx="151">
                  <c:v>54230</c:v>
                </c:pt>
                <c:pt idx="152">
                  <c:v>59980</c:v>
                </c:pt>
                <c:pt idx="153">
                  <c:v>64605</c:v>
                </c:pt>
                <c:pt idx="154">
                  <c:v>69355</c:v>
                </c:pt>
                <c:pt idx="155">
                  <c:v>67855</c:v>
                </c:pt>
                <c:pt idx="156">
                  <c:v>69355</c:v>
                </c:pt>
                <c:pt idx="157">
                  <c:v>68105</c:v>
                </c:pt>
                <c:pt idx="158">
                  <c:v>69855</c:v>
                </c:pt>
                <c:pt idx="159">
                  <c:v>66730</c:v>
                </c:pt>
                <c:pt idx="160">
                  <c:v>74355</c:v>
                </c:pt>
                <c:pt idx="161">
                  <c:v>72480</c:v>
                </c:pt>
                <c:pt idx="162">
                  <c:v>64355</c:v>
                </c:pt>
                <c:pt idx="163">
                  <c:v>66980</c:v>
                </c:pt>
                <c:pt idx="164">
                  <c:v>58980</c:v>
                </c:pt>
                <c:pt idx="165">
                  <c:v>60480</c:v>
                </c:pt>
                <c:pt idx="166">
                  <c:v>54355</c:v>
                </c:pt>
                <c:pt idx="167">
                  <c:v>63105</c:v>
                </c:pt>
                <c:pt idx="168">
                  <c:v>60855</c:v>
                </c:pt>
                <c:pt idx="169">
                  <c:v>43230</c:v>
                </c:pt>
                <c:pt idx="170">
                  <c:v>50605</c:v>
                </c:pt>
                <c:pt idx="171">
                  <c:v>55980</c:v>
                </c:pt>
                <c:pt idx="172">
                  <c:v>56105</c:v>
                </c:pt>
                <c:pt idx="173">
                  <c:v>57105</c:v>
                </c:pt>
                <c:pt idx="174">
                  <c:v>55475</c:v>
                </c:pt>
                <c:pt idx="175">
                  <c:v>60100</c:v>
                </c:pt>
                <c:pt idx="176">
                  <c:v>62350</c:v>
                </c:pt>
                <c:pt idx="177">
                  <c:v>66850</c:v>
                </c:pt>
                <c:pt idx="178">
                  <c:v>62850</c:v>
                </c:pt>
                <c:pt idx="179">
                  <c:v>64725</c:v>
                </c:pt>
                <c:pt idx="180">
                  <c:v>62225</c:v>
                </c:pt>
                <c:pt idx="181">
                  <c:v>61725</c:v>
                </c:pt>
                <c:pt idx="182">
                  <c:v>66225</c:v>
                </c:pt>
                <c:pt idx="183">
                  <c:v>66350</c:v>
                </c:pt>
                <c:pt idx="184">
                  <c:v>68225</c:v>
                </c:pt>
                <c:pt idx="185">
                  <c:v>68600</c:v>
                </c:pt>
                <c:pt idx="186">
                  <c:v>69350</c:v>
                </c:pt>
                <c:pt idx="187">
                  <c:v>67850</c:v>
                </c:pt>
                <c:pt idx="188">
                  <c:v>70850</c:v>
                </c:pt>
                <c:pt idx="189">
                  <c:v>70350</c:v>
                </c:pt>
                <c:pt idx="190">
                  <c:v>72225</c:v>
                </c:pt>
                <c:pt idx="191">
                  <c:v>68225</c:v>
                </c:pt>
                <c:pt idx="192">
                  <c:v>68850</c:v>
                </c:pt>
                <c:pt idx="193">
                  <c:v>69225</c:v>
                </c:pt>
                <c:pt idx="194">
                  <c:v>74100</c:v>
                </c:pt>
                <c:pt idx="195">
                  <c:v>77725</c:v>
                </c:pt>
                <c:pt idx="196">
                  <c:v>76725</c:v>
                </c:pt>
                <c:pt idx="197">
                  <c:v>75725</c:v>
                </c:pt>
                <c:pt idx="198">
                  <c:v>74600</c:v>
                </c:pt>
                <c:pt idx="199">
                  <c:v>72475</c:v>
                </c:pt>
                <c:pt idx="200">
                  <c:v>75600</c:v>
                </c:pt>
                <c:pt idx="201">
                  <c:v>74600</c:v>
                </c:pt>
                <c:pt idx="202">
                  <c:v>77475</c:v>
                </c:pt>
                <c:pt idx="203">
                  <c:v>79225</c:v>
                </c:pt>
                <c:pt idx="204">
                  <c:v>78350</c:v>
                </c:pt>
                <c:pt idx="205">
                  <c:v>74975</c:v>
                </c:pt>
                <c:pt idx="206">
                  <c:v>75225</c:v>
                </c:pt>
                <c:pt idx="207">
                  <c:v>75225</c:v>
                </c:pt>
                <c:pt idx="208">
                  <c:v>74850</c:v>
                </c:pt>
                <c:pt idx="209">
                  <c:v>74725</c:v>
                </c:pt>
                <c:pt idx="210">
                  <c:v>76225</c:v>
                </c:pt>
                <c:pt idx="211">
                  <c:v>74725</c:v>
                </c:pt>
                <c:pt idx="212">
                  <c:v>76475</c:v>
                </c:pt>
                <c:pt idx="213">
                  <c:v>76100</c:v>
                </c:pt>
                <c:pt idx="214">
                  <c:v>80725</c:v>
                </c:pt>
                <c:pt idx="215">
                  <c:v>80975</c:v>
                </c:pt>
                <c:pt idx="216">
                  <c:v>80975</c:v>
                </c:pt>
                <c:pt idx="217">
                  <c:v>82725</c:v>
                </c:pt>
                <c:pt idx="218">
                  <c:v>82475</c:v>
                </c:pt>
                <c:pt idx="219">
                  <c:v>82975</c:v>
                </c:pt>
                <c:pt idx="220">
                  <c:v>83975</c:v>
                </c:pt>
                <c:pt idx="221">
                  <c:v>85725</c:v>
                </c:pt>
                <c:pt idx="222">
                  <c:v>85725</c:v>
                </c:pt>
                <c:pt idx="223">
                  <c:v>83975</c:v>
                </c:pt>
                <c:pt idx="224">
                  <c:v>78225</c:v>
                </c:pt>
                <c:pt idx="225">
                  <c:v>79350</c:v>
                </c:pt>
                <c:pt idx="226">
                  <c:v>81225</c:v>
                </c:pt>
                <c:pt idx="227">
                  <c:v>83350</c:v>
                </c:pt>
                <c:pt idx="228">
                  <c:v>84225</c:v>
                </c:pt>
                <c:pt idx="229">
                  <c:v>89725</c:v>
                </c:pt>
                <c:pt idx="230">
                  <c:v>88600</c:v>
                </c:pt>
                <c:pt idx="231">
                  <c:v>87600</c:v>
                </c:pt>
                <c:pt idx="232">
                  <c:v>85975</c:v>
                </c:pt>
                <c:pt idx="233">
                  <c:v>85600</c:v>
                </c:pt>
                <c:pt idx="234">
                  <c:v>85475</c:v>
                </c:pt>
                <c:pt idx="235">
                  <c:v>88100</c:v>
                </c:pt>
                <c:pt idx="236">
                  <c:v>87100</c:v>
                </c:pt>
                <c:pt idx="237">
                  <c:v>87725</c:v>
                </c:pt>
                <c:pt idx="238">
                  <c:v>88225</c:v>
                </c:pt>
                <c:pt idx="239">
                  <c:v>88720</c:v>
                </c:pt>
                <c:pt idx="240">
                  <c:v>85345</c:v>
                </c:pt>
                <c:pt idx="241">
                  <c:v>82595</c:v>
                </c:pt>
                <c:pt idx="242">
                  <c:v>83220</c:v>
                </c:pt>
                <c:pt idx="243">
                  <c:v>84595</c:v>
                </c:pt>
                <c:pt idx="244">
                  <c:v>81845</c:v>
                </c:pt>
                <c:pt idx="245">
                  <c:v>82720</c:v>
                </c:pt>
                <c:pt idx="246">
                  <c:v>81220</c:v>
                </c:pt>
                <c:pt idx="247">
                  <c:v>84095</c:v>
                </c:pt>
                <c:pt idx="248">
                  <c:v>87470</c:v>
                </c:pt>
                <c:pt idx="249">
                  <c:v>88095</c:v>
                </c:pt>
                <c:pt idx="250">
                  <c:v>87095</c:v>
                </c:pt>
                <c:pt idx="251">
                  <c:v>88095</c:v>
                </c:pt>
                <c:pt idx="252">
                  <c:v>85970</c:v>
                </c:pt>
                <c:pt idx="253">
                  <c:v>84345</c:v>
                </c:pt>
                <c:pt idx="254">
                  <c:v>83470</c:v>
                </c:pt>
                <c:pt idx="255">
                  <c:v>83345</c:v>
                </c:pt>
                <c:pt idx="256">
                  <c:v>86220</c:v>
                </c:pt>
                <c:pt idx="257">
                  <c:v>86970</c:v>
                </c:pt>
                <c:pt idx="258">
                  <c:v>87095</c:v>
                </c:pt>
                <c:pt idx="259">
                  <c:v>88845</c:v>
                </c:pt>
                <c:pt idx="260">
                  <c:v>89345</c:v>
                </c:pt>
                <c:pt idx="261">
                  <c:v>89590</c:v>
                </c:pt>
                <c:pt idx="262">
                  <c:v>91465</c:v>
                </c:pt>
                <c:pt idx="263">
                  <c:v>88965</c:v>
                </c:pt>
                <c:pt idx="264">
                  <c:v>87465</c:v>
                </c:pt>
                <c:pt idx="265">
                  <c:v>87340</c:v>
                </c:pt>
                <c:pt idx="266">
                  <c:v>91340</c:v>
                </c:pt>
                <c:pt idx="267">
                  <c:v>95090</c:v>
                </c:pt>
                <c:pt idx="268">
                  <c:v>86465</c:v>
                </c:pt>
                <c:pt idx="269">
                  <c:v>83590</c:v>
                </c:pt>
                <c:pt idx="270">
                  <c:v>85340</c:v>
                </c:pt>
                <c:pt idx="271">
                  <c:v>87465</c:v>
                </c:pt>
                <c:pt idx="272">
                  <c:v>87465</c:v>
                </c:pt>
                <c:pt idx="273">
                  <c:v>88840</c:v>
                </c:pt>
                <c:pt idx="274">
                  <c:v>88715</c:v>
                </c:pt>
                <c:pt idx="275">
                  <c:v>88965</c:v>
                </c:pt>
                <c:pt idx="276">
                  <c:v>87715</c:v>
                </c:pt>
                <c:pt idx="277">
                  <c:v>86090</c:v>
                </c:pt>
                <c:pt idx="278">
                  <c:v>85965</c:v>
                </c:pt>
                <c:pt idx="279">
                  <c:v>84840</c:v>
                </c:pt>
                <c:pt idx="280">
                  <c:v>84465</c:v>
                </c:pt>
                <c:pt idx="281">
                  <c:v>86840</c:v>
                </c:pt>
                <c:pt idx="282">
                  <c:v>84215</c:v>
                </c:pt>
                <c:pt idx="283">
                  <c:v>84840</c:v>
                </c:pt>
                <c:pt idx="284">
                  <c:v>82835</c:v>
                </c:pt>
                <c:pt idx="285">
                  <c:v>80460</c:v>
                </c:pt>
                <c:pt idx="286">
                  <c:v>79085</c:v>
                </c:pt>
                <c:pt idx="287">
                  <c:v>79460</c:v>
                </c:pt>
                <c:pt idx="288">
                  <c:v>79085</c:v>
                </c:pt>
                <c:pt idx="289">
                  <c:v>80335</c:v>
                </c:pt>
                <c:pt idx="290">
                  <c:v>79960</c:v>
                </c:pt>
                <c:pt idx="291">
                  <c:v>80835</c:v>
                </c:pt>
                <c:pt idx="292">
                  <c:v>81210</c:v>
                </c:pt>
                <c:pt idx="293">
                  <c:v>78835</c:v>
                </c:pt>
                <c:pt idx="294">
                  <c:v>78210</c:v>
                </c:pt>
                <c:pt idx="295">
                  <c:v>76710</c:v>
                </c:pt>
                <c:pt idx="296">
                  <c:v>74210</c:v>
                </c:pt>
                <c:pt idx="297">
                  <c:v>73210</c:v>
                </c:pt>
                <c:pt idx="298">
                  <c:v>73710</c:v>
                </c:pt>
                <c:pt idx="299">
                  <c:v>75835</c:v>
                </c:pt>
                <c:pt idx="300">
                  <c:v>74710</c:v>
                </c:pt>
                <c:pt idx="301">
                  <c:v>72335</c:v>
                </c:pt>
                <c:pt idx="302">
                  <c:v>75585</c:v>
                </c:pt>
                <c:pt idx="303">
                  <c:v>72335</c:v>
                </c:pt>
                <c:pt idx="304">
                  <c:v>70830</c:v>
                </c:pt>
                <c:pt idx="305">
                  <c:v>63955</c:v>
                </c:pt>
                <c:pt idx="306">
                  <c:v>63580</c:v>
                </c:pt>
                <c:pt idx="307">
                  <c:v>58205</c:v>
                </c:pt>
                <c:pt idx="308">
                  <c:v>59080</c:v>
                </c:pt>
                <c:pt idx="309">
                  <c:v>64705</c:v>
                </c:pt>
                <c:pt idx="310">
                  <c:v>63080</c:v>
                </c:pt>
                <c:pt idx="311">
                  <c:v>60705</c:v>
                </c:pt>
                <c:pt idx="312">
                  <c:v>61080</c:v>
                </c:pt>
                <c:pt idx="313">
                  <c:v>63080</c:v>
                </c:pt>
                <c:pt idx="314">
                  <c:v>64080</c:v>
                </c:pt>
                <c:pt idx="315">
                  <c:v>60955</c:v>
                </c:pt>
                <c:pt idx="316">
                  <c:v>59330</c:v>
                </c:pt>
                <c:pt idx="317">
                  <c:v>64830</c:v>
                </c:pt>
                <c:pt idx="318">
                  <c:v>64080</c:v>
                </c:pt>
                <c:pt idx="319">
                  <c:v>59830</c:v>
                </c:pt>
                <c:pt idx="320">
                  <c:v>61330</c:v>
                </c:pt>
                <c:pt idx="321">
                  <c:v>62455</c:v>
                </c:pt>
                <c:pt idx="322">
                  <c:v>58455</c:v>
                </c:pt>
                <c:pt idx="323">
                  <c:v>57455</c:v>
                </c:pt>
                <c:pt idx="324">
                  <c:v>53705</c:v>
                </c:pt>
                <c:pt idx="325">
                  <c:v>50330</c:v>
                </c:pt>
                <c:pt idx="326">
                  <c:v>57080</c:v>
                </c:pt>
                <c:pt idx="327">
                  <c:v>55705</c:v>
                </c:pt>
                <c:pt idx="328">
                  <c:v>54580</c:v>
                </c:pt>
                <c:pt idx="329">
                  <c:v>55205</c:v>
                </c:pt>
                <c:pt idx="330">
                  <c:v>50830</c:v>
                </c:pt>
                <c:pt idx="331">
                  <c:v>52080</c:v>
                </c:pt>
                <c:pt idx="332">
                  <c:v>53080</c:v>
                </c:pt>
                <c:pt idx="333">
                  <c:v>54705</c:v>
                </c:pt>
                <c:pt idx="334">
                  <c:v>52205</c:v>
                </c:pt>
                <c:pt idx="335">
                  <c:v>52830</c:v>
                </c:pt>
                <c:pt idx="336">
                  <c:v>55955</c:v>
                </c:pt>
                <c:pt idx="337">
                  <c:v>57455</c:v>
                </c:pt>
                <c:pt idx="338">
                  <c:v>57830</c:v>
                </c:pt>
                <c:pt idx="339">
                  <c:v>60580</c:v>
                </c:pt>
                <c:pt idx="340">
                  <c:v>55205</c:v>
                </c:pt>
                <c:pt idx="341">
                  <c:v>52955</c:v>
                </c:pt>
                <c:pt idx="342">
                  <c:v>53830</c:v>
                </c:pt>
                <c:pt idx="343">
                  <c:v>50830</c:v>
                </c:pt>
                <c:pt idx="344">
                  <c:v>50205</c:v>
                </c:pt>
                <c:pt idx="345">
                  <c:v>47205</c:v>
                </c:pt>
                <c:pt idx="346">
                  <c:v>48330</c:v>
                </c:pt>
                <c:pt idx="347">
                  <c:v>53825</c:v>
                </c:pt>
                <c:pt idx="348">
                  <c:v>58450</c:v>
                </c:pt>
                <c:pt idx="349">
                  <c:v>53075</c:v>
                </c:pt>
                <c:pt idx="350">
                  <c:v>48700</c:v>
                </c:pt>
                <c:pt idx="351">
                  <c:v>52075</c:v>
                </c:pt>
                <c:pt idx="352">
                  <c:v>49450</c:v>
                </c:pt>
                <c:pt idx="353">
                  <c:v>52325</c:v>
                </c:pt>
                <c:pt idx="354">
                  <c:v>57825</c:v>
                </c:pt>
                <c:pt idx="355">
                  <c:v>56825</c:v>
                </c:pt>
                <c:pt idx="356">
                  <c:v>59450</c:v>
                </c:pt>
                <c:pt idx="357">
                  <c:v>65450</c:v>
                </c:pt>
                <c:pt idx="358">
                  <c:v>66450</c:v>
                </c:pt>
                <c:pt idx="359">
                  <c:v>68950</c:v>
                </c:pt>
                <c:pt idx="360">
                  <c:v>70450</c:v>
                </c:pt>
                <c:pt idx="361">
                  <c:v>70325</c:v>
                </c:pt>
                <c:pt idx="362">
                  <c:v>69700</c:v>
                </c:pt>
                <c:pt idx="363">
                  <c:v>68825</c:v>
                </c:pt>
                <c:pt idx="364">
                  <c:v>68450</c:v>
                </c:pt>
                <c:pt idx="365">
                  <c:v>72325</c:v>
                </c:pt>
                <c:pt idx="366">
                  <c:v>71575</c:v>
                </c:pt>
                <c:pt idx="367">
                  <c:v>73200</c:v>
                </c:pt>
                <c:pt idx="368">
                  <c:v>74075</c:v>
                </c:pt>
                <c:pt idx="369">
                  <c:v>74075</c:v>
                </c:pt>
                <c:pt idx="370">
                  <c:v>78825</c:v>
                </c:pt>
                <c:pt idx="371">
                  <c:v>79325</c:v>
                </c:pt>
                <c:pt idx="372">
                  <c:v>82325</c:v>
                </c:pt>
                <c:pt idx="373">
                  <c:v>79075</c:v>
                </c:pt>
                <c:pt idx="374">
                  <c:v>83825</c:v>
                </c:pt>
                <c:pt idx="375">
                  <c:v>84325</c:v>
                </c:pt>
                <c:pt idx="376">
                  <c:v>87450</c:v>
                </c:pt>
                <c:pt idx="377">
                  <c:v>86325</c:v>
                </c:pt>
                <c:pt idx="378">
                  <c:v>85075</c:v>
                </c:pt>
                <c:pt idx="379">
                  <c:v>86825</c:v>
                </c:pt>
                <c:pt idx="380">
                  <c:v>88075</c:v>
                </c:pt>
                <c:pt idx="381">
                  <c:v>86325</c:v>
                </c:pt>
                <c:pt idx="382">
                  <c:v>83075</c:v>
                </c:pt>
                <c:pt idx="383">
                  <c:v>81075</c:v>
                </c:pt>
                <c:pt idx="384">
                  <c:v>84700</c:v>
                </c:pt>
                <c:pt idx="385">
                  <c:v>86575</c:v>
                </c:pt>
                <c:pt idx="386">
                  <c:v>87075</c:v>
                </c:pt>
                <c:pt idx="387">
                  <c:v>84325</c:v>
                </c:pt>
                <c:pt idx="388">
                  <c:v>84075</c:v>
                </c:pt>
                <c:pt idx="389">
                  <c:v>94825</c:v>
                </c:pt>
                <c:pt idx="390">
                  <c:v>97195</c:v>
                </c:pt>
                <c:pt idx="391">
                  <c:v>98695</c:v>
                </c:pt>
                <c:pt idx="392">
                  <c:v>99945</c:v>
                </c:pt>
                <c:pt idx="393">
                  <c:v>103570</c:v>
                </c:pt>
                <c:pt idx="394">
                  <c:v>104320</c:v>
                </c:pt>
                <c:pt idx="395">
                  <c:v>105945</c:v>
                </c:pt>
                <c:pt idx="396">
                  <c:v>109695</c:v>
                </c:pt>
                <c:pt idx="397">
                  <c:v>111695</c:v>
                </c:pt>
                <c:pt idx="398">
                  <c:v>115195</c:v>
                </c:pt>
                <c:pt idx="399">
                  <c:v>114195</c:v>
                </c:pt>
                <c:pt idx="400">
                  <c:v>117320</c:v>
                </c:pt>
                <c:pt idx="401">
                  <c:v>116695</c:v>
                </c:pt>
                <c:pt idx="402">
                  <c:v>114945</c:v>
                </c:pt>
                <c:pt idx="403">
                  <c:v>118695</c:v>
                </c:pt>
                <c:pt idx="404">
                  <c:v>122195</c:v>
                </c:pt>
                <c:pt idx="405">
                  <c:v>124195</c:v>
                </c:pt>
                <c:pt idx="406">
                  <c:v>123695</c:v>
                </c:pt>
                <c:pt idx="407">
                  <c:v>124445</c:v>
                </c:pt>
                <c:pt idx="408">
                  <c:v>123570</c:v>
                </c:pt>
                <c:pt idx="409">
                  <c:v>120695</c:v>
                </c:pt>
                <c:pt idx="410">
                  <c:v>124195</c:v>
                </c:pt>
                <c:pt idx="411">
                  <c:v>124445</c:v>
                </c:pt>
                <c:pt idx="412">
                  <c:v>125820</c:v>
                </c:pt>
                <c:pt idx="413">
                  <c:v>127695</c:v>
                </c:pt>
                <c:pt idx="414">
                  <c:v>125070</c:v>
                </c:pt>
                <c:pt idx="415">
                  <c:v>127320</c:v>
                </c:pt>
                <c:pt idx="416">
                  <c:v>123820</c:v>
                </c:pt>
                <c:pt idx="417">
                  <c:v>125820</c:v>
                </c:pt>
                <c:pt idx="418">
                  <c:v>128695</c:v>
                </c:pt>
                <c:pt idx="419">
                  <c:v>126945</c:v>
                </c:pt>
                <c:pt idx="420">
                  <c:v>125195</c:v>
                </c:pt>
                <c:pt idx="421">
                  <c:v>125570</c:v>
                </c:pt>
                <c:pt idx="422">
                  <c:v>123695</c:v>
                </c:pt>
                <c:pt idx="423">
                  <c:v>121820</c:v>
                </c:pt>
                <c:pt idx="424">
                  <c:v>124070</c:v>
                </c:pt>
                <c:pt idx="425">
                  <c:v>123945</c:v>
                </c:pt>
                <c:pt idx="426">
                  <c:v>125445</c:v>
                </c:pt>
                <c:pt idx="427">
                  <c:v>124070</c:v>
                </c:pt>
                <c:pt idx="428">
                  <c:v>122695</c:v>
                </c:pt>
                <c:pt idx="429">
                  <c:v>124945</c:v>
                </c:pt>
                <c:pt idx="430">
                  <c:v>127070</c:v>
                </c:pt>
                <c:pt idx="431">
                  <c:v>126695</c:v>
                </c:pt>
                <c:pt idx="432">
                  <c:v>124195</c:v>
                </c:pt>
                <c:pt idx="433">
                  <c:v>127320</c:v>
                </c:pt>
                <c:pt idx="434">
                  <c:v>126565</c:v>
                </c:pt>
                <c:pt idx="435">
                  <c:v>127065</c:v>
                </c:pt>
                <c:pt idx="436">
                  <c:v>132440</c:v>
                </c:pt>
                <c:pt idx="437">
                  <c:v>135940</c:v>
                </c:pt>
                <c:pt idx="438">
                  <c:v>131565</c:v>
                </c:pt>
                <c:pt idx="439">
                  <c:v>135190</c:v>
                </c:pt>
                <c:pt idx="440">
                  <c:v>136690</c:v>
                </c:pt>
                <c:pt idx="441">
                  <c:v>135690</c:v>
                </c:pt>
                <c:pt idx="442">
                  <c:v>139440</c:v>
                </c:pt>
                <c:pt idx="443">
                  <c:v>139815</c:v>
                </c:pt>
                <c:pt idx="444">
                  <c:v>137565</c:v>
                </c:pt>
                <c:pt idx="445">
                  <c:v>136690</c:v>
                </c:pt>
                <c:pt idx="446">
                  <c:v>138315</c:v>
                </c:pt>
                <c:pt idx="447">
                  <c:v>139690</c:v>
                </c:pt>
                <c:pt idx="448">
                  <c:v>142690</c:v>
                </c:pt>
                <c:pt idx="449">
                  <c:v>143815</c:v>
                </c:pt>
                <c:pt idx="450">
                  <c:v>146190</c:v>
                </c:pt>
                <c:pt idx="451">
                  <c:v>144315</c:v>
                </c:pt>
                <c:pt idx="452">
                  <c:v>146065</c:v>
                </c:pt>
                <c:pt idx="453">
                  <c:v>147315</c:v>
                </c:pt>
                <c:pt idx="454">
                  <c:v>146315</c:v>
                </c:pt>
                <c:pt idx="455">
                  <c:v>148190</c:v>
                </c:pt>
                <c:pt idx="456">
                  <c:v>148440</c:v>
                </c:pt>
                <c:pt idx="457">
                  <c:v>148315</c:v>
                </c:pt>
                <c:pt idx="458">
                  <c:v>147565</c:v>
                </c:pt>
                <c:pt idx="459">
                  <c:v>143065</c:v>
                </c:pt>
                <c:pt idx="460">
                  <c:v>139315</c:v>
                </c:pt>
                <c:pt idx="461">
                  <c:v>137940</c:v>
                </c:pt>
                <c:pt idx="462">
                  <c:v>136315</c:v>
                </c:pt>
                <c:pt idx="463">
                  <c:v>142690</c:v>
                </c:pt>
                <c:pt idx="464">
                  <c:v>136565</c:v>
                </c:pt>
                <c:pt idx="465">
                  <c:v>131690</c:v>
                </c:pt>
                <c:pt idx="466">
                  <c:v>134815</c:v>
                </c:pt>
                <c:pt idx="467">
                  <c:v>133440</c:v>
                </c:pt>
                <c:pt idx="468">
                  <c:v>135190</c:v>
                </c:pt>
                <c:pt idx="469">
                  <c:v>135440</c:v>
                </c:pt>
                <c:pt idx="470">
                  <c:v>130690</c:v>
                </c:pt>
                <c:pt idx="471">
                  <c:v>132315</c:v>
                </c:pt>
                <c:pt idx="472">
                  <c:v>129440</c:v>
                </c:pt>
                <c:pt idx="473">
                  <c:v>132440</c:v>
                </c:pt>
                <c:pt idx="474">
                  <c:v>128690</c:v>
                </c:pt>
                <c:pt idx="475">
                  <c:v>126940</c:v>
                </c:pt>
                <c:pt idx="476">
                  <c:v>122690</c:v>
                </c:pt>
                <c:pt idx="477">
                  <c:v>121190</c:v>
                </c:pt>
                <c:pt idx="478">
                  <c:v>122690</c:v>
                </c:pt>
                <c:pt idx="479">
                  <c:v>123315</c:v>
                </c:pt>
                <c:pt idx="480">
                  <c:v>126190</c:v>
                </c:pt>
                <c:pt idx="481">
                  <c:v>124440</c:v>
                </c:pt>
                <c:pt idx="482">
                  <c:v>123190</c:v>
                </c:pt>
                <c:pt idx="483">
                  <c:v>124940</c:v>
                </c:pt>
                <c:pt idx="484">
                  <c:v>123690</c:v>
                </c:pt>
                <c:pt idx="485">
                  <c:v>122815</c:v>
                </c:pt>
                <c:pt idx="486">
                  <c:v>120065</c:v>
                </c:pt>
                <c:pt idx="487">
                  <c:v>117440</c:v>
                </c:pt>
                <c:pt idx="488">
                  <c:v>117440</c:v>
                </c:pt>
                <c:pt idx="489">
                  <c:v>120440</c:v>
                </c:pt>
                <c:pt idx="490">
                  <c:v>122315</c:v>
                </c:pt>
                <c:pt idx="491">
                  <c:v>127190</c:v>
                </c:pt>
                <c:pt idx="492">
                  <c:v>122440</c:v>
                </c:pt>
                <c:pt idx="493">
                  <c:v>120565</c:v>
                </c:pt>
                <c:pt idx="494">
                  <c:v>125565</c:v>
                </c:pt>
                <c:pt idx="495">
                  <c:v>122815</c:v>
                </c:pt>
                <c:pt idx="496">
                  <c:v>119815</c:v>
                </c:pt>
                <c:pt idx="497">
                  <c:v>121065</c:v>
                </c:pt>
                <c:pt idx="498">
                  <c:v>120940</c:v>
                </c:pt>
                <c:pt idx="499">
                  <c:v>121560</c:v>
                </c:pt>
                <c:pt idx="500">
                  <c:v>124310</c:v>
                </c:pt>
                <c:pt idx="501">
                  <c:v>125310</c:v>
                </c:pt>
                <c:pt idx="502">
                  <c:v>120685</c:v>
                </c:pt>
                <c:pt idx="503">
                  <c:v>117935</c:v>
                </c:pt>
                <c:pt idx="504">
                  <c:v>119185</c:v>
                </c:pt>
                <c:pt idx="505">
                  <c:v>118185</c:v>
                </c:pt>
                <c:pt idx="506">
                  <c:v>119435</c:v>
                </c:pt>
                <c:pt idx="507">
                  <c:v>117060</c:v>
                </c:pt>
                <c:pt idx="508">
                  <c:v>110685</c:v>
                </c:pt>
                <c:pt idx="509">
                  <c:v>111435</c:v>
                </c:pt>
                <c:pt idx="510">
                  <c:v>112185</c:v>
                </c:pt>
                <c:pt idx="511">
                  <c:v>111560</c:v>
                </c:pt>
                <c:pt idx="512">
                  <c:v>110060</c:v>
                </c:pt>
                <c:pt idx="513">
                  <c:v>111060</c:v>
                </c:pt>
                <c:pt idx="514">
                  <c:v>109435</c:v>
                </c:pt>
                <c:pt idx="515">
                  <c:v>108685</c:v>
                </c:pt>
                <c:pt idx="516">
                  <c:v>111560</c:v>
                </c:pt>
                <c:pt idx="517">
                  <c:v>110185</c:v>
                </c:pt>
                <c:pt idx="518">
                  <c:v>108935</c:v>
                </c:pt>
                <c:pt idx="519">
                  <c:v>109310</c:v>
                </c:pt>
                <c:pt idx="520">
                  <c:v>112185</c:v>
                </c:pt>
                <c:pt idx="521">
                  <c:v>117185</c:v>
                </c:pt>
                <c:pt idx="522">
                  <c:v>116430</c:v>
                </c:pt>
                <c:pt idx="523">
                  <c:v>117805</c:v>
                </c:pt>
                <c:pt idx="524">
                  <c:v>112805</c:v>
                </c:pt>
                <c:pt idx="525">
                  <c:v>113180</c:v>
                </c:pt>
                <c:pt idx="526">
                  <c:v>117305</c:v>
                </c:pt>
                <c:pt idx="527">
                  <c:v>118305</c:v>
                </c:pt>
                <c:pt idx="528">
                  <c:v>115180</c:v>
                </c:pt>
                <c:pt idx="529">
                  <c:v>114180</c:v>
                </c:pt>
                <c:pt idx="530">
                  <c:v>122430</c:v>
                </c:pt>
                <c:pt idx="531">
                  <c:v>125680</c:v>
                </c:pt>
                <c:pt idx="532">
                  <c:v>126430</c:v>
                </c:pt>
                <c:pt idx="533">
                  <c:v>122055</c:v>
                </c:pt>
                <c:pt idx="534">
                  <c:v>122055</c:v>
                </c:pt>
                <c:pt idx="535">
                  <c:v>120805</c:v>
                </c:pt>
                <c:pt idx="536">
                  <c:v>121680</c:v>
                </c:pt>
                <c:pt idx="537">
                  <c:v>123680</c:v>
                </c:pt>
                <c:pt idx="538">
                  <c:v>122805</c:v>
                </c:pt>
                <c:pt idx="539">
                  <c:v>123305</c:v>
                </c:pt>
                <c:pt idx="540">
                  <c:v>124180</c:v>
                </c:pt>
                <c:pt idx="541">
                  <c:v>127430</c:v>
                </c:pt>
                <c:pt idx="542">
                  <c:v>130430</c:v>
                </c:pt>
                <c:pt idx="543">
                  <c:v>130555</c:v>
                </c:pt>
                <c:pt idx="544">
                  <c:v>130425</c:v>
                </c:pt>
                <c:pt idx="545">
                  <c:v>122675</c:v>
                </c:pt>
                <c:pt idx="546">
                  <c:v>125300</c:v>
                </c:pt>
                <c:pt idx="547">
                  <c:v>123800</c:v>
                </c:pt>
                <c:pt idx="548">
                  <c:v>124425</c:v>
                </c:pt>
                <c:pt idx="549">
                  <c:v>120425</c:v>
                </c:pt>
                <c:pt idx="550">
                  <c:v>122175</c:v>
                </c:pt>
                <c:pt idx="551">
                  <c:v>122175</c:v>
                </c:pt>
                <c:pt idx="552">
                  <c:v>124300</c:v>
                </c:pt>
                <c:pt idx="553">
                  <c:v>123050</c:v>
                </c:pt>
                <c:pt idx="554">
                  <c:v>122050</c:v>
                </c:pt>
                <c:pt idx="555">
                  <c:v>121300</c:v>
                </c:pt>
                <c:pt idx="556">
                  <c:v>123925</c:v>
                </c:pt>
                <c:pt idx="557">
                  <c:v>121425</c:v>
                </c:pt>
                <c:pt idx="558">
                  <c:v>123925</c:v>
                </c:pt>
                <c:pt idx="559">
                  <c:v>126050</c:v>
                </c:pt>
                <c:pt idx="560">
                  <c:v>126550</c:v>
                </c:pt>
                <c:pt idx="561">
                  <c:v>129300</c:v>
                </c:pt>
                <c:pt idx="562">
                  <c:v>125550</c:v>
                </c:pt>
                <c:pt idx="563">
                  <c:v>121925</c:v>
                </c:pt>
                <c:pt idx="564">
                  <c:v>125920</c:v>
                </c:pt>
                <c:pt idx="565">
                  <c:v>124920</c:v>
                </c:pt>
                <c:pt idx="566">
                  <c:v>125170</c:v>
                </c:pt>
                <c:pt idx="567">
                  <c:v>124545</c:v>
                </c:pt>
                <c:pt idx="568">
                  <c:v>128170</c:v>
                </c:pt>
                <c:pt idx="569">
                  <c:v>125295</c:v>
                </c:pt>
                <c:pt idx="570">
                  <c:v>126670</c:v>
                </c:pt>
                <c:pt idx="571">
                  <c:v>124295</c:v>
                </c:pt>
                <c:pt idx="572">
                  <c:v>125295</c:v>
                </c:pt>
                <c:pt idx="573">
                  <c:v>129420</c:v>
                </c:pt>
                <c:pt idx="574">
                  <c:v>130670</c:v>
                </c:pt>
                <c:pt idx="575">
                  <c:v>134670</c:v>
                </c:pt>
                <c:pt idx="576">
                  <c:v>133670</c:v>
                </c:pt>
                <c:pt idx="577">
                  <c:v>133670</c:v>
                </c:pt>
                <c:pt idx="578">
                  <c:v>126920</c:v>
                </c:pt>
                <c:pt idx="579">
                  <c:v>124545</c:v>
                </c:pt>
                <c:pt idx="580">
                  <c:v>123545</c:v>
                </c:pt>
                <c:pt idx="581">
                  <c:v>122295</c:v>
                </c:pt>
                <c:pt idx="582">
                  <c:v>124420</c:v>
                </c:pt>
                <c:pt idx="583">
                  <c:v>124545</c:v>
                </c:pt>
                <c:pt idx="584">
                  <c:v>123045</c:v>
                </c:pt>
                <c:pt idx="585">
                  <c:v>131545</c:v>
                </c:pt>
                <c:pt idx="586">
                  <c:v>129295</c:v>
                </c:pt>
                <c:pt idx="587">
                  <c:v>126420</c:v>
                </c:pt>
                <c:pt idx="588">
                  <c:v>125295</c:v>
                </c:pt>
                <c:pt idx="589">
                  <c:v>127295</c:v>
                </c:pt>
                <c:pt idx="590">
                  <c:v>128545</c:v>
                </c:pt>
                <c:pt idx="591">
                  <c:v>130920</c:v>
                </c:pt>
                <c:pt idx="592">
                  <c:v>130670</c:v>
                </c:pt>
                <c:pt idx="593">
                  <c:v>131920</c:v>
                </c:pt>
                <c:pt idx="594">
                  <c:v>134045</c:v>
                </c:pt>
                <c:pt idx="595">
                  <c:v>132795</c:v>
                </c:pt>
                <c:pt idx="596">
                  <c:v>132295</c:v>
                </c:pt>
                <c:pt idx="597">
                  <c:v>131170</c:v>
                </c:pt>
                <c:pt idx="598">
                  <c:v>130670</c:v>
                </c:pt>
                <c:pt idx="599">
                  <c:v>130545</c:v>
                </c:pt>
                <c:pt idx="600">
                  <c:v>133420</c:v>
                </c:pt>
                <c:pt idx="601">
                  <c:v>133670</c:v>
                </c:pt>
                <c:pt idx="602">
                  <c:v>132420</c:v>
                </c:pt>
                <c:pt idx="603">
                  <c:v>137920</c:v>
                </c:pt>
                <c:pt idx="604">
                  <c:v>140670</c:v>
                </c:pt>
                <c:pt idx="605">
                  <c:v>140295</c:v>
                </c:pt>
                <c:pt idx="606">
                  <c:v>139545</c:v>
                </c:pt>
                <c:pt idx="607">
                  <c:v>140545</c:v>
                </c:pt>
                <c:pt idx="608">
                  <c:v>142165</c:v>
                </c:pt>
                <c:pt idx="609">
                  <c:v>141790</c:v>
                </c:pt>
                <c:pt idx="610">
                  <c:v>143415</c:v>
                </c:pt>
                <c:pt idx="611">
                  <c:v>140790</c:v>
                </c:pt>
                <c:pt idx="612">
                  <c:v>142540</c:v>
                </c:pt>
                <c:pt idx="613">
                  <c:v>142415</c:v>
                </c:pt>
                <c:pt idx="614">
                  <c:v>143790</c:v>
                </c:pt>
                <c:pt idx="615">
                  <c:v>141915</c:v>
                </c:pt>
                <c:pt idx="616">
                  <c:v>142790</c:v>
                </c:pt>
                <c:pt idx="617">
                  <c:v>139540</c:v>
                </c:pt>
                <c:pt idx="618">
                  <c:v>141040</c:v>
                </c:pt>
                <c:pt idx="619">
                  <c:v>138290</c:v>
                </c:pt>
                <c:pt idx="620">
                  <c:v>142415</c:v>
                </c:pt>
                <c:pt idx="621">
                  <c:v>143415</c:v>
                </c:pt>
                <c:pt idx="622">
                  <c:v>140915</c:v>
                </c:pt>
                <c:pt idx="623">
                  <c:v>142915</c:v>
                </c:pt>
                <c:pt idx="624">
                  <c:v>143290</c:v>
                </c:pt>
                <c:pt idx="625">
                  <c:v>146290</c:v>
                </c:pt>
                <c:pt idx="626">
                  <c:v>148290</c:v>
                </c:pt>
                <c:pt idx="627">
                  <c:v>146415</c:v>
                </c:pt>
                <c:pt idx="628">
                  <c:v>148040</c:v>
                </c:pt>
                <c:pt idx="629">
                  <c:v>147290</c:v>
                </c:pt>
                <c:pt idx="630">
                  <c:v>143665</c:v>
                </c:pt>
                <c:pt idx="631">
                  <c:v>144540</c:v>
                </c:pt>
                <c:pt idx="632">
                  <c:v>141540</c:v>
                </c:pt>
                <c:pt idx="633">
                  <c:v>143165</c:v>
                </c:pt>
                <c:pt idx="634">
                  <c:v>141040</c:v>
                </c:pt>
                <c:pt idx="635">
                  <c:v>140665</c:v>
                </c:pt>
                <c:pt idx="636">
                  <c:v>143665</c:v>
                </c:pt>
                <c:pt idx="637">
                  <c:v>145665</c:v>
                </c:pt>
                <c:pt idx="638">
                  <c:v>146665</c:v>
                </c:pt>
                <c:pt idx="639">
                  <c:v>149415</c:v>
                </c:pt>
                <c:pt idx="640">
                  <c:v>147540</c:v>
                </c:pt>
                <c:pt idx="641">
                  <c:v>144290</c:v>
                </c:pt>
                <c:pt idx="642">
                  <c:v>143790</c:v>
                </c:pt>
                <c:pt idx="643">
                  <c:v>146040</c:v>
                </c:pt>
                <c:pt idx="644">
                  <c:v>144165</c:v>
                </c:pt>
                <c:pt idx="645">
                  <c:v>139915</c:v>
                </c:pt>
                <c:pt idx="646">
                  <c:v>139540</c:v>
                </c:pt>
                <c:pt idx="647">
                  <c:v>135290</c:v>
                </c:pt>
                <c:pt idx="648">
                  <c:v>129665</c:v>
                </c:pt>
                <c:pt idx="649">
                  <c:v>129040</c:v>
                </c:pt>
                <c:pt idx="650">
                  <c:v>116790</c:v>
                </c:pt>
                <c:pt idx="651">
                  <c:v>117910</c:v>
                </c:pt>
                <c:pt idx="652">
                  <c:v>111660</c:v>
                </c:pt>
                <c:pt idx="653">
                  <c:v>112160</c:v>
                </c:pt>
                <c:pt idx="654">
                  <c:v>112785</c:v>
                </c:pt>
                <c:pt idx="655">
                  <c:v>115160</c:v>
                </c:pt>
                <c:pt idx="656">
                  <c:v>114035</c:v>
                </c:pt>
                <c:pt idx="657">
                  <c:v>110410</c:v>
                </c:pt>
                <c:pt idx="658">
                  <c:v>108410</c:v>
                </c:pt>
                <c:pt idx="659">
                  <c:v>105160</c:v>
                </c:pt>
                <c:pt idx="660">
                  <c:v>110035</c:v>
                </c:pt>
                <c:pt idx="661">
                  <c:v>112035</c:v>
                </c:pt>
                <c:pt idx="662">
                  <c:v>110410</c:v>
                </c:pt>
                <c:pt idx="663">
                  <c:v>115785</c:v>
                </c:pt>
                <c:pt idx="664">
                  <c:v>122660</c:v>
                </c:pt>
                <c:pt idx="665">
                  <c:v>122035</c:v>
                </c:pt>
                <c:pt idx="666">
                  <c:v>124660</c:v>
                </c:pt>
                <c:pt idx="667">
                  <c:v>125285</c:v>
                </c:pt>
                <c:pt idx="668">
                  <c:v>128410</c:v>
                </c:pt>
                <c:pt idx="669">
                  <c:v>137285</c:v>
                </c:pt>
                <c:pt idx="670">
                  <c:v>140285</c:v>
                </c:pt>
                <c:pt idx="671">
                  <c:v>141285</c:v>
                </c:pt>
                <c:pt idx="672">
                  <c:v>140285</c:v>
                </c:pt>
                <c:pt idx="673">
                  <c:v>138535</c:v>
                </c:pt>
                <c:pt idx="674">
                  <c:v>141535</c:v>
                </c:pt>
                <c:pt idx="675">
                  <c:v>142285</c:v>
                </c:pt>
                <c:pt idx="676">
                  <c:v>139785</c:v>
                </c:pt>
                <c:pt idx="677">
                  <c:v>140160</c:v>
                </c:pt>
                <c:pt idx="678">
                  <c:v>139410</c:v>
                </c:pt>
                <c:pt idx="679">
                  <c:v>132535</c:v>
                </c:pt>
                <c:pt idx="680">
                  <c:v>135660</c:v>
                </c:pt>
                <c:pt idx="681">
                  <c:v>147160</c:v>
                </c:pt>
                <c:pt idx="682">
                  <c:v>145035</c:v>
                </c:pt>
                <c:pt idx="683">
                  <c:v>144410</c:v>
                </c:pt>
                <c:pt idx="684">
                  <c:v>143910</c:v>
                </c:pt>
                <c:pt idx="685">
                  <c:v>142785</c:v>
                </c:pt>
                <c:pt idx="686">
                  <c:v>142160</c:v>
                </c:pt>
                <c:pt idx="687">
                  <c:v>140535</c:v>
                </c:pt>
                <c:pt idx="688">
                  <c:v>143285</c:v>
                </c:pt>
                <c:pt idx="689">
                  <c:v>141660</c:v>
                </c:pt>
                <c:pt idx="690">
                  <c:v>143535</c:v>
                </c:pt>
                <c:pt idx="691">
                  <c:v>144785</c:v>
                </c:pt>
                <c:pt idx="692">
                  <c:v>144910</c:v>
                </c:pt>
                <c:pt idx="693">
                  <c:v>143910</c:v>
                </c:pt>
                <c:pt idx="694">
                  <c:v>144785</c:v>
                </c:pt>
                <c:pt idx="695">
                  <c:v>147405</c:v>
                </c:pt>
                <c:pt idx="696">
                  <c:v>149030</c:v>
                </c:pt>
                <c:pt idx="697">
                  <c:v>151030</c:v>
                </c:pt>
                <c:pt idx="698">
                  <c:v>150280</c:v>
                </c:pt>
                <c:pt idx="699">
                  <c:v>150530</c:v>
                </c:pt>
                <c:pt idx="700">
                  <c:v>148780</c:v>
                </c:pt>
                <c:pt idx="701">
                  <c:v>147280</c:v>
                </c:pt>
                <c:pt idx="702">
                  <c:v>144780</c:v>
                </c:pt>
                <c:pt idx="703">
                  <c:v>139905</c:v>
                </c:pt>
                <c:pt idx="704">
                  <c:v>135280</c:v>
                </c:pt>
                <c:pt idx="705">
                  <c:v>136280</c:v>
                </c:pt>
                <c:pt idx="706">
                  <c:v>138780</c:v>
                </c:pt>
                <c:pt idx="707">
                  <c:v>141030</c:v>
                </c:pt>
                <c:pt idx="708">
                  <c:v>142780</c:v>
                </c:pt>
                <c:pt idx="709">
                  <c:v>139780</c:v>
                </c:pt>
                <c:pt idx="710">
                  <c:v>141905</c:v>
                </c:pt>
                <c:pt idx="711">
                  <c:v>140655</c:v>
                </c:pt>
                <c:pt idx="712">
                  <c:v>141530</c:v>
                </c:pt>
                <c:pt idx="713">
                  <c:v>137780</c:v>
                </c:pt>
                <c:pt idx="714">
                  <c:v>138780</c:v>
                </c:pt>
                <c:pt idx="715">
                  <c:v>137530</c:v>
                </c:pt>
                <c:pt idx="716">
                  <c:v>139155</c:v>
                </c:pt>
                <c:pt idx="717">
                  <c:v>136780</c:v>
                </c:pt>
                <c:pt idx="718">
                  <c:v>136780</c:v>
                </c:pt>
                <c:pt idx="719">
                  <c:v>135405</c:v>
                </c:pt>
                <c:pt idx="720">
                  <c:v>133030</c:v>
                </c:pt>
                <c:pt idx="721">
                  <c:v>133905</c:v>
                </c:pt>
                <c:pt idx="722">
                  <c:v>135905</c:v>
                </c:pt>
                <c:pt idx="723">
                  <c:v>139155</c:v>
                </c:pt>
                <c:pt idx="724">
                  <c:v>141280</c:v>
                </c:pt>
                <c:pt idx="725">
                  <c:v>139780</c:v>
                </c:pt>
                <c:pt idx="726">
                  <c:v>142280</c:v>
                </c:pt>
                <c:pt idx="727">
                  <c:v>144030</c:v>
                </c:pt>
                <c:pt idx="728">
                  <c:v>143780</c:v>
                </c:pt>
                <c:pt idx="729">
                  <c:v>145030</c:v>
                </c:pt>
                <c:pt idx="730">
                  <c:v>144280</c:v>
                </c:pt>
                <c:pt idx="731">
                  <c:v>141655</c:v>
                </c:pt>
                <c:pt idx="732">
                  <c:v>142280</c:v>
                </c:pt>
                <c:pt idx="733">
                  <c:v>142780</c:v>
                </c:pt>
                <c:pt idx="734">
                  <c:v>139780</c:v>
                </c:pt>
                <c:pt idx="735">
                  <c:v>141155</c:v>
                </c:pt>
                <c:pt idx="736">
                  <c:v>143780</c:v>
                </c:pt>
                <c:pt idx="737">
                  <c:v>142155</c:v>
                </c:pt>
                <c:pt idx="738">
                  <c:v>140780</c:v>
                </c:pt>
                <c:pt idx="739">
                  <c:v>143530</c:v>
                </c:pt>
                <c:pt idx="740">
                  <c:v>142030</c:v>
                </c:pt>
                <c:pt idx="741">
                  <c:v>140155</c:v>
                </c:pt>
                <c:pt idx="742">
                  <c:v>144030</c:v>
                </c:pt>
                <c:pt idx="743">
                  <c:v>145155</c:v>
                </c:pt>
                <c:pt idx="744">
                  <c:v>147405</c:v>
                </c:pt>
                <c:pt idx="745">
                  <c:v>152655</c:v>
                </c:pt>
                <c:pt idx="746">
                  <c:v>151030</c:v>
                </c:pt>
                <c:pt idx="747">
                  <c:v>151155</c:v>
                </c:pt>
                <c:pt idx="748">
                  <c:v>152280</c:v>
                </c:pt>
                <c:pt idx="749">
                  <c:v>152405</c:v>
                </c:pt>
                <c:pt idx="750">
                  <c:v>151780</c:v>
                </c:pt>
                <c:pt idx="751">
                  <c:v>151030</c:v>
                </c:pt>
                <c:pt idx="752">
                  <c:v>149905</c:v>
                </c:pt>
                <c:pt idx="753">
                  <c:v>150030</c:v>
                </c:pt>
                <c:pt idx="754">
                  <c:v>148780</c:v>
                </c:pt>
                <c:pt idx="755">
                  <c:v>150155</c:v>
                </c:pt>
                <c:pt idx="756">
                  <c:v>149280</c:v>
                </c:pt>
                <c:pt idx="757">
                  <c:v>149030</c:v>
                </c:pt>
                <c:pt idx="758">
                  <c:v>151405</c:v>
                </c:pt>
                <c:pt idx="759">
                  <c:v>149280</c:v>
                </c:pt>
                <c:pt idx="760">
                  <c:v>148400</c:v>
                </c:pt>
                <c:pt idx="761">
                  <c:v>149775</c:v>
                </c:pt>
                <c:pt idx="762">
                  <c:v>146650</c:v>
                </c:pt>
                <c:pt idx="763">
                  <c:v>144900</c:v>
                </c:pt>
                <c:pt idx="764">
                  <c:v>148400</c:v>
                </c:pt>
                <c:pt idx="765">
                  <c:v>148275</c:v>
                </c:pt>
                <c:pt idx="766">
                  <c:v>148525</c:v>
                </c:pt>
                <c:pt idx="767">
                  <c:v>145900</c:v>
                </c:pt>
                <c:pt idx="768">
                  <c:v>147650</c:v>
                </c:pt>
                <c:pt idx="769">
                  <c:v>145900</c:v>
                </c:pt>
                <c:pt idx="770">
                  <c:v>145775</c:v>
                </c:pt>
                <c:pt idx="771">
                  <c:v>150150</c:v>
                </c:pt>
                <c:pt idx="772">
                  <c:v>148525</c:v>
                </c:pt>
                <c:pt idx="773">
                  <c:v>147900</c:v>
                </c:pt>
                <c:pt idx="774">
                  <c:v>149400</c:v>
                </c:pt>
                <c:pt idx="775">
                  <c:v>151900</c:v>
                </c:pt>
                <c:pt idx="776">
                  <c:v>152400</c:v>
                </c:pt>
                <c:pt idx="777">
                  <c:v>152900</c:v>
                </c:pt>
                <c:pt idx="778">
                  <c:v>153400</c:v>
                </c:pt>
                <c:pt idx="779">
                  <c:v>154775</c:v>
                </c:pt>
                <c:pt idx="780">
                  <c:v>154275</c:v>
                </c:pt>
                <c:pt idx="781">
                  <c:v>155525</c:v>
                </c:pt>
                <c:pt idx="782">
                  <c:v>155900</c:v>
                </c:pt>
                <c:pt idx="783">
                  <c:v>155395</c:v>
                </c:pt>
                <c:pt idx="784">
                  <c:v>159395</c:v>
                </c:pt>
                <c:pt idx="785">
                  <c:v>158645</c:v>
                </c:pt>
                <c:pt idx="786">
                  <c:v>158145</c:v>
                </c:pt>
                <c:pt idx="787">
                  <c:v>159020</c:v>
                </c:pt>
                <c:pt idx="788">
                  <c:v>157020</c:v>
                </c:pt>
                <c:pt idx="789">
                  <c:v>159770</c:v>
                </c:pt>
                <c:pt idx="790">
                  <c:v>156270</c:v>
                </c:pt>
                <c:pt idx="791">
                  <c:v>155895</c:v>
                </c:pt>
                <c:pt idx="792">
                  <c:v>155895</c:v>
                </c:pt>
                <c:pt idx="793">
                  <c:v>154145</c:v>
                </c:pt>
                <c:pt idx="794">
                  <c:v>153645</c:v>
                </c:pt>
                <c:pt idx="795">
                  <c:v>151020</c:v>
                </c:pt>
                <c:pt idx="796">
                  <c:v>151270</c:v>
                </c:pt>
                <c:pt idx="797">
                  <c:v>151520</c:v>
                </c:pt>
                <c:pt idx="798">
                  <c:v>150395</c:v>
                </c:pt>
                <c:pt idx="799">
                  <c:v>150520</c:v>
                </c:pt>
                <c:pt idx="800">
                  <c:v>150770</c:v>
                </c:pt>
                <c:pt idx="801">
                  <c:v>150270</c:v>
                </c:pt>
                <c:pt idx="802">
                  <c:v>152270</c:v>
                </c:pt>
                <c:pt idx="803">
                  <c:v>149895</c:v>
                </c:pt>
                <c:pt idx="804">
                  <c:v>150265</c:v>
                </c:pt>
                <c:pt idx="805">
                  <c:v>149515</c:v>
                </c:pt>
                <c:pt idx="806">
                  <c:v>150140</c:v>
                </c:pt>
                <c:pt idx="807">
                  <c:v>151015</c:v>
                </c:pt>
                <c:pt idx="808">
                  <c:v>152265</c:v>
                </c:pt>
                <c:pt idx="809">
                  <c:v>154640</c:v>
                </c:pt>
                <c:pt idx="810">
                  <c:v>155140</c:v>
                </c:pt>
                <c:pt idx="811">
                  <c:v>155265</c:v>
                </c:pt>
                <c:pt idx="812">
                  <c:v>155515</c:v>
                </c:pt>
                <c:pt idx="813">
                  <c:v>156140</c:v>
                </c:pt>
                <c:pt idx="814">
                  <c:v>155890</c:v>
                </c:pt>
                <c:pt idx="815">
                  <c:v>154890</c:v>
                </c:pt>
                <c:pt idx="816">
                  <c:v>152015</c:v>
                </c:pt>
                <c:pt idx="817">
                  <c:v>152515</c:v>
                </c:pt>
                <c:pt idx="818">
                  <c:v>153015</c:v>
                </c:pt>
                <c:pt idx="819">
                  <c:v>151640</c:v>
                </c:pt>
                <c:pt idx="820">
                  <c:v>154390</c:v>
                </c:pt>
                <c:pt idx="821">
                  <c:v>155015</c:v>
                </c:pt>
                <c:pt idx="822">
                  <c:v>157265</c:v>
                </c:pt>
                <c:pt idx="823">
                  <c:v>158390</c:v>
                </c:pt>
                <c:pt idx="824">
                  <c:v>159140</c:v>
                </c:pt>
                <c:pt idx="825">
                  <c:v>159510</c:v>
                </c:pt>
                <c:pt idx="826">
                  <c:v>160010</c:v>
                </c:pt>
                <c:pt idx="827">
                  <c:v>160010</c:v>
                </c:pt>
                <c:pt idx="828">
                  <c:v>158885</c:v>
                </c:pt>
                <c:pt idx="829">
                  <c:v>157885</c:v>
                </c:pt>
                <c:pt idx="830">
                  <c:v>158010</c:v>
                </c:pt>
                <c:pt idx="831">
                  <c:v>158135</c:v>
                </c:pt>
                <c:pt idx="832">
                  <c:v>156510</c:v>
                </c:pt>
                <c:pt idx="833">
                  <c:v>155385</c:v>
                </c:pt>
                <c:pt idx="834">
                  <c:v>153385</c:v>
                </c:pt>
                <c:pt idx="835">
                  <c:v>153510</c:v>
                </c:pt>
                <c:pt idx="836">
                  <c:v>154010</c:v>
                </c:pt>
                <c:pt idx="837">
                  <c:v>153760</c:v>
                </c:pt>
                <c:pt idx="838">
                  <c:v>154510</c:v>
                </c:pt>
                <c:pt idx="839">
                  <c:v>153135</c:v>
                </c:pt>
                <c:pt idx="840">
                  <c:v>153010</c:v>
                </c:pt>
                <c:pt idx="841">
                  <c:v>153760</c:v>
                </c:pt>
                <c:pt idx="842">
                  <c:v>153010</c:v>
                </c:pt>
                <c:pt idx="843">
                  <c:v>152510</c:v>
                </c:pt>
                <c:pt idx="844">
                  <c:v>152135</c:v>
                </c:pt>
                <c:pt idx="845">
                  <c:v>151760</c:v>
                </c:pt>
                <c:pt idx="846">
                  <c:v>153135</c:v>
                </c:pt>
                <c:pt idx="847">
                  <c:v>163635</c:v>
                </c:pt>
                <c:pt idx="848">
                  <c:v>162135</c:v>
                </c:pt>
                <c:pt idx="849">
                  <c:v>160510</c:v>
                </c:pt>
                <c:pt idx="850">
                  <c:v>160010</c:v>
                </c:pt>
                <c:pt idx="851">
                  <c:v>158760</c:v>
                </c:pt>
                <c:pt idx="852">
                  <c:v>157135</c:v>
                </c:pt>
                <c:pt idx="853">
                  <c:v>156885</c:v>
                </c:pt>
                <c:pt idx="854">
                  <c:v>159510</c:v>
                </c:pt>
                <c:pt idx="855">
                  <c:v>158135</c:v>
                </c:pt>
                <c:pt idx="856">
                  <c:v>150885</c:v>
                </c:pt>
                <c:pt idx="857">
                  <c:v>150885</c:v>
                </c:pt>
                <c:pt idx="858">
                  <c:v>147885</c:v>
                </c:pt>
                <c:pt idx="859">
                  <c:v>147260</c:v>
                </c:pt>
                <c:pt idx="860">
                  <c:v>145510</c:v>
                </c:pt>
                <c:pt idx="861">
                  <c:v>142260</c:v>
                </c:pt>
                <c:pt idx="862">
                  <c:v>142760</c:v>
                </c:pt>
                <c:pt idx="863">
                  <c:v>151510</c:v>
                </c:pt>
                <c:pt idx="864">
                  <c:v>147885</c:v>
                </c:pt>
                <c:pt idx="865">
                  <c:v>147885</c:v>
                </c:pt>
                <c:pt idx="866">
                  <c:v>149010</c:v>
                </c:pt>
                <c:pt idx="867">
                  <c:v>145135</c:v>
                </c:pt>
                <c:pt idx="868">
                  <c:v>145010</c:v>
                </c:pt>
                <c:pt idx="869">
                  <c:v>146130</c:v>
                </c:pt>
                <c:pt idx="870">
                  <c:v>151380</c:v>
                </c:pt>
                <c:pt idx="871">
                  <c:v>151505</c:v>
                </c:pt>
                <c:pt idx="872">
                  <c:v>153630</c:v>
                </c:pt>
                <c:pt idx="873">
                  <c:v>151880</c:v>
                </c:pt>
                <c:pt idx="874">
                  <c:v>155380</c:v>
                </c:pt>
                <c:pt idx="875">
                  <c:v>151505</c:v>
                </c:pt>
                <c:pt idx="876">
                  <c:v>152630</c:v>
                </c:pt>
                <c:pt idx="877">
                  <c:v>147005</c:v>
                </c:pt>
                <c:pt idx="878">
                  <c:v>145505</c:v>
                </c:pt>
                <c:pt idx="879">
                  <c:v>144630</c:v>
                </c:pt>
                <c:pt idx="880">
                  <c:v>142255</c:v>
                </c:pt>
                <c:pt idx="881">
                  <c:v>141005</c:v>
                </c:pt>
                <c:pt idx="882">
                  <c:v>146130</c:v>
                </c:pt>
                <c:pt idx="883">
                  <c:v>144255</c:v>
                </c:pt>
                <c:pt idx="884">
                  <c:v>142130</c:v>
                </c:pt>
                <c:pt idx="885">
                  <c:v>140505</c:v>
                </c:pt>
                <c:pt idx="886">
                  <c:v>138630</c:v>
                </c:pt>
                <c:pt idx="887">
                  <c:v>136755</c:v>
                </c:pt>
                <c:pt idx="888">
                  <c:v>134630</c:v>
                </c:pt>
                <c:pt idx="889">
                  <c:v>133880</c:v>
                </c:pt>
                <c:pt idx="890">
                  <c:v>137755</c:v>
                </c:pt>
                <c:pt idx="891">
                  <c:v>134380</c:v>
                </c:pt>
                <c:pt idx="892">
                  <c:v>132255</c:v>
                </c:pt>
                <c:pt idx="893">
                  <c:v>131880</c:v>
                </c:pt>
                <c:pt idx="894">
                  <c:v>127005</c:v>
                </c:pt>
                <c:pt idx="895">
                  <c:v>127130</c:v>
                </c:pt>
                <c:pt idx="896">
                  <c:v>124380</c:v>
                </c:pt>
                <c:pt idx="897">
                  <c:v>127630</c:v>
                </c:pt>
                <c:pt idx="898">
                  <c:v>129380</c:v>
                </c:pt>
                <c:pt idx="899">
                  <c:v>126005</c:v>
                </c:pt>
                <c:pt idx="900">
                  <c:v>123755</c:v>
                </c:pt>
                <c:pt idx="901">
                  <c:v>125130</c:v>
                </c:pt>
                <c:pt idx="902">
                  <c:v>128255</c:v>
                </c:pt>
                <c:pt idx="903">
                  <c:v>123505</c:v>
                </c:pt>
                <c:pt idx="904">
                  <c:v>129130</c:v>
                </c:pt>
                <c:pt idx="905">
                  <c:v>141880</c:v>
                </c:pt>
                <c:pt idx="906">
                  <c:v>142005</c:v>
                </c:pt>
                <c:pt idx="907">
                  <c:v>146755</c:v>
                </c:pt>
                <c:pt idx="908">
                  <c:v>149880</c:v>
                </c:pt>
                <c:pt idx="909">
                  <c:v>149005</c:v>
                </c:pt>
                <c:pt idx="910">
                  <c:v>148505</c:v>
                </c:pt>
                <c:pt idx="911">
                  <c:v>153880</c:v>
                </c:pt>
                <c:pt idx="912">
                  <c:v>159380</c:v>
                </c:pt>
                <c:pt idx="913">
                  <c:v>163125</c:v>
                </c:pt>
                <c:pt idx="914">
                  <c:v>167375</c:v>
                </c:pt>
                <c:pt idx="915">
                  <c:v>168250</c:v>
                </c:pt>
                <c:pt idx="916">
                  <c:v>171250</c:v>
                </c:pt>
                <c:pt idx="917">
                  <c:v>172625</c:v>
                </c:pt>
                <c:pt idx="918">
                  <c:v>166375</c:v>
                </c:pt>
                <c:pt idx="919">
                  <c:v>170000</c:v>
                </c:pt>
                <c:pt idx="920">
                  <c:v>167125</c:v>
                </c:pt>
                <c:pt idx="921">
                  <c:v>162250</c:v>
                </c:pt>
                <c:pt idx="922">
                  <c:v>164125</c:v>
                </c:pt>
                <c:pt idx="923">
                  <c:v>166750</c:v>
                </c:pt>
                <c:pt idx="924">
                  <c:v>165625</c:v>
                </c:pt>
                <c:pt idx="925">
                  <c:v>171500</c:v>
                </c:pt>
                <c:pt idx="926">
                  <c:v>175500</c:v>
                </c:pt>
                <c:pt idx="927">
                  <c:v>175750</c:v>
                </c:pt>
                <c:pt idx="928">
                  <c:v>175625</c:v>
                </c:pt>
                <c:pt idx="929">
                  <c:v>176375</c:v>
                </c:pt>
                <c:pt idx="930">
                  <c:v>177500</c:v>
                </c:pt>
                <c:pt idx="931">
                  <c:v>175250</c:v>
                </c:pt>
                <c:pt idx="932">
                  <c:v>178375</c:v>
                </c:pt>
                <c:pt idx="933">
                  <c:v>176500</c:v>
                </c:pt>
                <c:pt idx="934">
                  <c:v>179125</c:v>
                </c:pt>
                <c:pt idx="935">
                  <c:v>182500</c:v>
                </c:pt>
                <c:pt idx="936">
                  <c:v>180750</c:v>
                </c:pt>
                <c:pt idx="937">
                  <c:v>182000</c:v>
                </c:pt>
                <c:pt idx="938">
                  <c:v>181875</c:v>
                </c:pt>
                <c:pt idx="939">
                  <c:v>180875</c:v>
                </c:pt>
                <c:pt idx="940">
                  <c:v>181125</c:v>
                </c:pt>
                <c:pt idx="941">
                  <c:v>180875</c:v>
                </c:pt>
                <c:pt idx="942">
                  <c:v>182500</c:v>
                </c:pt>
                <c:pt idx="943">
                  <c:v>183875</c:v>
                </c:pt>
                <c:pt idx="944">
                  <c:v>179625</c:v>
                </c:pt>
                <c:pt idx="945">
                  <c:v>179250</c:v>
                </c:pt>
                <c:pt idx="946">
                  <c:v>179000</c:v>
                </c:pt>
                <c:pt idx="947">
                  <c:v>177875</c:v>
                </c:pt>
                <c:pt idx="948">
                  <c:v>176000</c:v>
                </c:pt>
                <c:pt idx="949">
                  <c:v>176625</c:v>
                </c:pt>
                <c:pt idx="950">
                  <c:v>178625</c:v>
                </c:pt>
                <c:pt idx="951">
                  <c:v>179750</c:v>
                </c:pt>
                <c:pt idx="952">
                  <c:v>181750</c:v>
                </c:pt>
                <c:pt idx="953">
                  <c:v>184375</c:v>
                </c:pt>
                <c:pt idx="954">
                  <c:v>187625</c:v>
                </c:pt>
                <c:pt idx="955">
                  <c:v>189125</c:v>
                </c:pt>
                <c:pt idx="956">
                  <c:v>189375</c:v>
                </c:pt>
                <c:pt idx="957">
                  <c:v>186745</c:v>
                </c:pt>
                <c:pt idx="958">
                  <c:v>183495</c:v>
                </c:pt>
                <c:pt idx="959">
                  <c:v>183495</c:v>
                </c:pt>
                <c:pt idx="960">
                  <c:v>184120</c:v>
                </c:pt>
                <c:pt idx="961">
                  <c:v>181745</c:v>
                </c:pt>
                <c:pt idx="962">
                  <c:v>178620</c:v>
                </c:pt>
                <c:pt idx="963">
                  <c:v>176995</c:v>
                </c:pt>
                <c:pt idx="964">
                  <c:v>177870</c:v>
                </c:pt>
                <c:pt idx="965">
                  <c:v>182620</c:v>
                </c:pt>
                <c:pt idx="966">
                  <c:v>182370</c:v>
                </c:pt>
                <c:pt idx="967">
                  <c:v>183245</c:v>
                </c:pt>
                <c:pt idx="968">
                  <c:v>179245</c:v>
                </c:pt>
                <c:pt idx="969">
                  <c:v>180370</c:v>
                </c:pt>
                <c:pt idx="970">
                  <c:v>177620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A68C-43A1-80E4-4B0FEF6A888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30232992"/>
        <c:axId val="530234952"/>
      </c:lineChart>
      <c:dateAx>
        <c:axId val="530232992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0234952"/>
        <c:crosses val="autoZero"/>
        <c:auto val="1"/>
        <c:lblOffset val="100"/>
        <c:baseTimeUnit val="days"/>
      </c:dateAx>
      <c:valAx>
        <c:axId val="5302349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$&quot;#,##0" sourceLinked="0"/>
        <c:majorTickMark val="none"/>
        <c:minorTickMark val="none"/>
        <c:tickLblPos val="high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023299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DHP</a:t>
            </a:r>
            <a:r>
              <a:rPr lang="en-US" baseline="0"/>
              <a:t> and Futures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Data!$I$11</c:f>
              <c:strCache>
                <c:ptCount val="1"/>
                <c:pt idx="0">
                  <c:v>Corn DHP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[0]!dateRange</c:f>
              <c:numCache>
                <c:formatCode>m/d/yyyy</c:formatCode>
                <c:ptCount val="971"/>
                <c:pt idx="0">
                  <c:v>41275</c:v>
                </c:pt>
                <c:pt idx="1">
                  <c:v>41276</c:v>
                </c:pt>
                <c:pt idx="2">
                  <c:v>41277</c:v>
                </c:pt>
                <c:pt idx="3">
                  <c:v>41278</c:v>
                </c:pt>
                <c:pt idx="4">
                  <c:v>41281</c:v>
                </c:pt>
                <c:pt idx="5">
                  <c:v>41282</c:v>
                </c:pt>
                <c:pt idx="6">
                  <c:v>41283</c:v>
                </c:pt>
                <c:pt idx="7">
                  <c:v>41284</c:v>
                </c:pt>
                <c:pt idx="8">
                  <c:v>41285</c:v>
                </c:pt>
                <c:pt idx="9">
                  <c:v>41288</c:v>
                </c:pt>
                <c:pt idx="10">
                  <c:v>41289</c:v>
                </c:pt>
                <c:pt idx="11">
                  <c:v>41290</c:v>
                </c:pt>
                <c:pt idx="12">
                  <c:v>41291</c:v>
                </c:pt>
                <c:pt idx="13">
                  <c:v>41292</c:v>
                </c:pt>
                <c:pt idx="14">
                  <c:v>41295</c:v>
                </c:pt>
                <c:pt idx="15">
                  <c:v>41296</c:v>
                </c:pt>
                <c:pt idx="16">
                  <c:v>41297</c:v>
                </c:pt>
                <c:pt idx="17">
                  <c:v>41298</c:v>
                </c:pt>
                <c:pt idx="18">
                  <c:v>41299</c:v>
                </c:pt>
                <c:pt idx="19">
                  <c:v>41302</c:v>
                </c:pt>
                <c:pt idx="20">
                  <c:v>41303</c:v>
                </c:pt>
                <c:pt idx="21">
                  <c:v>41304</c:v>
                </c:pt>
                <c:pt idx="22">
                  <c:v>41305</c:v>
                </c:pt>
                <c:pt idx="23">
                  <c:v>41306</c:v>
                </c:pt>
                <c:pt idx="24">
                  <c:v>41309</c:v>
                </c:pt>
                <c:pt idx="25">
                  <c:v>41310</c:v>
                </c:pt>
                <c:pt idx="26">
                  <c:v>41311</c:v>
                </c:pt>
                <c:pt idx="27">
                  <c:v>41312</c:v>
                </c:pt>
                <c:pt idx="28">
                  <c:v>41313</c:v>
                </c:pt>
                <c:pt idx="29">
                  <c:v>41316</c:v>
                </c:pt>
                <c:pt idx="30">
                  <c:v>41317</c:v>
                </c:pt>
                <c:pt idx="31">
                  <c:v>41318</c:v>
                </c:pt>
                <c:pt idx="32">
                  <c:v>41319</c:v>
                </c:pt>
                <c:pt idx="33">
                  <c:v>41320</c:v>
                </c:pt>
                <c:pt idx="34">
                  <c:v>41323</c:v>
                </c:pt>
                <c:pt idx="35">
                  <c:v>41324</c:v>
                </c:pt>
                <c:pt idx="36">
                  <c:v>41325</c:v>
                </c:pt>
                <c:pt idx="37">
                  <c:v>41326</c:v>
                </c:pt>
                <c:pt idx="38">
                  <c:v>41327</c:v>
                </c:pt>
                <c:pt idx="39">
                  <c:v>41330</c:v>
                </c:pt>
                <c:pt idx="40">
                  <c:v>41331</c:v>
                </c:pt>
                <c:pt idx="41">
                  <c:v>41332</c:v>
                </c:pt>
                <c:pt idx="42">
                  <c:v>41333</c:v>
                </c:pt>
                <c:pt idx="43">
                  <c:v>41334</c:v>
                </c:pt>
                <c:pt idx="44">
                  <c:v>41337</c:v>
                </c:pt>
                <c:pt idx="45">
                  <c:v>41338</c:v>
                </c:pt>
                <c:pt idx="46">
                  <c:v>41339</c:v>
                </c:pt>
                <c:pt idx="47">
                  <c:v>41340</c:v>
                </c:pt>
                <c:pt idx="48">
                  <c:v>41341</c:v>
                </c:pt>
                <c:pt idx="49">
                  <c:v>41344</c:v>
                </c:pt>
                <c:pt idx="50">
                  <c:v>41345</c:v>
                </c:pt>
                <c:pt idx="51">
                  <c:v>41346</c:v>
                </c:pt>
                <c:pt idx="52">
                  <c:v>41347</c:v>
                </c:pt>
                <c:pt idx="53">
                  <c:v>41348</c:v>
                </c:pt>
                <c:pt idx="54">
                  <c:v>41351</c:v>
                </c:pt>
                <c:pt idx="55">
                  <c:v>41352</c:v>
                </c:pt>
                <c:pt idx="56">
                  <c:v>41353</c:v>
                </c:pt>
                <c:pt idx="57">
                  <c:v>41354</c:v>
                </c:pt>
                <c:pt idx="58">
                  <c:v>41355</c:v>
                </c:pt>
                <c:pt idx="59">
                  <c:v>41358</c:v>
                </c:pt>
                <c:pt idx="60">
                  <c:v>41359</c:v>
                </c:pt>
                <c:pt idx="61">
                  <c:v>41360</c:v>
                </c:pt>
                <c:pt idx="62">
                  <c:v>41361</c:v>
                </c:pt>
                <c:pt idx="63">
                  <c:v>41362</c:v>
                </c:pt>
                <c:pt idx="64">
                  <c:v>41365</c:v>
                </c:pt>
                <c:pt idx="65">
                  <c:v>41366</c:v>
                </c:pt>
                <c:pt idx="66">
                  <c:v>41367</c:v>
                </c:pt>
                <c:pt idx="67">
                  <c:v>41368</c:v>
                </c:pt>
                <c:pt idx="68">
                  <c:v>41369</c:v>
                </c:pt>
                <c:pt idx="69">
                  <c:v>41372</c:v>
                </c:pt>
                <c:pt idx="70">
                  <c:v>41373</c:v>
                </c:pt>
                <c:pt idx="71">
                  <c:v>41374</c:v>
                </c:pt>
                <c:pt idx="72">
                  <c:v>41375</c:v>
                </c:pt>
                <c:pt idx="73">
                  <c:v>41376</c:v>
                </c:pt>
                <c:pt idx="74">
                  <c:v>41379</c:v>
                </c:pt>
                <c:pt idx="75">
                  <c:v>41380</c:v>
                </c:pt>
                <c:pt idx="76">
                  <c:v>41381</c:v>
                </c:pt>
                <c:pt idx="77">
                  <c:v>41382</c:v>
                </c:pt>
                <c:pt idx="78">
                  <c:v>41383</c:v>
                </c:pt>
                <c:pt idx="79">
                  <c:v>41386</c:v>
                </c:pt>
                <c:pt idx="80">
                  <c:v>41387</c:v>
                </c:pt>
                <c:pt idx="81">
                  <c:v>41388</c:v>
                </c:pt>
                <c:pt idx="82">
                  <c:v>41389</c:v>
                </c:pt>
                <c:pt idx="83">
                  <c:v>41390</c:v>
                </c:pt>
                <c:pt idx="84">
                  <c:v>41393</c:v>
                </c:pt>
                <c:pt idx="85">
                  <c:v>41394</c:v>
                </c:pt>
                <c:pt idx="86">
                  <c:v>41395</c:v>
                </c:pt>
                <c:pt idx="87">
                  <c:v>41396</c:v>
                </c:pt>
                <c:pt idx="88">
                  <c:v>41397</c:v>
                </c:pt>
                <c:pt idx="89">
                  <c:v>41400</c:v>
                </c:pt>
                <c:pt idx="90">
                  <c:v>41401</c:v>
                </c:pt>
                <c:pt idx="91">
                  <c:v>41402</c:v>
                </c:pt>
                <c:pt idx="92">
                  <c:v>41403</c:v>
                </c:pt>
                <c:pt idx="93">
                  <c:v>41404</c:v>
                </c:pt>
                <c:pt idx="94">
                  <c:v>41407</c:v>
                </c:pt>
                <c:pt idx="95">
                  <c:v>41408</c:v>
                </c:pt>
                <c:pt idx="96">
                  <c:v>41409</c:v>
                </c:pt>
                <c:pt idx="97">
                  <c:v>41410</c:v>
                </c:pt>
                <c:pt idx="98">
                  <c:v>41411</c:v>
                </c:pt>
                <c:pt idx="99">
                  <c:v>41414</c:v>
                </c:pt>
                <c:pt idx="100">
                  <c:v>41415</c:v>
                </c:pt>
                <c:pt idx="101">
                  <c:v>41416</c:v>
                </c:pt>
                <c:pt idx="102">
                  <c:v>41417</c:v>
                </c:pt>
                <c:pt idx="103">
                  <c:v>41418</c:v>
                </c:pt>
                <c:pt idx="104">
                  <c:v>41421</c:v>
                </c:pt>
                <c:pt idx="105">
                  <c:v>41422</c:v>
                </c:pt>
                <c:pt idx="106">
                  <c:v>41423</c:v>
                </c:pt>
                <c:pt idx="107">
                  <c:v>41424</c:v>
                </c:pt>
                <c:pt idx="108">
                  <c:v>41425</c:v>
                </c:pt>
                <c:pt idx="109">
                  <c:v>41428</c:v>
                </c:pt>
                <c:pt idx="110">
                  <c:v>41429</c:v>
                </c:pt>
                <c:pt idx="111">
                  <c:v>41430</c:v>
                </c:pt>
                <c:pt idx="112">
                  <c:v>41431</c:v>
                </c:pt>
                <c:pt idx="113">
                  <c:v>41432</c:v>
                </c:pt>
                <c:pt idx="114">
                  <c:v>41435</c:v>
                </c:pt>
                <c:pt idx="115">
                  <c:v>41436</c:v>
                </c:pt>
                <c:pt idx="116">
                  <c:v>41437</c:v>
                </c:pt>
                <c:pt idx="117">
                  <c:v>41438</c:v>
                </c:pt>
                <c:pt idx="118">
                  <c:v>41439</c:v>
                </c:pt>
                <c:pt idx="119">
                  <c:v>41442</c:v>
                </c:pt>
                <c:pt idx="120">
                  <c:v>41443</c:v>
                </c:pt>
                <c:pt idx="121">
                  <c:v>41444</c:v>
                </c:pt>
                <c:pt idx="122">
                  <c:v>41445</c:v>
                </c:pt>
                <c:pt idx="123">
                  <c:v>41446</c:v>
                </c:pt>
                <c:pt idx="124">
                  <c:v>41449</c:v>
                </c:pt>
                <c:pt idx="125">
                  <c:v>41450</c:v>
                </c:pt>
                <c:pt idx="126">
                  <c:v>41451</c:v>
                </c:pt>
                <c:pt idx="127">
                  <c:v>41452</c:v>
                </c:pt>
                <c:pt idx="128">
                  <c:v>41453</c:v>
                </c:pt>
                <c:pt idx="129">
                  <c:v>41456</c:v>
                </c:pt>
                <c:pt idx="130">
                  <c:v>41457</c:v>
                </c:pt>
                <c:pt idx="131">
                  <c:v>41458</c:v>
                </c:pt>
                <c:pt idx="132">
                  <c:v>41459</c:v>
                </c:pt>
                <c:pt idx="133">
                  <c:v>41460</c:v>
                </c:pt>
                <c:pt idx="134">
                  <c:v>41463</c:v>
                </c:pt>
                <c:pt idx="135">
                  <c:v>41464</c:v>
                </c:pt>
                <c:pt idx="136">
                  <c:v>41465</c:v>
                </c:pt>
                <c:pt idx="137">
                  <c:v>41466</c:v>
                </c:pt>
                <c:pt idx="138">
                  <c:v>41467</c:v>
                </c:pt>
                <c:pt idx="139">
                  <c:v>41470</c:v>
                </c:pt>
                <c:pt idx="140">
                  <c:v>41471</c:v>
                </c:pt>
                <c:pt idx="141">
                  <c:v>41472</c:v>
                </c:pt>
                <c:pt idx="142">
                  <c:v>41473</c:v>
                </c:pt>
                <c:pt idx="143">
                  <c:v>41474</c:v>
                </c:pt>
                <c:pt idx="144">
                  <c:v>41477</c:v>
                </c:pt>
                <c:pt idx="145">
                  <c:v>41478</c:v>
                </c:pt>
                <c:pt idx="146">
                  <c:v>41479</c:v>
                </c:pt>
                <c:pt idx="147">
                  <c:v>41480</c:v>
                </c:pt>
                <c:pt idx="148">
                  <c:v>41481</c:v>
                </c:pt>
                <c:pt idx="149">
                  <c:v>41484</c:v>
                </c:pt>
                <c:pt idx="150">
                  <c:v>41485</c:v>
                </c:pt>
                <c:pt idx="151">
                  <c:v>41486</c:v>
                </c:pt>
                <c:pt idx="152">
                  <c:v>41487</c:v>
                </c:pt>
                <c:pt idx="153">
                  <c:v>41488</c:v>
                </c:pt>
                <c:pt idx="154">
                  <c:v>41491</c:v>
                </c:pt>
                <c:pt idx="155">
                  <c:v>41492</c:v>
                </c:pt>
                <c:pt idx="156">
                  <c:v>41493</c:v>
                </c:pt>
                <c:pt idx="157">
                  <c:v>41494</c:v>
                </c:pt>
                <c:pt idx="158">
                  <c:v>41495</c:v>
                </c:pt>
                <c:pt idx="159">
                  <c:v>41498</c:v>
                </c:pt>
                <c:pt idx="160">
                  <c:v>41499</c:v>
                </c:pt>
                <c:pt idx="161">
                  <c:v>41500</c:v>
                </c:pt>
                <c:pt idx="162">
                  <c:v>41501</c:v>
                </c:pt>
                <c:pt idx="163">
                  <c:v>41502</c:v>
                </c:pt>
                <c:pt idx="164">
                  <c:v>41505</c:v>
                </c:pt>
                <c:pt idx="165">
                  <c:v>41506</c:v>
                </c:pt>
                <c:pt idx="166">
                  <c:v>41507</c:v>
                </c:pt>
                <c:pt idx="167">
                  <c:v>41508</c:v>
                </c:pt>
                <c:pt idx="168">
                  <c:v>41509</c:v>
                </c:pt>
                <c:pt idx="169">
                  <c:v>41512</c:v>
                </c:pt>
                <c:pt idx="170">
                  <c:v>41513</c:v>
                </c:pt>
                <c:pt idx="171">
                  <c:v>41514</c:v>
                </c:pt>
                <c:pt idx="172">
                  <c:v>41515</c:v>
                </c:pt>
                <c:pt idx="173">
                  <c:v>41516</c:v>
                </c:pt>
                <c:pt idx="174">
                  <c:v>41519</c:v>
                </c:pt>
                <c:pt idx="175">
                  <c:v>41520</c:v>
                </c:pt>
                <c:pt idx="176">
                  <c:v>41521</c:v>
                </c:pt>
                <c:pt idx="177">
                  <c:v>41522</c:v>
                </c:pt>
                <c:pt idx="178">
                  <c:v>41523</c:v>
                </c:pt>
                <c:pt idx="179">
                  <c:v>41526</c:v>
                </c:pt>
                <c:pt idx="180">
                  <c:v>41527</c:v>
                </c:pt>
                <c:pt idx="181">
                  <c:v>41528</c:v>
                </c:pt>
                <c:pt idx="182">
                  <c:v>41529</c:v>
                </c:pt>
                <c:pt idx="183">
                  <c:v>41530</c:v>
                </c:pt>
                <c:pt idx="184">
                  <c:v>41533</c:v>
                </c:pt>
                <c:pt idx="185">
                  <c:v>41534</c:v>
                </c:pt>
                <c:pt idx="186">
                  <c:v>41535</c:v>
                </c:pt>
                <c:pt idx="187">
                  <c:v>41536</c:v>
                </c:pt>
                <c:pt idx="188">
                  <c:v>41537</c:v>
                </c:pt>
                <c:pt idx="189">
                  <c:v>41540</c:v>
                </c:pt>
                <c:pt idx="190">
                  <c:v>41541</c:v>
                </c:pt>
                <c:pt idx="191">
                  <c:v>41542</c:v>
                </c:pt>
                <c:pt idx="192">
                  <c:v>41543</c:v>
                </c:pt>
                <c:pt idx="193">
                  <c:v>41544</c:v>
                </c:pt>
                <c:pt idx="194">
                  <c:v>41547</c:v>
                </c:pt>
                <c:pt idx="195">
                  <c:v>41548</c:v>
                </c:pt>
                <c:pt idx="196">
                  <c:v>41549</c:v>
                </c:pt>
                <c:pt idx="197">
                  <c:v>41550</c:v>
                </c:pt>
                <c:pt idx="198">
                  <c:v>41551</c:v>
                </c:pt>
                <c:pt idx="199">
                  <c:v>41554</c:v>
                </c:pt>
                <c:pt idx="200">
                  <c:v>41555</c:v>
                </c:pt>
                <c:pt idx="201">
                  <c:v>41556</c:v>
                </c:pt>
                <c:pt idx="202">
                  <c:v>41557</c:v>
                </c:pt>
                <c:pt idx="203">
                  <c:v>41558</c:v>
                </c:pt>
                <c:pt idx="204">
                  <c:v>41561</c:v>
                </c:pt>
                <c:pt idx="205">
                  <c:v>41562</c:v>
                </c:pt>
                <c:pt idx="206">
                  <c:v>41563</c:v>
                </c:pt>
                <c:pt idx="207">
                  <c:v>41564</c:v>
                </c:pt>
                <c:pt idx="208">
                  <c:v>41565</c:v>
                </c:pt>
                <c:pt idx="209">
                  <c:v>41568</c:v>
                </c:pt>
                <c:pt idx="210">
                  <c:v>41569</c:v>
                </c:pt>
                <c:pt idx="211">
                  <c:v>41570</c:v>
                </c:pt>
                <c:pt idx="212">
                  <c:v>41571</c:v>
                </c:pt>
                <c:pt idx="213">
                  <c:v>41572</c:v>
                </c:pt>
                <c:pt idx="214">
                  <c:v>41575</c:v>
                </c:pt>
                <c:pt idx="215">
                  <c:v>41576</c:v>
                </c:pt>
                <c:pt idx="216">
                  <c:v>41577</c:v>
                </c:pt>
                <c:pt idx="217">
                  <c:v>41578</c:v>
                </c:pt>
                <c:pt idx="218">
                  <c:v>41579</c:v>
                </c:pt>
                <c:pt idx="219">
                  <c:v>41582</c:v>
                </c:pt>
                <c:pt idx="220">
                  <c:v>41583</c:v>
                </c:pt>
                <c:pt idx="221">
                  <c:v>41584</c:v>
                </c:pt>
                <c:pt idx="222">
                  <c:v>41585</c:v>
                </c:pt>
                <c:pt idx="223">
                  <c:v>41586</c:v>
                </c:pt>
                <c:pt idx="224">
                  <c:v>41589</c:v>
                </c:pt>
                <c:pt idx="225">
                  <c:v>41590</c:v>
                </c:pt>
                <c:pt idx="226">
                  <c:v>41591</c:v>
                </c:pt>
                <c:pt idx="227">
                  <c:v>41592</c:v>
                </c:pt>
                <c:pt idx="228">
                  <c:v>41593</c:v>
                </c:pt>
                <c:pt idx="229">
                  <c:v>41596</c:v>
                </c:pt>
                <c:pt idx="230">
                  <c:v>41597</c:v>
                </c:pt>
                <c:pt idx="231">
                  <c:v>41598</c:v>
                </c:pt>
                <c:pt idx="232">
                  <c:v>41599</c:v>
                </c:pt>
                <c:pt idx="233">
                  <c:v>41600</c:v>
                </c:pt>
                <c:pt idx="234">
                  <c:v>41603</c:v>
                </c:pt>
                <c:pt idx="235">
                  <c:v>41604</c:v>
                </c:pt>
                <c:pt idx="236">
                  <c:v>41605</c:v>
                </c:pt>
                <c:pt idx="237">
                  <c:v>41606</c:v>
                </c:pt>
                <c:pt idx="238">
                  <c:v>41607</c:v>
                </c:pt>
                <c:pt idx="239">
                  <c:v>41610</c:v>
                </c:pt>
                <c:pt idx="240">
                  <c:v>41611</c:v>
                </c:pt>
                <c:pt idx="241">
                  <c:v>41612</c:v>
                </c:pt>
                <c:pt idx="242">
                  <c:v>41613</c:v>
                </c:pt>
                <c:pt idx="243">
                  <c:v>41614</c:v>
                </c:pt>
                <c:pt idx="244">
                  <c:v>41617</c:v>
                </c:pt>
                <c:pt idx="245">
                  <c:v>41618</c:v>
                </c:pt>
                <c:pt idx="246">
                  <c:v>41619</c:v>
                </c:pt>
                <c:pt idx="247">
                  <c:v>41620</c:v>
                </c:pt>
                <c:pt idx="248">
                  <c:v>41621</c:v>
                </c:pt>
                <c:pt idx="249">
                  <c:v>41624</c:v>
                </c:pt>
                <c:pt idx="250">
                  <c:v>41625</c:v>
                </c:pt>
                <c:pt idx="251">
                  <c:v>41626</c:v>
                </c:pt>
                <c:pt idx="252">
                  <c:v>41627</c:v>
                </c:pt>
                <c:pt idx="253">
                  <c:v>41628</c:v>
                </c:pt>
                <c:pt idx="254">
                  <c:v>41631</c:v>
                </c:pt>
                <c:pt idx="255">
                  <c:v>41632</c:v>
                </c:pt>
                <c:pt idx="256">
                  <c:v>41633</c:v>
                </c:pt>
                <c:pt idx="257">
                  <c:v>41634</c:v>
                </c:pt>
                <c:pt idx="258">
                  <c:v>41635</c:v>
                </c:pt>
                <c:pt idx="259">
                  <c:v>41638</c:v>
                </c:pt>
                <c:pt idx="260">
                  <c:v>41639</c:v>
                </c:pt>
                <c:pt idx="261">
                  <c:v>41640</c:v>
                </c:pt>
                <c:pt idx="262">
                  <c:v>41641</c:v>
                </c:pt>
                <c:pt idx="263">
                  <c:v>41642</c:v>
                </c:pt>
                <c:pt idx="264">
                  <c:v>41645</c:v>
                </c:pt>
                <c:pt idx="265">
                  <c:v>41646</c:v>
                </c:pt>
                <c:pt idx="266">
                  <c:v>41647</c:v>
                </c:pt>
                <c:pt idx="267">
                  <c:v>41648</c:v>
                </c:pt>
                <c:pt idx="268">
                  <c:v>41649</c:v>
                </c:pt>
                <c:pt idx="269">
                  <c:v>41652</c:v>
                </c:pt>
                <c:pt idx="270">
                  <c:v>41653</c:v>
                </c:pt>
                <c:pt idx="271">
                  <c:v>41654</c:v>
                </c:pt>
                <c:pt idx="272">
                  <c:v>41655</c:v>
                </c:pt>
                <c:pt idx="273">
                  <c:v>41656</c:v>
                </c:pt>
                <c:pt idx="274">
                  <c:v>41659</c:v>
                </c:pt>
                <c:pt idx="275">
                  <c:v>41660</c:v>
                </c:pt>
                <c:pt idx="276">
                  <c:v>41661</c:v>
                </c:pt>
                <c:pt idx="277">
                  <c:v>41662</c:v>
                </c:pt>
                <c:pt idx="278">
                  <c:v>41663</c:v>
                </c:pt>
                <c:pt idx="279">
                  <c:v>41666</c:v>
                </c:pt>
                <c:pt idx="280">
                  <c:v>41667</c:v>
                </c:pt>
                <c:pt idx="281">
                  <c:v>41668</c:v>
                </c:pt>
                <c:pt idx="282">
                  <c:v>41669</c:v>
                </c:pt>
                <c:pt idx="283">
                  <c:v>41670</c:v>
                </c:pt>
                <c:pt idx="284">
                  <c:v>41673</c:v>
                </c:pt>
                <c:pt idx="285">
                  <c:v>41674</c:v>
                </c:pt>
                <c:pt idx="286">
                  <c:v>41675</c:v>
                </c:pt>
                <c:pt idx="287">
                  <c:v>41676</c:v>
                </c:pt>
                <c:pt idx="288">
                  <c:v>41677</c:v>
                </c:pt>
                <c:pt idx="289">
                  <c:v>41680</c:v>
                </c:pt>
                <c:pt idx="290">
                  <c:v>41681</c:v>
                </c:pt>
                <c:pt idx="291">
                  <c:v>41682</c:v>
                </c:pt>
                <c:pt idx="292">
                  <c:v>41683</c:v>
                </c:pt>
                <c:pt idx="293">
                  <c:v>41684</c:v>
                </c:pt>
                <c:pt idx="294">
                  <c:v>41687</c:v>
                </c:pt>
                <c:pt idx="295">
                  <c:v>41688</c:v>
                </c:pt>
                <c:pt idx="296">
                  <c:v>41689</c:v>
                </c:pt>
                <c:pt idx="297">
                  <c:v>41690</c:v>
                </c:pt>
                <c:pt idx="298">
                  <c:v>41691</c:v>
                </c:pt>
                <c:pt idx="299">
                  <c:v>41694</c:v>
                </c:pt>
                <c:pt idx="300">
                  <c:v>41695</c:v>
                </c:pt>
                <c:pt idx="301">
                  <c:v>41696</c:v>
                </c:pt>
                <c:pt idx="302">
                  <c:v>41697</c:v>
                </c:pt>
                <c:pt idx="303">
                  <c:v>41698</c:v>
                </c:pt>
                <c:pt idx="304">
                  <c:v>41701</c:v>
                </c:pt>
                <c:pt idx="305">
                  <c:v>41702</c:v>
                </c:pt>
                <c:pt idx="306">
                  <c:v>41703</c:v>
                </c:pt>
                <c:pt idx="307">
                  <c:v>41704</c:v>
                </c:pt>
                <c:pt idx="308">
                  <c:v>41705</c:v>
                </c:pt>
                <c:pt idx="309">
                  <c:v>41708</c:v>
                </c:pt>
                <c:pt idx="310">
                  <c:v>41709</c:v>
                </c:pt>
                <c:pt idx="311">
                  <c:v>41710</c:v>
                </c:pt>
                <c:pt idx="312">
                  <c:v>41711</c:v>
                </c:pt>
                <c:pt idx="313">
                  <c:v>41712</c:v>
                </c:pt>
                <c:pt idx="314">
                  <c:v>41715</c:v>
                </c:pt>
                <c:pt idx="315">
                  <c:v>41716</c:v>
                </c:pt>
                <c:pt idx="316">
                  <c:v>41717</c:v>
                </c:pt>
                <c:pt idx="317">
                  <c:v>41718</c:v>
                </c:pt>
                <c:pt idx="318">
                  <c:v>41719</c:v>
                </c:pt>
                <c:pt idx="319">
                  <c:v>41722</c:v>
                </c:pt>
                <c:pt idx="320">
                  <c:v>41723</c:v>
                </c:pt>
                <c:pt idx="321">
                  <c:v>41724</c:v>
                </c:pt>
                <c:pt idx="322">
                  <c:v>41725</c:v>
                </c:pt>
                <c:pt idx="323">
                  <c:v>41726</c:v>
                </c:pt>
                <c:pt idx="324">
                  <c:v>41729</c:v>
                </c:pt>
                <c:pt idx="325">
                  <c:v>41730</c:v>
                </c:pt>
                <c:pt idx="326">
                  <c:v>41731</c:v>
                </c:pt>
                <c:pt idx="327">
                  <c:v>41732</c:v>
                </c:pt>
                <c:pt idx="328">
                  <c:v>41733</c:v>
                </c:pt>
                <c:pt idx="329">
                  <c:v>41736</c:v>
                </c:pt>
                <c:pt idx="330">
                  <c:v>41737</c:v>
                </c:pt>
                <c:pt idx="331">
                  <c:v>41738</c:v>
                </c:pt>
                <c:pt idx="332">
                  <c:v>41739</c:v>
                </c:pt>
                <c:pt idx="333">
                  <c:v>41740</c:v>
                </c:pt>
                <c:pt idx="334">
                  <c:v>41743</c:v>
                </c:pt>
                <c:pt idx="335">
                  <c:v>41744</c:v>
                </c:pt>
                <c:pt idx="336">
                  <c:v>41745</c:v>
                </c:pt>
                <c:pt idx="337">
                  <c:v>41746</c:v>
                </c:pt>
                <c:pt idx="338">
                  <c:v>41747</c:v>
                </c:pt>
                <c:pt idx="339">
                  <c:v>41750</c:v>
                </c:pt>
                <c:pt idx="340">
                  <c:v>41751</c:v>
                </c:pt>
                <c:pt idx="341">
                  <c:v>41752</c:v>
                </c:pt>
                <c:pt idx="342">
                  <c:v>41753</c:v>
                </c:pt>
                <c:pt idx="343">
                  <c:v>41754</c:v>
                </c:pt>
                <c:pt idx="344">
                  <c:v>41757</c:v>
                </c:pt>
                <c:pt idx="345">
                  <c:v>41758</c:v>
                </c:pt>
                <c:pt idx="346">
                  <c:v>41759</c:v>
                </c:pt>
                <c:pt idx="347">
                  <c:v>41760</c:v>
                </c:pt>
                <c:pt idx="348">
                  <c:v>41761</c:v>
                </c:pt>
                <c:pt idx="349">
                  <c:v>41764</c:v>
                </c:pt>
                <c:pt idx="350">
                  <c:v>41765</c:v>
                </c:pt>
                <c:pt idx="351">
                  <c:v>41766</c:v>
                </c:pt>
                <c:pt idx="352">
                  <c:v>41767</c:v>
                </c:pt>
                <c:pt idx="353">
                  <c:v>41768</c:v>
                </c:pt>
                <c:pt idx="354">
                  <c:v>41771</c:v>
                </c:pt>
                <c:pt idx="355">
                  <c:v>41772</c:v>
                </c:pt>
                <c:pt idx="356">
                  <c:v>41773</c:v>
                </c:pt>
                <c:pt idx="357">
                  <c:v>41774</c:v>
                </c:pt>
                <c:pt idx="358">
                  <c:v>41775</c:v>
                </c:pt>
                <c:pt idx="359">
                  <c:v>41778</c:v>
                </c:pt>
                <c:pt idx="360">
                  <c:v>41779</c:v>
                </c:pt>
                <c:pt idx="361">
                  <c:v>41780</c:v>
                </c:pt>
                <c:pt idx="362">
                  <c:v>41781</c:v>
                </c:pt>
                <c:pt idx="363">
                  <c:v>41782</c:v>
                </c:pt>
                <c:pt idx="364">
                  <c:v>41785</c:v>
                </c:pt>
                <c:pt idx="365">
                  <c:v>41786</c:v>
                </c:pt>
                <c:pt idx="366">
                  <c:v>41787</c:v>
                </c:pt>
                <c:pt idx="367">
                  <c:v>41788</c:v>
                </c:pt>
                <c:pt idx="368">
                  <c:v>41789</c:v>
                </c:pt>
                <c:pt idx="369">
                  <c:v>41792</c:v>
                </c:pt>
                <c:pt idx="370">
                  <c:v>41793</c:v>
                </c:pt>
                <c:pt idx="371">
                  <c:v>41794</c:v>
                </c:pt>
                <c:pt idx="372">
                  <c:v>41795</c:v>
                </c:pt>
                <c:pt idx="373">
                  <c:v>41796</c:v>
                </c:pt>
                <c:pt idx="374">
                  <c:v>41799</c:v>
                </c:pt>
                <c:pt idx="375">
                  <c:v>41800</c:v>
                </c:pt>
                <c:pt idx="376">
                  <c:v>41801</c:v>
                </c:pt>
                <c:pt idx="377">
                  <c:v>41802</c:v>
                </c:pt>
                <c:pt idx="378">
                  <c:v>41803</c:v>
                </c:pt>
                <c:pt idx="379">
                  <c:v>41806</c:v>
                </c:pt>
                <c:pt idx="380">
                  <c:v>41807</c:v>
                </c:pt>
                <c:pt idx="381">
                  <c:v>41808</c:v>
                </c:pt>
                <c:pt idx="382">
                  <c:v>41809</c:v>
                </c:pt>
                <c:pt idx="383">
                  <c:v>41810</c:v>
                </c:pt>
                <c:pt idx="384">
                  <c:v>41813</c:v>
                </c:pt>
                <c:pt idx="385">
                  <c:v>41814</c:v>
                </c:pt>
                <c:pt idx="386">
                  <c:v>41815</c:v>
                </c:pt>
                <c:pt idx="387">
                  <c:v>41816</c:v>
                </c:pt>
                <c:pt idx="388">
                  <c:v>41817</c:v>
                </c:pt>
                <c:pt idx="389">
                  <c:v>41820</c:v>
                </c:pt>
                <c:pt idx="390">
                  <c:v>41821</c:v>
                </c:pt>
                <c:pt idx="391">
                  <c:v>41822</c:v>
                </c:pt>
                <c:pt idx="392">
                  <c:v>41823</c:v>
                </c:pt>
                <c:pt idx="393">
                  <c:v>41824</c:v>
                </c:pt>
                <c:pt idx="394">
                  <c:v>41827</c:v>
                </c:pt>
                <c:pt idx="395">
                  <c:v>41828</c:v>
                </c:pt>
                <c:pt idx="396">
                  <c:v>41829</c:v>
                </c:pt>
                <c:pt idx="397">
                  <c:v>41830</c:v>
                </c:pt>
                <c:pt idx="398">
                  <c:v>41831</c:v>
                </c:pt>
                <c:pt idx="399">
                  <c:v>41834</c:v>
                </c:pt>
                <c:pt idx="400">
                  <c:v>41835</c:v>
                </c:pt>
                <c:pt idx="401">
                  <c:v>41836</c:v>
                </c:pt>
                <c:pt idx="402">
                  <c:v>41837</c:v>
                </c:pt>
                <c:pt idx="403">
                  <c:v>41838</c:v>
                </c:pt>
                <c:pt idx="404">
                  <c:v>41841</c:v>
                </c:pt>
                <c:pt idx="405">
                  <c:v>41842</c:v>
                </c:pt>
                <c:pt idx="406">
                  <c:v>41843</c:v>
                </c:pt>
                <c:pt idx="407">
                  <c:v>41844</c:v>
                </c:pt>
                <c:pt idx="408">
                  <c:v>41845</c:v>
                </c:pt>
                <c:pt idx="409">
                  <c:v>41848</c:v>
                </c:pt>
                <c:pt idx="410">
                  <c:v>41849</c:v>
                </c:pt>
                <c:pt idx="411">
                  <c:v>41850</c:v>
                </c:pt>
                <c:pt idx="412">
                  <c:v>41851</c:v>
                </c:pt>
                <c:pt idx="413">
                  <c:v>41852</c:v>
                </c:pt>
                <c:pt idx="414">
                  <c:v>41855</c:v>
                </c:pt>
                <c:pt idx="415">
                  <c:v>41856</c:v>
                </c:pt>
                <c:pt idx="416">
                  <c:v>41857</c:v>
                </c:pt>
                <c:pt idx="417">
                  <c:v>41858</c:v>
                </c:pt>
                <c:pt idx="418">
                  <c:v>41859</c:v>
                </c:pt>
                <c:pt idx="419">
                  <c:v>41862</c:v>
                </c:pt>
                <c:pt idx="420">
                  <c:v>41863</c:v>
                </c:pt>
                <c:pt idx="421">
                  <c:v>41864</c:v>
                </c:pt>
                <c:pt idx="422">
                  <c:v>41865</c:v>
                </c:pt>
                <c:pt idx="423">
                  <c:v>41866</c:v>
                </c:pt>
                <c:pt idx="424">
                  <c:v>41869</c:v>
                </c:pt>
                <c:pt idx="425">
                  <c:v>41870</c:v>
                </c:pt>
                <c:pt idx="426">
                  <c:v>41871</c:v>
                </c:pt>
                <c:pt idx="427">
                  <c:v>41872</c:v>
                </c:pt>
                <c:pt idx="428">
                  <c:v>41873</c:v>
                </c:pt>
                <c:pt idx="429">
                  <c:v>41876</c:v>
                </c:pt>
                <c:pt idx="430">
                  <c:v>41877</c:v>
                </c:pt>
                <c:pt idx="431">
                  <c:v>41878</c:v>
                </c:pt>
                <c:pt idx="432">
                  <c:v>41879</c:v>
                </c:pt>
                <c:pt idx="433">
                  <c:v>41880</c:v>
                </c:pt>
                <c:pt idx="434">
                  <c:v>41883</c:v>
                </c:pt>
                <c:pt idx="435">
                  <c:v>41884</c:v>
                </c:pt>
                <c:pt idx="436">
                  <c:v>41885</c:v>
                </c:pt>
                <c:pt idx="437">
                  <c:v>41886</c:v>
                </c:pt>
                <c:pt idx="438">
                  <c:v>41887</c:v>
                </c:pt>
                <c:pt idx="439">
                  <c:v>41890</c:v>
                </c:pt>
                <c:pt idx="440">
                  <c:v>41891</c:v>
                </c:pt>
                <c:pt idx="441">
                  <c:v>41892</c:v>
                </c:pt>
                <c:pt idx="442">
                  <c:v>41893</c:v>
                </c:pt>
                <c:pt idx="443">
                  <c:v>41894</c:v>
                </c:pt>
                <c:pt idx="444">
                  <c:v>41897</c:v>
                </c:pt>
                <c:pt idx="445">
                  <c:v>41898</c:v>
                </c:pt>
                <c:pt idx="446">
                  <c:v>41899</c:v>
                </c:pt>
                <c:pt idx="447">
                  <c:v>41900</c:v>
                </c:pt>
                <c:pt idx="448">
                  <c:v>41901</c:v>
                </c:pt>
                <c:pt idx="449">
                  <c:v>41904</c:v>
                </c:pt>
                <c:pt idx="450">
                  <c:v>41905</c:v>
                </c:pt>
                <c:pt idx="451">
                  <c:v>41906</c:v>
                </c:pt>
                <c:pt idx="452">
                  <c:v>41907</c:v>
                </c:pt>
                <c:pt idx="453">
                  <c:v>41908</c:v>
                </c:pt>
                <c:pt idx="454">
                  <c:v>41911</c:v>
                </c:pt>
                <c:pt idx="455">
                  <c:v>41912</c:v>
                </c:pt>
                <c:pt idx="456">
                  <c:v>41913</c:v>
                </c:pt>
                <c:pt idx="457">
                  <c:v>41914</c:v>
                </c:pt>
                <c:pt idx="458">
                  <c:v>41915</c:v>
                </c:pt>
                <c:pt idx="459">
                  <c:v>41918</c:v>
                </c:pt>
                <c:pt idx="460">
                  <c:v>41919</c:v>
                </c:pt>
                <c:pt idx="461">
                  <c:v>41920</c:v>
                </c:pt>
                <c:pt idx="462">
                  <c:v>41921</c:v>
                </c:pt>
                <c:pt idx="463">
                  <c:v>41922</c:v>
                </c:pt>
                <c:pt idx="464">
                  <c:v>41925</c:v>
                </c:pt>
                <c:pt idx="465">
                  <c:v>41926</c:v>
                </c:pt>
                <c:pt idx="466">
                  <c:v>41927</c:v>
                </c:pt>
                <c:pt idx="467">
                  <c:v>41928</c:v>
                </c:pt>
                <c:pt idx="468">
                  <c:v>41929</c:v>
                </c:pt>
                <c:pt idx="469">
                  <c:v>41932</c:v>
                </c:pt>
                <c:pt idx="470">
                  <c:v>41933</c:v>
                </c:pt>
                <c:pt idx="471">
                  <c:v>41934</c:v>
                </c:pt>
                <c:pt idx="472">
                  <c:v>41935</c:v>
                </c:pt>
                <c:pt idx="473">
                  <c:v>41936</c:v>
                </c:pt>
                <c:pt idx="474">
                  <c:v>41939</c:v>
                </c:pt>
                <c:pt idx="475">
                  <c:v>41940</c:v>
                </c:pt>
                <c:pt idx="476">
                  <c:v>41941</c:v>
                </c:pt>
                <c:pt idx="477">
                  <c:v>41942</c:v>
                </c:pt>
                <c:pt idx="478">
                  <c:v>41943</c:v>
                </c:pt>
                <c:pt idx="479">
                  <c:v>41946</c:v>
                </c:pt>
                <c:pt idx="480">
                  <c:v>41947</c:v>
                </c:pt>
                <c:pt idx="481">
                  <c:v>41948</c:v>
                </c:pt>
                <c:pt idx="482">
                  <c:v>41949</c:v>
                </c:pt>
                <c:pt idx="483">
                  <c:v>41950</c:v>
                </c:pt>
                <c:pt idx="484">
                  <c:v>41953</c:v>
                </c:pt>
                <c:pt idx="485">
                  <c:v>41954</c:v>
                </c:pt>
                <c:pt idx="486">
                  <c:v>41955</c:v>
                </c:pt>
                <c:pt idx="487">
                  <c:v>41956</c:v>
                </c:pt>
                <c:pt idx="488">
                  <c:v>41957</c:v>
                </c:pt>
                <c:pt idx="489">
                  <c:v>41960</c:v>
                </c:pt>
                <c:pt idx="490">
                  <c:v>41961</c:v>
                </c:pt>
                <c:pt idx="491">
                  <c:v>41962</c:v>
                </c:pt>
                <c:pt idx="492">
                  <c:v>41963</c:v>
                </c:pt>
                <c:pt idx="493">
                  <c:v>41964</c:v>
                </c:pt>
                <c:pt idx="494">
                  <c:v>41967</c:v>
                </c:pt>
                <c:pt idx="495">
                  <c:v>41968</c:v>
                </c:pt>
                <c:pt idx="496">
                  <c:v>41969</c:v>
                </c:pt>
                <c:pt idx="497">
                  <c:v>41970</c:v>
                </c:pt>
                <c:pt idx="498">
                  <c:v>41971</c:v>
                </c:pt>
                <c:pt idx="499">
                  <c:v>41974</c:v>
                </c:pt>
                <c:pt idx="500">
                  <c:v>41975</c:v>
                </c:pt>
                <c:pt idx="501">
                  <c:v>41976</c:v>
                </c:pt>
                <c:pt idx="502">
                  <c:v>41977</c:v>
                </c:pt>
                <c:pt idx="503">
                  <c:v>41978</c:v>
                </c:pt>
                <c:pt idx="504">
                  <c:v>41981</c:v>
                </c:pt>
                <c:pt idx="505">
                  <c:v>41982</c:v>
                </c:pt>
                <c:pt idx="506">
                  <c:v>41983</c:v>
                </c:pt>
                <c:pt idx="507">
                  <c:v>41984</c:v>
                </c:pt>
                <c:pt idx="508">
                  <c:v>41985</c:v>
                </c:pt>
                <c:pt idx="509">
                  <c:v>41988</c:v>
                </c:pt>
                <c:pt idx="510">
                  <c:v>41989</c:v>
                </c:pt>
                <c:pt idx="511">
                  <c:v>41990</c:v>
                </c:pt>
                <c:pt idx="512">
                  <c:v>41991</c:v>
                </c:pt>
                <c:pt idx="513">
                  <c:v>41992</c:v>
                </c:pt>
                <c:pt idx="514">
                  <c:v>41995</c:v>
                </c:pt>
                <c:pt idx="515">
                  <c:v>41996</c:v>
                </c:pt>
                <c:pt idx="516">
                  <c:v>41997</c:v>
                </c:pt>
                <c:pt idx="517">
                  <c:v>41998</c:v>
                </c:pt>
                <c:pt idx="518">
                  <c:v>41999</c:v>
                </c:pt>
                <c:pt idx="519">
                  <c:v>42002</c:v>
                </c:pt>
                <c:pt idx="520">
                  <c:v>42003</c:v>
                </c:pt>
                <c:pt idx="521">
                  <c:v>42004</c:v>
                </c:pt>
                <c:pt idx="522">
                  <c:v>42005</c:v>
                </c:pt>
                <c:pt idx="523">
                  <c:v>42006</c:v>
                </c:pt>
                <c:pt idx="524">
                  <c:v>42009</c:v>
                </c:pt>
                <c:pt idx="525">
                  <c:v>42010</c:v>
                </c:pt>
                <c:pt idx="526">
                  <c:v>42011</c:v>
                </c:pt>
                <c:pt idx="527">
                  <c:v>42012</c:v>
                </c:pt>
                <c:pt idx="528">
                  <c:v>42013</c:v>
                </c:pt>
                <c:pt idx="529">
                  <c:v>42016</c:v>
                </c:pt>
                <c:pt idx="530">
                  <c:v>42017</c:v>
                </c:pt>
                <c:pt idx="531">
                  <c:v>42018</c:v>
                </c:pt>
                <c:pt idx="532">
                  <c:v>42019</c:v>
                </c:pt>
                <c:pt idx="533">
                  <c:v>42020</c:v>
                </c:pt>
                <c:pt idx="534">
                  <c:v>42023</c:v>
                </c:pt>
                <c:pt idx="535">
                  <c:v>42024</c:v>
                </c:pt>
                <c:pt idx="536">
                  <c:v>42025</c:v>
                </c:pt>
                <c:pt idx="537">
                  <c:v>42026</c:v>
                </c:pt>
                <c:pt idx="538">
                  <c:v>42027</c:v>
                </c:pt>
                <c:pt idx="539">
                  <c:v>42030</c:v>
                </c:pt>
                <c:pt idx="540">
                  <c:v>42031</c:v>
                </c:pt>
                <c:pt idx="541">
                  <c:v>42032</c:v>
                </c:pt>
                <c:pt idx="542">
                  <c:v>42033</c:v>
                </c:pt>
                <c:pt idx="543">
                  <c:v>42034</c:v>
                </c:pt>
                <c:pt idx="544">
                  <c:v>42037</c:v>
                </c:pt>
                <c:pt idx="545">
                  <c:v>42038</c:v>
                </c:pt>
                <c:pt idx="546">
                  <c:v>42039</c:v>
                </c:pt>
                <c:pt idx="547">
                  <c:v>42040</c:v>
                </c:pt>
                <c:pt idx="548">
                  <c:v>42041</c:v>
                </c:pt>
                <c:pt idx="549">
                  <c:v>42044</c:v>
                </c:pt>
                <c:pt idx="550">
                  <c:v>42045</c:v>
                </c:pt>
                <c:pt idx="551">
                  <c:v>42046</c:v>
                </c:pt>
                <c:pt idx="552">
                  <c:v>42047</c:v>
                </c:pt>
                <c:pt idx="553">
                  <c:v>42048</c:v>
                </c:pt>
                <c:pt idx="554">
                  <c:v>42051</c:v>
                </c:pt>
                <c:pt idx="555">
                  <c:v>42052</c:v>
                </c:pt>
                <c:pt idx="556">
                  <c:v>42053</c:v>
                </c:pt>
                <c:pt idx="557">
                  <c:v>42054</c:v>
                </c:pt>
                <c:pt idx="558">
                  <c:v>42055</c:v>
                </c:pt>
                <c:pt idx="559">
                  <c:v>42058</c:v>
                </c:pt>
                <c:pt idx="560">
                  <c:v>42059</c:v>
                </c:pt>
                <c:pt idx="561">
                  <c:v>42060</c:v>
                </c:pt>
                <c:pt idx="562">
                  <c:v>42061</c:v>
                </c:pt>
                <c:pt idx="563">
                  <c:v>42062</c:v>
                </c:pt>
                <c:pt idx="564">
                  <c:v>42065</c:v>
                </c:pt>
                <c:pt idx="565">
                  <c:v>42066</c:v>
                </c:pt>
                <c:pt idx="566">
                  <c:v>42067</c:v>
                </c:pt>
                <c:pt idx="567">
                  <c:v>42068</c:v>
                </c:pt>
                <c:pt idx="568">
                  <c:v>42069</c:v>
                </c:pt>
                <c:pt idx="569">
                  <c:v>42072</c:v>
                </c:pt>
                <c:pt idx="570">
                  <c:v>42073</c:v>
                </c:pt>
                <c:pt idx="571">
                  <c:v>42074</c:v>
                </c:pt>
                <c:pt idx="572">
                  <c:v>42075</c:v>
                </c:pt>
                <c:pt idx="573">
                  <c:v>42076</c:v>
                </c:pt>
                <c:pt idx="574">
                  <c:v>42079</c:v>
                </c:pt>
                <c:pt idx="575">
                  <c:v>42080</c:v>
                </c:pt>
                <c:pt idx="576">
                  <c:v>42081</c:v>
                </c:pt>
                <c:pt idx="577">
                  <c:v>42082</c:v>
                </c:pt>
                <c:pt idx="578">
                  <c:v>42083</c:v>
                </c:pt>
                <c:pt idx="579">
                  <c:v>42086</c:v>
                </c:pt>
                <c:pt idx="580">
                  <c:v>42087</c:v>
                </c:pt>
                <c:pt idx="581">
                  <c:v>42088</c:v>
                </c:pt>
                <c:pt idx="582">
                  <c:v>42089</c:v>
                </c:pt>
                <c:pt idx="583">
                  <c:v>42090</c:v>
                </c:pt>
                <c:pt idx="584">
                  <c:v>42093</c:v>
                </c:pt>
                <c:pt idx="585">
                  <c:v>42094</c:v>
                </c:pt>
                <c:pt idx="586">
                  <c:v>42095</c:v>
                </c:pt>
                <c:pt idx="587">
                  <c:v>42096</c:v>
                </c:pt>
                <c:pt idx="588">
                  <c:v>42097</c:v>
                </c:pt>
                <c:pt idx="589">
                  <c:v>42100</c:v>
                </c:pt>
                <c:pt idx="590">
                  <c:v>42101</c:v>
                </c:pt>
                <c:pt idx="591">
                  <c:v>42102</c:v>
                </c:pt>
                <c:pt idx="592">
                  <c:v>42103</c:v>
                </c:pt>
                <c:pt idx="593">
                  <c:v>42104</c:v>
                </c:pt>
                <c:pt idx="594">
                  <c:v>42107</c:v>
                </c:pt>
                <c:pt idx="595">
                  <c:v>42108</c:v>
                </c:pt>
                <c:pt idx="596">
                  <c:v>42109</c:v>
                </c:pt>
                <c:pt idx="597">
                  <c:v>42110</c:v>
                </c:pt>
                <c:pt idx="598">
                  <c:v>42111</c:v>
                </c:pt>
                <c:pt idx="599">
                  <c:v>42114</c:v>
                </c:pt>
                <c:pt idx="600">
                  <c:v>42115</c:v>
                </c:pt>
                <c:pt idx="601">
                  <c:v>42116</c:v>
                </c:pt>
                <c:pt idx="602">
                  <c:v>42117</c:v>
                </c:pt>
                <c:pt idx="603">
                  <c:v>42118</c:v>
                </c:pt>
                <c:pt idx="604">
                  <c:v>42121</c:v>
                </c:pt>
                <c:pt idx="605">
                  <c:v>42122</c:v>
                </c:pt>
                <c:pt idx="606">
                  <c:v>42123</c:v>
                </c:pt>
                <c:pt idx="607">
                  <c:v>42124</c:v>
                </c:pt>
                <c:pt idx="608">
                  <c:v>42125</c:v>
                </c:pt>
                <c:pt idx="609">
                  <c:v>42128</c:v>
                </c:pt>
                <c:pt idx="610">
                  <c:v>42129</c:v>
                </c:pt>
                <c:pt idx="611">
                  <c:v>42130</c:v>
                </c:pt>
                <c:pt idx="612">
                  <c:v>42131</c:v>
                </c:pt>
                <c:pt idx="613">
                  <c:v>42132</c:v>
                </c:pt>
                <c:pt idx="614">
                  <c:v>42135</c:v>
                </c:pt>
                <c:pt idx="615">
                  <c:v>42136</c:v>
                </c:pt>
                <c:pt idx="616">
                  <c:v>42137</c:v>
                </c:pt>
                <c:pt idx="617">
                  <c:v>42138</c:v>
                </c:pt>
                <c:pt idx="618">
                  <c:v>42139</c:v>
                </c:pt>
                <c:pt idx="619">
                  <c:v>42142</c:v>
                </c:pt>
                <c:pt idx="620">
                  <c:v>42143</c:v>
                </c:pt>
                <c:pt idx="621">
                  <c:v>42144</c:v>
                </c:pt>
                <c:pt idx="622">
                  <c:v>42145</c:v>
                </c:pt>
                <c:pt idx="623">
                  <c:v>42146</c:v>
                </c:pt>
                <c:pt idx="624">
                  <c:v>42149</c:v>
                </c:pt>
                <c:pt idx="625">
                  <c:v>42150</c:v>
                </c:pt>
                <c:pt idx="626">
                  <c:v>42151</c:v>
                </c:pt>
                <c:pt idx="627">
                  <c:v>42152</c:v>
                </c:pt>
                <c:pt idx="628">
                  <c:v>42153</c:v>
                </c:pt>
                <c:pt idx="629">
                  <c:v>42156</c:v>
                </c:pt>
                <c:pt idx="630">
                  <c:v>42157</c:v>
                </c:pt>
                <c:pt idx="631">
                  <c:v>42158</c:v>
                </c:pt>
                <c:pt idx="632">
                  <c:v>42159</c:v>
                </c:pt>
                <c:pt idx="633">
                  <c:v>42160</c:v>
                </c:pt>
                <c:pt idx="634">
                  <c:v>42163</c:v>
                </c:pt>
                <c:pt idx="635">
                  <c:v>42164</c:v>
                </c:pt>
                <c:pt idx="636">
                  <c:v>42165</c:v>
                </c:pt>
                <c:pt idx="637">
                  <c:v>42166</c:v>
                </c:pt>
                <c:pt idx="638">
                  <c:v>42167</c:v>
                </c:pt>
                <c:pt idx="639">
                  <c:v>42170</c:v>
                </c:pt>
                <c:pt idx="640">
                  <c:v>42171</c:v>
                </c:pt>
                <c:pt idx="641">
                  <c:v>42172</c:v>
                </c:pt>
                <c:pt idx="642">
                  <c:v>42173</c:v>
                </c:pt>
                <c:pt idx="643">
                  <c:v>42174</c:v>
                </c:pt>
                <c:pt idx="644">
                  <c:v>42177</c:v>
                </c:pt>
                <c:pt idx="645">
                  <c:v>42178</c:v>
                </c:pt>
                <c:pt idx="646">
                  <c:v>42179</c:v>
                </c:pt>
                <c:pt idx="647">
                  <c:v>42180</c:v>
                </c:pt>
                <c:pt idx="648">
                  <c:v>42181</c:v>
                </c:pt>
                <c:pt idx="649">
                  <c:v>42184</c:v>
                </c:pt>
                <c:pt idx="650">
                  <c:v>42185</c:v>
                </c:pt>
                <c:pt idx="651">
                  <c:v>42186</c:v>
                </c:pt>
                <c:pt idx="652">
                  <c:v>42187</c:v>
                </c:pt>
                <c:pt idx="653">
                  <c:v>42188</c:v>
                </c:pt>
                <c:pt idx="654">
                  <c:v>42191</c:v>
                </c:pt>
                <c:pt idx="655">
                  <c:v>42192</c:v>
                </c:pt>
                <c:pt idx="656">
                  <c:v>42193</c:v>
                </c:pt>
                <c:pt idx="657">
                  <c:v>42194</c:v>
                </c:pt>
                <c:pt idx="658">
                  <c:v>42195</c:v>
                </c:pt>
                <c:pt idx="659">
                  <c:v>42198</c:v>
                </c:pt>
                <c:pt idx="660">
                  <c:v>42199</c:v>
                </c:pt>
                <c:pt idx="661">
                  <c:v>42200</c:v>
                </c:pt>
                <c:pt idx="662">
                  <c:v>42201</c:v>
                </c:pt>
                <c:pt idx="663">
                  <c:v>42202</c:v>
                </c:pt>
                <c:pt idx="664">
                  <c:v>42205</c:v>
                </c:pt>
                <c:pt idx="665">
                  <c:v>42206</c:v>
                </c:pt>
                <c:pt idx="666">
                  <c:v>42207</c:v>
                </c:pt>
                <c:pt idx="667">
                  <c:v>42208</c:v>
                </c:pt>
                <c:pt idx="668">
                  <c:v>42209</c:v>
                </c:pt>
                <c:pt idx="669">
                  <c:v>42212</c:v>
                </c:pt>
                <c:pt idx="670">
                  <c:v>42213</c:v>
                </c:pt>
                <c:pt idx="671">
                  <c:v>42214</c:v>
                </c:pt>
                <c:pt idx="672">
                  <c:v>42215</c:v>
                </c:pt>
                <c:pt idx="673">
                  <c:v>42216</c:v>
                </c:pt>
                <c:pt idx="674">
                  <c:v>42219</c:v>
                </c:pt>
                <c:pt idx="675">
                  <c:v>42220</c:v>
                </c:pt>
                <c:pt idx="676">
                  <c:v>42221</c:v>
                </c:pt>
                <c:pt idx="677">
                  <c:v>42222</c:v>
                </c:pt>
                <c:pt idx="678">
                  <c:v>42223</c:v>
                </c:pt>
                <c:pt idx="679">
                  <c:v>42226</c:v>
                </c:pt>
                <c:pt idx="680">
                  <c:v>42227</c:v>
                </c:pt>
                <c:pt idx="681">
                  <c:v>42228</c:v>
                </c:pt>
                <c:pt idx="682">
                  <c:v>42229</c:v>
                </c:pt>
                <c:pt idx="683">
                  <c:v>42230</c:v>
                </c:pt>
                <c:pt idx="684">
                  <c:v>42233</c:v>
                </c:pt>
                <c:pt idx="685">
                  <c:v>42234</c:v>
                </c:pt>
                <c:pt idx="686">
                  <c:v>42235</c:v>
                </c:pt>
                <c:pt idx="687">
                  <c:v>42236</c:v>
                </c:pt>
                <c:pt idx="688">
                  <c:v>42237</c:v>
                </c:pt>
                <c:pt idx="689">
                  <c:v>42240</c:v>
                </c:pt>
                <c:pt idx="690">
                  <c:v>42241</c:v>
                </c:pt>
                <c:pt idx="691">
                  <c:v>42242</c:v>
                </c:pt>
                <c:pt idx="692">
                  <c:v>42243</c:v>
                </c:pt>
                <c:pt idx="693">
                  <c:v>42244</c:v>
                </c:pt>
                <c:pt idx="694">
                  <c:v>42247</c:v>
                </c:pt>
                <c:pt idx="695">
                  <c:v>42248</c:v>
                </c:pt>
                <c:pt idx="696">
                  <c:v>42249</c:v>
                </c:pt>
                <c:pt idx="697">
                  <c:v>42250</c:v>
                </c:pt>
                <c:pt idx="698">
                  <c:v>42251</c:v>
                </c:pt>
                <c:pt idx="699">
                  <c:v>42254</c:v>
                </c:pt>
                <c:pt idx="700">
                  <c:v>42255</c:v>
                </c:pt>
                <c:pt idx="701">
                  <c:v>42256</c:v>
                </c:pt>
                <c:pt idx="702">
                  <c:v>42257</c:v>
                </c:pt>
                <c:pt idx="703">
                  <c:v>42258</c:v>
                </c:pt>
                <c:pt idx="704">
                  <c:v>42261</c:v>
                </c:pt>
                <c:pt idx="705">
                  <c:v>42262</c:v>
                </c:pt>
                <c:pt idx="706">
                  <c:v>42263</c:v>
                </c:pt>
                <c:pt idx="707">
                  <c:v>42264</c:v>
                </c:pt>
                <c:pt idx="708">
                  <c:v>42265</c:v>
                </c:pt>
                <c:pt idx="709">
                  <c:v>42268</c:v>
                </c:pt>
                <c:pt idx="710">
                  <c:v>42269</c:v>
                </c:pt>
                <c:pt idx="711">
                  <c:v>42270</c:v>
                </c:pt>
                <c:pt idx="712">
                  <c:v>42271</c:v>
                </c:pt>
                <c:pt idx="713">
                  <c:v>42272</c:v>
                </c:pt>
                <c:pt idx="714">
                  <c:v>42275</c:v>
                </c:pt>
                <c:pt idx="715">
                  <c:v>42276</c:v>
                </c:pt>
                <c:pt idx="716">
                  <c:v>42277</c:v>
                </c:pt>
                <c:pt idx="717">
                  <c:v>42278</c:v>
                </c:pt>
                <c:pt idx="718">
                  <c:v>42279</c:v>
                </c:pt>
                <c:pt idx="719">
                  <c:v>42282</c:v>
                </c:pt>
                <c:pt idx="720">
                  <c:v>42283</c:v>
                </c:pt>
                <c:pt idx="721">
                  <c:v>42284</c:v>
                </c:pt>
                <c:pt idx="722">
                  <c:v>42285</c:v>
                </c:pt>
                <c:pt idx="723">
                  <c:v>42286</c:v>
                </c:pt>
                <c:pt idx="724">
                  <c:v>42289</c:v>
                </c:pt>
                <c:pt idx="725">
                  <c:v>42290</c:v>
                </c:pt>
                <c:pt idx="726">
                  <c:v>42291</c:v>
                </c:pt>
                <c:pt idx="727">
                  <c:v>42292</c:v>
                </c:pt>
                <c:pt idx="728">
                  <c:v>42293</c:v>
                </c:pt>
                <c:pt idx="729">
                  <c:v>42296</c:v>
                </c:pt>
                <c:pt idx="730">
                  <c:v>42297</c:v>
                </c:pt>
                <c:pt idx="731">
                  <c:v>42298</c:v>
                </c:pt>
                <c:pt idx="732">
                  <c:v>42299</c:v>
                </c:pt>
                <c:pt idx="733">
                  <c:v>42300</c:v>
                </c:pt>
                <c:pt idx="734">
                  <c:v>42303</c:v>
                </c:pt>
                <c:pt idx="735">
                  <c:v>42304</c:v>
                </c:pt>
                <c:pt idx="736">
                  <c:v>42305</c:v>
                </c:pt>
                <c:pt idx="737">
                  <c:v>42306</c:v>
                </c:pt>
                <c:pt idx="738">
                  <c:v>42307</c:v>
                </c:pt>
                <c:pt idx="739">
                  <c:v>42310</c:v>
                </c:pt>
                <c:pt idx="740">
                  <c:v>42311</c:v>
                </c:pt>
                <c:pt idx="741">
                  <c:v>42312</c:v>
                </c:pt>
                <c:pt idx="742">
                  <c:v>42313</c:v>
                </c:pt>
                <c:pt idx="743">
                  <c:v>42314</c:v>
                </c:pt>
                <c:pt idx="744">
                  <c:v>42317</c:v>
                </c:pt>
                <c:pt idx="745">
                  <c:v>42318</c:v>
                </c:pt>
                <c:pt idx="746">
                  <c:v>42319</c:v>
                </c:pt>
                <c:pt idx="747">
                  <c:v>42320</c:v>
                </c:pt>
                <c:pt idx="748">
                  <c:v>42321</c:v>
                </c:pt>
                <c:pt idx="749">
                  <c:v>42324</c:v>
                </c:pt>
                <c:pt idx="750">
                  <c:v>42325</c:v>
                </c:pt>
                <c:pt idx="751">
                  <c:v>42326</c:v>
                </c:pt>
                <c:pt idx="752">
                  <c:v>42327</c:v>
                </c:pt>
                <c:pt idx="753">
                  <c:v>42328</c:v>
                </c:pt>
                <c:pt idx="754">
                  <c:v>42331</c:v>
                </c:pt>
                <c:pt idx="755">
                  <c:v>42332</c:v>
                </c:pt>
                <c:pt idx="756">
                  <c:v>42333</c:v>
                </c:pt>
                <c:pt idx="757">
                  <c:v>42334</c:v>
                </c:pt>
                <c:pt idx="758">
                  <c:v>42335</c:v>
                </c:pt>
                <c:pt idx="759">
                  <c:v>42338</c:v>
                </c:pt>
                <c:pt idx="760">
                  <c:v>42339</c:v>
                </c:pt>
                <c:pt idx="761">
                  <c:v>42340</c:v>
                </c:pt>
                <c:pt idx="762">
                  <c:v>42341</c:v>
                </c:pt>
                <c:pt idx="763">
                  <c:v>42342</c:v>
                </c:pt>
                <c:pt idx="764">
                  <c:v>42345</c:v>
                </c:pt>
                <c:pt idx="765">
                  <c:v>42346</c:v>
                </c:pt>
                <c:pt idx="766">
                  <c:v>42347</c:v>
                </c:pt>
                <c:pt idx="767">
                  <c:v>42348</c:v>
                </c:pt>
                <c:pt idx="768">
                  <c:v>42349</c:v>
                </c:pt>
                <c:pt idx="769">
                  <c:v>42352</c:v>
                </c:pt>
                <c:pt idx="770">
                  <c:v>42353</c:v>
                </c:pt>
                <c:pt idx="771">
                  <c:v>42354</c:v>
                </c:pt>
                <c:pt idx="772">
                  <c:v>42355</c:v>
                </c:pt>
                <c:pt idx="773">
                  <c:v>42356</c:v>
                </c:pt>
                <c:pt idx="774">
                  <c:v>42359</c:v>
                </c:pt>
                <c:pt idx="775">
                  <c:v>42360</c:v>
                </c:pt>
                <c:pt idx="776">
                  <c:v>42361</c:v>
                </c:pt>
                <c:pt idx="777">
                  <c:v>42362</c:v>
                </c:pt>
                <c:pt idx="778">
                  <c:v>42363</c:v>
                </c:pt>
                <c:pt idx="779">
                  <c:v>42366</c:v>
                </c:pt>
                <c:pt idx="780">
                  <c:v>42367</c:v>
                </c:pt>
                <c:pt idx="781">
                  <c:v>42368</c:v>
                </c:pt>
                <c:pt idx="782">
                  <c:v>42369</c:v>
                </c:pt>
                <c:pt idx="783">
                  <c:v>42370</c:v>
                </c:pt>
                <c:pt idx="784">
                  <c:v>42373</c:v>
                </c:pt>
                <c:pt idx="785">
                  <c:v>42374</c:v>
                </c:pt>
                <c:pt idx="786">
                  <c:v>42375</c:v>
                </c:pt>
                <c:pt idx="787">
                  <c:v>42376</c:v>
                </c:pt>
                <c:pt idx="788">
                  <c:v>42377</c:v>
                </c:pt>
                <c:pt idx="789">
                  <c:v>42380</c:v>
                </c:pt>
                <c:pt idx="790">
                  <c:v>42381</c:v>
                </c:pt>
                <c:pt idx="791">
                  <c:v>42382</c:v>
                </c:pt>
                <c:pt idx="792">
                  <c:v>42383</c:v>
                </c:pt>
                <c:pt idx="793">
                  <c:v>42384</c:v>
                </c:pt>
                <c:pt idx="794">
                  <c:v>42387</c:v>
                </c:pt>
                <c:pt idx="795">
                  <c:v>42388</c:v>
                </c:pt>
                <c:pt idx="796">
                  <c:v>42389</c:v>
                </c:pt>
                <c:pt idx="797">
                  <c:v>42390</c:v>
                </c:pt>
                <c:pt idx="798">
                  <c:v>42391</c:v>
                </c:pt>
                <c:pt idx="799">
                  <c:v>42394</c:v>
                </c:pt>
                <c:pt idx="800">
                  <c:v>42395</c:v>
                </c:pt>
                <c:pt idx="801">
                  <c:v>42396</c:v>
                </c:pt>
                <c:pt idx="802">
                  <c:v>42397</c:v>
                </c:pt>
                <c:pt idx="803">
                  <c:v>42398</c:v>
                </c:pt>
                <c:pt idx="804">
                  <c:v>42401</c:v>
                </c:pt>
                <c:pt idx="805">
                  <c:v>42402</c:v>
                </c:pt>
                <c:pt idx="806">
                  <c:v>42403</c:v>
                </c:pt>
                <c:pt idx="807">
                  <c:v>42404</c:v>
                </c:pt>
                <c:pt idx="808">
                  <c:v>42405</c:v>
                </c:pt>
                <c:pt idx="809">
                  <c:v>42408</c:v>
                </c:pt>
                <c:pt idx="810">
                  <c:v>42409</c:v>
                </c:pt>
                <c:pt idx="811">
                  <c:v>42410</c:v>
                </c:pt>
                <c:pt idx="812">
                  <c:v>42411</c:v>
                </c:pt>
                <c:pt idx="813">
                  <c:v>42412</c:v>
                </c:pt>
                <c:pt idx="814">
                  <c:v>42415</c:v>
                </c:pt>
                <c:pt idx="815">
                  <c:v>42416</c:v>
                </c:pt>
                <c:pt idx="816">
                  <c:v>42417</c:v>
                </c:pt>
                <c:pt idx="817">
                  <c:v>42418</c:v>
                </c:pt>
                <c:pt idx="818">
                  <c:v>42419</c:v>
                </c:pt>
                <c:pt idx="819">
                  <c:v>42422</c:v>
                </c:pt>
                <c:pt idx="820">
                  <c:v>42423</c:v>
                </c:pt>
                <c:pt idx="821">
                  <c:v>42424</c:v>
                </c:pt>
                <c:pt idx="822">
                  <c:v>42425</c:v>
                </c:pt>
                <c:pt idx="823">
                  <c:v>42426</c:v>
                </c:pt>
                <c:pt idx="824">
                  <c:v>42429</c:v>
                </c:pt>
                <c:pt idx="825">
                  <c:v>42430</c:v>
                </c:pt>
                <c:pt idx="826">
                  <c:v>42431</c:v>
                </c:pt>
                <c:pt idx="827">
                  <c:v>42432</c:v>
                </c:pt>
                <c:pt idx="828">
                  <c:v>42433</c:v>
                </c:pt>
                <c:pt idx="829">
                  <c:v>42436</c:v>
                </c:pt>
                <c:pt idx="830">
                  <c:v>42437</c:v>
                </c:pt>
                <c:pt idx="831">
                  <c:v>42438</c:v>
                </c:pt>
                <c:pt idx="832">
                  <c:v>42439</c:v>
                </c:pt>
                <c:pt idx="833">
                  <c:v>42440</c:v>
                </c:pt>
                <c:pt idx="834">
                  <c:v>42443</c:v>
                </c:pt>
                <c:pt idx="835">
                  <c:v>42444</c:v>
                </c:pt>
                <c:pt idx="836">
                  <c:v>42445</c:v>
                </c:pt>
                <c:pt idx="837">
                  <c:v>42446</c:v>
                </c:pt>
                <c:pt idx="838">
                  <c:v>42447</c:v>
                </c:pt>
                <c:pt idx="839">
                  <c:v>42450</c:v>
                </c:pt>
                <c:pt idx="840">
                  <c:v>42451</c:v>
                </c:pt>
                <c:pt idx="841">
                  <c:v>42452</c:v>
                </c:pt>
                <c:pt idx="842">
                  <c:v>42453</c:v>
                </c:pt>
                <c:pt idx="843">
                  <c:v>42454</c:v>
                </c:pt>
                <c:pt idx="844">
                  <c:v>42457</c:v>
                </c:pt>
                <c:pt idx="845">
                  <c:v>42458</c:v>
                </c:pt>
                <c:pt idx="846">
                  <c:v>42459</c:v>
                </c:pt>
                <c:pt idx="847">
                  <c:v>42460</c:v>
                </c:pt>
                <c:pt idx="848">
                  <c:v>42461</c:v>
                </c:pt>
                <c:pt idx="849">
                  <c:v>42464</c:v>
                </c:pt>
                <c:pt idx="850">
                  <c:v>42465</c:v>
                </c:pt>
                <c:pt idx="851">
                  <c:v>42466</c:v>
                </c:pt>
                <c:pt idx="852">
                  <c:v>42467</c:v>
                </c:pt>
                <c:pt idx="853">
                  <c:v>42468</c:v>
                </c:pt>
                <c:pt idx="854">
                  <c:v>42471</c:v>
                </c:pt>
                <c:pt idx="855">
                  <c:v>42472</c:v>
                </c:pt>
                <c:pt idx="856">
                  <c:v>42473</c:v>
                </c:pt>
                <c:pt idx="857">
                  <c:v>42474</c:v>
                </c:pt>
                <c:pt idx="858">
                  <c:v>42475</c:v>
                </c:pt>
                <c:pt idx="859">
                  <c:v>42478</c:v>
                </c:pt>
                <c:pt idx="860">
                  <c:v>42479</c:v>
                </c:pt>
                <c:pt idx="861">
                  <c:v>42480</c:v>
                </c:pt>
                <c:pt idx="862">
                  <c:v>42481</c:v>
                </c:pt>
                <c:pt idx="863">
                  <c:v>42482</c:v>
                </c:pt>
                <c:pt idx="864">
                  <c:v>42485</c:v>
                </c:pt>
                <c:pt idx="865">
                  <c:v>42486</c:v>
                </c:pt>
                <c:pt idx="866">
                  <c:v>42487</c:v>
                </c:pt>
                <c:pt idx="867">
                  <c:v>42488</c:v>
                </c:pt>
                <c:pt idx="868">
                  <c:v>42489</c:v>
                </c:pt>
                <c:pt idx="869">
                  <c:v>42492</c:v>
                </c:pt>
                <c:pt idx="870">
                  <c:v>42493</c:v>
                </c:pt>
                <c:pt idx="871">
                  <c:v>42494</c:v>
                </c:pt>
                <c:pt idx="872">
                  <c:v>42495</c:v>
                </c:pt>
                <c:pt idx="873">
                  <c:v>42496</c:v>
                </c:pt>
                <c:pt idx="874">
                  <c:v>42499</c:v>
                </c:pt>
                <c:pt idx="875">
                  <c:v>42500</c:v>
                </c:pt>
                <c:pt idx="876">
                  <c:v>42501</c:v>
                </c:pt>
                <c:pt idx="877">
                  <c:v>42502</c:v>
                </c:pt>
                <c:pt idx="878">
                  <c:v>42503</c:v>
                </c:pt>
                <c:pt idx="879">
                  <c:v>42506</c:v>
                </c:pt>
                <c:pt idx="880">
                  <c:v>42507</c:v>
                </c:pt>
                <c:pt idx="881">
                  <c:v>42508</c:v>
                </c:pt>
                <c:pt idx="882">
                  <c:v>42509</c:v>
                </c:pt>
                <c:pt idx="883">
                  <c:v>42510</c:v>
                </c:pt>
                <c:pt idx="884">
                  <c:v>42513</c:v>
                </c:pt>
                <c:pt idx="885">
                  <c:v>42514</c:v>
                </c:pt>
                <c:pt idx="886">
                  <c:v>42515</c:v>
                </c:pt>
                <c:pt idx="887">
                  <c:v>42516</c:v>
                </c:pt>
                <c:pt idx="888">
                  <c:v>42517</c:v>
                </c:pt>
                <c:pt idx="889">
                  <c:v>42520</c:v>
                </c:pt>
                <c:pt idx="890">
                  <c:v>42521</c:v>
                </c:pt>
                <c:pt idx="891">
                  <c:v>42522</c:v>
                </c:pt>
                <c:pt idx="892">
                  <c:v>42523</c:v>
                </c:pt>
                <c:pt idx="893">
                  <c:v>42524</c:v>
                </c:pt>
                <c:pt idx="894">
                  <c:v>42527</c:v>
                </c:pt>
                <c:pt idx="895">
                  <c:v>42528</c:v>
                </c:pt>
                <c:pt idx="896">
                  <c:v>42529</c:v>
                </c:pt>
                <c:pt idx="897">
                  <c:v>42530</c:v>
                </c:pt>
                <c:pt idx="898">
                  <c:v>42531</c:v>
                </c:pt>
                <c:pt idx="899">
                  <c:v>42534</c:v>
                </c:pt>
                <c:pt idx="900">
                  <c:v>42535</c:v>
                </c:pt>
                <c:pt idx="901">
                  <c:v>42536</c:v>
                </c:pt>
                <c:pt idx="902">
                  <c:v>42537</c:v>
                </c:pt>
                <c:pt idx="903">
                  <c:v>42538</c:v>
                </c:pt>
                <c:pt idx="904">
                  <c:v>42541</c:v>
                </c:pt>
                <c:pt idx="905">
                  <c:v>42542</c:v>
                </c:pt>
                <c:pt idx="906">
                  <c:v>42543</c:v>
                </c:pt>
                <c:pt idx="907">
                  <c:v>42544</c:v>
                </c:pt>
                <c:pt idx="908">
                  <c:v>42545</c:v>
                </c:pt>
                <c:pt idx="909">
                  <c:v>42548</c:v>
                </c:pt>
                <c:pt idx="910">
                  <c:v>42549</c:v>
                </c:pt>
                <c:pt idx="911">
                  <c:v>42550</c:v>
                </c:pt>
                <c:pt idx="912">
                  <c:v>42551</c:v>
                </c:pt>
                <c:pt idx="913">
                  <c:v>42552</c:v>
                </c:pt>
                <c:pt idx="914">
                  <c:v>42555</c:v>
                </c:pt>
                <c:pt idx="915">
                  <c:v>42556</c:v>
                </c:pt>
                <c:pt idx="916">
                  <c:v>42557</c:v>
                </c:pt>
                <c:pt idx="917">
                  <c:v>42558</c:v>
                </c:pt>
                <c:pt idx="918">
                  <c:v>42559</c:v>
                </c:pt>
                <c:pt idx="919">
                  <c:v>42562</c:v>
                </c:pt>
                <c:pt idx="920">
                  <c:v>42563</c:v>
                </c:pt>
                <c:pt idx="921">
                  <c:v>42564</c:v>
                </c:pt>
                <c:pt idx="922">
                  <c:v>42565</c:v>
                </c:pt>
                <c:pt idx="923">
                  <c:v>42566</c:v>
                </c:pt>
                <c:pt idx="924">
                  <c:v>42569</c:v>
                </c:pt>
                <c:pt idx="925">
                  <c:v>42570</c:v>
                </c:pt>
                <c:pt idx="926">
                  <c:v>42571</c:v>
                </c:pt>
                <c:pt idx="927">
                  <c:v>42572</c:v>
                </c:pt>
                <c:pt idx="928">
                  <c:v>42573</c:v>
                </c:pt>
                <c:pt idx="929">
                  <c:v>42576</c:v>
                </c:pt>
                <c:pt idx="930">
                  <c:v>42577</c:v>
                </c:pt>
                <c:pt idx="931">
                  <c:v>42578</c:v>
                </c:pt>
                <c:pt idx="932">
                  <c:v>42579</c:v>
                </c:pt>
                <c:pt idx="933">
                  <c:v>42580</c:v>
                </c:pt>
                <c:pt idx="934">
                  <c:v>42583</c:v>
                </c:pt>
                <c:pt idx="935">
                  <c:v>42584</c:v>
                </c:pt>
                <c:pt idx="936">
                  <c:v>42585</c:v>
                </c:pt>
                <c:pt idx="937">
                  <c:v>42586</c:v>
                </c:pt>
                <c:pt idx="938">
                  <c:v>42587</c:v>
                </c:pt>
                <c:pt idx="939">
                  <c:v>42590</c:v>
                </c:pt>
                <c:pt idx="940">
                  <c:v>42591</c:v>
                </c:pt>
                <c:pt idx="941">
                  <c:v>42592</c:v>
                </c:pt>
                <c:pt idx="942">
                  <c:v>42593</c:v>
                </c:pt>
                <c:pt idx="943">
                  <c:v>42594</c:v>
                </c:pt>
                <c:pt idx="944">
                  <c:v>42597</c:v>
                </c:pt>
                <c:pt idx="945">
                  <c:v>42598</c:v>
                </c:pt>
                <c:pt idx="946">
                  <c:v>42599</c:v>
                </c:pt>
                <c:pt idx="947">
                  <c:v>42600</c:v>
                </c:pt>
                <c:pt idx="948">
                  <c:v>42601</c:v>
                </c:pt>
                <c:pt idx="949">
                  <c:v>42604</c:v>
                </c:pt>
                <c:pt idx="950">
                  <c:v>42605</c:v>
                </c:pt>
                <c:pt idx="951">
                  <c:v>42606</c:v>
                </c:pt>
                <c:pt idx="952">
                  <c:v>42607</c:v>
                </c:pt>
                <c:pt idx="953">
                  <c:v>42608</c:v>
                </c:pt>
                <c:pt idx="954">
                  <c:v>42611</c:v>
                </c:pt>
                <c:pt idx="955">
                  <c:v>42612</c:v>
                </c:pt>
                <c:pt idx="956">
                  <c:v>42613</c:v>
                </c:pt>
                <c:pt idx="957">
                  <c:v>42614</c:v>
                </c:pt>
                <c:pt idx="958">
                  <c:v>42615</c:v>
                </c:pt>
                <c:pt idx="959">
                  <c:v>42618</c:v>
                </c:pt>
                <c:pt idx="960">
                  <c:v>42619</c:v>
                </c:pt>
                <c:pt idx="961">
                  <c:v>42620</c:v>
                </c:pt>
                <c:pt idx="962">
                  <c:v>42621</c:v>
                </c:pt>
                <c:pt idx="963">
                  <c:v>42622</c:v>
                </c:pt>
                <c:pt idx="964">
                  <c:v>42625</c:v>
                </c:pt>
                <c:pt idx="965">
                  <c:v>42626</c:v>
                </c:pt>
                <c:pt idx="966">
                  <c:v>42627</c:v>
                </c:pt>
                <c:pt idx="967">
                  <c:v>42628</c:v>
                </c:pt>
                <c:pt idx="968">
                  <c:v>42629</c:v>
                </c:pt>
                <c:pt idx="969">
                  <c:v>42632</c:v>
                </c:pt>
                <c:pt idx="970">
                  <c:v>42633</c:v>
                </c:pt>
              </c:numCache>
            </c:numRef>
          </c:cat>
          <c:val>
            <c:numRef>
              <c:f>[0]!dhpRange</c:f>
              <c:numCache>
                <c:formatCode>General</c:formatCode>
                <c:ptCount val="971"/>
                <c:pt idx="0">
                  <c:v>0</c:v>
                </c:pt>
                <c:pt idx="1">
                  <c:v>10625</c:v>
                </c:pt>
                <c:pt idx="2">
                  <c:v>14000</c:v>
                </c:pt>
                <c:pt idx="3">
                  <c:v>19750</c:v>
                </c:pt>
                <c:pt idx="4">
                  <c:v>21000</c:v>
                </c:pt>
                <c:pt idx="5">
                  <c:v>14750</c:v>
                </c:pt>
                <c:pt idx="6">
                  <c:v>12625</c:v>
                </c:pt>
                <c:pt idx="7">
                  <c:v>7910</c:v>
                </c:pt>
                <c:pt idx="8">
                  <c:v>-1050</c:v>
                </c:pt>
                <c:pt idx="9">
                  <c:v>15825</c:v>
                </c:pt>
                <c:pt idx="10">
                  <c:v>12950</c:v>
                </c:pt>
                <c:pt idx="11">
                  <c:v>15450</c:v>
                </c:pt>
                <c:pt idx="12">
                  <c:v>17200</c:v>
                </c:pt>
                <c:pt idx="13">
                  <c:v>17825</c:v>
                </c:pt>
                <c:pt idx="14">
                  <c:v>20075</c:v>
                </c:pt>
                <c:pt idx="15">
                  <c:v>18575</c:v>
                </c:pt>
                <c:pt idx="16">
                  <c:v>23610</c:v>
                </c:pt>
                <c:pt idx="17">
                  <c:v>26150</c:v>
                </c:pt>
                <c:pt idx="18">
                  <c:v>22775</c:v>
                </c:pt>
                <c:pt idx="19">
                  <c:v>27025</c:v>
                </c:pt>
                <c:pt idx="20">
                  <c:v>27525</c:v>
                </c:pt>
                <c:pt idx="21">
                  <c:v>28150</c:v>
                </c:pt>
                <c:pt idx="22">
                  <c:v>28025</c:v>
                </c:pt>
                <c:pt idx="23">
                  <c:v>30025</c:v>
                </c:pt>
                <c:pt idx="24">
                  <c:v>33150</c:v>
                </c:pt>
                <c:pt idx="25">
                  <c:v>34150</c:v>
                </c:pt>
                <c:pt idx="26">
                  <c:v>34540</c:v>
                </c:pt>
                <c:pt idx="27">
                  <c:v>29480</c:v>
                </c:pt>
                <c:pt idx="28">
                  <c:v>30480</c:v>
                </c:pt>
                <c:pt idx="29">
                  <c:v>32750</c:v>
                </c:pt>
                <c:pt idx="30">
                  <c:v>37500</c:v>
                </c:pt>
                <c:pt idx="31">
                  <c:v>37125</c:v>
                </c:pt>
                <c:pt idx="32">
                  <c:v>36890</c:v>
                </c:pt>
                <c:pt idx="33">
                  <c:v>35015</c:v>
                </c:pt>
                <c:pt idx="34">
                  <c:v>37015</c:v>
                </c:pt>
                <c:pt idx="35">
                  <c:v>41265</c:v>
                </c:pt>
                <c:pt idx="36">
                  <c:v>38160</c:v>
                </c:pt>
                <c:pt idx="37">
                  <c:v>38980</c:v>
                </c:pt>
                <c:pt idx="38">
                  <c:v>38105</c:v>
                </c:pt>
                <c:pt idx="39">
                  <c:v>37005</c:v>
                </c:pt>
                <c:pt idx="40">
                  <c:v>32005</c:v>
                </c:pt>
                <c:pt idx="41">
                  <c:v>25950</c:v>
                </c:pt>
                <c:pt idx="42">
                  <c:v>26715</c:v>
                </c:pt>
                <c:pt idx="43">
                  <c:v>28465</c:v>
                </c:pt>
                <c:pt idx="44">
                  <c:v>27855</c:v>
                </c:pt>
                <c:pt idx="45">
                  <c:v>24115</c:v>
                </c:pt>
                <c:pt idx="46">
                  <c:v>30240</c:v>
                </c:pt>
                <c:pt idx="47">
                  <c:v>29435</c:v>
                </c:pt>
                <c:pt idx="48">
                  <c:v>14285</c:v>
                </c:pt>
                <c:pt idx="49">
                  <c:v>-4950</c:v>
                </c:pt>
                <c:pt idx="50">
                  <c:v>-7575</c:v>
                </c:pt>
                <c:pt idx="51">
                  <c:v>-2450</c:v>
                </c:pt>
                <c:pt idx="52">
                  <c:v>-7440</c:v>
                </c:pt>
                <c:pt idx="53">
                  <c:v>-8550</c:v>
                </c:pt>
                <c:pt idx="54">
                  <c:v>-8925</c:v>
                </c:pt>
                <c:pt idx="55">
                  <c:v>-17270</c:v>
                </c:pt>
                <c:pt idx="56">
                  <c:v>-20130</c:v>
                </c:pt>
                <c:pt idx="57">
                  <c:v>-21880</c:v>
                </c:pt>
                <c:pt idx="58">
                  <c:v>-21880</c:v>
                </c:pt>
                <c:pt idx="59">
                  <c:v>-21880</c:v>
                </c:pt>
                <c:pt idx="60">
                  <c:v>-21880</c:v>
                </c:pt>
                <c:pt idx="61">
                  <c:v>-21880</c:v>
                </c:pt>
                <c:pt idx="62">
                  <c:v>-21880</c:v>
                </c:pt>
                <c:pt idx="63">
                  <c:v>-21880</c:v>
                </c:pt>
                <c:pt idx="64">
                  <c:v>4035</c:v>
                </c:pt>
                <c:pt idx="65">
                  <c:v>1095</c:v>
                </c:pt>
                <c:pt idx="66">
                  <c:v>6345</c:v>
                </c:pt>
                <c:pt idx="67">
                  <c:v>-4665</c:v>
                </c:pt>
                <c:pt idx="68">
                  <c:v>-7415</c:v>
                </c:pt>
                <c:pt idx="69">
                  <c:v>-5040</c:v>
                </c:pt>
                <c:pt idx="70">
                  <c:v>3960</c:v>
                </c:pt>
                <c:pt idx="71">
                  <c:v>5335</c:v>
                </c:pt>
                <c:pt idx="72">
                  <c:v>11125</c:v>
                </c:pt>
                <c:pt idx="73">
                  <c:v>17500</c:v>
                </c:pt>
                <c:pt idx="74">
                  <c:v>5280</c:v>
                </c:pt>
                <c:pt idx="75">
                  <c:v>17030</c:v>
                </c:pt>
                <c:pt idx="76">
                  <c:v>17655</c:v>
                </c:pt>
                <c:pt idx="77">
                  <c:v>1530</c:v>
                </c:pt>
                <c:pt idx="78">
                  <c:v>5420</c:v>
                </c:pt>
                <c:pt idx="79">
                  <c:v>295</c:v>
                </c:pt>
                <c:pt idx="80">
                  <c:v>-5945</c:v>
                </c:pt>
                <c:pt idx="81">
                  <c:v>-9550</c:v>
                </c:pt>
                <c:pt idx="82">
                  <c:v>-5072.5</c:v>
                </c:pt>
                <c:pt idx="83">
                  <c:v>-3447.5</c:v>
                </c:pt>
                <c:pt idx="84">
                  <c:v>-15212.5</c:v>
                </c:pt>
                <c:pt idx="85">
                  <c:v>-11962.5</c:v>
                </c:pt>
                <c:pt idx="86">
                  <c:v>-7322.5</c:v>
                </c:pt>
                <c:pt idx="87">
                  <c:v>-21927.5</c:v>
                </c:pt>
                <c:pt idx="88">
                  <c:v>-24632.5</c:v>
                </c:pt>
                <c:pt idx="89">
                  <c:v>-9632.5</c:v>
                </c:pt>
                <c:pt idx="90">
                  <c:v>-10757.5</c:v>
                </c:pt>
                <c:pt idx="91">
                  <c:v>-257.5</c:v>
                </c:pt>
                <c:pt idx="92">
                  <c:v>-14382.5</c:v>
                </c:pt>
                <c:pt idx="93">
                  <c:v>-2632.5</c:v>
                </c:pt>
                <c:pt idx="94">
                  <c:v>-16582.5</c:v>
                </c:pt>
                <c:pt idx="95">
                  <c:v>-18072.5</c:v>
                </c:pt>
                <c:pt idx="96">
                  <c:v>-17322.5</c:v>
                </c:pt>
                <c:pt idx="97">
                  <c:v>-14447.5</c:v>
                </c:pt>
                <c:pt idx="98">
                  <c:v>-16447.5</c:v>
                </c:pt>
                <c:pt idx="99">
                  <c:v>-12947.5</c:v>
                </c:pt>
                <c:pt idx="100">
                  <c:v>-8072.5</c:v>
                </c:pt>
                <c:pt idx="101">
                  <c:v>-14432.5</c:v>
                </c:pt>
                <c:pt idx="102">
                  <c:v>-16807.5</c:v>
                </c:pt>
                <c:pt idx="103">
                  <c:v>-15932.5</c:v>
                </c:pt>
                <c:pt idx="104">
                  <c:v>-13182.5</c:v>
                </c:pt>
                <c:pt idx="105">
                  <c:v>-16557.5</c:v>
                </c:pt>
                <c:pt idx="106">
                  <c:v>-16432.5</c:v>
                </c:pt>
                <c:pt idx="107">
                  <c:v>-11182.5</c:v>
                </c:pt>
                <c:pt idx="108">
                  <c:v>-12797.5</c:v>
                </c:pt>
                <c:pt idx="109">
                  <c:v>-9797.5</c:v>
                </c:pt>
                <c:pt idx="110">
                  <c:v>-7282.5</c:v>
                </c:pt>
                <c:pt idx="111">
                  <c:v>-11282.5</c:v>
                </c:pt>
                <c:pt idx="112">
                  <c:v>-11647.5</c:v>
                </c:pt>
                <c:pt idx="113">
                  <c:v>-15762.5</c:v>
                </c:pt>
                <c:pt idx="114">
                  <c:v>-762.5</c:v>
                </c:pt>
                <c:pt idx="115">
                  <c:v>-2137.5</c:v>
                </c:pt>
                <c:pt idx="116">
                  <c:v>497.5</c:v>
                </c:pt>
                <c:pt idx="117">
                  <c:v>2872.5</c:v>
                </c:pt>
                <c:pt idx="118">
                  <c:v>502.5</c:v>
                </c:pt>
                <c:pt idx="119">
                  <c:v>-5747.5</c:v>
                </c:pt>
                <c:pt idx="120">
                  <c:v>-11747.5</c:v>
                </c:pt>
                <c:pt idx="121">
                  <c:v>-11722.5</c:v>
                </c:pt>
                <c:pt idx="122">
                  <c:v>-15807.5</c:v>
                </c:pt>
                <c:pt idx="123">
                  <c:v>-17927.5</c:v>
                </c:pt>
                <c:pt idx="124">
                  <c:v>-23922.5</c:v>
                </c:pt>
                <c:pt idx="125">
                  <c:v>-26172.5</c:v>
                </c:pt>
                <c:pt idx="126">
                  <c:v>-26172.5</c:v>
                </c:pt>
                <c:pt idx="127">
                  <c:v>-26172.5</c:v>
                </c:pt>
                <c:pt idx="128">
                  <c:v>-26172.5</c:v>
                </c:pt>
                <c:pt idx="129">
                  <c:v>-26172.5</c:v>
                </c:pt>
                <c:pt idx="130">
                  <c:v>-26172.5</c:v>
                </c:pt>
                <c:pt idx="131">
                  <c:v>-26547.5</c:v>
                </c:pt>
                <c:pt idx="132">
                  <c:v>-27672.5</c:v>
                </c:pt>
                <c:pt idx="133">
                  <c:v>-23547.5</c:v>
                </c:pt>
                <c:pt idx="134">
                  <c:v>-27297.5</c:v>
                </c:pt>
                <c:pt idx="135">
                  <c:v>-35617.5</c:v>
                </c:pt>
                <c:pt idx="136">
                  <c:v>-35992.5</c:v>
                </c:pt>
                <c:pt idx="137">
                  <c:v>-28807.5</c:v>
                </c:pt>
                <c:pt idx="138">
                  <c:v>-30517.5</c:v>
                </c:pt>
                <c:pt idx="139">
                  <c:v>-39862.5</c:v>
                </c:pt>
                <c:pt idx="140">
                  <c:v>-35737.5</c:v>
                </c:pt>
                <c:pt idx="141">
                  <c:v>-36987.5</c:v>
                </c:pt>
                <c:pt idx="142">
                  <c:v>-35862.5</c:v>
                </c:pt>
                <c:pt idx="143">
                  <c:v>-32987.5</c:v>
                </c:pt>
                <c:pt idx="144">
                  <c:v>-34977.5</c:v>
                </c:pt>
                <c:pt idx="145">
                  <c:v>-44807.5</c:v>
                </c:pt>
                <c:pt idx="146">
                  <c:v>-51402.5</c:v>
                </c:pt>
                <c:pt idx="147">
                  <c:v>-57902.5</c:v>
                </c:pt>
                <c:pt idx="148">
                  <c:v>-59027.5</c:v>
                </c:pt>
                <c:pt idx="149">
                  <c:v>-62402.5</c:v>
                </c:pt>
                <c:pt idx="150">
                  <c:v>-62027.5</c:v>
                </c:pt>
                <c:pt idx="151">
                  <c:v>-58527.5</c:v>
                </c:pt>
                <c:pt idx="152">
                  <c:v>-63652.5</c:v>
                </c:pt>
                <c:pt idx="153">
                  <c:v>-66777.5</c:v>
                </c:pt>
                <c:pt idx="154">
                  <c:v>-68027.5</c:v>
                </c:pt>
                <c:pt idx="155">
                  <c:v>-67777.5</c:v>
                </c:pt>
                <c:pt idx="156">
                  <c:v>-67902.5</c:v>
                </c:pt>
                <c:pt idx="157">
                  <c:v>-67902.5</c:v>
                </c:pt>
                <c:pt idx="158">
                  <c:v>-68027.5</c:v>
                </c:pt>
                <c:pt idx="159">
                  <c:v>-67527.5</c:v>
                </c:pt>
                <c:pt idx="160">
                  <c:v>-69402.5</c:v>
                </c:pt>
                <c:pt idx="161">
                  <c:v>-69762.5</c:v>
                </c:pt>
                <c:pt idx="162">
                  <c:v>-68012.5</c:v>
                </c:pt>
                <c:pt idx="163">
                  <c:v>-68762.5</c:v>
                </c:pt>
                <c:pt idx="164">
                  <c:v>-67012.5</c:v>
                </c:pt>
                <c:pt idx="165">
                  <c:v>-67762.5</c:v>
                </c:pt>
                <c:pt idx="166">
                  <c:v>-61867.5</c:v>
                </c:pt>
                <c:pt idx="167">
                  <c:v>-62640</c:v>
                </c:pt>
                <c:pt idx="168">
                  <c:v>-66235</c:v>
                </c:pt>
                <c:pt idx="169">
                  <c:v>-73570</c:v>
                </c:pt>
                <c:pt idx="170">
                  <c:v>-75945</c:v>
                </c:pt>
                <c:pt idx="171">
                  <c:v>-75555</c:v>
                </c:pt>
                <c:pt idx="172">
                  <c:v>-75055</c:v>
                </c:pt>
                <c:pt idx="173">
                  <c:v>-72290</c:v>
                </c:pt>
                <c:pt idx="174">
                  <c:v>-76540</c:v>
                </c:pt>
                <c:pt idx="175">
                  <c:v>-64540</c:v>
                </c:pt>
                <c:pt idx="176">
                  <c:v>-58970</c:v>
                </c:pt>
                <c:pt idx="177">
                  <c:v>-56595</c:v>
                </c:pt>
                <c:pt idx="178">
                  <c:v>-66220</c:v>
                </c:pt>
                <c:pt idx="179">
                  <c:v>-60165</c:v>
                </c:pt>
                <c:pt idx="180">
                  <c:v>-69030</c:v>
                </c:pt>
                <c:pt idx="181">
                  <c:v>-70500</c:v>
                </c:pt>
                <c:pt idx="182">
                  <c:v>-60585</c:v>
                </c:pt>
                <c:pt idx="183">
                  <c:v>-50335</c:v>
                </c:pt>
                <c:pt idx="184">
                  <c:v>-41935</c:v>
                </c:pt>
                <c:pt idx="185">
                  <c:v>-41055</c:v>
                </c:pt>
                <c:pt idx="186">
                  <c:v>-33430</c:v>
                </c:pt>
                <c:pt idx="187">
                  <c:v>-41430</c:v>
                </c:pt>
                <c:pt idx="188">
                  <c:v>-25430</c:v>
                </c:pt>
                <c:pt idx="189">
                  <c:v>-27400</c:v>
                </c:pt>
                <c:pt idx="190">
                  <c:v>-17900</c:v>
                </c:pt>
                <c:pt idx="191">
                  <c:v>-31380</c:v>
                </c:pt>
                <c:pt idx="192">
                  <c:v>-33375</c:v>
                </c:pt>
                <c:pt idx="193">
                  <c:v>-28485</c:v>
                </c:pt>
                <c:pt idx="194">
                  <c:v>-5485</c:v>
                </c:pt>
                <c:pt idx="195">
                  <c:v>5390</c:v>
                </c:pt>
                <c:pt idx="196">
                  <c:v>4830</c:v>
                </c:pt>
                <c:pt idx="197">
                  <c:v>6455</c:v>
                </c:pt>
                <c:pt idx="198">
                  <c:v>7330</c:v>
                </c:pt>
                <c:pt idx="199">
                  <c:v>2705</c:v>
                </c:pt>
                <c:pt idx="200">
                  <c:v>6705</c:v>
                </c:pt>
                <c:pt idx="201">
                  <c:v>6955</c:v>
                </c:pt>
                <c:pt idx="202">
                  <c:v>9580</c:v>
                </c:pt>
                <c:pt idx="203">
                  <c:v>9955</c:v>
                </c:pt>
                <c:pt idx="204">
                  <c:v>9830</c:v>
                </c:pt>
                <c:pt idx="205">
                  <c:v>7330</c:v>
                </c:pt>
                <c:pt idx="206">
                  <c:v>8080</c:v>
                </c:pt>
                <c:pt idx="207">
                  <c:v>8205</c:v>
                </c:pt>
                <c:pt idx="208">
                  <c:v>7580</c:v>
                </c:pt>
                <c:pt idx="209">
                  <c:v>8830</c:v>
                </c:pt>
                <c:pt idx="210">
                  <c:v>14455</c:v>
                </c:pt>
                <c:pt idx="211">
                  <c:v>11580</c:v>
                </c:pt>
                <c:pt idx="212">
                  <c:v>12080</c:v>
                </c:pt>
                <c:pt idx="213">
                  <c:v>12830</c:v>
                </c:pt>
                <c:pt idx="214">
                  <c:v>13455</c:v>
                </c:pt>
                <c:pt idx="215">
                  <c:v>13705</c:v>
                </c:pt>
                <c:pt idx="216">
                  <c:v>14955</c:v>
                </c:pt>
                <c:pt idx="217">
                  <c:v>14705</c:v>
                </c:pt>
                <c:pt idx="218">
                  <c:v>15205</c:v>
                </c:pt>
                <c:pt idx="219">
                  <c:v>17080</c:v>
                </c:pt>
                <c:pt idx="220">
                  <c:v>15455</c:v>
                </c:pt>
                <c:pt idx="221">
                  <c:v>14455</c:v>
                </c:pt>
                <c:pt idx="222">
                  <c:v>14080</c:v>
                </c:pt>
                <c:pt idx="223">
                  <c:v>18705</c:v>
                </c:pt>
                <c:pt idx="224">
                  <c:v>26245</c:v>
                </c:pt>
                <c:pt idx="225">
                  <c:v>24120</c:v>
                </c:pt>
                <c:pt idx="226">
                  <c:v>19620</c:v>
                </c:pt>
                <c:pt idx="227">
                  <c:v>14620</c:v>
                </c:pt>
                <c:pt idx="228">
                  <c:v>12495</c:v>
                </c:pt>
                <c:pt idx="229">
                  <c:v>370</c:v>
                </c:pt>
                <c:pt idx="230">
                  <c:v>3245</c:v>
                </c:pt>
                <c:pt idx="231">
                  <c:v>4265</c:v>
                </c:pt>
                <c:pt idx="232">
                  <c:v>3647.5</c:v>
                </c:pt>
                <c:pt idx="233">
                  <c:v>4522.5</c:v>
                </c:pt>
                <c:pt idx="234">
                  <c:v>6022.5</c:v>
                </c:pt>
                <c:pt idx="235">
                  <c:v>8912.5</c:v>
                </c:pt>
                <c:pt idx="236">
                  <c:v>7177.5</c:v>
                </c:pt>
                <c:pt idx="237">
                  <c:v>7177.5</c:v>
                </c:pt>
                <c:pt idx="238">
                  <c:v>7177.5</c:v>
                </c:pt>
                <c:pt idx="239">
                  <c:v>7552.5</c:v>
                </c:pt>
                <c:pt idx="240">
                  <c:v>7552.5</c:v>
                </c:pt>
                <c:pt idx="241">
                  <c:v>3727.5</c:v>
                </c:pt>
                <c:pt idx="242">
                  <c:v>5022.5</c:v>
                </c:pt>
                <c:pt idx="243">
                  <c:v>7662.5</c:v>
                </c:pt>
                <c:pt idx="244">
                  <c:v>-1837.5</c:v>
                </c:pt>
                <c:pt idx="245">
                  <c:v>-212.5</c:v>
                </c:pt>
                <c:pt idx="246">
                  <c:v>-6962.5</c:v>
                </c:pt>
                <c:pt idx="247">
                  <c:v>20787.5</c:v>
                </c:pt>
                <c:pt idx="248">
                  <c:v>41287.5</c:v>
                </c:pt>
                <c:pt idx="249">
                  <c:v>42787.5</c:v>
                </c:pt>
                <c:pt idx="250">
                  <c:v>40787.5</c:v>
                </c:pt>
                <c:pt idx="251">
                  <c:v>43912.5</c:v>
                </c:pt>
                <c:pt idx="252">
                  <c:v>39412.5</c:v>
                </c:pt>
                <c:pt idx="253">
                  <c:v>37452.5</c:v>
                </c:pt>
                <c:pt idx="254">
                  <c:v>37987.5</c:v>
                </c:pt>
                <c:pt idx="255">
                  <c:v>37772.5</c:v>
                </c:pt>
                <c:pt idx="256">
                  <c:v>37067.5</c:v>
                </c:pt>
                <c:pt idx="257">
                  <c:v>35357.5</c:v>
                </c:pt>
                <c:pt idx="258">
                  <c:v>35127.5</c:v>
                </c:pt>
                <c:pt idx="259">
                  <c:v>36022.5</c:v>
                </c:pt>
                <c:pt idx="260">
                  <c:v>35897.5</c:v>
                </c:pt>
                <c:pt idx="261">
                  <c:v>35532.5</c:v>
                </c:pt>
                <c:pt idx="262">
                  <c:v>36132.5</c:v>
                </c:pt>
                <c:pt idx="263">
                  <c:v>27537.5</c:v>
                </c:pt>
                <c:pt idx="264">
                  <c:v>31357.5</c:v>
                </c:pt>
                <c:pt idx="265">
                  <c:v>33997.5</c:v>
                </c:pt>
                <c:pt idx="266">
                  <c:v>607.5</c:v>
                </c:pt>
                <c:pt idx="267">
                  <c:v>-12747.5</c:v>
                </c:pt>
                <c:pt idx="268">
                  <c:v>-8787.5</c:v>
                </c:pt>
                <c:pt idx="269">
                  <c:v>-12087.5</c:v>
                </c:pt>
                <c:pt idx="270">
                  <c:v>-5822.5</c:v>
                </c:pt>
                <c:pt idx="271">
                  <c:v>3207.5</c:v>
                </c:pt>
                <c:pt idx="272">
                  <c:v>2207.5</c:v>
                </c:pt>
                <c:pt idx="273">
                  <c:v>10722.5</c:v>
                </c:pt>
                <c:pt idx="274">
                  <c:v>11597.5</c:v>
                </c:pt>
                <c:pt idx="275">
                  <c:v>11347.5</c:v>
                </c:pt>
                <c:pt idx="276">
                  <c:v>6367.5</c:v>
                </c:pt>
                <c:pt idx="277">
                  <c:v>-5092.5</c:v>
                </c:pt>
                <c:pt idx="278">
                  <c:v>-5812.5</c:v>
                </c:pt>
                <c:pt idx="279">
                  <c:v>-1937.5</c:v>
                </c:pt>
                <c:pt idx="280">
                  <c:v>-1312.5</c:v>
                </c:pt>
                <c:pt idx="281">
                  <c:v>-3687.5</c:v>
                </c:pt>
                <c:pt idx="282">
                  <c:v>2072.5</c:v>
                </c:pt>
                <c:pt idx="283">
                  <c:v>322.5</c:v>
                </c:pt>
                <c:pt idx="284">
                  <c:v>2727.5</c:v>
                </c:pt>
                <c:pt idx="285">
                  <c:v>7977.5</c:v>
                </c:pt>
                <c:pt idx="286">
                  <c:v>8227.5</c:v>
                </c:pt>
                <c:pt idx="287">
                  <c:v>7227.5</c:v>
                </c:pt>
                <c:pt idx="288">
                  <c:v>8737.5</c:v>
                </c:pt>
                <c:pt idx="289">
                  <c:v>9862.5</c:v>
                </c:pt>
                <c:pt idx="290">
                  <c:v>8112.5</c:v>
                </c:pt>
                <c:pt idx="291">
                  <c:v>10252.5</c:v>
                </c:pt>
                <c:pt idx="292">
                  <c:v>13252.5</c:v>
                </c:pt>
                <c:pt idx="293">
                  <c:v>17532.5</c:v>
                </c:pt>
                <c:pt idx="294">
                  <c:v>17922.5</c:v>
                </c:pt>
                <c:pt idx="295">
                  <c:v>23797.5</c:v>
                </c:pt>
                <c:pt idx="296">
                  <c:v>28712.5</c:v>
                </c:pt>
                <c:pt idx="297">
                  <c:v>28960</c:v>
                </c:pt>
                <c:pt idx="298">
                  <c:v>25585</c:v>
                </c:pt>
                <c:pt idx="299">
                  <c:v>18710</c:v>
                </c:pt>
                <c:pt idx="300">
                  <c:v>22460</c:v>
                </c:pt>
                <c:pt idx="301">
                  <c:v>33460</c:v>
                </c:pt>
                <c:pt idx="302">
                  <c:v>19960</c:v>
                </c:pt>
                <c:pt idx="303">
                  <c:v>39085</c:v>
                </c:pt>
                <c:pt idx="304">
                  <c:v>43960</c:v>
                </c:pt>
                <c:pt idx="305">
                  <c:v>58345</c:v>
                </c:pt>
                <c:pt idx="306">
                  <c:v>55235</c:v>
                </c:pt>
                <c:pt idx="307">
                  <c:v>60985</c:v>
                </c:pt>
                <c:pt idx="308">
                  <c:v>59140</c:v>
                </c:pt>
                <c:pt idx="309">
                  <c:v>58515</c:v>
                </c:pt>
                <c:pt idx="310">
                  <c:v>60640</c:v>
                </c:pt>
                <c:pt idx="311">
                  <c:v>59140</c:v>
                </c:pt>
                <c:pt idx="312">
                  <c:v>57890</c:v>
                </c:pt>
                <c:pt idx="313">
                  <c:v>58515</c:v>
                </c:pt>
                <c:pt idx="314">
                  <c:v>58265</c:v>
                </c:pt>
                <c:pt idx="315">
                  <c:v>59765</c:v>
                </c:pt>
                <c:pt idx="316">
                  <c:v>59640</c:v>
                </c:pt>
                <c:pt idx="317">
                  <c:v>59670</c:v>
                </c:pt>
                <c:pt idx="318">
                  <c:v>60670</c:v>
                </c:pt>
                <c:pt idx="319">
                  <c:v>57805</c:v>
                </c:pt>
                <c:pt idx="320">
                  <c:v>58430</c:v>
                </c:pt>
                <c:pt idx="321">
                  <c:v>58430</c:v>
                </c:pt>
                <c:pt idx="322">
                  <c:v>54180</c:v>
                </c:pt>
                <c:pt idx="323">
                  <c:v>51430</c:v>
                </c:pt>
                <c:pt idx="324">
                  <c:v>48245</c:v>
                </c:pt>
                <c:pt idx="325">
                  <c:v>40300</c:v>
                </c:pt>
                <c:pt idx="326">
                  <c:v>52800</c:v>
                </c:pt>
                <c:pt idx="327">
                  <c:v>51425</c:v>
                </c:pt>
                <c:pt idx="328">
                  <c:v>49925</c:v>
                </c:pt>
                <c:pt idx="329">
                  <c:v>51925</c:v>
                </c:pt>
                <c:pt idx="330">
                  <c:v>42675</c:v>
                </c:pt>
                <c:pt idx="331">
                  <c:v>44925</c:v>
                </c:pt>
                <c:pt idx="332">
                  <c:v>47800</c:v>
                </c:pt>
                <c:pt idx="333">
                  <c:v>51925</c:v>
                </c:pt>
                <c:pt idx="334">
                  <c:v>45675</c:v>
                </c:pt>
                <c:pt idx="335">
                  <c:v>46800</c:v>
                </c:pt>
                <c:pt idx="336">
                  <c:v>54800</c:v>
                </c:pt>
                <c:pt idx="337">
                  <c:v>58800</c:v>
                </c:pt>
                <c:pt idx="338">
                  <c:v>60175</c:v>
                </c:pt>
                <c:pt idx="339">
                  <c:v>68050</c:v>
                </c:pt>
                <c:pt idx="340">
                  <c:v>52550</c:v>
                </c:pt>
                <c:pt idx="341">
                  <c:v>45695</c:v>
                </c:pt>
                <c:pt idx="342">
                  <c:v>44020</c:v>
                </c:pt>
                <c:pt idx="343">
                  <c:v>44905</c:v>
                </c:pt>
                <c:pt idx="344">
                  <c:v>45655</c:v>
                </c:pt>
                <c:pt idx="345">
                  <c:v>46905</c:v>
                </c:pt>
                <c:pt idx="346">
                  <c:v>47905</c:v>
                </c:pt>
                <c:pt idx="347">
                  <c:v>45415</c:v>
                </c:pt>
                <c:pt idx="348">
                  <c:v>42085</c:v>
                </c:pt>
                <c:pt idx="349">
                  <c:v>39645</c:v>
                </c:pt>
                <c:pt idx="350">
                  <c:v>36895</c:v>
                </c:pt>
                <c:pt idx="351">
                  <c:v>39020</c:v>
                </c:pt>
                <c:pt idx="352">
                  <c:v>39020</c:v>
                </c:pt>
                <c:pt idx="353">
                  <c:v>39020</c:v>
                </c:pt>
                <c:pt idx="354">
                  <c:v>39020</c:v>
                </c:pt>
                <c:pt idx="355">
                  <c:v>39020</c:v>
                </c:pt>
                <c:pt idx="356">
                  <c:v>45905</c:v>
                </c:pt>
                <c:pt idx="357">
                  <c:v>62040</c:v>
                </c:pt>
                <c:pt idx="358">
                  <c:v>61540</c:v>
                </c:pt>
                <c:pt idx="359">
                  <c:v>68540</c:v>
                </c:pt>
                <c:pt idx="360">
                  <c:v>71665</c:v>
                </c:pt>
                <c:pt idx="361">
                  <c:v>70555</c:v>
                </c:pt>
                <c:pt idx="362">
                  <c:v>68430</c:v>
                </c:pt>
                <c:pt idx="363">
                  <c:v>69680</c:v>
                </c:pt>
                <c:pt idx="364">
                  <c:v>69475</c:v>
                </c:pt>
                <c:pt idx="365">
                  <c:v>70020</c:v>
                </c:pt>
                <c:pt idx="366">
                  <c:v>68395</c:v>
                </c:pt>
                <c:pt idx="367">
                  <c:v>75020</c:v>
                </c:pt>
                <c:pt idx="368">
                  <c:v>76280</c:v>
                </c:pt>
                <c:pt idx="369">
                  <c:v>79405</c:v>
                </c:pt>
                <c:pt idx="370">
                  <c:v>79030</c:v>
                </c:pt>
                <c:pt idx="371">
                  <c:v>79530</c:v>
                </c:pt>
                <c:pt idx="372">
                  <c:v>78530</c:v>
                </c:pt>
                <c:pt idx="373">
                  <c:v>80030</c:v>
                </c:pt>
                <c:pt idx="374">
                  <c:v>77030</c:v>
                </c:pt>
                <c:pt idx="375">
                  <c:v>77060</c:v>
                </c:pt>
                <c:pt idx="376">
                  <c:v>72935</c:v>
                </c:pt>
                <c:pt idx="377">
                  <c:v>75185</c:v>
                </c:pt>
                <c:pt idx="378">
                  <c:v>77185</c:v>
                </c:pt>
                <c:pt idx="379">
                  <c:v>74560</c:v>
                </c:pt>
                <c:pt idx="380">
                  <c:v>72435</c:v>
                </c:pt>
                <c:pt idx="381">
                  <c:v>75580</c:v>
                </c:pt>
                <c:pt idx="382">
                  <c:v>76087.5</c:v>
                </c:pt>
                <c:pt idx="383">
                  <c:v>76097.5</c:v>
                </c:pt>
                <c:pt idx="384">
                  <c:v>76097.5</c:v>
                </c:pt>
                <c:pt idx="385">
                  <c:v>76097.5</c:v>
                </c:pt>
                <c:pt idx="386">
                  <c:v>76347.5</c:v>
                </c:pt>
                <c:pt idx="387">
                  <c:v>77472.5</c:v>
                </c:pt>
                <c:pt idx="388">
                  <c:v>77222.5</c:v>
                </c:pt>
                <c:pt idx="389">
                  <c:v>70862.5</c:v>
                </c:pt>
                <c:pt idx="390">
                  <c:v>71987.5</c:v>
                </c:pt>
                <c:pt idx="391">
                  <c:v>73112.5</c:v>
                </c:pt>
                <c:pt idx="392">
                  <c:v>72862.5</c:v>
                </c:pt>
                <c:pt idx="393">
                  <c:v>69237.5</c:v>
                </c:pt>
                <c:pt idx="394">
                  <c:v>67862.5</c:v>
                </c:pt>
                <c:pt idx="395">
                  <c:v>66362.5</c:v>
                </c:pt>
                <c:pt idx="396">
                  <c:v>65237.5</c:v>
                </c:pt>
                <c:pt idx="397">
                  <c:v>63612.5</c:v>
                </c:pt>
                <c:pt idx="398">
                  <c:v>61752.5</c:v>
                </c:pt>
                <c:pt idx="399">
                  <c:v>62502.5</c:v>
                </c:pt>
                <c:pt idx="400">
                  <c:v>60627.5</c:v>
                </c:pt>
                <c:pt idx="401">
                  <c:v>61002.5</c:v>
                </c:pt>
                <c:pt idx="402">
                  <c:v>62127.5</c:v>
                </c:pt>
                <c:pt idx="403">
                  <c:v>59502.5</c:v>
                </c:pt>
                <c:pt idx="404">
                  <c:v>56502.5</c:v>
                </c:pt>
                <c:pt idx="405">
                  <c:v>54877.5</c:v>
                </c:pt>
                <c:pt idx="406">
                  <c:v>54877.5</c:v>
                </c:pt>
                <c:pt idx="407">
                  <c:v>54502.5</c:v>
                </c:pt>
                <c:pt idx="408">
                  <c:v>55252.5</c:v>
                </c:pt>
                <c:pt idx="409">
                  <c:v>57377.5</c:v>
                </c:pt>
                <c:pt idx="410">
                  <c:v>54627.5</c:v>
                </c:pt>
                <c:pt idx="411">
                  <c:v>53752.5</c:v>
                </c:pt>
                <c:pt idx="412">
                  <c:v>52627.5</c:v>
                </c:pt>
                <c:pt idx="413">
                  <c:v>51127.5</c:v>
                </c:pt>
                <c:pt idx="414">
                  <c:v>52752.5</c:v>
                </c:pt>
                <c:pt idx="415">
                  <c:v>52752.5</c:v>
                </c:pt>
                <c:pt idx="416">
                  <c:v>52752.5</c:v>
                </c:pt>
                <c:pt idx="417">
                  <c:v>52752.5</c:v>
                </c:pt>
                <c:pt idx="418">
                  <c:v>52752.5</c:v>
                </c:pt>
                <c:pt idx="419">
                  <c:v>52752.5</c:v>
                </c:pt>
                <c:pt idx="420">
                  <c:v>52752.5</c:v>
                </c:pt>
                <c:pt idx="421">
                  <c:v>52752.5</c:v>
                </c:pt>
                <c:pt idx="422">
                  <c:v>52752.5</c:v>
                </c:pt>
                <c:pt idx="423">
                  <c:v>52752.5</c:v>
                </c:pt>
                <c:pt idx="424">
                  <c:v>52752.5</c:v>
                </c:pt>
                <c:pt idx="425">
                  <c:v>53002.5</c:v>
                </c:pt>
                <c:pt idx="426">
                  <c:v>51022.5</c:v>
                </c:pt>
                <c:pt idx="427">
                  <c:v>52835</c:v>
                </c:pt>
                <c:pt idx="428">
                  <c:v>52835</c:v>
                </c:pt>
                <c:pt idx="429">
                  <c:v>52835</c:v>
                </c:pt>
                <c:pt idx="430">
                  <c:v>52835</c:v>
                </c:pt>
                <c:pt idx="431">
                  <c:v>53865</c:v>
                </c:pt>
                <c:pt idx="432">
                  <c:v>45140</c:v>
                </c:pt>
                <c:pt idx="433">
                  <c:v>54765</c:v>
                </c:pt>
                <c:pt idx="434">
                  <c:v>51685</c:v>
                </c:pt>
                <c:pt idx="435">
                  <c:v>52685</c:v>
                </c:pt>
                <c:pt idx="436">
                  <c:v>80185</c:v>
                </c:pt>
                <c:pt idx="437">
                  <c:v>91495</c:v>
                </c:pt>
                <c:pt idx="438">
                  <c:v>82305</c:v>
                </c:pt>
                <c:pt idx="439">
                  <c:v>78930</c:v>
                </c:pt>
                <c:pt idx="440">
                  <c:v>77930</c:v>
                </c:pt>
                <c:pt idx="441">
                  <c:v>79055</c:v>
                </c:pt>
                <c:pt idx="442">
                  <c:v>75680</c:v>
                </c:pt>
                <c:pt idx="443">
                  <c:v>76055</c:v>
                </c:pt>
                <c:pt idx="444">
                  <c:v>79680</c:v>
                </c:pt>
                <c:pt idx="445">
                  <c:v>81055</c:v>
                </c:pt>
                <c:pt idx="446">
                  <c:v>79180</c:v>
                </c:pt>
                <c:pt idx="447">
                  <c:v>77555</c:v>
                </c:pt>
                <c:pt idx="448">
                  <c:v>72555</c:v>
                </c:pt>
                <c:pt idx="449">
                  <c:v>69930</c:v>
                </c:pt>
                <c:pt idx="450">
                  <c:v>65430</c:v>
                </c:pt>
                <c:pt idx="451">
                  <c:v>68555</c:v>
                </c:pt>
                <c:pt idx="452">
                  <c:v>65430</c:v>
                </c:pt>
                <c:pt idx="453">
                  <c:v>62930</c:v>
                </c:pt>
                <c:pt idx="454">
                  <c:v>65180</c:v>
                </c:pt>
                <c:pt idx="455">
                  <c:v>61805</c:v>
                </c:pt>
                <c:pt idx="456">
                  <c:v>60805</c:v>
                </c:pt>
                <c:pt idx="457">
                  <c:v>61055</c:v>
                </c:pt>
                <c:pt idx="458">
                  <c:v>62930</c:v>
                </c:pt>
                <c:pt idx="459">
                  <c:v>72430</c:v>
                </c:pt>
                <c:pt idx="460">
                  <c:v>79555</c:v>
                </c:pt>
                <c:pt idx="461">
                  <c:v>81180</c:v>
                </c:pt>
                <c:pt idx="462">
                  <c:v>83960</c:v>
                </c:pt>
                <c:pt idx="463">
                  <c:v>63740</c:v>
                </c:pt>
                <c:pt idx="464">
                  <c:v>95365</c:v>
                </c:pt>
                <c:pt idx="465">
                  <c:v>114500</c:v>
                </c:pt>
                <c:pt idx="466">
                  <c:v>103155</c:v>
                </c:pt>
                <c:pt idx="467">
                  <c:v>102430</c:v>
                </c:pt>
                <c:pt idx="468">
                  <c:v>99695</c:v>
                </c:pt>
                <c:pt idx="469">
                  <c:v>100945</c:v>
                </c:pt>
                <c:pt idx="470">
                  <c:v>106695</c:v>
                </c:pt>
                <c:pt idx="471">
                  <c:v>104330</c:v>
                </c:pt>
                <c:pt idx="472">
                  <c:v>109080</c:v>
                </c:pt>
                <c:pt idx="473">
                  <c:v>105090</c:v>
                </c:pt>
                <c:pt idx="474">
                  <c:v>113465</c:v>
                </c:pt>
                <c:pt idx="475">
                  <c:v>115965</c:v>
                </c:pt>
                <c:pt idx="476">
                  <c:v>119465</c:v>
                </c:pt>
                <c:pt idx="477">
                  <c:v>120965</c:v>
                </c:pt>
                <c:pt idx="478">
                  <c:v>121590</c:v>
                </c:pt>
                <c:pt idx="479">
                  <c:v>123090</c:v>
                </c:pt>
                <c:pt idx="480">
                  <c:v>120340</c:v>
                </c:pt>
                <c:pt idx="481">
                  <c:v>125495</c:v>
                </c:pt>
                <c:pt idx="482">
                  <c:v>125620</c:v>
                </c:pt>
                <c:pt idx="483">
                  <c:v>127620</c:v>
                </c:pt>
                <c:pt idx="484">
                  <c:v>128870</c:v>
                </c:pt>
                <c:pt idx="485">
                  <c:v>131495</c:v>
                </c:pt>
                <c:pt idx="486">
                  <c:v>127760</c:v>
                </c:pt>
                <c:pt idx="487">
                  <c:v>126010</c:v>
                </c:pt>
                <c:pt idx="488">
                  <c:v>124760</c:v>
                </c:pt>
                <c:pt idx="489">
                  <c:v>131760</c:v>
                </c:pt>
                <c:pt idx="490">
                  <c:v>133150</c:v>
                </c:pt>
                <c:pt idx="491">
                  <c:v>138175</c:v>
                </c:pt>
                <c:pt idx="492">
                  <c:v>137465</c:v>
                </c:pt>
                <c:pt idx="493">
                  <c:v>137350</c:v>
                </c:pt>
                <c:pt idx="494">
                  <c:v>131350</c:v>
                </c:pt>
                <c:pt idx="495">
                  <c:v>137600</c:v>
                </c:pt>
                <c:pt idx="496">
                  <c:v>141600</c:v>
                </c:pt>
                <c:pt idx="497">
                  <c:v>140605</c:v>
                </c:pt>
                <c:pt idx="498">
                  <c:v>142105</c:v>
                </c:pt>
                <c:pt idx="499">
                  <c:v>139260</c:v>
                </c:pt>
                <c:pt idx="500">
                  <c:v>137520</c:v>
                </c:pt>
                <c:pt idx="501">
                  <c:v>137660</c:v>
                </c:pt>
                <c:pt idx="502">
                  <c:v>143800</c:v>
                </c:pt>
                <c:pt idx="503">
                  <c:v>143705</c:v>
                </c:pt>
                <c:pt idx="504">
                  <c:v>138740</c:v>
                </c:pt>
                <c:pt idx="505">
                  <c:v>145490</c:v>
                </c:pt>
                <c:pt idx="506">
                  <c:v>142115</c:v>
                </c:pt>
                <c:pt idx="507">
                  <c:v>155145</c:v>
                </c:pt>
                <c:pt idx="508">
                  <c:v>165300</c:v>
                </c:pt>
                <c:pt idx="509">
                  <c:v>165685</c:v>
                </c:pt>
                <c:pt idx="510">
                  <c:v>165060</c:v>
                </c:pt>
                <c:pt idx="511">
                  <c:v>167310</c:v>
                </c:pt>
                <c:pt idx="512">
                  <c:v>168185</c:v>
                </c:pt>
                <c:pt idx="513">
                  <c:v>169060</c:v>
                </c:pt>
                <c:pt idx="514">
                  <c:v>171435</c:v>
                </c:pt>
                <c:pt idx="515">
                  <c:v>171485</c:v>
                </c:pt>
                <c:pt idx="516">
                  <c:v>172712.5</c:v>
                </c:pt>
                <c:pt idx="517">
                  <c:v>174462.5</c:v>
                </c:pt>
                <c:pt idx="518">
                  <c:v>175462.5</c:v>
                </c:pt>
                <c:pt idx="519">
                  <c:v>175337.5</c:v>
                </c:pt>
                <c:pt idx="520">
                  <c:v>174337.5</c:v>
                </c:pt>
                <c:pt idx="521">
                  <c:v>166677.5</c:v>
                </c:pt>
                <c:pt idx="522">
                  <c:v>167177.5</c:v>
                </c:pt>
                <c:pt idx="523">
                  <c:v>167677.5</c:v>
                </c:pt>
                <c:pt idx="524">
                  <c:v>170852.5</c:v>
                </c:pt>
                <c:pt idx="525">
                  <c:v>169852.5</c:v>
                </c:pt>
                <c:pt idx="526">
                  <c:v>160487.5</c:v>
                </c:pt>
                <c:pt idx="527">
                  <c:v>158487.5</c:v>
                </c:pt>
                <c:pt idx="528">
                  <c:v>156002.5</c:v>
                </c:pt>
                <c:pt idx="529">
                  <c:v>156392.5</c:v>
                </c:pt>
                <c:pt idx="530">
                  <c:v>154097.5</c:v>
                </c:pt>
                <c:pt idx="531">
                  <c:v>161517.5</c:v>
                </c:pt>
                <c:pt idx="532">
                  <c:v>160642.5</c:v>
                </c:pt>
                <c:pt idx="533">
                  <c:v>159657.5</c:v>
                </c:pt>
                <c:pt idx="534">
                  <c:v>160782.5</c:v>
                </c:pt>
                <c:pt idx="535">
                  <c:v>159812.5</c:v>
                </c:pt>
                <c:pt idx="536">
                  <c:v>157092.5</c:v>
                </c:pt>
                <c:pt idx="537">
                  <c:v>152710</c:v>
                </c:pt>
                <c:pt idx="538">
                  <c:v>152585</c:v>
                </c:pt>
                <c:pt idx="539">
                  <c:v>153710</c:v>
                </c:pt>
                <c:pt idx="540">
                  <c:v>153460</c:v>
                </c:pt>
                <c:pt idx="541">
                  <c:v>152770</c:v>
                </c:pt>
                <c:pt idx="542">
                  <c:v>160160</c:v>
                </c:pt>
                <c:pt idx="543">
                  <c:v>161160</c:v>
                </c:pt>
                <c:pt idx="544">
                  <c:v>160410</c:v>
                </c:pt>
                <c:pt idx="545">
                  <c:v>139460</c:v>
                </c:pt>
                <c:pt idx="546">
                  <c:v>135460</c:v>
                </c:pt>
                <c:pt idx="547">
                  <c:v>135460</c:v>
                </c:pt>
                <c:pt idx="548">
                  <c:v>135460</c:v>
                </c:pt>
                <c:pt idx="549">
                  <c:v>135460</c:v>
                </c:pt>
                <c:pt idx="550">
                  <c:v>135460</c:v>
                </c:pt>
                <c:pt idx="551">
                  <c:v>135460</c:v>
                </c:pt>
                <c:pt idx="552">
                  <c:v>135460</c:v>
                </c:pt>
                <c:pt idx="553">
                  <c:v>135460</c:v>
                </c:pt>
                <c:pt idx="554">
                  <c:v>135460</c:v>
                </c:pt>
                <c:pt idx="555">
                  <c:v>134210</c:v>
                </c:pt>
                <c:pt idx="556">
                  <c:v>129105</c:v>
                </c:pt>
                <c:pt idx="557">
                  <c:v>136655</c:v>
                </c:pt>
                <c:pt idx="558">
                  <c:v>136655</c:v>
                </c:pt>
                <c:pt idx="559">
                  <c:v>130375</c:v>
                </c:pt>
                <c:pt idx="560">
                  <c:v>128950</c:v>
                </c:pt>
                <c:pt idx="561">
                  <c:v>141605</c:v>
                </c:pt>
                <c:pt idx="562">
                  <c:v>140855</c:v>
                </c:pt>
                <c:pt idx="563">
                  <c:v>117470</c:v>
                </c:pt>
                <c:pt idx="564">
                  <c:v>115970</c:v>
                </c:pt>
                <c:pt idx="565">
                  <c:v>115970</c:v>
                </c:pt>
                <c:pt idx="566">
                  <c:v>115970</c:v>
                </c:pt>
                <c:pt idx="567">
                  <c:v>115970</c:v>
                </c:pt>
                <c:pt idx="568">
                  <c:v>115970</c:v>
                </c:pt>
                <c:pt idx="569">
                  <c:v>115970</c:v>
                </c:pt>
                <c:pt idx="570">
                  <c:v>115970</c:v>
                </c:pt>
                <c:pt idx="571">
                  <c:v>115970</c:v>
                </c:pt>
                <c:pt idx="572">
                  <c:v>115970</c:v>
                </c:pt>
                <c:pt idx="573">
                  <c:v>115970</c:v>
                </c:pt>
                <c:pt idx="574">
                  <c:v>115970</c:v>
                </c:pt>
                <c:pt idx="575">
                  <c:v>115970</c:v>
                </c:pt>
                <c:pt idx="576">
                  <c:v>115970</c:v>
                </c:pt>
                <c:pt idx="577">
                  <c:v>115970</c:v>
                </c:pt>
                <c:pt idx="578">
                  <c:v>115970</c:v>
                </c:pt>
                <c:pt idx="579">
                  <c:v>115970</c:v>
                </c:pt>
                <c:pt idx="580">
                  <c:v>115970</c:v>
                </c:pt>
                <c:pt idx="581">
                  <c:v>115970</c:v>
                </c:pt>
                <c:pt idx="582">
                  <c:v>115970</c:v>
                </c:pt>
                <c:pt idx="583">
                  <c:v>115970</c:v>
                </c:pt>
                <c:pt idx="584">
                  <c:v>115970</c:v>
                </c:pt>
                <c:pt idx="585">
                  <c:v>115970</c:v>
                </c:pt>
                <c:pt idx="586">
                  <c:v>117620</c:v>
                </c:pt>
                <c:pt idx="587">
                  <c:v>117620</c:v>
                </c:pt>
                <c:pt idx="588">
                  <c:v>117620</c:v>
                </c:pt>
                <c:pt idx="589">
                  <c:v>117620</c:v>
                </c:pt>
                <c:pt idx="590">
                  <c:v>117620</c:v>
                </c:pt>
                <c:pt idx="591">
                  <c:v>117620</c:v>
                </c:pt>
                <c:pt idx="592">
                  <c:v>117620</c:v>
                </c:pt>
                <c:pt idx="593">
                  <c:v>117620</c:v>
                </c:pt>
                <c:pt idx="594">
                  <c:v>117620</c:v>
                </c:pt>
                <c:pt idx="595">
                  <c:v>117620</c:v>
                </c:pt>
                <c:pt idx="596">
                  <c:v>117620</c:v>
                </c:pt>
                <c:pt idx="597">
                  <c:v>117620</c:v>
                </c:pt>
                <c:pt idx="598">
                  <c:v>117620</c:v>
                </c:pt>
                <c:pt idx="599">
                  <c:v>117620</c:v>
                </c:pt>
                <c:pt idx="600">
                  <c:v>117620</c:v>
                </c:pt>
                <c:pt idx="601">
                  <c:v>117620</c:v>
                </c:pt>
                <c:pt idx="602">
                  <c:v>117620</c:v>
                </c:pt>
                <c:pt idx="603">
                  <c:v>117620</c:v>
                </c:pt>
                <c:pt idx="604">
                  <c:v>117620</c:v>
                </c:pt>
                <c:pt idx="605">
                  <c:v>117745</c:v>
                </c:pt>
                <c:pt idx="606">
                  <c:v>119120</c:v>
                </c:pt>
                <c:pt idx="607">
                  <c:v>118870</c:v>
                </c:pt>
                <c:pt idx="608">
                  <c:v>115370</c:v>
                </c:pt>
                <c:pt idx="609">
                  <c:v>116245</c:v>
                </c:pt>
                <c:pt idx="610">
                  <c:v>115005</c:v>
                </c:pt>
                <c:pt idx="611">
                  <c:v>115505</c:v>
                </c:pt>
                <c:pt idx="612">
                  <c:v>115630</c:v>
                </c:pt>
                <c:pt idx="613">
                  <c:v>115880</c:v>
                </c:pt>
                <c:pt idx="614">
                  <c:v>116380</c:v>
                </c:pt>
                <c:pt idx="615">
                  <c:v>116630</c:v>
                </c:pt>
                <c:pt idx="616">
                  <c:v>116880</c:v>
                </c:pt>
                <c:pt idx="617">
                  <c:v>117630</c:v>
                </c:pt>
                <c:pt idx="618">
                  <c:v>117755</c:v>
                </c:pt>
                <c:pt idx="619">
                  <c:v>121265</c:v>
                </c:pt>
                <c:pt idx="620">
                  <c:v>118515</c:v>
                </c:pt>
                <c:pt idx="621">
                  <c:v>117765</c:v>
                </c:pt>
                <c:pt idx="622">
                  <c:v>119515</c:v>
                </c:pt>
                <c:pt idx="623">
                  <c:v>117640</c:v>
                </c:pt>
                <c:pt idx="624">
                  <c:v>118640</c:v>
                </c:pt>
                <c:pt idx="625">
                  <c:v>114415</c:v>
                </c:pt>
                <c:pt idx="626">
                  <c:v>115540</c:v>
                </c:pt>
                <c:pt idx="627">
                  <c:v>115440</c:v>
                </c:pt>
                <c:pt idx="628">
                  <c:v>113190</c:v>
                </c:pt>
                <c:pt idx="629">
                  <c:v>114565</c:v>
                </c:pt>
                <c:pt idx="630">
                  <c:v>118825</c:v>
                </c:pt>
                <c:pt idx="631">
                  <c:v>117700</c:v>
                </c:pt>
                <c:pt idx="632">
                  <c:v>121390</c:v>
                </c:pt>
                <c:pt idx="633">
                  <c:v>121650</c:v>
                </c:pt>
                <c:pt idx="634">
                  <c:v>119160</c:v>
                </c:pt>
                <c:pt idx="635">
                  <c:v>119285</c:v>
                </c:pt>
                <c:pt idx="636">
                  <c:v>127160</c:v>
                </c:pt>
                <c:pt idx="637">
                  <c:v>129785</c:v>
                </c:pt>
                <c:pt idx="638">
                  <c:v>134910</c:v>
                </c:pt>
                <c:pt idx="639">
                  <c:v>139545</c:v>
                </c:pt>
                <c:pt idx="640">
                  <c:v>129920</c:v>
                </c:pt>
                <c:pt idx="641">
                  <c:v>123440</c:v>
                </c:pt>
                <c:pt idx="642">
                  <c:v>124355</c:v>
                </c:pt>
                <c:pt idx="643">
                  <c:v>120355</c:v>
                </c:pt>
                <c:pt idx="644">
                  <c:v>124480</c:v>
                </c:pt>
                <c:pt idx="645">
                  <c:v>131015</c:v>
                </c:pt>
                <c:pt idx="646">
                  <c:v>132410</c:v>
                </c:pt>
                <c:pt idx="647">
                  <c:v>135775</c:v>
                </c:pt>
                <c:pt idx="648">
                  <c:v>137240</c:v>
                </c:pt>
                <c:pt idx="649">
                  <c:v>131510</c:v>
                </c:pt>
                <c:pt idx="650">
                  <c:v>135235</c:v>
                </c:pt>
                <c:pt idx="651">
                  <c:v>126250</c:v>
                </c:pt>
                <c:pt idx="652">
                  <c:v>143250</c:v>
                </c:pt>
                <c:pt idx="653">
                  <c:v>141250</c:v>
                </c:pt>
                <c:pt idx="654">
                  <c:v>143250</c:v>
                </c:pt>
                <c:pt idx="655">
                  <c:v>138510</c:v>
                </c:pt>
                <c:pt idx="656">
                  <c:v>142260</c:v>
                </c:pt>
                <c:pt idx="657">
                  <c:v>152635</c:v>
                </c:pt>
                <c:pt idx="658">
                  <c:v>159415</c:v>
                </c:pt>
                <c:pt idx="659">
                  <c:v>164290</c:v>
                </c:pt>
                <c:pt idx="660">
                  <c:v>156925</c:v>
                </c:pt>
                <c:pt idx="661">
                  <c:v>157800</c:v>
                </c:pt>
                <c:pt idx="662">
                  <c:v>157425</c:v>
                </c:pt>
                <c:pt idx="663">
                  <c:v>156455</c:v>
                </c:pt>
                <c:pt idx="664">
                  <c:v>157590</c:v>
                </c:pt>
                <c:pt idx="665">
                  <c:v>156840</c:v>
                </c:pt>
                <c:pt idx="666">
                  <c:v>158965</c:v>
                </c:pt>
                <c:pt idx="667">
                  <c:v>159090</c:v>
                </c:pt>
                <c:pt idx="668">
                  <c:v>159600</c:v>
                </c:pt>
                <c:pt idx="669">
                  <c:v>160475</c:v>
                </c:pt>
                <c:pt idx="670">
                  <c:v>157225</c:v>
                </c:pt>
                <c:pt idx="671">
                  <c:v>159985</c:v>
                </c:pt>
                <c:pt idx="672">
                  <c:v>161610</c:v>
                </c:pt>
                <c:pt idx="673">
                  <c:v>161860</c:v>
                </c:pt>
                <c:pt idx="674">
                  <c:v>161110</c:v>
                </c:pt>
                <c:pt idx="675">
                  <c:v>159610</c:v>
                </c:pt>
                <c:pt idx="676">
                  <c:v>162985</c:v>
                </c:pt>
                <c:pt idx="677">
                  <c:v>163610</c:v>
                </c:pt>
                <c:pt idx="678">
                  <c:v>164860</c:v>
                </c:pt>
                <c:pt idx="679">
                  <c:v>168995</c:v>
                </c:pt>
                <c:pt idx="680">
                  <c:v>167620</c:v>
                </c:pt>
                <c:pt idx="681">
                  <c:v>147880</c:v>
                </c:pt>
                <c:pt idx="682">
                  <c:v>153800</c:v>
                </c:pt>
                <c:pt idx="683">
                  <c:v>154175</c:v>
                </c:pt>
                <c:pt idx="684">
                  <c:v>155300</c:v>
                </c:pt>
                <c:pt idx="685">
                  <c:v>154300</c:v>
                </c:pt>
                <c:pt idx="686">
                  <c:v>154320</c:v>
                </c:pt>
                <c:pt idx="687">
                  <c:v>152390</c:v>
                </c:pt>
                <c:pt idx="688">
                  <c:v>152265</c:v>
                </c:pt>
                <c:pt idx="689">
                  <c:v>152890</c:v>
                </c:pt>
                <c:pt idx="690">
                  <c:v>151530</c:v>
                </c:pt>
                <c:pt idx="691">
                  <c:v>152405</c:v>
                </c:pt>
                <c:pt idx="692">
                  <c:v>152780</c:v>
                </c:pt>
                <c:pt idx="693">
                  <c:v>152905</c:v>
                </c:pt>
                <c:pt idx="694">
                  <c:v>153155</c:v>
                </c:pt>
                <c:pt idx="695">
                  <c:v>153405</c:v>
                </c:pt>
                <c:pt idx="696">
                  <c:v>153655</c:v>
                </c:pt>
                <c:pt idx="697">
                  <c:v>153170</c:v>
                </c:pt>
                <c:pt idx="698">
                  <c:v>153450</c:v>
                </c:pt>
                <c:pt idx="699">
                  <c:v>154200</c:v>
                </c:pt>
                <c:pt idx="700">
                  <c:v>154950</c:v>
                </c:pt>
                <c:pt idx="701">
                  <c:v>154575</c:v>
                </c:pt>
                <c:pt idx="702">
                  <c:v>154870</c:v>
                </c:pt>
                <c:pt idx="703">
                  <c:v>153370</c:v>
                </c:pt>
                <c:pt idx="704">
                  <c:v>169270</c:v>
                </c:pt>
                <c:pt idx="705">
                  <c:v>167020</c:v>
                </c:pt>
                <c:pt idx="706">
                  <c:v>164770</c:v>
                </c:pt>
                <c:pt idx="707">
                  <c:v>161030</c:v>
                </c:pt>
                <c:pt idx="708">
                  <c:v>156820</c:v>
                </c:pt>
                <c:pt idx="709">
                  <c:v>160070</c:v>
                </c:pt>
                <c:pt idx="710">
                  <c:v>158320</c:v>
                </c:pt>
                <c:pt idx="711">
                  <c:v>160080</c:v>
                </c:pt>
                <c:pt idx="712">
                  <c:v>158955</c:v>
                </c:pt>
                <c:pt idx="713">
                  <c:v>162590</c:v>
                </c:pt>
                <c:pt idx="714">
                  <c:v>161840</c:v>
                </c:pt>
                <c:pt idx="715">
                  <c:v>162840</c:v>
                </c:pt>
                <c:pt idx="716">
                  <c:v>163840</c:v>
                </c:pt>
                <c:pt idx="717">
                  <c:v>168465</c:v>
                </c:pt>
                <c:pt idx="718">
                  <c:v>169100</c:v>
                </c:pt>
                <c:pt idx="719">
                  <c:v>173475</c:v>
                </c:pt>
                <c:pt idx="720">
                  <c:v>173880</c:v>
                </c:pt>
                <c:pt idx="721">
                  <c:v>172880</c:v>
                </c:pt>
                <c:pt idx="722">
                  <c:v>168410</c:v>
                </c:pt>
                <c:pt idx="723">
                  <c:v>157090</c:v>
                </c:pt>
                <c:pt idx="724">
                  <c:v>158375</c:v>
                </c:pt>
                <c:pt idx="725">
                  <c:v>161875</c:v>
                </c:pt>
                <c:pt idx="726">
                  <c:v>158810</c:v>
                </c:pt>
                <c:pt idx="727">
                  <c:v>162440</c:v>
                </c:pt>
                <c:pt idx="728">
                  <c:v>160315</c:v>
                </c:pt>
                <c:pt idx="729">
                  <c:v>165565</c:v>
                </c:pt>
                <c:pt idx="730">
                  <c:v>162815</c:v>
                </c:pt>
                <c:pt idx="731">
                  <c:v>159730</c:v>
                </c:pt>
                <c:pt idx="732">
                  <c:v>158875</c:v>
                </c:pt>
                <c:pt idx="733">
                  <c:v>158250</c:v>
                </c:pt>
                <c:pt idx="734">
                  <c:v>162255</c:v>
                </c:pt>
                <c:pt idx="735">
                  <c:v>160510</c:v>
                </c:pt>
                <c:pt idx="736">
                  <c:v>158385</c:v>
                </c:pt>
                <c:pt idx="737">
                  <c:v>161135</c:v>
                </c:pt>
                <c:pt idx="738">
                  <c:v>162040</c:v>
                </c:pt>
                <c:pt idx="739">
                  <c:v>165665</c:v>
                </c:pt>
                <c:pt idx="740">
                  <c:v>164540</c:v>
                </c:pt>
                <c:pt idx="741">
                  <c:v>163550</c:v>
                </c:pt>
                <c:pt idx="742">
                  <c:v>161110</c:v>
                </c:pt>
                <c:pt idx="743">
                  <c:v>158810</c:v>
                </c:pt>
                <c:pt idx="744">
                  <c:v>167820</c:v>
                </c:pt>
                <c:pt idx="745">
                  <c:v>183035</c:v>
                </c:pt>
                <c:pt idx="746">
                  <c:v>184470</c:v>
                </c:pt>
                <c:pt idx="747">
                  <c:v>185345</c:v>
                </c:pt>
                <c:pt idx="748">
                  <c:v>180095</c:v>
                </c:pt>
                <c:pt idx="749">
                  <c:v>179845</c:v>
                </c:pt>
                <c:pt idx="750">
                  <c:v>182970</c:v>
                </c:pt>
                <c:pt idx="751">
                  <c:v>185500</c:v>
                </c:pt>
                <c:pt idx="752">
                  <c:v>189435</c:v>
                </c:pt>
                <c:pt idx="753">
                  <c:v>189205</c:v>
                </c:pt>
                <c:pt idx="754">
                  <c:v>195330</c:v>
                </c:pt>
                <c:pt idx="755">
                  <c:v>194705</c:v>
                </c:pt>
                <c:pt idx="756">
                  <c:v>196955</c:v>
                </c:pt>
                <c:pt idx="757">
                  <c:v>198705</c:v>
                </c:pt>
                <c:pt idx="758">
                  <c:v>193080</c:v>
                </c:pt>
                <c:pt idx="759">
                  <c:v>200080</c:v>
                </c:pt>
                <c:pt idx="760">
                  <c:v>201455</c:v>
                </c:pt>
                <c:pt idx="761">
                  <c:v>198705</c:v>
                </c:pt>
                <c:pt idx="762">
                  <c:v>204080</c:v>
                </c:pt>
                <c:pt idx="763">
                  <c:v>206830</c:v>
                </c:pt>
                <c:pt idx="764">
                  <c:v>203830</c:v>
                </c:pt>
                <c:pt idx="765">
                  <c:v>203830</c:v>
                </c:pt>
                <c:pt idx="766">
                  <c:v>205580</c:v>
                </c:pt>
                <c:pt idx="767">
                  <c:v>210830</c:v>
                </c:pt>
                <c:pt idx="768">
                  <c:v>207955</c:v>
                </c:pt>
                <c:pt idx="769">
                  <c:v>211205</c:v>
                </c:pt>
                <c:pt idx="770">
                  <c:v>211330</c:v>
                </c:pt>
                <c:pt idx="771">
                  <c:v>204485</c:v>
                </c:pt>
                <c:pt idx="772">
                  <c:v>205485</c:v>
                </c:pt>
                <c:pt idx="773">
                  <c:v>204985</c:v>
                </c:pt>
                <c:pt idx="774">
                  <c:v>207735</c:v>
                </c:pt>
                <c:pt idx="775">
                  <c:v>204280</c:v>
                </c:pt>
                <c:pt idx="776">
                  <c:v>202980</c:v>
                </c:pt>
                <c:pt idx="777">
                  <c:v>243355</c:v>
                </c:pt>
                <c:pt idx="778">
                  <c:v>219605</c:v>
                </c:pt>
                <c:pt idx="779">
                  <c:v>221885</c:v>
                </c:pt>
                <c:pt idx="780">
                  <c:v>222135</c:v>
                </c:pt>
                <c:pt idx="781">
                  <c:v>222260</c:v>
                </c:pt>
                <c:pt idx="782">
                  <c:v>222010</c:v>
                </c:pt>
                <c:pt idx="783">
                  <c:v>222010</c:v>
                </c:pt>
                <c:pt idx="784">
                  <c:v>215815</c:v>
                </c:pt>
                <c:pt idx="785">
                  <c:v>214970</c:v>
                </c:pt>
                <c:pt idx="786">
                  <c:v>216345</c:v>
                </c:pt>
                <c:pt idx="787">
                  <c:v>215595</c:v>
                </c:pt>
                <c:pt idx="788">
                  <c:v>218095</c:v>
                </c:pt>
                <c:pt idx="789">
                  <c:v>217595</c:v>
                </c:pt>
                <c:pt idx="790">
                  <c:v>222485</c:v>
                </c:pt>
                <c:pt idx="791">
                  <c:v>227755</c:v>
                </c:pt>
                <c:pt idx="792">
                  <c:v>230755</c:v>
                </c:pt>
                <c:pt idx="793">
                  <c:v>234505</c:v>
                </c:pt>
                <c:pt idx="794">
                  <c:v>237005</c:v>
                </c:pt>
                <c:pt idx="795">
                  <c:v>238390</c:v>
                </c:pt>
                <c:pt idx="796">
                  <c:v>239410</c:v>
                </c:pt>
                <c:pt idx="797">
                  <c:v>241190</c:v>
                </c:pt>
                <c:pt idx="798">
                  <c:v>242825</c:v>
                </c:pt>
                <c:pt idx="799">
                  <c:v>244700</c:v>
                </c:pt>
                <c:pt idx="800">
                  <c:v>246075</c:v>
                </c:pt>
                <c:pt idx="801">
                  <c:v>247200</c:v>
                </c:pt>
                <c:pt idx="802">
                  <c:v>246450</c:v>
                </c:pt>
                <c:pt idx="803">
                  <c:v>248200</c:v>
                </c:pt>
                <c:pt idx="804">
                  <c:v>249450</c:v>
                </c:pt>
                <c:pt idx="805">
                  <c:v>250325</c:v>
                </c:pt>
                <c:pt idx="806">
                  <c:v>251575</c:v>
                </c:pt>
                <c:pt idx="807">
                  <c:v>252325</c:v>
                </c:pt>
                <c:pt idx="808">
                  <c:v>251585</c:v>
                </c:pt>
                <c:pt idx="809">
                  <c:v>250595</c:v>
                </c:pt>
                <c:pt idx="810">
                  <c:v>247765</c:v>
                </c:pt>
                <c:pt idx="811">
                  <c:v>250390</c:v>
                </c:pt>
                <c:pt idx="812">
                  <c:v>250765</c:v>
                </c:pt>
                <c:pt idx="813">
                  <c:v>252265</c:v>
                </c:pt>
                <c:pt idx="814">
                  <c:v>254140</c:v>
                </c:pt>
                <c:pt idx="815">
                  <c:v>250765</c:v>
                </c:pt>
                <c:pt idx="816">
                  <c:v>242830</c:v>
                </c:pt>
                <c:pt idx="817">
                  <c:v>242745</c:v>
                </c:pt>
                <c:pt idx="818">
                  <c:v>242025</c:v>
                </c:pt>
                <c:pt idx="819">
                  <c:v>245400</c:v>
                </c:pt>
                <c:pt idx="820">
                  <c:v>242025</c:v>
                </c:pt>
                <c:pt idx="821">
                  <c:v>240525</c:v>
                </c:pt>
                <c:pt idx="822">
                  <c:v>236180</c:v>
                </c:pt>
                <c:pt idx="823">
                  <c:v>234090</c:v>
                </c:pt>
                <c:pt idx="824">
                  <c:v>235090</c:v>
                </c:pt>
                <c:pt idx="825">
                  <c:v>236340</c:v>
                </c:pt>
                <c:pt idx="826">
                  <c:v>236465</c:v>
                </c:pt>
                <c:pt idx="827">
                  <c:v>237100</c:v>
                </c:pt>
                <c:pt idx="828">
                  <c:v>232995</c:v>
                </c:pt>
                <c:pt idx="829">
                  <c:v>231060</c:v>
                </c:pt>
                <c:pt idx="830">
                  <c:v>230810</c:v>
                </c:pt>
                <c:pt idx="831">
                  <c:v>230685</c:v>
                </c:pt>
                <c:pt idx="832">
                  <c:v>233435</c:v>
                </c:pt>
                <c:pt idx="833">
                  <c:v>233455</c:v>
                </c:pt>
                <c:pt idx="834">
                  <c:v>235455</c:v>
                </c:pt>
                <c:pt idx="835">
                  <c:v>235590</c:v>
                </c:pt>
                <c:pt idx="836">
                  <c:v>235865</c:v>
                </c:pt>
                <c:pt idx="837">
                  <c:v>235625</c:v>
                </c:pt>
                <c:pt idx="838">
                  <c:v>234500</c:v>
                </c:pt>
                <c:pt idx="839">
                  <c:v>236875</c:v>
                </c:pt>
                <c:pt idx="840">
                  <c:v>236635</c:v>
                </c:pt>
                <c:pt idx="841">
                  <c:v>235885</c:v>
                </c:pt>
                <c:pt idx="842">
                  <c:v>236510</c:v>
                </c:pt>
                <c:pt idx="843">
                  <c:v>236885</c:v>
                </c:pt>
                <c:pt idx="844">
                  <c:v>237895</c:v>
                </c:pt>
                <c:pt idx="845">
                  <c:v>237895</c:v>
                </c:pt>
                <c:pt idx="846">
                  <c:v>236300</c:v>
                </c:pt>
                <c:pt idx="847">
                  <c:v>238765</c:v>
                </c:pt>
                <c:pt idx="848">
                  <c:v>236430</c:v>
                </c:pt>
                <c:pt idx="849">
                  <c:v>240085</c:v>
                </c:pt>
                <c:pt idx="850">
                  <c:v>242100</c:v>
                </c:pt>
                <c:pt idx="851">
                  <c:v>245865</c:v>
                </c:pt>
                <c:pt idx="852">
                  <c:v>252490</c:v>
                </c:pt>
                <c:pt idx="853">
                  <c:v>253615</c:v>
                </c:pt>
                <c:pt idx="854">
                  <c:v>245490</c:v>
                </c:pt>
                <c:pt idx="855">
                  <c:v>249990</c:v>
                </c:pt>
                <c:pt idx="856">
                  <c:v>264395</c:v>
                </c:pt>
                <c:pt idx="857">
                  <c:v>262895</c:v>
                </c:pt>
                <c:pt idx="858">
                  <c:v>272440</c:v>
                </c:pt>
                <c:pt idx="859">
                  <c:v>276630</c:v>
                </c:pt>
                <c:pt idx="860">
                  <c:v>289755</c:v>
                </c:pt>
                <c:pt idx="861">
                  <c:v>313485</c:v>
                </c:pt>
                <c:pt idx="862">
                  <c:v>302560</c:v>
                </c:pt>
                <c:pt idx="863">
                  <c:v>262225</c:v>
                </c:pt>
                <c:pt idx="864">
                  <c:v>283725</c:v>
                </c:pt>
                <c:pt idx="865">
                  <c:v>277645</c:v>
                </c:pt>
                <c:pt idx="866">
                  <c:v>275645</c:v>
                </c:pt>
                <c:pt idx="867">
                  <c:v>288020</c:v>
                </c:pt>
                <c:pt idx="868">
                  <c:v>289080</c:v>
                </c:pt>
                <c:pt idx="869">
                  <c:v>285455</c:v>
                </c:pt>
                <c:pt idx="870">
                  <c:v>254755</c:v>
                </c:pt>
                <c:pt idx="871">
                  <c:v>251890</c:v>
                </c:pt>
                <c:pt idx="872">
                  <c:v>243845</c:v>
                </c:pt>
                <c:pt idx="873">
                  <c:v>242470</c:v>
                </c:pt>
                <c:pt idx="874">
                  <c:v>241970</c:v>
                </c:pt>
                <c:pt idx="875">
                  <c:v>242735</c:v>
                </c:pt>
                <c:pt idx="876">
                  <c:v>244360</c:v>
                </c:pt>
                <c:pt idx="877">
                  <c:v>243400</c:v>
                </c:pt>
                <c:pt idx="878">
                  <c:v>245665</c:v>
                </c:pt>
                <c:pt idx="879">
                  <c:v>248680</c:v>
                </c:pt>
                <c:pt idx="880">
                  <c:v>252180</c:v>
                </c:pt>
                <c:pt idx="881">
                  <c:v>253430</c:v>
                </c:pt>
                <c:pt idx="882">
                  <c:v>245630</c:v>
                </c:pt>
                <c:pt idx="883">
                  <c:v>248755</c:v>
                </c:pt>
                <c:pt idx="884">
                  <c:v>254535</c:v>
                </c:pt>
                <c:pt idx="885">
                  <c:v>261285</c:v>
                </c:pt>
                <c:pt idx="886">
                  <c:v>268785</c:v>
                </c:pt>
                <c:pt idx="887">
                  <c:v>271700</c:v>
                </c:pt>
                <c:pt idx="888">
                  <c:v>271455</c:v>
                </c:pt>
                <c:pt idx="889">
                  <c:v>273830</c:v>
                </c:pt>
                <c:pt idx="890">
                  <c:v>271105</c:v>
                </c:pt>
                <c:pt idx="891">
                  <c:v>270230</c:v>
                </c:pt>
                <c:pt idx="892">
                  <c:v>268105</c:v>
                </c:pt>
                <c:pt idx="893">
                  <c:v>277980</c:v>
                </c:pt>
                <c:pt idx="894">
                  <c:v>262110</c:v>
                </c:pt>
                <c:pt idx="895">
                  <c:v>260610</c:v>
                </c:pt>
                <c:pt idx="896">
                  <c:v>255485</c:v>
                </c:pt>
                <c:pt idx="897">
                  <c:v>264235</c:v>
                </c:pt>
                <c:pt idx="898">
                  <c:v>267985</c:v>
                </c:pt>
                <c:pt idx="899">
                  <c:v>260235</c:v>
                </c:pt>
                <c:pt idx="900">
                  <c:v>253985</c:v>
                </c:pt>
                <c:pt idx="901">
                  <c:v>257485</c:v>
                </c:pt>
                <c:pt idx="902">
                  <c:v>265485</c:v>
                </c:pt>
                <c:pt idx="903">
                  <c:v>253110</c:v>
                </c:pt>
                <c:pt idx="904">
                  <c:v>267985</c:v>
                </c:pt>
                <c:pt idx="905">
                  <c:v>294870</c:v>
                </c:pt>
                <c:pt idx="906">
                  <c:v>292215</c:v>
                </c:pt>
                <c:pt idx="907">
                  <c:v>291870</c:v>
                </c:pt>
                <c:pt idx="908">
                  <c:v>289270</c:v>
                </c:pt>
                <c:pt idx="909">
                  <c:v>291145</c:v>
                </c:pt>
                <c:pt idx="910">
                  <c:v>292520</c:v>
                </c:pt>
                <c:pt idx="911">
                  <c:v>290675</c:v>
                </c:pt>
                <c:pt idx="912">
                  <c:v>292300</c:v>
                </c:pt>
                <c:pt idx="913">
                  <c:v>294435</c:v>
                </c:pt>
                <c:pt idx="914">
                  <c:v>291435</c:v>
                </c:pt>
                <c:pt idx="915">
                  <c:v>290310</c:v>
                </c:pt>
                <c:pt idx="916">
                  <c:v>288560</c:v>
                </c:pt>
                <c:pt idx="917">
                  <c:v>285090</c:v>
                </c:pt>
                <c:pt idx="918">
                  <c:v>293715</c:v>
                </c:pt>
                <c:pt idx="919">
                  <c:v>290215</c:v>
                </c:pt>
                <c:pt idx="920">
                  <c:v>293590</c:v>
                </c:pt>
                <c:pt idx="921">
                  <c:v>301215</c:v>
                </c:pt>
                <c:pt idx="922">
                  <c:v>296465</c:v>
                </c:pt>
                <c:pt idx="923">
                  <c:v>292715</c:v>
                </c:pt>
                <c:pt idx="924">
                  <c:v>293590</c:v>
                </c:pt>
                <c:pt idx="925">
                  <c:v>287840</c:v>
                </c:pt>
                <c:pt idx="926">
                  <c:v>280715</c:v>
                </c:pt>
                <c:pt idx="927">
                  <c:v>280840</c:v>
                </c:pt>
                <c:pt idx="928">
                  <c:v>280840</c:v>
                </c:pt>
                <c:pt idx="929">
                  <c:v>280715</c:v>
                </c:pt>
                <c:pt idx="930">
                  <c:v>280590</c:v>
                </c:pt>
                <c:pt idx="931">
                  <c:v>280590</c:v>
                </c:pt>
                <c:pt idx="932">
                  <c:v>281090</c:v>
                </c:pt>
                <c:pt idx="933">
                  <c:v>280715</c:v>
                </c:pt>
                <c:pt idx="934">
                  <c:v>281340</c:v>
                </c:pt>
                <c:pt idx="935">
                  <c:v>281090</c:v>
                </c:pt>
                <c:pt idx="936">
                  <c:v>281090</c:v>
                </c:pt>
                <c:pt idx="937">
                  <c:v>281465</c:v>
                </c:pt>
                <c:pt idx="938">
                  <c:v>281465</c:v>
                </c:pt>
                <c:pt idx="939">
                  <c:v>281340</c:v>
                </c:pt>
                <c:pt idx="940">
                  <c:v>281340</c:v>
                </c:pt>
                <c:pt idx="941">
                  <c:v>281340</c:v>
                </c:pt>
                <c:pt idx="942">
                  <c:v>281465</c:v>
                </c:pt>
                <c:pt idx="943">
                  <c:v>280595</c:v>
                </c:pt>
                <c:pt idx="944">
                  <c:v>277985</c:v>
                </c:pt>
                <c:pt idx="945">
                  <c:v>277985</c:v>
                </c:pt>
                <c:pt idx="946">
                  <c:v>278360</c:v>
                </c:pt>
                <c:pt idx="947">
                  <c:v>279485</c:v>
                </c:pt>
                <c:pt idx="948">
                  <c:v>281610</c:v>
                </c:pt>
                <c:pt idx="949">
                  <c:v>280610</c:v>
                </c:pt>
                <c:pt idx="950">
                  <c:v>278485</c:v>
                </c:pt>
                <c:pt idx="951">
                  <c:v>276880</c:v>
                </c:pt>
                <c:pt idx="952">
                  <c:v>272330</c:v>
                </c:pt>
                <c:pt idx="953">
                  <c:v>276777.5</c:v>
                </c:pt>
                <c:pt idx="954">
                  <c:v>279807.5</c:v>
                </c:pt>
                <c:pt idx="955">
                  <c:v>276697.5</c:v>
                </c:pt>
                <c:pt idx="956">
                  <c:v>275197.5</c:v>
                </c:pt>
                <c:pt idx="957">
                  <c:v>273197.5</c:v>
                </c:pt>
                <c:pt idx="958">
                  <c:v>272447.5</c:v>
                </c:pt>
                <c:pt idx="959">
                  <c:v>273322.5</c:v>
                </c:pt>
                <c:pt idx="960">
                  <c:v>272447.5</c:v>
                </c:pt>
                <c:pt idx="961">
                  <c:v>273572.5</c:v>
                </c:pt>
                <c:pt idx="962">
                  <c:v>273837.5</c:v>
                </c:pt>
                <c:pt idx="963">
                  <c:v>273587.5</c:v>
                </c:pt>
                <c:pt idx="964">
                  <c:v>272712.5</c:v>
                </c:pt>
                <c:pt idx="965">
                  <c:v>276377.5</c:v>
                </c:pt>
                <c:pt idx="966">
                  <c:v>274752.5</c:v>
                </c:pt>
                <c:pt idx="967">
                  <c:v>274782.5</c:v>
                </c:pt>
                <c:pt idx="968">
                  <c:v>279797.5</c:v>
                </c:pt>
                <c:pt idx="969">
                  <c:v>279172.5</c:v>
                </c:pt>
                <c:pt idx="970">
                  <c:v>284057.5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307-48B7-B774-75E1495063A0}"/>
            </c:ext>
          </c:extLst>
        </c:ser>
        <c:ser>
          <c:idx val="1"/>
          <c:order val="1"/>
          <c:tx>
            <c:strRef>
              <c:f>Data!$J$11</c:f>
              <c:strCache>
                <c:ptCount val="1"/>
                <c:pt idx="0">
                  <c:v>Long Corn Futures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[0]!dateRange</c:f>
              <c:numCache>
                <c:formatCode>m/d/yyyy</c:formatCode>
                <c:ptCount val="971"/>
                <c:pt idx="0">
                  <c:v>41275</c:v>
                </c:pt>
                <c:pt idx="1">
                  <c:v>41276</c:v>
                </c:pt>
                <c:pt idx="2">
                  <c:v>41277</c:v>
                </c:pt>
                <c:pt idx="3">
                  <c:v>41278</c:v>
                </c:pt>
                <c:pt idx="4">
                  <c:v>41281</c:v>
                </c:pt>
                <c:pt idx="5">
                  <c:v>41282</c:v>
                </c:pt>
                <c:pt idx="6">
                  <c:v>41283</c:v>
                </c:pt>
                <c:pt idx="7">
                  <c:v>41284</c:v>
                </c:pt>
                <c:pt idx="8">
                  <c:v>41285</c:v>
                </c:pt>
                <c:pt idx="9">
                  <c:v>41288</c:v>
                </c:pt>
                <c:pt idx="10">
                  <c:v>41289</c:v>
                </c:pt>
                <c:pt idx="11">
                  <c:v>41290</c:v>
                </c:pt>
                <c:pt idx="12">
                  <c:v>41291</c:v>
                </c:pt>
                <c:pt idx="13">
                  <c:v>41292</c:v>
                </c:pt>
                <c:pt idx="14">
                  <c:v>41295</c:v>
                </c:pt>
                <c:pt idx="15">
                  <c:v>41296</c:v>
                </c:pt>
                <c:pt idx="16">
                  <c:v>41297</c:v>
                </c:pt>
                <c:pt idx="17">
                  <c:v>41298</c:v>
                </c:pt>
                <c:pt idx="18">
                  <c:v>41299</c:v>
                </c:pt>
                <c:pt idx="19">
                  <c:v>41302</c:v>
                </c:pt>
                <c:pt idx="20">
                  <c:v>41303</c:v>
                </c:pt>
                <c:pt idx="21">
                  <c:v>41304</c:v>
                </c:pt>
                <c:pt idx="22">
                  <c:v>41305</c:v>
                </c:pt>
                <c:pt idx="23">
                  <c:v>41306</c:v>
                </c:pt>
                <c:pt idx="24">
                  <c:v>41309</c:v>
                </c:pt>
                <c:pt idx="25">
                  <c:v>41310</c:v>
                </c:pt>
                <c:pt idx="26">
                  <c:v>41311</c:v>
                </c:pt>
                <c:pt idx="27">
                  <c:v>41312</c:v>
                </c:pt>
                <c:pt idx="28">
                  <c:v>41313</c:v>
                </c:pt>
                <c:pt idx="29">
                  <c:v>41316</c:v>
                </c:pt>
                <c:pt idx="30">
                  <c:v>41317</c:v>
                </c:pt>
                <c:pt idx="31">
                  <c:v>41318</c:v>
                </c:pt>
                <c:pt idx="32">
                  <c:v>41319</c:v>
                </c:pt>
                <c:pt idx="33">
                  <c:v>41320</c:v>
                </c:pt>
                <c:pt idx="34">
                  <c:v>41323</c:v>
                </c:pt>
                <c:pt idx="35">
                  <c:v>41324</c:v>
                </c:pt>
                <c:pt idx="36">
                  <c:v>41325</c:v>
                </c:pt>
                <c:pt idx="37">
                  <c:v>41326</c:v>
                </c:pt>
                <c:pt idx="38">
                  <c:v>41327</c:v>
                </c:pt>
                <c:pt idx="39">
                  <c:v>41330</c:v>
                </c:pt>
                <c:pt idx="40">
                  <c:v>41331</c:v>
                </c:pt>
                <c:pt idx="41">
                  <c:v>41332</c:v>
                </c:pt>
                <c:pt idx="42">
                  <c:v>41333</c:v>
                </c:pt>
                <c:pt idx="43">
                  <c:v>41334</c:v>
                </c:pt>
                <c:pt idx="44">
                  <c:v>41337</c:v>
                </c:pt>
                <c:pt idx="45">
                  <c:v>41338</c:v>
                </c:pt>
                <c:pt idx="46">
                  <c:v>41339</c:v>
                </c:pt>
                <c:pt idx="47">
                  <c:v>41340</c:v>
                </c:pt>
                <c:pt idx="48">
                  <c:v>41341</c:v>
                </c:pt>
                <c:pt idx="49">
                  <c:v>41344</c:v>
                </c:pt>
                <c:pt idx="50">
                  <c:v>41345</c:v>
                </c:pt>
                <c:pt idx="51">
                  <c:v>41346</c:v>
                </c:pt>
                <c:pt idx="52">
                  <c:v>41347</c:v>
                </c:pt>
                <c:pt idx="53">
                  <c:v>41348</c:v>
                </c:pt>
                <c:pt idx="54">
                  <c:v>41351</c:v>
                </c:pt>
                <c:pt idx="55">
                  <c:v>41352</c:v>
                </c:pt>
                <c:pt idx="56">
                  <c:v>41353</c:v>
                </c:pt>
                <c:pt idx="57">
                  <c:v>41354</c:v>
                </c:pt>
                <c:pt idx="58">
                  <c:v>41355</c:v>
                </c:pt>
                <c:pt idx="59">
                  <c:v>41358</c:v>
                </c:pt>
                <c:pt idx="60">
                  <c:v>41359</c:v>
                </c:pt>
                <c:pt idx="61">
                  <c:v>41360</c:v>
                </c:pt>
                <c:pt idx="62">
                  <c:v>41361</c:v>
                </c:pt>
                <c:pt idx="63">
                  <c:v>41362</c:v>
                </c:pt>
                <c:pt idx="64">
                  <c:v>41365</c:v>
                </c:pt>
                <c:pt idx="65">
                  <c:v>41366</c:v>
                </c:pt>
                <c:pt idx="66">
                  <c:v>41367</c:v>
                </c:pt>
                <c:pt idx="67">
                  <c:v>41368</c:v>
                </c:pt>
                <c:pt idx="68">
                  <c:v>41369</c:v>
                </c:pt>
                <c:pt idx="69">
                  <c:v>41372</c:v>
                </c:pt>
                <c:pt idx="70">
                  <c:v>41373</c:v>
                </c:pt>
                <c:pt idx="71">
                  <c:v>41374</c:v>
                </c:pt>
                <c:pt idx="72">
                  <c:v>41375</c:v>
                </c:pt>
                <c:pt idx="73">
                  <c:v>41376</c:v>
                </c:pt>
                <c:pt idx="74">
                  <c:v>41379</c:v>
                </c:pt>
                <c:pt idx="75">
                  <c:v>41380</c:v>
                </c:pt>
                <c:pt idx="76">
                  <c:v>41381</c:v>
                </c:pt>
                <c:pt idx="77">
                  <c:v>41382</c:v>
                </c:pt>
                <c:pt idx="78">
                  <c:v>41383</c:v>
                </c:pt>
                <c:pt idx="79">
                  <c:v>41386</c:v>
                </c:pt>
                <c:pt idx="80">
                  <c:v>41387</c:v>
                </c:pt>
                <c:pt idx="81">
                  <c:v>41388</c:v>
                </c:pt>
                <c:pt idx="82">
                  <c:v>41389</c:v>
                </c:pt>
                <c:pt idx="83">
                  <c:v>41390</c:v>
                </c:pt>
                <c:pt idx="84">
                  <c:v>41393</c:v>
                </c:pt>
                <c:pt idx="85">
                  <c:v>41394</c:v>
                </c:pt>
                <c:pt idx="86">
                  <c:v>41395</c:v>
                </c:pt>
                <c:pt idx="87">
                  <c:v>41396</c:v>
                </c:pt>
                <c:pt idx="88">
                  <c:v>41397</c:v>
                </c:pt>
                <c:pt idx="89">
                  <c:v>41400</c:v>
                </c:pt>
                <c:pt idx="90">
                  <c:v>41401</c:v>
                </c:pt>
                <c:pt idx="91">
                  <c:v>41402</c:v>
                </c:pt>
                <c:pt idx="92">
                  <c:v>41403</c:v>
                </c:pt>
                <c:pt idx="93">
                  <c:v>41404</c:v>
                </c:pt>
                <c:pt idx="94">
                  <c:v>41407</c:v>
                </c:pt>
                <c:pt idx="95">
                  <c:v>41408</c:v>
                </c:pt>
                <c:pt idx="96">
                  <c:v>41409</c:v>
                </c:pt>
                <c:pt idx="97">
                  <c:v>41410</c:v>
                </c:pt>
                <c:pt idx="98">
                  <c:v>41411</c:v>
                </c:pt>
                <c:pt idx="99">
                  <c:v>41414</c:v>
                </c:pt>
                <c:pt idx="100">
                  <c:v>41415</c:v>
                </c:pt>
                <c:pt idx="101">
                  <c:v>41416</c:v>
                </c:pt>
                <c:pt idx="102">
                  <c:v>41417</c:v>
                </c:pt>
                <c:pt idx="103">
                  <c:v>41418</c:v>
                </c:pt>
                <c:pt idx="104">
                  <c:v>41421</c:v>
                </c:pt>
                <c:pt idx="105">
                  <c:v>41422</c:v>
                </c:pt>
                <c:pt idx="106">
                  <c:v>41423</c:v>
                </c:pt>
                <c:pt idx="107">
                  <c:v>41424</c:v>
                </c:pt>
                <c:pt idx="108">
                  <c:v>41425</c:v>
                </c:pt>
                <c:pt idx="109">
                  <c:v>41428</c:v>
                </c:pt>
                <c:pt idx="110">
                  <c:v>41429</c:v>
                </c:pt>
                <c:pt idx="111">
                  <c:v>41430</c:v>
                </c:pt>
                <c:pt idx="112">
                  <c:v>41431</c:v>
                </c:pt>
                <c:pt idx="113">
                  <c:v>41432</c:v>
                </c:pt>
                <c:pt idx="114">
                  <c:v>41435</c:v>
                </c:pt>
                <c:pt idx="115">
                  <c:v>41436</c:v>
                </c:pt>
                <c:pt idx="116">
                  <c:v>41437</c:v>
                </c:pt>
                <c:pt idx="117">
                  <c:v>41438</c:v>
                </c:pt>
                <c:pt idx="118">
                  <c:v>41439</c:v>
                </c:pt>
                <c:pt idx="119">
                  <c:v>41442</c:v>
                </c:pt>
                <c:pt idx="120">
                  <c:v>41443</c:v>
                </c:pt>
                <c:pt idx="121">
                  <c:v>41444</c:v>
                </c:pt>
                <c:pt idx="122">
                  <c:v>41445</c:v>
                </c:pt>
                <c:pt idx="123">
                  <c:v>41446</c:v>
                </c:pt>
                <c:pt idx="124">
                  <c:v>41449</c:v>
                </c:pt>
                <c:pt idx="125">
                  <c:v>41450</c:v>
                </c:pt>
                <c:pt idx="126">
                  <c:v>41451</c:v>
                </c:pt>
                <c:pt idx="127">
                  <c:v>41452</c:v>
                </c:pt>
                <c:pt idx="128">
                  <c:v>41453</c:v>
                </c:pt>
                <c:pt idx="129">
                  <c:v>41456</c:v>
                </c:pt>
                <c:pt idx="130">
                  <c:v>41457</c:v>
                </c:pt>
                <c:pt idx="131">
                  <c:v>41458</c:v>
                </c:pt>
                <c:pt idx="132">
                  <c:v>41459</c:v>
                </c:pt>
                <c:pt idx="133">
                  <c:v>41460</c:v>
                </c:pt>
                <c:pt idx="134">
                  <c:v>41463</c:v>
                </c:pt>
                <c:pt idx="135">
                  <c:v>41464</c:v>
                </c:pt>
                <c:pt idx="136">
                  <c:v>41465</c:v>
                </c:pt>
                <c:pt idx="137">
                  <c:v>41466</c:v>
                </c:pt>
                <c:pt idx="138">
                  <c:v>41467</c:v>
                </c:pt>
                <c:pt idx="139">
                  <c:v>41470</c:v>
                </c:pt>
                <c:pt idx="140">
                  <c:v>41471</c:v>
                </c:pt>
                <c:pt idx="141">
                  <c:v>41472</c:v>
                </c:pt>
                <c:pt idx="142">
                  <c:v>41473</c:v>
                </c:pt>
                <c:pt idx="143">
                  <c:v>41474</c:v>
                </c:pt>
                <c:pt idx="144">
                  <c:v>41477</c:v>
                </c:pt>
                <c:pt idx="145">
                  <c:v>41478</c:v>
                </c:pt>
                <c:pt idx="146">
                  <c:v>41479</c:v>
                </c:pt>
                <c:pt idx="147">
                  <c:v>41480</c:v>
                </c:pt>
                <c:pt idx="148">
                  <c:v>41481</c:v>
                </c:pt>
                <c:pt idx="149">
                  <c:v>41484</c:v>
                </c:pt>
                <c:pt idx="150">
                  <c:v>41485</c:v>
                </c:pt>
                <c:pt idx="151">
                  <c:v>41486</c:v>
                </c:pt>
                <c:pt idx="152">
                  <c:v>41487</c:v>
                </c:pt>
                <c:pt idx="153">
                  <c:v>41488</c:v>
                </c:pt>
                <c:pt idx="154">
                  <c:v>41491</c:v>
                </c:pt>
                <c:pt idx="155">
                  <c:v>41492</c:v>
                </c:pt>
                <c:pt idx="156">
                  <c:v>41493</c:v>
                </c:pt>
                <c:pt idx="157">
                  <c:v>41494</c:v>
                </c:pt>
                <c:pt idx="158">
                  <c:v>41495</c:v>
                </c:pt>
                <c:pt idx="159">
                  <c:v>41498</c:v>
                </c:pt>
                <c:pt idx="160">
                  <c:v>41499</c:v>
                </c:pt>
                <c:pt idx="161">
                  <c:v>41500</c:v>
                </c:pt>
                <c:pt idx="162">
                  <c:v>41501</c:v>
                </c:pt>
                <c:pt idx="163">
                  <c:v>41502</c:v>
                </c:pt>
                <c:pt idx="164">
                  <c:v>41505</c:v>
                </c:pt>
                <c:pt idx="165">
                  <c:v>41506</c:v>
                </c:pt>
                <c:pt idx="166">
                  <c:v>41507</c:v>
                </c:pt>
                <c:pt idx="167">
                  <c:v>41508</c:v>
                </c:pt>
                <c:pt idx="168">
                  <c:v>41509</c:v>
                </c:pt>
                <c:pt idx="169">
                  <c:v>41512</c:v>
                </c:pt>
                <c:pt idx="170">
                  <c:v>41513</c:v>
                </c:pt>
                <c:pt idx="171">
                  <c:v>41514</c:v>
                </c:pt>
                <c:pt idx="172">
                  <c:v>41515</c:v>
                </c:pt>
                <c:pt idx="173">
                  <c:v>41516</c:v>
                </c:pt>
                <c:pt idx="174">
                  <c:v>41519</c:v>
                </c:pt>
                <c:pt idx="175">
                  <c:v>41520</c:v>
                </c:pt>
                <c:pt idx="176">
                  <c:v>41521</c:v>
                </c:pt>
                <c:pt idx="177">
                  <c:v>41522</c:v>
                </c:pt>
                <c:pt idx="178">
                  <c:v>41523</c:v>
                </c:pt>
                <c:pt idx="179">
                  <c:v>41526</c:v>
                </c:pt>
                <c:pt idx="180">
                  <c:v>41527</c:v>
                </c:pt>
                <c:pt idx="181">
                  <c:v>41528</c:v>
                </c:pt>
                <c:pt idx="182">
                  <c:v>41529</c:v>
                </c:pt>
                <c:pt idx="183">
                  <c:v>41530</c:v>
                </c:pt>
                <c:pt idx="184">
                  <c:v>41533</c:v>
                </c:pt>
                <c:pt idx="185">
                  <c:v>41534</c:v>
                </c:pt>
                <c:pt idx="186">
                  <c:v>41535</c:v>
                </c:pt>
                <c:pt idx="187">
                  <c:v>41536</c:v>
                </c:pt>
                <c:pt idx="188">
                  <c:v>41537</c:v>
                </c:pt>
                <c:pt idx="189">
                  <c:v>41540</c:v>
                </c:pt>
                <c:pt idx="190">
                  <c:v>41541</c:v>
                </c:pt>
                <c:pt idx="191">
                  <c:v>41542</c:v>
                </c:pt>
                <c:pt idx="192">
                  <c:v>41543</c:v>
                </c:pt>
                <c:pt idx="193">
                  <c:v>41544</c:v>
                </c:pt>
                <c:pt idx="194">
                  <c:v>41547</c:v>
                </c:pt>
                <c:pt idx="195">
                  <c:v>41548</c:v>
                </c:pt>
                <c:pt idx="196">
                  <c:v>41549</c:v>
                </c:pt>
                <c:pt idx="197">
                  <c:v>41550</c:v>
                </c:pt>
                <c:pt idx="198">
                  <c:v>41551</c:v>
                </c:pt>
                <c:pt idx="199">
                  <c:v>41554</c:v>
                </c:pt>
                <c:pt idx="200">
                  <c:v>41555</c:v>
                </c:pt>
                <c:pt idx="201">
                  <c:v>41556</c:v>
                </c:pt>
                <c:pt idx="202">
                  <c:v>41557</c:v>
                </c:pt>
                <c:pt idx="203">
                  <c:v>41558</c:v>
                </c:pt>
                <c:pt idx="204">
                  <c:v>41561</c:v>
                </c:pt>
                <c:pt idx="205">
                  <c:v>41562</c:v>
                </c:pt>
                <c:pt idx="206">
                  <c:v>41563</c:v>
                </c:pt>
                <c:pt idx="207">
                  <c:v>41564</c:v>
                </c:pt>
                <c:pt idx="208">
                  <c:v>41565</c:v>
                </c:pt>
                <c:pt idx="209">
                  <c:v>41568</c:v>
                </c:pt>
                <c:pt idx="210">
                  <c:v>41569</c:v>
                </c:pt>
                <c:pt idx="211">
                  <c:v>41570</c:v>
                </c:pt>
                <c:pt idx="212">
                  <c:v>41571</c:v>
                </c:pt>
                <c:pt idx="213">
                  <c:v>41572</c:v>
                </c:pt>
                <c:pt idx="214">
                  <c:v>41575</c:v>
                </c:pt>
                <c:pt idx="215">
                  <c:v>41576</c:v>
                </c:pt>
                <c:pt idx="216">
                  <c:v>41577</c:v>
                </c:pt>
                <c:pt idx="217">
                  <c:v>41578</c:v>
                </c:pt>
                <c:pt idx="218">
                  <c:v>41579</c:v>
                </c:pt>
                <c:pt idx="219">
                  <c:v>41582</c:v>
                </c:pt>
                <c:pt idx="220">
                  <c:v>41583</c:v>
                </c:pt>
                <c:pt idx="221">
                  <c:v>41584</c:v>
                </c:pt>
                <c:pt idx="222">
                  <c:v>41585</c:v>
                </c:pt>
                <c:pt idx="223">
                  <c:v>41586</c:v>
                </c:pt>
                <c:pt idx="224">
                  <c:v>41589</c:v>
                </c:pt>
                <c:pt idx="225">
                  <c:v>41590</c:v>
                </c:pt>
                <c:pt idx="226">
                  <c:v>41591</c:v>
                </c:pt>
                <c:pt idx="227">
                  <c:v>41592</c:v>
                </c:pt>
                <c:pt idx="228">
                  <c:v>41593</c:v>
                </c:pt>
                <c:pt idx="229">
                  <c:v>41596</c:v>
                </c:pt>
                <c:pt idx="230">
                  <c:v>41597</c:v>
                </c:pt>
                <c:pt idx="231">
                  <c:v>41598</c:v>
                </c:pt>
                <c:pt idx="232">
                  <c:v>41599</c:v>
                </c:pt>
                <c:pt idx="233">
                  <c:v>41600</c:v>
                </c:pt>
                <c:pt idx="234">
                  <c:v>41603</c:v>
                </c:pt>
                <c:pt idx="235">
                  <c:v>41604</c:v>
                </c:pt>
                <c:pt idx="236">
                  <c:v>41605</c:v>
                </c:pt>
                <c:pt idx="237">
                  <c:v>41606</c:v>
                </c:pt>
                <c:pt idx="238">
                  <c:v>41607</c:v>
                </c:pt>
                <c:pt idx="239">
                  <c:v>41610</c:v>
                </c:pt>
                <c:pt idx="240">
                  <c:v>41611</c:v>
                </c:pt>
                <c:pt idx="241">
                  <c:v>41612</c:v>
                </c:pt>
                <c:pt idx="242">
                  <c:v>41613</c:v>
                </c:pt>
                <c:pt idx="243">
                  <c:v>41614</c:v>
                </c:pt>
                <c:pt idx="244">
                  <c:v>41617</c:v>
                </c:pt>
                <c:pt idx="245">
                  <c:v>41618</c:v>
                </c:pt>
                <c:pt idx="246">
                  <c:v>41619</c:v>
                </c:pt>
                <c:pt idx="247">
                  <c:v>41620</c:v>
                </c:pt>
                <c:pt idx="248">
                  <c:v>41621</c:v>
                </c:pt>
                <c:pt idx="249">
                  <c:v>41624</c:v>
                </c:pt>
                <c:pt idx="250">
                  <c:v>41625</c:v>
                </c:pt>
                <c:pt idx="251">
                  <c:v>41626</c:v>
                </c:pt>
                <c:pt idx="252">
                  <c:v>41627</c:v>
                </c:pt>
                <c:pt idx="253">
                  <c:v>41628</c:v>
                </c:pt>
                <c:pt idx="254">
                  <c:v>41631</c:v>
                </c:pt>
                <c:pt idx="255">
                  <c:v>41632</c:v>
                </c:pt>
                <c:pt idx="256">
                  <c:v>41633</c:v>
                </c:pt>
                <c:pt idx="257">
                  <c:v>41634</c:v>
                </c:pt>
                <c:pt idx="258">
                  <c:v>41635</c:v>
                </c:pt>
                <c:pt idx="259">
                  <c:v>41638</c:v>
                </c:pt>
                <c:pt idx="260">
                  <c:v>41639</c:v>
                </c:pt>
                <c:pt idx="261">
                  <c:v>41640</c:v>
                </c:pt>
                <c:pt idx="262">
                  <c:v>41641</c:v>
                </c:pt>
                <c:pt idx="263">
                  <c:v>41642</c:v>
                </c:pt>
                <c:pt idx="264">
                  <c:v>41645</c:v>
                </c:pt>
                <c:pt idx="265">
                  <c:v>41646</c:v>
                </c:pt>
                <c:pt idx="266">
                  <c:v>41647</c:v>
                </c:pt>
                <c:pt idx="267">
                  <c:v>41648</c:v>
                </c:pt>
                <c:pt idx="268">
                  <c:v>41649</c:v>
                </c:pt>
                <c:pt idx="269">
                  <c:v>41652</c:v>
                </c:pt>
                <c:pt idx="270">
                  <c:v>41653</c:v>
                </c:pt>
                <c:pt idx="271">
                  <c:v>41654</c:v>
                </c:pt>
                <c:pt idx="272">
                  <c:v>41655</c:v>
                </c:pt>
                <c:pt idx="273">
                  <c:v>41656</c:v>
                </c:pt>
                <c:pt idx="274">
                  <c:v>41659</c:v>
                </c:pt>
                <c:pt idx="275">
                  <c:v>41660</c:v>
                </c:pt>
                <c:pt idx="276">
                  <c:v>41661</c:v>
                </c:pt>
                <c:pt idx="277">
                  <c:v>41662</c:v>
                </c:pt>
                <c:pt idx="278">
                  <c:v>41663</c:v>
                </c:pt>
                <c:pt idx="279">
                  <c:v>41666</c:v>
                </c:pt>
                <c:pt idx="280">
                  <c:v>41667</c:v>
                </c:pt>
                <c:pt idx="281">
                  <c:v>41668</c:v>
                </c:pt>
                <c:pt idx="282">
                  <c:v>41669</c:v>
                </c:pt>
                <c:pt idx="283">
                  <c:v>41670</c:v>
                </c:pt>
                <c:pt idx="284">
                  <c:v>41673</c:v>
                </c:pt>
                <c:pt idx="285">
                  <c:v>41674</c:v>
                </c:pt>
                <c:pt idx="286">
                  <c:v>41675</c:v>
                </c:pt>
                <c:pt idx="287">
                  <c:v>41676</c:v>
                </c:pt>
                <c:pt idx="288">
                  <c:v>41677</c:v>
                </c:pt>
                <c:pt idx="289">
                  <c:v>41680</c:v>
                </c:pt>
                <c:pt idx="290">
                  <c:v>41681</c:v>
                </c:pt>
                <c:pt idx="291">
                  <c:v>41682</c:v>
                </c:pt>
                <c:pt idx="292">
                  <c:v>41683</c:v>
                </c:pt>
                <c:pt idx="293">
                  <c:v>41684</c:v>
                </c:pt>
                <c:pt idx="294">
                  <c:v>41687</c:v>
                </c:pt>
                <c:pt idx="295">
                  <c:v>41688</c:v>
                </c:pt>
                <c:pt idx="296">
                  <c:v>41689</c:v>
                </c:pt>
                <c:pt idx="297">
                  <c:v>41690</c:v>
                </c:pt>
                <c:pt idx="298">
                  <c:v>41691</c:v>
                </c:pt>
                <c:pt idx="299">
                  <c:v>41694</c:v>
                </c:pt>
                <c:pt idx="300">
                  <c:v>41695</c:v>
                </c:pt>
                <c:pt idx="301">
                  <c:v>41696</c:v>
                </c:pt>
                <c:pt idx="302">
                  <c:v>41697</c:v>
                </c:pt>
                <c:pt idx="303">
                  <c:v>41698</c:v>
                </c:pt>
                <c:pt idx="304">
                  <c:v>41701</c:v>
                </c:pt>
                <c:pt idx="305">
                  <c:v>41702</c:v>
                </c:pt>
                <c:pt idx="306">
                  <c:v>41703</c:v>
                </c:pt>
                <c:pt idx="307">
                  <c:v>41704</c:v>
                </c:pt>
                <c:pt idx="308">
                  <c:v>41705</c:v>
                </c:pt>
                <c:pt idx="309">
                  <c:v>41708</c:v>
                </c:pt>
                <c:pt idx="310">
                  <c:v>41709</c:v>
                </c:pt>
                <c:pt idx="311">
                  <c:v>41710</c:v>
                </c:pt>
                <c:pt idx="312">
                  <c:v>41711</c:v>
                </c:pt>
                <c:pt idx="313">
                  <c:v>41712</c:v>
                </c:pt>
                <c:pt idx="314">
                  <c:v>41715</c:v>
                </c:pt>
                <c:pt idx="315">
                  <c:v>41716</c:v>
                </c:pt>
                <c:pt idx="316">
                  <c:v>41717</c:v>
                </c:pt>
                <c:pt idx="317">
                  <c:v>41718</c:v>
                </c:pt>
                <c:pt idx="318">
                  <c:v>41719</c:v>
                </c:pt>
                <c:pt idx="319">
                  <c:v>41722</c:v>
                </c:pt>
                <c:pt idx="320">
                  <c:v>41723</c:v>
                </c:pt>
                <c:pt idx="321">
                  <c:v>41724</c:v>
                </c:pt>
                <c:pt idx="322">
                  <c:v>41725</c:v>
                </c:pt>
                <c:pt idx="323">
                  <c:v>41726</c:v>
                </c:pt>
                <c:pt idx="324">
                  <c:v>41729</c:v>
                </c:pt>
                <c:pt idx="325">
                  <c:v>41730</c:v>
                </c:pt>
                <c:pt idx="326">
                  <c:v>41731</c:v>
                </c:pt>
                <c:pt idx="327">
                  <c:v>41732</c:v>
                </c:pt>
                <c:pt idx="328">
                  <c:v>41733</c:v>
                </c:pt>
                <c:pt idx="329">
                  <c:v>41736</c:v>
                </c:pt>
                <c:pt idx="330">
                  <c:v>41737</c:v>
                </c:pt>
                <c:pt idx="331">
                  <c:v>41738</c:v>
                </c:pt>
                <c:pt idx="332">
                  <c:v>41739</c:v>
                </c:pt>
                <c:pt idx="333">
                  <c:v>41740</c:v>
                </c:pt>
                <c:pt idx="334">
                  <c:v>41743</c:v>
                </c:pt>
                <c:pt idx="335">
                  <c:v>41744</c:v>
                </c:pt>
                <c:pt idx="336">
                  <c:v>41745</c:v>
                </c:pt>
                <c:pt idx="337">
                  <c:v>41746</c:v>
                </c:pt>
                <c:pt idx="338">
                  <c:v>41747</c:v>
                </c:pt>
                <c:pt idx="339">
                  <c:v>41750</c:v>
                </c:pt>
                <c:pt idx="340">
                  <c:v>41751</c:v>
                </c:pt>
                <c:pt idx="341">
                  <c:v>41752</c:v>
                </c:pt>
                <c:pt idx="342">
                  <c:v>41753</c:v>
                </c:pt>
                <c:pt idx="343">
                  <c:v>41754</c:v>
                </c:pt>
                <c:pt idx="344">
                  <c:v>41757</c:v>
                </c:pt>
                <c:pt idx="345">
                  <c:v>41758</c:v>
                </c:pt>
                <c:pt idx="346">
                  <c:v>41759</c:v>
                </c:pt>
                <c:pt idx="347">
                  <c:v>41760</c:v>
                </c:pt>
                <c:pt idx="348">
                  <c:v>41761</c:v>
                </c:pt>
                <c:pt idx="349">
                  <c:v>41764</c:v>
                </c:pt>
                <c:pt idx="350">
                  <c:v>41765</c:v>
                </c:pt>
                <c:pt idx="351">
                  <c:v>41766</c:v>
                </c:pt>
                <c:pt idx="352">
                  <c:v>41767</c:v>
                </c:pt>
                <c:pt idx="353">
                  <c:v>41768</c:v>
                </c:pt>
                <c:pt idx="354">
                  <c:v>41771</c:v>
                </c:pt>
                <c:pt idx="355">
                  <c:v>41772</c:v>
                </c:pt>
                <c:pt idx="356">
                  <c:v>41773</c:v>
                </c:pt>
                <c:pt idx="357">
                  <c:v>41774</c:v>
                </c:pt>
                <c:pt idx="358">
                  <c:v>41775</c:v>
                </c:pt>
                <c:pt idx="359">
                  <c:v>41778</c:v>
                </c:pt>
                <c:pt idx="360">
                  <c:v>41779</c:v>
                </c:pt>
                <c:pt idx="361">
                  <c:v>41780</c:v>
                </c:pt>
                <c:pt idx="362">
                  <c:v>41781</c:v>
                </c:pt>
                <c:pt idx="363">
                  <c:v>41782</c:v>
                </c:pt>
                <c:pt idx="364">
                  <c:v>41785</c:v>
                </c:pt>
                <c:pt idx="365">
                  <c:v>41786</c:v>
                </c:pt>
                <c:pt idx="366">
                  <c:v>41787</c:v>
                </c:pt>
                <c:pt idx="367">
                  <c:v>41788</c:v>
                </c:pt>
                <c:pt idx="368">
                  <c:v>41789</c:v>
                </c:pt>
                <c:pt idx="369">
                  <c:v>41792</c:v>
                </c:pt>
                <c:pt idx="370">
                  <c:v>41793</c:v>
                </c:pt>
                <c:pt idx="371">
                  <c:v>41794</c:v>
                </c:pt>
                <c:pt idx="372">
                  <c:v>41795</c:v>
                </c:pt>
                <c:pt idx="373">
                  <c:v>41796</c:v>
                </c:pt>
                <c:pt idx="374">
                  <c:v>41799</c:v>
                </c:pt>
                <c:pt idx="375">
                  <c:v>41800</c:v>
                </c:pt>
                <c:pt idx="376">
                  <c:v>41801</c:v>
                </c:pt>
                <c:pt idx="377">
                  <c:v>41802</c:v>
                </c:pt>
                <c:pt idx="378">
                  <c:v>41803</c:v>
                </c:pt>
                <c:pt idx="379">
                  <c:v>41806</c:v>
                </c:pt>
                <c:pt idx="380">
                  <c:v>41807</c:v>
                </c:pt>
                <c:pt idx="381">
                  <c:v>41808</c:v>
                </c:pt>
                <c:pt idx="382">
                  <c:v>41809</c:v>
                </c:pt>
                <c:pt idx="383">
                  <c:v>41810</c:v>
                </c:pt>
                <c:pt idx="384">
                  <c:v>41813</c:v>
                </c:pt>
                <c:pt idx="385">
                  <c:v>41814</c:v>
                </c:pt>
                <c:pt idx="386">
                  <c:v>41815</c:v>
                </c:pt>
                <c:pt idx="387">
                  <c:v>41816</c:v>
                </c:pt>
                <c:pt idx="388">
                  <c:v>41817</c:v>
                </c:pt>
                <c:pt idx="389">
                  <c:v>41820</c:v>
                </c:pt>
                <c:pt idx="390">
                  <c:v>41821</c:v>
                </c:pt>
                <c:pt idx="391">
                  <c:v>41822</c:v>
                </c:pt>
                <c:pt idx="392">
                  <c:v>41823</c:v>
                </c:pt>
                <c:pt idx="393">
                  <c:v>41824</c:v>
                </c:pt>
                <c:pt idx="394">
                  <c:v>41827</c:v>
                </c:pt>
                <c:pt idx="395">
                  <c:v>41828</c:v>
                </c:pt>
                <c:pt idx="396">
                  <c:v>41829</c:v>
                </c:pt>
                <c:pt idx="397">
                  <c:v>41830</c:v>
                </c:pt>
                <c:pt idx="398">
                  <c:v>41831</c:v>
                </c:pt>
                <c:pt idx="399">
                  <c:v>41834</c:v>
                </c:pt>
                <c:pt idx="400">
                  <c:v>41835</c:v>
                </c:pt>
                <c:pt idx="401">
                  <c:v>41836</c:v>
                </c:pt>
                <c:pt idx="402">
                  <c:v>41837</c:v>
                </c:pt>
                <c:pt idx="403">
                  <c:v>41838</c:v>
                </c:pt>
                <c:pt idx="404">
                  <c:v>41841</c:v>
                </c:pt>
                <c:pt idx="405">
                  <c:v>41842</c:v>
                </c:pt>
                <c:pt idx="406">
                  <c:v>41843</c:v>
                </c:pt>
                <c:pt idx="407">
                  <c:v>41844</c:v>
                </c:pt>
                <c:pt idx="408">
                  <c:v>41845</c:v>
                </c:pt>
                <c:pt idx="409">
                  <c:v>41848</c:v>
                </c:pt>
                <c:pt idx="410">
                  <c:v>41849</c:v>
                </c:pt>
                <c:pt idx="411">
                  <c:v>41850</c:v>
                </c:pt>
                <c:pt idx="412">
                  <c:v>41851</c:v>
                </c:pt>
                <c:pt idx="413">
                  <c:v>41852</c:v>
                </c:pt>
                <c:pt idx="414">
                  <c:v>41855</c:v>
                </c:pt>
                <c:pt idx="415">
                  <c:v>41856</c:v>
                </c:pt>
                <c:pt idx="416">
                  <c:v>41857</c:v>
                </c:pt>
                <c:pt idx="417">
                  <c:v>41858</c:v>
                </c:pt>
                <c:pt idx="418">
                  <c:v>41859</c:v>
                </c:pt>
                <c:pt idx="419">
                  <c:v>41862</c:v>
                </c:pt>
                <c:pt idx="420">
                  <c:v>41863</c:v>
                </c:pt>
                <c:pt idx="421">
                  <c:v>41864</c:v>
                </c:pt>
                <c:pt idx="422">
                  <c:v>41865</c:v>
                </c:pt>
                <c:pt idx="423">
                  <c:v>41866</c:v>
                </c:pt>
                <c:pt idx="424">
                  <c:v>41869</c:v>
                </c:pt>
                <c:pt idx="425">
                  <c:v>41870</c:v>
                </c:pt>
                <c:pt idx="426">
                  <c:v>41871</c:v>
                </c:pt>
                <c:pt idx="427">
                  <c:v>41872</c:v>
                </c:pt>
                <c:pt idx="428">
                  <c:v>41873</c:v>
                </c:pt>
                <c:pt idx="429">
                  <c:v>41876</c:v>
                </c:pt>
                <c:pt idx="430">
                  <c:v>41877</c:v>
                </c:pt>
                <c:pt idx="431">
                  <c:v>41878</c:v>
                </c:pt>
                <c:pt idx="432">
                  <c:v>41879</c:v>
                </c:pt>
                <c:pt idx="433">
                  <c:v>41880</c:v>
                </c:pt>
                <c:pt idx="434">
                  <c:v>41883</c:v>
                </c:pt>
                <c:pt idx="435">
                  <c:v>41884</c:v>
                </c:pt>
                <c:pt idx="436">
                  <c:v>41885</c:v>
                </c:pt>
                <c:pt idx="437">
                  <c:v>41886</c:v>
                </c:pt>
                <c:pt idx="438">
                  <c:v>41887</c:v>
                </c:pt>
                <c:pt idx="439">
                  <c:v>41890</c:v>
                </c:pt>
                <c:pt idx="440">
                  <c:v>41891</c:v>
                </c:pt>
                <c:pt idx="441">
                  <c:v>41892</c:v>
                </c:pt>
                <c:pt idx="442">
                  <c:v>41893</c:v>
                </c:pt>
                <c:pt idx="443">
                  <c:v>41894</c:v>
                </c:pt>
                <c:pt idx="444">
                  <c:v>41897</c:v>
                </c:pt>
                <c:pt idx="445">
                  <c:v>41898</c:v>
                </c:pt>
                <c:pt idx="446">
                  <c:v>41899</c:v>
                </c:pt>
                <c:pt idx="447">
                  <c:v>41900</c:v>
                </c:pt>
                <c:pt idx="448">
                  <c:v>41901</c:v>
                </c:pt>
                <c:pt idx="449">
                  <c:v>41904</c:v>
                </c:pt>
                <c:pt idx="450">
                  <c:v>41905</c:v>
                </c:pt>
                <c:pt idx="451">
                  <c:v>41906</c:v>
                </c:pt>
                <c:pt idx="452">
                  <c:v>41907</c:v>
                </c:pt>
                <c:pt idx="453">
                  <c:v>41908</c:v>
                </c:pt>
                <c:pt idx="454">
                  <c:v>41911</c:v>
                </c:pt>
                <c:pt idx="455">
                  <c:v>41912</c:v>
                </c:pt>
                <c:pt idx="456">
                  <c:v>41913</c:v>
                </c:pt>
                <c:pt idx="457">
                  <c:v>41914</c:v>
                </c:pt>
                <c:pt idx="458">
                  <c:v>41915</c:v>
                </c:pt>
                <c:pt idx="459">
                  <c:v>41918</c:v>
                </c:pt>
                <c:pt idx="460">
                  <c:v>41919</c:v>
                </c:pt>
                <c:pt idx="461">
                  <c:v>41920</c:v>
                </c:pt>
                <c:pt idx="462">
                  <c:v>41921</c:v>
                </c:pt>
                <c:pt idx="463">
                  <c:v>41922</c:v>
                </c:pt>
                <c:pt idx="464">
                  <c:v>41925</c:v>
                </c:pt>
                <c:pt idx="465">
                  <c:v>41926</c:v>
                </c:pt>
                <c:pt idx="466">
                  <c:v>41927</c:v>
                </c:pt>
                <c:pt idx="467">
                  <c:v>41928</c:v>
                </c:pt>
                <c:pt idx="468">
                  <c:v>41929</c:v>
                </c:pt>
                <c:pt idx="469">
                  <c:v>41932</c:v>
                </c:pt>
                <c:pt idx="470">
                  <c:v>41933</c:v>
                </c:pt>
                <c:pt idx="471">
                  <c:v>41934</c:v>
                </c:pt>
                <c:pt idx="472">
                  <c:v>41935</c:v>
                </c:pt>
                <c:pt idx="473">
                  <c:v>41936</c:v>
                </c:pt>
                <c:pt idx="474">
                  <c:v>41939</c:v>
                </c:pt>
                <c:pt idx="475">
                  <c:v>41940</c:v>
                </c:pt>
                <c:pt idx="476">
                  <c:v>41941</c:v>
                </c:pt>
                <c:pt idx="477">
                  <c:v>41942</c:v>
                </c:pt>
                <c:pt idx="478">
                  <c:v>41943</c:v>
                </c:pt>
                <c:pt idx="479">
                  <c:v>41946</c:v>
                </c:pt>
                <c:pt idx="480">
                  <c:v>41947</c:v>
                </c:pt>
                <c:pt idx="481">
                  <c:v>41948</c:v>
                </c:pt>
                <c:pt idx="482">
                  <c:v>41949</c:v>
                </c:pt>
                <c:pt idx="483">
                  <c:v>41950</c:v>
                </c:pt>
                <c:pt idx="484">
                  <c:v>41953</c:v>
                </c:pt>
                <c:pt idx="485">
                  <c:v>41954</c:v>
                </c:pt>
                <c:pt idx="486">
                  <c:v>41955</c:v>
                </c:pt>
                <c:pt idx="487">
                  <c:v>41956</c:v>
                </c:pt>
                <c:pt idx="488">
                  <c:v>41957</c:v>
                </c:pt>
                <c:pt idx="489">
                  <c:v>41960</c:v>
                </c:pt>
                <c:pt idx="490">
                  <c:v>41961</c:v>
                </c:pt>
                <c:pt idx="491">
                  <c:v>41962</c:v>
                </c:pt>
                <c:pt idx="492">
                  <c:v>41963</c:v>
                </c:pt>
                <c:pt idx="493">
                  <c:v>41964</c:v>
                </c:pt>
                <c:pt idx="494">
                  <c:v>41967</c:v>
                </c:pt>
                <c:pt idx="495">
                  <c:v>41968</c:v>
                </c:pt>
                <c:pt idx="496">
                  <c:v>41969</c:v>
                </c:pt>
                <c:pt idx="497">
                  <c:v>41970</c:v>
                </c:pt>
                <c:pt idx="498">
                  <c:v>41971</c:v>
                </c:pt>
                <c:pt idx="499">
                  <c:v>41974</c:v>
                </c:pt>
                <c:pt idx="500">
                  <c:v>41975</c:v>
                </c:pt>
                <c:pt idx="501">
                  <c:v>41976</c:v>
                </c:pt>
                <c:pt idx="502">
                  <c:v>41977</c:v>
                </c:pt>
                <c:pt idx="503">
                  <c:v>41978</c:v>
                </c:pt>
                <c:pt idx="504">
                  <c:v>41981</c:v>
                </c:pt>
                <c:pt idx="505">
                  <c:v>41982</c:v>
                </c:pt>
                <c:pt idx="506">
                  <c:v>41983</c:v>
                </c:pt>
                <c:pt idx="507">
                  <c:v>41984</c:v>
                </c:pt>
                <c:pt idx="508">
                  <c:v>41985</c:v>
                </c:pt>
                <c:pt idx="509">
                  <c:v>41988</c:v>
                </c:pt>
                <c:pt idx="510">
                  <c:v>41989</c:v>
                </c:pt>
                <c:pt idx="511">
                  <c:v>41990</c:v>
                </c:pt>
                <c:pt idx="512">
                  <c:v>41991</c:v>
                </c:pt>
                <c:pt idx="513">
                  <c:v>41992</c:v>
                </c:pt>
                <c:pt idx="514">
                  <c:v>41995</c:v>
                </c:pt>
                <c:pt idx="515">
                  <c:v>41996</c:v>
                </c:pt>
                <c:pt idx="516">
                  <c:v>41997</c:v>
                </c:pt>
                <c:pt idx="517">
                  <c:v>41998</c:v>
                </c:pt>
                <c:pt idx="518">
                  <c:v>41999</c:v>
                </c:pt>
                <c:pt idx="519">
                  <c:v>42002</c:v>
                </c:pt>
                <c:pt idx="520">
                  <c:v>42003</c:v>
                </c:pt>
                <c:pt idx="521">
                  <c:v>42004</c:v>
                </c:pt>
                <c:pt idx="522">
                  <c:v>42005</c:v>
                </c:pt>
                <c:pt idx="523">
                  <c:v>42006</c:v>
                </c:pt>
                <c:pt idx="524">
                  <c:v>42009</c:v>
                </c:pt>
                <c:pt idx="525">
                  <c:v>42010</c:v>
                </c:pt>
                <c:pt idx="526">
                  <c:v>42011</c:v>
                </c:pt>
                <c:pt idx="527">
                  <c:v>42012</c:v>
                </c:pt>
                <c:pt idx="528">
                  <c:v>42013</c:v>
                </c:pt>
                <c:pt idx="529">
                  <c:v>42016</c:v>
                </c:pt>
                <c:pt idx="530">
                  <c:v>42017</c:v>
                </c:pt>
                <c:pt idx="531">
                  <c:v>42018</c:v>
                </c:pt>
                <c:pt idx="532">
                  <c:v>42019</c:v>
                </c:pt>
                <c:pt idx="533">
                  <c:v>42020</c:v>
                </c:pt>
                <c:pt idx="534">
                  <c:v>42023</c:v>
                </c:pt>
                <c:pt idx="535">
                  <c:v>42024</c:v>
                </c:pt>
                <c:pt idx="536">
                  <c:v>42025</c:v>
                </c:pt>
                <c:pt idx="537">
                  <c:v>42026</c:v>
                </c:pt>
                <c:pt idx="538">
                  <c:v>42027</c:v>
                </c:pt>
                <c:pt idx="539">
                  <c:v>42030</c:v>
                </c:pt>
                <c:pt idx="540">
                  <c:v>42031</c:v>
                </c:pt>
                <c:pt idx="541">
                  <c:v>42032</c:v>
                </c:pt>
                <c:pt idx="542">
                  <c:v>42033</c:v>
                </c:pt>
                <c:pt idx="543">
                  <c:v>42034</c:v>
                </c:pt>
                <c:pt idx="544">
                  <c:v>42037</c:v>
                </c:pt>
                <c:pt idx="545">
                  <c:v>42038</c:v>
                </c:pt>
                <c:pt idx="546">
                  <c:v>42039</c:v>
                </c:pt>
                <c:pt idx="547">
                  <c:v>42040</c:v>
                </c:pt>
                <c:pt idx="548">
                  <c:v>42041</c:v>
                </c:pt>
                <c:pt idx="549">
                  <c:v>42044</c:v>
                </c:pt>
                <c:pt idx="550">
                  <c:v>42045</c:v>
                </c:pt>
                <c:pt idx="551">
                  <c:v>42046</c:v>
                </c:pt>
                <c:pt idx="552">
                  <c:v>42047</c:v>
                </c:pt>
                <c:pt idx="553">
                  <c:v>42048</c:v>
                </c:pt>
                <c:pt idx="554">
                  <c:v>42051</c:v>
                </c:pt>
                <c:pt idx="555">
                  <c:v>42052</c:v>
                </c:pt>
                <c:pt idx="556">
                  <c:v>42053</c:v>
                </c:pt>
                <c:pt idx="557">
                  <c:v>42054</c:v>
                </c:pt>
                <c:pt idx="558">
                  <c:v>42055</c:v>
                </c:pt>
                <c:pt idx="559">
                  <c:v>42058</c:v>
                </c:pt>
                <c:pt idx="560">
                  <c:v>42059</c:v>
                </c:pt>
                <c:pt idx="561">
                  <c:v>42060</c:v>
                </c:pt>
                <c:pt idx="562">
                  <c:v>42061</c:v>
                </c:pt>
                <c:pt idx="563">
                  <c:v>42062</c:v>
                </c:pt>
                <c:pt idx="564">
                  <c:v>42065</c:v>
                </c:pt>
                <c:pt idx="565">
                  <c:v>42066</c:v>
                </c:pt>
                <c:pt idx="566">
                  <c:v>42067</c:v>
                </c:pt>
                <c:pt idx="567">
                  <c:v>42068</c:v>
                </c:pt>
                <c:pt idx="568">
                  <c:v>42069</c:v>
                </c:pt>
                <c:pt idx="569">
                  <c:v>42072</c:v>
                </c:pt>
                <c:pt idx="570">
                  <c:v>42073</c:v>
                </c:pt>
                <c:pt idx="571">
                  <c:v>42074</c:v>
                </c:pt>
                <c:pt idx="572">
                  <c:v>42075</c:v>
                </c:pt>
                <c:pt idx="573">
                  <c:v>42076</c:v>
                </c:pt>
                <c:pt idx="574">
                  <c:v>42079</c:v>
                </c:pt>
                <c:pt idx="575">
                  <c:v>42080</c:v>
                </c:pt>
                <c:pt idx="576">
                  <c:v>42081</c:v>
                </c:pt>
                <c:pt idx="577">
                  <c:v>42082</c:v>
                </c:pt>
                <c:pt idx="578">
                  <c:v>42083</c:v>
                </c:pt>
                <c:pt idx="579">
                  <c:v>42086</c:v>
                </c:pt>
                <c:pt idx="580">
                  <c:v>42087</c:v>
                </c:pt>
                <c:pt idx="581">
                  <c:v>42088</c:v>
                </c:pt>
                <c:pt idx="582">
                  <c:v>42089</c:v>
                </c:pt>
                <c:pt idx="583">
                  <c:v>42090</c:v>
                </c:pt>
                <c:pt idx="584">
                  <c:v>42093</c:v>
                </c:pt>
                <c:pt idx="585">
                  <c:v>42094</c:v>
                </c:pt>
                <c:pt idx="586">
                  <c:v>42095</c:v>
                </c:pt>
                <c:pt idx="587">
                  <c:v>42096</c:v>
                </c:pt>
                <c:pt idx="588">
                  <c:v>42097</c:v>
                </c:pt>
                <c:pt idx="589">
                  <c:v>42100</c:v>
                </c:pt>
                <c:pt idx="590">
                  <c:v>42101</c:v>
                </c:pt>
                <c:pt idx="591">
                  <c:v>42102</c:v>
                </c:pt>
                <c:pt idx="592">
                  <c:v>42103</c:v>
                </c:pt>
                <c:pt idx="593">
                  <c:v>42104</c:v>
                </c:pt>
                <c:pt idx="594">
                  <c:v>42107</c:v>
                </c:pt>
                <c:pt idx="595">
                  <c:v>42108</c:v>
                </c:pt>
                <c:pt idx="596">
                  <c:v>42109</c:v>
                </c:pt>
                <c:pt idx="597">
                  <c:v>42110</c:v>
                </c:pt>
                <c:pt idx="598">
                  <c:v>42111</c:v>
                </c:pt>
                <c:pt idx="599">
                  <c:v>42114</c:v>
                </c:pt>
                <c:pt idx="600">
                  <c:v>42115</c:v>
                </c:pt>
                <c:pt idx="601">
                  <c:v>42116</c:v>
                </c:pt>
                <c:pt idx="602">
                  <c:v>42117</c:v>
                </c:pt>
                <c:pt idx="603">
                  <c:v>42118</c:v>
                </c:pt>
                <c:pt idx="604">
                  <c:v>42121</c:v>
                </c:pt>
                <c:pt idx="605">
                  <c:v>42122</c:v>
                </c:pt>
                <c:pt idx="606">
                  <c:v>42123</c:v>
                </c:pt>
                <c:pt idx="607">
                  <c:v>42124</c:v>
                </c:pt>
                <c:pt idx="608">
                  <c:v>42125</c:v>
                </c:pt>
                <c:pt idx="609">
                  <c:v>42128</c:v>
                </c:pt>
                <c:pt idx="610">
                  <c:v>42129</c:v>
                </c:pt>
                <c:pt idx="611">
                  <c:v>42130</c:v>
                </c:pt>
                <c:pt idx="612">
                  <c:v>42131</c:v>
                </c:pt>
                <c:pt idx="613">
                  <c:v>42132</c:v>
                </c:pt>
                <c:pt idx="614">
                  <c:v>42135</c:v>
                </c:pt>
                <c:pt idx="615">
                  <c:v>42136</c:v>
                </c:pt>
                <c:pt idx="616">
                  <c:v>42137</c:v>
                </c:pt>
                <c:pt idx="617">
                  <c:v>42138</c:v>
                </c:pt>
                <c:pt idx="618">
                  <c:v>42139</c:v>
                </c:pt>
                <c:pt idx="619">
                  <c:v>42142</c:v>
                </c:pt>
                <c:pt idx="620">
                  <c:v>42143</c:v>
                </c:pt>
                <c:pt idx="621">
                  <c:v>42144</c:v>
                </c:pt>
                <c:pt idx="622">
                  <c:v>42145</c:v>
                </c:pt>
                <c:pt idx="623">
                  <c:v>42146</c:v>
                </c:pt>
                <c:pt idx="624">
                  <c:v>42149</c:v>
                </c:pt>
                <c:pt idx="625">
                  <c:v>42150</c:v>
                </c:pt>
                <c:pt idx="626">
                  <c:v>42151</c:v>
                </c:pt>
                <c:pt idx="627">
                  <c:v>42152</c:v>
                </c:pt>
                <c:pt idx="628">
                  <c:v>42153</c:v>
                </c:pt>
                <c:pt idx="629">
                  <c:v>42156</c:v>
                </c:pt>
                <c:pt idx="630">
                  <c:v>42157</c:v>
                </c:pt>
                <c:pt idx="631">
                  <c:v>42158</c:v>
                </c:pt>
                <c:pt idx="632">
                  <c:v>42159</c:v>
                </c:pt>
                <c:pt idx="633">
                  <c:v>42160</c:v>
                </c:pt>
                <c:pt idx="634">
                  <c:v>42163</c:v>
                </c:pt>
                <c:pt idx="635">
                  <c:v>42164</c:v>
                </c:pt>
                <c:pt idx="636">
                  <c:v>42165</c:v>
                </c:pt>
                <c:pt idx="637">
                  <c:v>42166</c:v>
                </c:pt>
                <c:pt idx="638">
                  <c:v>42167</c:v>
                </c:pt>
                <c:pt idx="639">
                  <c:v>42170</c:v>
                </c:pt>
                <c:pt idx="640">
                  <c:v>42171</c:v>
                </c:pt>
                <c:pt idx="641">
                  <c:v>42172</c:v>
                </c:pt>
                <c:pt idx="642">
                  <c:v>42173</c:v>
                </c:pt>
                <c:pt idx="643">
                  <c:v>42174</c:v>
                </c:pt>
                <c:pt idx="644">
                  <c:v>42177</c:v>
                </c:pt>
                <c:pt idx="645">
                  <c:v>42178</c:v>
                </c:pt>
                <c:pt idx="646">
                  <c:v>42179</c:v>
                </c:pt>
                <c:pt idx="647">
                  <c:v>42180</c:v>
                </c:pt>
                <c:pt idx="648">
                  <c:v>42181</c:v>
                </c:pt>
                <c:pt idx="649">
                  <c:v>42184</c:v>
                </c:pt>
                <c:pt idx="650">
                  <c:v>42185</c:v>
                </c:pt>
                <c:pt idx="651">
                  <c:v>42186</c:v>
                </c:pt>
                <c:pt idx="652">
                  <c:v>42187</c:v>
                </c:pt>
                <c:pt idx="653">
                  <c:v>42188</c:v>
                </c:pt>
                <c:pt idx="654">
                  <c:v>42191</c:v>
                </c:pt>
                <c:pt idx="655">
                  <c:v>42192</c:v>
                </c:pt>
                <c:pt idx="656">
                  <c:v>42193</c:v>
                </c:pt>
                <c:pt idx="657">
                  <c:v>42194</c:v>
                </c:pt>
                <c:pt idx="658">
                  <c:v>42195</c:v>
                </c:pt>
                <c:pt idx="659">
                  <c:v>42198</c:v>
                </c:pt>
                <c:pt idx="660">
                  <c:v>42199</c:v>
                </c:pt>
                <c:pt idx="661">
                  <c:v>42200</c:v>
                </c:pt>
                <c:pt idx="662">
                  <c:v>42201</c:v>
                </c:pt>
                <c:pt idx="663">
                  <c:v>42202</c:v>
                </c:pt>
                <c:pt idx="664">
                  <c:v>42205</c:v>
                </c:pt>
                <c:pt idx="665">
                  <c:v>42206</c:v>
                </c:pt>
                <c:pt idx="666">
                  <c:v>42207</c:v>
                </c:pt>
                <c:pt idx="667">
                  <c:v>42208</c:v>
                </c:pt>
                <c:pt idx="668">
                  <c:v>42209</c:v>
                </c:pt>
                <c:pt idx="669">
                  <c:v>42212</c:v>
                </c:pt>
                <c:pt idx="670">
                  <c:v>42213</c:v>
                </c:pt>
                <c:pt idx="671">
                  <c:v>42214</c:v>
                </c:pt>
                <c:pt idx="672">
                  <c:v>42215</c:v>
                </c:pt>
                <c:pt idx="673">
                  <c:v>42216</c:v>
                </c:pt>
                <c:pt idx="674">
                  <c:v>42219</c:v>
                </c:pt>
                <c:pt idx="675">
                  <c:v>42220</c:v>
                </c:pt>
                <c:pt idx="676">
                  <c:v>42221</c:v>
                </c:pt>
                <c:pt idx="677">
                  <c:v>42222</c:v>
                </c:pt>
                <c:pt idx="678">
                  <c:v>42223</c:v>
                </c:pt>
                <c:pt idx="679">
                  <c:v>42226</c:v>
                </c:pt>
                <c:pt idx="680">
                  <c:v>42227</c:v>
                </c:pt>
                <c:pt idx="681">
                  <c:v>42228</c:v>
                </c:pt>
                <c:pt idx="682">
                  <c:v>42229</c:v>
                </c:pt>
                <c:pt idx="683">
                  <c:v>42230</c:v>
                </c:pt>
                <c:pt idx="684">
                  <c:v>42233</c:v>
                </c:pt>
                <c:pt idx="685">
                  <c:v>42234</c:v>
                </c:pt>
                <c:pt idx="686">
                  <c:v>42235</c:v>
                </c:pt>
                <c:pt idx="687">
                  <c:v>42236</c:v>
                </c:pt>
                <c:pt idx="688">
                  <c:v>42237</c:v>
                </c:pt>
                <c:pt idx="689">
                  <c:v>42240</c:v>
                </c:pt>
                <c:pt idx="690">
                  <c:v>42241</c:v>
                </c:pt>
                <c:pt idx="691">
                  <c:v>42242</c:v>
                </c:pt>
                <c:pt idx="692">
                  <c:v>42243</c:v>
                </c:pt>
                <c:pt idx="693">
                  <c:v>42244</c:v>
                </c:pt>
                <c:pt idx="694">
                  <c:v>42247</c:v>
                </c:pt>
                <c:pt idx="695">
                  <c:v>42248</c:v>
                </c:pt>
                <c:pt idx="696">
                  <c:v>42249</c:v>
                </c:pt>
                <c:pt idx="697">
                  <c:v>42250</c:v>
                </c:pt>
                <c:pt idx="698">
                  <c:v>42251</c:v>
                </c:pt>
                <c:pt idx="699">
                  <c:v>42254</c:v>
                </c:pt>
                <c:pt idx="700">
                  <c:v>42255</c:v>
                </c:pt>
                <c:pt idx="701">
                  <c:v>42256</c:v>
                </c:pt>
                <c:pt idx="702">
                  <c:v>42257</c:v>
                </c:pt>
                <c:pt idx="703">
                  <c:v>42258</c:v>
                </c:pt>
                <c:pt idx="704">
                  <c:v>42261</c:v>
                </c:pt>
                <c:pt idx="705">
                  <c:v>42262</c:v>
                </c:pt>
                <c:pt idx="706">
                  <c:v>42263</c:v>
                </c:pt>
                <c:pt idx="707">
                  <c:v>42264</c:v>
                </c:pt>
                <c:pt idx="708">
                  <c:v>42265</c:v>
                </c:pt>
                <c:pt idx="709">
                  <c:v>42268</c:v>
                </c:pt>
                <c:pt idx="710">
                  <c:v>42269</c:v>
                </c:pt>
                <c:pt idx="711">
                  <c:v>42270</c:v>
                </c:pt>
                <c:pt idx="712">
                  <c:v>42271</c:v>
                </c:pt>
                <c:pt idx="713">
                  <c:v>42272</c:v>
                </c:pt>
                <c:pt idx="714">
                  <c:v>42275</c:v>
                </c:pt>
                <c:pt idx="715">
                  <c:v>42276</c:v>
                </c:pt>
                <c:pt idx="716">
                  <c:v>42277</c:v>
                </c:pt>
                <c:pt idx="717">
                  <c:v>42278</c:v>
                </c:pt>
                <c:pt idx="718">
                  <c:v>42279</c:v>
                </c:pt>
                <c:pt idx="719">
                  <c:v>42282</c:v>
                </c:pt>
                <c:pt idx="720">
                  <c:v>42283</c:v>
                </c:pt>
                <c:pt idx="721">
                  <c:v>42284</c:v>
                </c:pt>
                <c:pt idx="722">
                  <c:v>42285</c:v>
                </c:pt>
                <c:pt idx="723">
                  <c:v>42286</c:v>
                </c:pt>
                <c:pt idx="724">
                  <c:v>42289</c:v>
                </c:pt>
                <c:pt idx="725">
                  <c:v>42290</c:v>
                </c:pt>
                <c:pt idx="726">
                  <c:v>42291</c:v>
                </c:pt>
                <c:pt idx="727">
                  <c:v>42292</c:v>
                </c:pt>
                <c:pt idx="728">
                  <c:v>42293</c:v>
                </c:pt>
                <c:pt idx="729">
                  <c:v>42296</c:v>
                </c:pt>
                <c:pt idx="730">
                  <c:v>42297</c:v>
                </c:pt>
                <c:pt idx="731">
                  <c:v>42298</c:v>
                </c:pt>
                <c:pt idx="732">
                  <c:v>42299</c:v>
                </c:pt>
                <c:pt idx="733">
                  <c:v>42300</c:v>
                </c:pt>
                <c:pt idx="734">
                  <c:v>42303</c:v>
                </c:pt>
                <c:pt idx="735">
                  <c:v>42304</c:v>
                </c:pt>
                <c:pt idx="736">
                  <c:v>42305</c:v>
                </c:pt>
                <c:pt idx="737">
                  <c:v>42306</c:v>
                </c:pt>
                <c:pt idx="738">
                  <c:v>42307</c:v>
                </c:pt>
                <c:pt idx="739">
                  <c:v>42310</c:v>
                </c:pt>
                <c:pt idx="740">
                  <c:v>42311</c:v>
                </c:pt>
                <c:pt idx="741">
                  <c:v>42312</c:v>
                </c:pt>
                <c:pt idx="742">
                  <c:v>42313</c:v>
                </c:pt>
                <c:pt idx="743">
                  <c:v>42314</c:v>
                </c:pt>
                <c:pt idx="744">
                  <c:v>42317</c:v>
                </c:pt>
                <c:pt idx="745">
                  <c:v>42318</c:v>
                </c:pt>
                <c:pt idx="746">
                  <c:v>42319</c:v>
                </c:pt>
                <c:pt idx="747">
                  <c:v>42320</c:v>
                </c:pt>
                <c:pt idx="748">
                  <c:v>42321</c:v>
                </c:pt>
                <c:pt idx="749">
                  <c:v>42324</c:v>
                </c:pt>
                <c:pt idx="750">
                  <c:v>42325</c:v>
                </c:pt>
                <c:pt idx="751">
                  <c:v>42326</c:v>
                </c:pt>
                <c:pt idx="752">
                  <c:v>42327</c:v>
                </c:pt>
                <c:pt idx="753">
                  <c:v>42328</c:v>
                </c:pt>
                <c:pt idx="754">
                  <c:v>42331</c:v>
                </c:pt>
                <c:pt idx="755">
                  <c:v>42332</c:v>
                </c:pt>
                <c:pt idx="756">
                  <c:v>42333</c:v>
                </c:pt>
                <c:pt idx="757">
                  <c:v>42334</c:v>
                </c:pt>
                <c:pt idx="758">
                  <c:v>42335</c:v>
                </c:pt>
                <c:pt idx="759">
                  <c:v>42338</c:v>
                </c:pt>
                <c:pt idx="760">
                  <c:v>42339</c:v>
                </c:pt>
                <c:pt idx="761">
                  <c:v>42340</c:v>
                </c:pt>
                <c:pt idx="762">
                  <c:v>42341</c:v>
                </c:pt>
                <c:pt idx="763">
                  <c:v>42342</c:v>
                </c:pt>
                <c:pt idx="764">
                  <c:v>42345</c:v>
                </c:pt>
                <c:pt idx="765">
                  <c:v>42346</c:v>
                </c:pt>
                <c:pt idx="766">
                  <c:v>42347</c:v>
                </c:pt>
                <c:pt idx="767">
                  <c:v>42348</c:v>
                </c:pt>
                <c:pt idx="768">
                  <c:v>42349</c:v>
                </c:pt>
                <c:pt idx="769">
                  <c:v>42352</c:v>
                </c:pt>
                <c:pt idx="770">
                  <c:v>42353</c:v>
                </c:pt>
                <c:pt idx="771">
                  <c:v>42354</c:v>
                </c:pt>
                <c:pt idx="772">
                  <c:v>42355</c:v>
                </c:pt>
                <c:pt idx="773">
                  <c:v>42356</c:v>
                </c:pt>
                <c:pt idx="774">
                  <c:v>42359</c:v>
                </c:pt>
                <c:pt idx="775">
                  <c:v>42360</c:v>
                </c:pt>
                <c:pt idx="776">
                  <c:v>42361</c:v>
                </c:pt>
                <c:pt idx="777">
                  <c:v>42362</c:v>
                </c:pt>
                <c:pt idx="778">
                  <c:v>42363</c:v>
                </c:pt>
                <c:pt idx="779">
                  <c:v>42366</c:v>
                </c:pt>
                <c:pt idx="780">
                  <c:v>42367</c:v>
                </c:pt>
                <c:pt idx="781">
                  <c:v>42368</c:v>
                </c:pt>
                <c:pt idx="782">
                  <c:v>42369</c:v>
                </c:pt>
                <c:pt idx="783">
                  <c:v>42370</c:v>
                </c:pt>
                <c:pt idx="784">
                  <c:v>42373</c:v>
                </c:pt>
                <c:pt idx="785">
                  <c:v>42374</c:v>
                </c:pt>
                <c:pt idx="786">
                  <c:v>42375</c:v>
                </c:pt>
                <c:pt idx="787">
                  <c:v>42376</c:v>
                </c:pt>
                <c:pt idx="788">
                  <c:v>42377</c:v>
                </c:pt>
                <c:pt idx="789">
                  <c:v>42380</c:v>
                </c:pt>
                <c:pt idx="790">
                  <c:v>42381</c:v>
                </c:pt>
                <c:pt idx="791">
                  <c:v>42382</c:v>
                </c:pt>
                <c:pt idx="792">
                  <c:v>42383</c:v>
                </c:pt>
                <c:pt idx="793">
                  <c:v>42384</c:v>
                </c:pt>
                <c:pt idx="794">
                  <c:v>42387</c:v>
                </c:pt>
                <c:pt idx="795">
                  <c:v>42388</c:v>
                </c:pt>
                <c:pt idx="796">
                  <c:v>42389</c:v>
                </c:pt>
                <c:pt idx="797">
                  <c:v>42390</c:v>
                </c:pt>
                <c:pt idx="798">
                  <c:v>42391</c:v>
                </c:pt>
                <c:pt idx="799">
                  <c:v>42394</c:v>
                </c:pt>
                <c:pt idx="800">
                  <c:v>42395</c:v>
                </c:pt>
                <c:pt idx="801">
                  <c:v>42396</c:v>
                </c:pt>
                <c:pt idx="802">
                  <c:v>42397</c:v>
                </c:pt>
                <c:pt idx="803">
                  <c:v>42398</c:v>
                </c:pt>
                <c:pt idx="804">
                  <c:v>42401</c:v>
                </c:pt>
                <c:pt idx="805">
                  <c:v>42402</c:v>
                </c:pt>
                <c:pt idx="806">
                  <c:v>42403</c:v>
                </c:pt>
                <c:pt idx="807">
                  <c:v>42404</c:v>
                </c:pt>
                <c:pt idx="808">
                  <c:v>42405</c:v>
                </c:pt>
                <c:pt idx="809">
                  <c:v>42408</c:v>
                </c:pt>
                <c:pt idx="810">
                  <c:v>42409</c:v>
                </c:pt>
                <c:pt idx="811">
                  <c:v>42410</c:v>
                </c:pt>
                <c:pt idx="812">
                  <c:v>42411</c:v>
                </c:pt>
                <c:pt idx="813">
                  <c:v>42412</c:v>
                </c:pt>
                <c:pt idx="814">
                  <c:v>42415</c:v>
                </c:pt>
                <c:pt idx="815">
                  <c:v>42416</c:v>
                </c:pt>
                <c:pt idx="816">
                  <c:v>42417</c:v>
                </c:pt>
                <c:pt idx="817">
                  <c:v>42418</c:v>
                </c:pt>
                <c:pt idx="818">
                  <c:v>42419</c:v>
                </c:pt>
                <c:pt idx="819">
                  <c:v>42422</c:v>
                </c:pt>
                <c:pt idx="820">
                  <c:v>42423</c:v>
                </c:pt>
                <c:pt idx="821">
                  <c:v>42424</c:v>
                </c:pt>
                <c:pt idx="822">
                  <c:v>42425</c:v>
                </c:pt>
                <c:pt idx="823">
                  <c:v>42426</c:v>
                </c:pt>
                <c:pt idx="824">
                  <c:v>42429</c:v>
                </c:pt>
                <c:pt idx="825">
                  <c:v>42430</c:v>
                </c:pt>
                <c:pt idx="826">
                  <c:v>42431</c:v>
                </c:pt>
                <c:pt idx="827">
                  <c:v>42432</c:v>
                </c:pt>
                <c:pt idx="828">
                  <c:v>42433</c:v>
                </c:pt>
                <c:pt idx="829">
                  <c:v>42436</c:v>
                </c:pt>
                <c:pt idx="830">
                  <c:v>42437</c:v>
                </c:pt>
                <c:pt idx="831">
                  <c:v>42438</c:v>
                </c:pt>
                <c:pt idx="832">
                  <c:v>42439</c:v>
                </c:pt>
                <c:pt idx="833">
                  <c:v>42440</c:v>
                </c:pt>
                <c:pt idx="834">
                  <c:v>42443</c:v>
                </c:pt>
                <c:pt idx="835">
                  <c:v>42444</c:v>
                </c:pt>
                <c:pt idx="836">
                  <c:v>42445</c:v>
                </c:pt>
                <c:pt idx="837">
                  <c:v>42446</c:v>
                </c:pt>
                <c:pt idx="838">
                  <c:v>42447</c:v>
                </c:pt>
                <c:pt idx="839">
                  <c:v>42450</c:v>
                </c:pt>
                <c:pt idx="840">
                  <c:v>42451</c:v>
                </c:pt>
                <c:pt idx="841">
                  <c:v>42452</c:v>
                </c:pt>
                <c:pt idx="842">
                  <c:v>42453</c:v>
                </c:pt>
                <c:pt idx="843">
                  <c:v>42454</c:v>
                </c:pt>
                <c:pt idx="844">
                  <c:v>42457</c:v>
                </c:pt>
                <c:pt idx="845">
                  <c:v>42458</c:v>
                </c:pt>
                <c:pt idx="846">
                  <c:v>42459</c:v>
                </c:pt>
                <c:pt idx="847">
                  <c:v>42460</c:v>
                </c:pt>
                <c:pt idx="848">
                  <c:v>42461</c:v>
                </c:pt>
                <c:pt idx="849">
                  <c:v>42464</c:v>
                </c:pt>
                <c:pt idx="850">
                  <c:v>42465</c:v>
                </c:pt>
                <c:pt idx="851">
                  <c:v>42466</c:v>
                </c:pt>
                <c:pt idx="852">
                  <c:v>42467</c:v>
                </c:pt>
                <c:pt idx="853">
                  <c:v>42468</c:v>
                </c:pt>
                <c:pt idx="854">
                  <c:v>42471</c:v>
                </c:pt>
                <c:pt idx="855">
                  <c:v>42472</c:v>
                </c:pt>
                <c:pt idx="856">
                  <c:v>42473</c:v>
                </c:pt>
                <c:pt idx="857">
                  <c:v>42474</c:v>
                </c:pt>
                <c:pt idx="858">
                  <c:v>42475</c:v>
                </c:pt>
                <c:pt idx="859">
                  <c:v>42478</c:v>
                </c:pt>
                <c:pt idx="860">
                  <c:v>42479</c:v>
                </c:pt>
                <c:pt idx="861">
                  <c:v>42480</c:v>
                </c:pt>
                <c:pt idx="862">
                  <c:v>42481</c:v>
                </c:pt>
                <c:pt idx="863">
                  <c:v>42482</c:v>
                </c:pt>
                <c:pt idx="864">
                  <c:v>42485</c:v>
                </c:pt>
                <c:pt idx="865">
                  <c:v>42486</c:v>
                </c:pt>
                <c:pt idx="866">
                  <c:v>42487</c:v>
                </c:pt>
                <c:pt idx="867">
                  <c:v>42488</c:v>
                </c:pt>
                <c:pt idx="868">
                  <c:v>42489</c:v>
                </c:pt>
                <c:pt idx="869">
                  <c:v>42492</c:v>
                </c:pt>
                <c:pt idx="870">
                  <c:v>42493</c:v>
                </c:pt>
                <c:pt idx="871">
                  <c:v>42494</c:v>
                </c:pt>
                <c:pt idx="872">
                  <c:v>42495</c:v>
                </c:pt>
                <c:pt idx="873">
                  <c:v>42496</c:v>
                </c:pt>
                <c:pt idx="874">
                  <c:v>42499</c:v>
                </c:pt>
                <c:pt idx="875">
                  <c:v>42500</c:v>
                </c:pt>
                <c:pt idx="876">
                  <c:v>42501</c:v>
                </c:pt>
                <c:pt idx="877">
                  <c:v>42502</c:v>
                </c:pt>
                <c:pt idx="878">
                  <c:v>42503</c:v>
                </c:pt>
                <c:pt idx="879">
                  <c:v>42506</c:v>
                </c:pt>
                <c:pt idx="880">
                  <c:v>42507</c:v>
                </c:pt>
                <c:pt idx="881">
                  <c:v>42508</c:v>
                </c:pt>
                <c:pt idx="882">
                  <c:v>42509</c:v>
                </c:pt>
                <c:pt idx="883">
                  <c:v>42510</c:v>
                </c:pt>
                <c:pt idx="884">
                  <c:v>42513</c:v>
                </c:pt>
                <c:pt idx="885">
                  <c:v>42514</c:v>
                </c:pt>
                <c:pt idx="886">
                  <c:v>42515</c:v>
                </c:pt>
                <c:pt idx="887">
                  <c:v>42516</c:v>
                </c:pt>
                <c:pt idx="888">
                  <c:v>42517</c:v>
                </c:pt>
                <c:pt idx="889">
                  <c:v>42520</c:v>
                </c:pt>
                <c:pt idx="890">
                  <c:v>42521</c:v>
                </c:pt>
                <c:pt idx="891">
                  <c:v>42522</c:v>
                </c:pt>
                <c:pt idx="892">
                  <c:v>42523</c:v>
                </c:pt>
                <c:pt idx="893">
                  <c:v>42524</c:v>
                </c:pt>
                <c:pt idx="894">
                  <c:v>42527</c:v>
                </c:pt>
                <c:pt idx="895">
                  <c:v>42528</c:v>
                </c:pt>
                <c:pt idx="896">
                  <c:v>42529</c:v>
                </c:pt>
                <c:pt idx="897">
                  <c:v>42530</c:v>
                </c:pt>
                <c:pt idx="898">
                  <c:v>42531</c:v>
                </c:pt>
                <c:pt idx="899">
                  <c:v>42534</c:v>
                </c:pt>
                <c:pt idx="900">
                  <c:v>42535</c:v>
                </c:pt>
                <c:pt idx="901">
                  <c:v>42536</c:v>
                </c:pt>
                <c:pt idx="902">
                  <c:v>42537</c:v>
                </c:pt>
                <c:pt idx="903">
                  <c:v>42538</c:v>
                </c:pt>
                <c:pt idx="904">
                  <c:v>42541</c:v>
                </c:pt>
                <c:pt idx="905">
                  <c:v>42542</c:v>
                </c:pt>
                <c:pt idx="906">
                  <c:v>42543</c:v>
                </c:pt>
                <c:pt idx="907">
                  <c:v>42544</c:v>
                </c:pt>
                <c:pt idx="908">
                  <c:v>42545</c:v>
                </c:pt>
                <c:pt idx="909">
                  <c:v>42548</c:v>
                </c:pt>
                <c:pt idx="910">
                  <c:v>42549</c:v>
                </c:pt>
                <c:pt idx="911">
                  <c:v>42550</c:v>
                </c:pt>
                <c:pt idx="912">
                  <c:v>42551</c:v>
                </c:pt>
                <c:pt idx="913">
                  <c:v>42552</c:v>
                </c:pt>
                <c:pt idx="914">
                  <c:v>42555</c:v>
                </c:pt>
                <c:pt idx="915">
                  <c:v>42556</c:v>
                </c:pt>
                <c:pt idx="916">
                  <c:v>42557</c:v>
                </c:pt>
                <c:pt idx="917">
                  <c:v>42558</c:v>
                </c:pt>
                <c:pt idx="918">
                  <c:v>42559</c:v>
                </c:pt>
                <c:pt idx="919">
                  <c:v>42562</c:v>
                </c:pt>
                <c:pt idx="920">
                  <c:v>42563</c:v>
                </c:pt>
                <c:pt idx="921">
                  <c:v>42564</c:v>
                </c:pt>
                <c:pt idx="922">
                  <c:v>42565</c:v>
                </c:pt>
                <c:pt idx="923">
                  <c:v>42566</c:v>
                </c:pt>
                <c:pt idx="924">
                  <c:v>42569</c:v>
                </c:pt>
                <c:pt idx="925">
                  <c:v>42570</c:v>
                </c:pt>
                <c:pt idx="926">
                  <c:v>42571</c:v>
                </c:pt>
                <c:pt idx="927">
                  <c:v>42572</c:v>
                </c:pt>
                <c:pt idx="928">
                  <c:v>42573</c:v>
                </c:pt>
                <c:pt idx="929">
                  <c:v>42576</c:v>
                </c:pt>
                <c:pt idx="930">
                  <c:v>42577</c:v>
                </c:pt>
                <c:pt idx="931">
                  <c:v>42578</c:v>
                </c:pt>
                <c:pt idx="932">
                  <c:v>42579</c:v>
                </c:pt>
                <c:pt idx="933">
                  <c:v>42580</c:v>
                </c:pt>
                <c:pt idx="934">
                  <c:v>42583</c:v>
                </c:pt>
                <c:pt idx="935">
                  <c:v>42584</c:v>
                </c:pt>
                <c:pt idx="936">
                  <c:v>42585</c:v>
                </c:pt>
                <c:pt idx="937">
                  <c:v>42586</c:v>
                </c:pt>
                <c:pt idx="938">
                  <c:v>42587</c:v>
                </c:pt>
                <c:pt idx="939">
                  <c:v>42590</c:v>
                </c:pt>
                <c:pt idx="940">
                  <c:v>42591</c:v>
                </c:pt>
                <c:pt idx="941">
                  <c:v>42592</c:v>
                </c:pt>
                <c:pt idx="942">
                  <c:v>42593</c:v>
                </c:pt>
                <c:pt idx="943">
                  <c:v>42594</c:v>
                </c:pt>
                <c:pt idx="944">
                  <c:v>42597</c:v>
                </c:pt>
                <c:pt idx="945">
                  <c:v>42598</c:v>
                </c:pt>
                <c:pt idx="946">
                  <c:v>42599</c:v>
                </c:pt>
                <c:pt idx="947">
                  <c:v>42600</c:v>
                </c:pt>
                <c:pt idx="948">
                  <c:v>42601</c:v>
                </c:pt>
                <c:pt idx="949">
                  <c:v>42604</c:v>
                </c:pt>
                <c:pt idx="950">
                  <c:v>42605</c:v>
                </c:pt>
                <c:pt idx="951">
                  <c:v>42606</c:v>
                </c:pt>
                <c:pt idx="952">
                  <c:v>42607</c:v>
                </c:pt>
                <c:pt idx="953">
                  <c:v>42608</c:v>
                </c:pt>
                <c:pt idx="954">
                  <c:v>42611</c:v>
                </c:pt>
                <c:pt idx="955">
                  <c:v>42612</c:v>
                </c:pt>
                <c:pt idx="956">
                  <c:v>42613</c:v>
                </c:pt>
                <c:pt idx="957">
                  <c:v>42614</c:v>
                </c:pt>
                <c:pt idx="958">
                  <c:v>42615</c:v>
                </c:pt>
                <c:pt idx="959">
                  <c:v>42618</c:v>
                </c:pt>
                <c:pt idx="960">
                  <c:v>42619</c:v>
                </c:pt>
                <c:pt idx="961">
                  <c:v>42620</c:v>
                </c:pt>
                <c:pt idx="962">
                  <c:v>42621</c:v>
                </c:pt>
                <c:pt idx="963">
                  <c:v>42622</c:v>
                </c:pt>
                <c:pt idx="964">
                  <c:v>42625</c:v>
                </c:pt>
                <c:pt idx="965">
                  <c:v>42626</c:v>
                </c:pt>
                <c:pt idx="966">
                  <c:v>42627</c:v>
                </c:pt>
                <c:pt idx="967">
                  <c:v>42628</c:v>
                </c:pt>
                <c:pt idx="968">
                  <c:v>42629</c:v>
                </c:pt>
                <c:pt idx="969">
                  <c:v>42632</c:v>
                </c:pt>
                <c:pt idx="970">
                  <c:v>42633</c:v>
                </c:pt>
              </c:numCache>
            </c:numRef>
          </c:cat>
          <c:val>
            <c:numRef>
              <c:f>[0]!longExoRange</c:f>
              <c:numCache>
                <c:formatCode>General</c:formatCode>
                <c:ptCount val="971"/>
                <c:pt idx="0">
                  <c:v>0</c:v>
                </c:pt>
                <c:pt idx="1">
                  <c:v>-8500</c:v>
                </c:pt>
                <c:pt idx="2">
                  <c:v>-8000</c:v>
                </c:pt>
                <c:pt idx="3">
                  <c:v>-11750</c:v>
                </c:pt>
                <c:pt idx="4">
                  <c:v>-10875</c:v>
                </c:pt>
                <c:pt idx="5">
                  <c:v>-7500</c:v>
                </c:pt>
                <c:pt idx="6">
                  <c:v>-6250</c:v>
                </c:pt>
                <c:pt idx="7">
                  <c:v>-4375</c:v>
                </c:pt>
                <c:pt idx="8">
                  <c:v>4125</c:v>
                </c:pt>
                <c:pt idx="9">
                  <c:v>8000</c:v>
                </c:pt>
                <c:pt idx="10">
                  <c:v>12500</c:v>
                </c:pt>
                <c:pt idx="11">
                  <c:v>11250</c:v>
                </c:pt>
                <c:pt idx="12">
                  <c:v>10375</c:v>
                </c:pt>
                <c:pt idx="13">
                  <c:v>10875</c:v>
                </c:pt>
                <c:pt idx="14">
                  <c:v>10625</c:v>
                </c:pt>
                <c:pt idx="15">
                  <c:v>11875</c:v>
                </c:pt>
                <c:pt idx="16">
                  <c:v>8375</c:v>
                </c:pt>
                <c:pt idx="17">
                  <c:v>7375</c:v>
                </c:pt>
                <c:pt idx="18">
                  <c:v>7000</c:v>
                </c:pt>
                <c:pt idx="19">
                  <c:v>8500</c:v>
                </c:pt>
                <c:pt idx="20">
                  <c:v>12125</c:v>
                </c:pt>
                <c:pt idx="21">
                  <c:v>16875</c:v>
                </c:pt>
                <c:pt idx="22">
                  <c:v>16500</c:v>
                </c:pt>
                <c:pt idx="23">
                  <c:v>15630</c:v>
                </c:pt>
                <c:pt idx="24">
                  <c:v>13255</c:v>
                </c:pt>
                <c:pt idx="25">
                  <c:v>10130</c:v>
                </c:pt>
                <c:pt idx="26">
                  <c:v>8255</c:v>
                </c:pt>
                <c:pt idx="27">
                  <c:v>3755</c:v>
                </c:pt>
                <c:pt idx="28">
                  <c:v>2755</c:v>
                </c:pt>
                <c:pt idx="29">
                  <c:v>-2495</c:v>
                </c:pt>
                <c:pt idx="30">
                  <c:v>-6495</c:v>
                </c:pt>
                <c:pt idx="31">
                  <c:v>-6995</c:v>
                </c:pt>
                <c:pt idx="32">
                  <c:v>-7995</c:v>
                </c:pt>
                <c:pt idx="33">
                  <c:v>-4745</c:v>
                </c:pt>
                <c:pt idx="34">
                  <c:v>-3870</c:v>
                </c:pt>
                <c:pt idx="35">
                  <c:v>-6745</c:v>
                </c:pt>
                <c:pt idx="36">
                  <c:v>-3870</c:v>
                </c:pt>
                <c:pt idx="37">
                  <c:v>-7370</c:v>
                </c:pt>
                <c:pt idx="38">
                  <c:v>-7995</c:v>
                </c:pt>
                <c:pt idx="39">
                  <c:v>-7745</c:v>
                </c:pt>
                <c:pt idx="40">
                  <c:v>-4495</c:v>
                </c:pt>
                <c:pt idx="41">
                  <c:v>-2870</c:v>
                </c:pt>
                <c:pt idx="42">
                  <c:v>1255</c:v>
                </c:pt>
                <c:pt idx="43">
                  <c:v>3135</c:v>
                </c:pt>
                <c:pt idx="44">
                  <c:v>-1365</c:v>
                </c:pt>
                <c:pt idx="45">
                  <c:v>2510</c:v>
                </c:pt>
                <c:pt idx="46">
                  <c:v>-4240</c:v>
                </c:pt>
                <c:pt idx="47">
                  <c:v>-8365</c:v>
                </c:pt>
                <c:pt idx="48">
                  <c:v>-1365</c:v>
                </c:pt>
                <c:pt idx="49">
                  <c:v>5510</c:v>
                </c:pt>
                <c:pt idx="50">
                  <c:v>6760</c:v>
                </c:pt>
                <c:pt idx="51">
                  <c:v>3635</c:v>
                </c:pt>
                <c:pt idx="52">
                  <c:v>6510</c:v>
                </c:pt>
                <c:pt idx="53">
                  <c:v>7135</c:v>
                </c:pt>
                <c:pt idx="54">
                  <c:v>7260</c:v>
                </c:pt>
                <c:pt idx="55">
                  <c:v>11760</c:v>
                </c:pt>
                <c:pt idx="56">
                  <c:v>14385</c:v>
                </c:pt>
                <c:pt idx="57">
                  <c:v>15885</c:v>
                </c:pt>
                <c:pt idx="58">
                  <c:v>12385</c:v>
                </c:pt>
                <c:pt idx="59">
                  <c:v>14260</c:v>
                </c:pt>
                <c:pt idx="60">
                  <c:v>13010</c:v>
                </c:pt>
                <c:pt idx="61">
                  <c:v>17010</c:v>
                </c:pt>
                <c:pt idx="62">
                  <c:v>-3490</c:v>
                </c:pt>
                <c:pt idx="63">
                  <c:v>-13990</c:v>
                </c:pt>
                <c:pt idx="64">
                  <c:v>-27990</c:v>
                </c:pt>
                <c:pt idx="65">
                  <c:v>-33615</c:v>
                </c:pt>
                <c:pt idx="66">
                  <c:v>-31365</c:v>
                </c:pt>
                <c:pt idx="67">
                  <c:v>-34865</c:v>
                </c:pt>
                <c:pt idx="68">
                  <c:v>-36365</c:v>
                </c:pt>
                <c:pt idx="69">
                  <c:v>-34740</c:v>
                </c:pt>
                <c:pt idx="70">
                  <c:v>-29365</c:v>
                </c:pt>
                <c:pt idx="71">
                  <c:v>-28490</c:v>
                </c:pt>
                <c:pt idx="72">
                  <c:v>-24490</c:v>
                </c:pt>
                <c:pt idx="73">
                  <c:v>-22865</c:v>
                </c:pt>
                <c:pt idx="74">
                  <c:v>-26615</c:v>
                </c:pt>
                <c:pt idx="75">
                  <c:v>-20990</c:v>
                </c:pt>
                <c:pt idx="76">
                  <c:v>-21365</c:v>
                </c:pt>
                <c:pt idx="77">
                  <c:v>-28115</c:v>
                </c:pt>
                <c:pt idx="78">
                  <c:v>-25990</c:v>
                </c:pt>
                <c:pt idx="79">
                  <c:v>-28490</c:v>
                </c:pt>
                <c:pt idx="80">
                  <c:v>-30865</c:v>
                </c:pt>
                <c:pt idx="81">
                  <c:v>-32240</c:v>
                </c:pt>
                <c:pt idx="82">
                  <c:v>-29115</c:v>
                </c:pt>
                <c:pt idx="83">
                  <c:v>-30865</c:v>
                </c:pt>
                <c:pt idx="84">
                  <c:v>-11365</c:v>
                </c:pt>
                <c:pt idx="85">
                  <c:v>-13865</c:v>
                </c:pt>
                <c:pt idx="86">
                  <c:v>-16485</c:v>
                </c:pt>
                <c:pt idx="87">
                  <c:v>-10860</c:v>
                </c:pt>
                <c:pt idx="88">
                  <c:v>-10360</c:v>
                </c:pt>
                <c:pt idx="89">
                  <c:v>-22360</c:v>
                </c:pt>
                <c:pt idx="90">
                  <c:v>-19485</c:v>
                </c:pt>
                <c:pt idx="91">
                  <c:v>-25110</c:v>
                </c:pt>
                <c:pt idx="92">
                  <c:v>-15360</c:v>
                </c:pt>
                <c:pt idx="93">
                  <c:v>-23235</c:v>
                </c:pt>
                <c:pt idx="94">
                  <c:v>-13360</c:v>
                </c:pt>
                <c:pt idx="95">
                  <c:v>-15610</c:v>
                </c:pt>
                <c:pt idx="96">
                  <c:v>-16485</c:v>
                </c:pt>
                <c:pt idx="97">
                  <c:v>-19985</c:v>
                </c:pt>
                <c:pt idx="98">
                  <c:v>-14985</c:v>
                </c:pt>
                <c:pt idx="99">
                  <c:v>-17235</c:v>
                </c:pt>
                <c:pt idx="100">
                  <c:v>-22735</c:v>
                </c:pt>
                <c:pt idx="101">
                  <c:v>-13110</c:v>
                </c:pt>
                <c:pt idx="102">
                  <c:v>-9860</c:v>
                </c:pt>
                <c:pt idx="103">
                  <c:v>-11485</c:v>
                </c:pt>
                <c:pt idx="104">
                  <c:v>-12485</c:v>
                </c:pt>
                <c:pt idx="105">
                  <c:v>-8485</c:v>
                </c:pt>
                <c:pt idx="106">
                  <c:v>-8735</c:v>
                </c:pt>
                <c:pt idx="107">
                  <c:v>-14735</c:v>
                </c:pt>
                <c:pt idx="108">
                  <c:v>-9860</c:v>
                </c:pt>
                <c:pt idx="109">
                  <c:v>-11735</c:v>
                </c:pt>
                <c:pt idx="110">
                  <c:v>-13485</c:v>
                </c:pt>
                <c:pt idx="111">
                  <c:v>-10485</c:v>
                </c:pt>
                <c:pt idx="112">
                  <c:v>-10485</c:v>
                </c:pt>
                <c:pt idx="113">
                  <c:v>-8360</c:v>
                </c:pt>
                <c:pt idx="114">
                  <c:v>-16485</c:v>
                </c:pt>
                <c:pt idx="115">
                  <c:v>-13110</c:v>
                </c:pt>
                <c:pt idx="116">
                  <c:v>-16360</c:v>
                </c:pt>
                <c:pt idx="117">
                  <c:v>-18985</c:v>
                </c:pt>
                <c:pt idx="118">
                  <c:v>-13860</c:v>
                </c:pt>
                <c:pt idx="119">
                  <c:v>-8985</c:v>
                </c:pt>
                <c:pt idx="120">
                  <c:v>-5985</c:v>
                </c:pt>
                <c:pt idx="121">
                  <c:v>-485</c:v>
                </c:pt>
                <c:pt idx="122">
                  <c:v>-4235</c:v>
                </c:pt>
                <c:pt idx="123">
                  <c:v>-5735</c:v>
                </c:pt>
                <c:pt idx="124">
                  <c:v>-13360</c:v>
                </c:pt>
                <c:pt idx="125">
                  <c:v>-14735</c:v>
                </c:pt>
                <c:pt idx="126">
                  <c:v>-15985</c:v>
                </c:pt>
                <c:pt idx="127">
                  <c:v>-17860</c:v>
                </c:pt>
                <c:pt idx="128">
                  <c:v>-28485</c:v>
                </c:pt>
                <c:pt idx="129">
                  <c:v>-37230</c:v>
                </c:pt>
                <c:pt idx="130">
                  <c:v>-37605</c:v>
                </c:pt>
                <c:pt idx="131">
                  <c:v>-37480</c:v>
                </c:pt>
                <c:pt idx="132">
                  <c:v>-36105</c:v>
                </c:pt>
                <c:pt idx="133">
                  <c:v>-39980</c:v>
                </c:pt>
                <c:pt idx="134">
                  <c:v>-36230</c:v>
                </c:pt>
                <c:pt idx="135">
                  <c:v>-29855</c:v>
                </c:pt>
                <c:pt idx="136">
                  <c:v>-27980</c:v>
                </c:pt>
                <c:pt idx="137">
                  <c:v>-23480</c:v>
                </c:pt>
                <c:pt idx="138">
                  <c:v>-29355</c:v>
                </c:pt>
                <c:pt idx="139">
                  <c:v>-35230</c:v>
                </c:pt>
                <c:pt idx="140">
                  <c:v>-31480</c:v>
                </c:pt>
                <c:pt idx="141">
                  <c:v>-34230</c:v>
                </c:pt>
                <c:pt idx="142">
                  <c:v>-33355</c:v>
                </c:pt>
                <c:pt idx="143">
                  <c:v>-31605</c:v>
                </c:pt>
                <c:pt idx="144">
                  <c:v>-32980</c:v>
                </c:pt>
                <c:pt idx="145">
                  <c:v>-41730</c:v>
                </c:pt>
                <c:pt idx="146">
                  <c:v>-49355</c:v>
                </c:pt>
                <c:pt idx="147">
                  <c:v>-55730</c:v>
                </c:pt>
                <c:pt idx="148">
                  <c:v>-56605</c:v>
                </c:pt>
                <c:pt idx="149">
                  <c:v>-59355</c:v>
                </c:pt>
                <c:pt idx="150">
                  <c:v>-57355</c:v>
                </c:pt>
                <c:pt idx="151">
                  <c:v>-54230</c:v>
                </c:pt>
                <c:pt idx="152">
                  <c:v>-59980</c:v>
                </c:pt>
                <c:pt idx="153">
                  <c:v>-64605</c:v>
                </c:pt>
                <c:pt idx="154">
                  <c:v>-69355</c:v>
                </c:pt>
                <c:pt idx="155">
                  <c:v>-67855</c:v>
                </c:pt>
                <c:pt idx="156">
                  <c:v>-69355</c:v>
                </c:pt>
                <c:pt idx="157">
                  <c:v>-68105</c:v>
                </c:pt>
                <c:pt idx="158">
                  <c:v>-69855</c:v>
                </c:pt>
                <c:pt idx="159">
                  <c:v>-66730</c:v>
                </c:pt>
                <c:pt idx="160">
                  <c:v>-74355</c:v>
                </c:pt>
                <c:pt idx="161">
                  <c:v>-72480</c:v>
                </c:pt>
                <c:pt idx="162">
                  <c:v>-64355</c:v>
                </c:pt>
                <c:pt idx="163">
                  <c:v>-66980</c:v>
                </c:pt>
                <c:pt idx="164">
                  <c:v>-58980</c:v>
                </c:pt>
                <c:pt idx="165">
                  <c:v>-60480</c:v>
                </c:pt>
                <c:pt idx="166">
                  <c:v>-54355</c:v>
                </c:pt>
                <c:pt idx="167">
                  <c:v>-63105</c:v>
                </c:pt>
                <c:pt idx="168">
                  <c:v>-60855</c:v>
                </c:pt>
                <c:pt idx="169">
                  <c:v>-43230</c:v>
                </c:pt>
                <c:pt idx="170">
                  <c:v>-50605</c:v>
                </c:pt>
                <c:pt idx="171">
                  <c:v>-55980</c:v>
                </c:pt>
                <c:pt idx="172">
                  <c:v>-56105</c:v>
                </c:pt>
                <c:pt idx="173">
                  <c:v>-57105</c:v>
                </c:pt>
                <c:pt idx="174">
                  <c:v>-55475</c:v>
                </c:pt>
                <c:pt idx="175">
                  <c:v>-60100</c:v>
                </c:pt>
                <c:pt idx="176">
                  <c:v>-62350</c:v>
                </c:pt>
                <c:pt idx="177">
                  <c:v>-66850</c:v>
                </c:pt>
                <c:pt idx="178">
                  <c:v>-62850</c:v>
                </c:pt>
                <c:pt idx="179">
                  <c:v>-64725</c:v>
                </c:pt>
                <c:pt idx="180">
                  <c:v>-62225</c:v>
                </c:pt>
                <c:pt idx="181">
                  <c:v>-61725</c:v>
                </c:pt>
                <c:pt idx="182">
                  <c:v>-66225</c:v>
                </c:pt>
                <c:pt idx="183">
                  <c:v>-66350</c:v>
                </c:pt>
                <c:pt idx="184">
                  <c:v>-68225</c:v>
                </c:pt>
                <c:pt idx="185">
                  <c:v>-68600</c:v>
                </c:pt>
                <c:pt idx="186">
                  <c:v>-69350</c:v>
                </c:pt>
                <c:pt idx="187">
                  <c:v>-67850</c:v>
                </c:pt>
                <c:pt idx="188">
                  <c:v>-70850</c:v>
                </c:pt>
                <c:pt idx="189">
                  <c:v>-70350</c:v>
                </c:pt>
                <c:pt idx="190">
                  <c:v>-72225</c:v>
                </c:pt>
                <c:pt idx="191">
                  <c:v>-68225</c:v>
                </c:pt>
                <c:pt idx="192">
                  <c:v>-68850</c:v>
                </c:pt>
                <c:pt idx="193">
                  <c:v>-69225</c:v>
                </c:pt>
                <c:pt idx="194">
                  <c:v>-74100</c:v>
                </c:pt>
                <c:pt idx="195">
                  <c:v>-77725</c:v>
                </c:pt>
                <c:pt idx="196">
                  <c:v>-76725</c:v>
                </c:pt>
                <c:pt idx="197">
                  <c:v>-75725</c:v>
                </c:pt>
                <c:pt idx="198">
                  <c:v>-74600</c:v>
                </c:pt>
                <c:pt idx="199">
                  <c:v>-72475</c:v>
                </c:pt>
                <c:pt idx="200">
                  <c:v>-75600</c:v>
                </c:pt>
                <c:pt idx="201">
                  <c:v>-74600</c:v>
                </c:pt>
                <c:pt idx="202">
                  <c:v>-77475</c:v>
                </c:pt>
                <c:pt idx="203">
                  <c:v>-79225</c:v>
                </c:pt>
                <c:pt idx="204">
                  <c:v>-78350</c:v>
                </c:pt>
                <c:pt idx="205">
                  <c:v>-74975</c:v>
                </c:pt>
                <c:pt idx="206">
                  <c:v>-75225</c:v>
                </c:pt>
                <c:pt idx="207">
                  <c:v>-75225</c:v>
                </c:pt>
                <c:pt idx="208">
                  <c:v>-74850</c:v>
                </c:pt>
                <c:pt idx="209">
                  <c:v>-74725</c:v>
                </c:pt>
                <c:pt idx="210">
                  <c:v>-76225</c:v>
                </c:pt>
                <c:pt idx="211">
                  <c:v>-74725</c:v>
                </c:pt>
                <c:pt idx="212">
                  <c:v>-76475</c:v>
                </c:pt>
                <c:pt idx="213">
                  <c:v>-76100</c:v>
                </c:pt>
                <c:pt idx="214">
                  <c:v>-80725</c:v>
                </c:pt>
                <c:pt idx="215">
                  <c:v>-80975</c:v>
                </c:pt>
                <c:pt idx="216">
                  <c:v>-80975</c:v>
                </c:pt>
                <c:pt idx="217">
                  <c:v>-82725</c:v>
                </c:pt>
                <c:pt idx="218">
                  <c:v>-82475</c:v>
                </c:pt>
                <c:pt idx="219">
                  <c:v>-82975</c:v>
                </c:pt>
                <c:pt idx="220">
                  <c:v>-83975</c:v>
                </c:pt>
                <c:pt idx="221">
                  <c:v>-85725</c:v>
                </c:pt>
                <c:pt idx="222">
                  <c:v>-85725</c:v>
                </c:pt>
                <c:pt idx="223">
                  <c:v>-83975</c:v>
                </c:pt>
                <c:pt idx="224">
                  <c:v>-78225</c:v>
                </c:pt>
                <c:pt idx="225">
                  <c:v>-79350</c:v>
                </c:pt>
                <c:pt idx="226">
                  <c:v>-81225</c:v>
                </c:pt>
                <c:pt idx="227">
                  <c:v>-83350</c:v>
                </c:pt>
                <c:pt idx="228">
                  <c:v>-84225</c:v>
                </c:pt>
                <c:pt idx="229">
                  <c:v>-89725</c:v>
                </c:pt>
                <c:pt idx="230">
                  <c:v>-88600</c:v>
                </c:pt>
                <c:pt idx="231">
                  <c:v>-87600</c:v>
                </c:pt>
                <c:pt idx="232">
                  <c:v>-85975</c:v>
                </c:pt>
                <c:pt idx="233">
                  <c:v>-85600</c:v>
                </c:pt>
                <c:pt idx="234">
                  <c:v>-85475</c:v>
                </c:pt>
                <c:pt idx="235">
                  <c:v>-88100</c:v>
                </c:pt>
                <c:pt idx="236">
                  <c:v>-87100</c:v>
                </c:pt>
                <c:pt idx="237">
                  <c:v>-87725</c:v>
                </c:pt>
                <c:pt idx="238">
                  <c:v>-88225</c:v>
                </c:pt>
                <c:pt idx="239">
                  <c:v>-88720</c:v>
                </c:pt>
                <c:pt idx="240">
                  <c:v>-85345</c:v>
                </c:pt>
                <c:pt idx="241">
                  <c:v>-82595</c:v>
                </c:pt>
                <c:pt idx="242">
                  <c:v>-83220</c:v>
                </c:pt>
                <c:pt idx="243">
                  <c:v>-84595</c:v>
                </c:pt>
                <c:pt idx="244">
                  <c:v>-81845</c:v>
                </c:pt>
                <c:pt idx="245">
                  <c:v>-82720</c:v>
                </c:pt>
                <c:pt idx="246">
                  <c:v>-81220</c:v>
                </c:pt>
                <c:pt idx="247">
                  <c:v>-84095</c:v>
                </c:pt>
                <c:pt idx="248">
                  <c:v>-87470</c:v>
                </c:pt>
                <c:pt idx="249">
                  <c:v>-88095</c:v>
                </c:pt>
                <c:pt idx="250">
                  <c:v>-87095</c:v>
                </c:pt>
                <c:pt idx="251">
                  <c:v>-88095</c:v>
                </c:pt>
                <c:pt idx="252">
                  <c:v>-85970</c:v>
                </c:pt>
                <c:pt idx="253">
                  <c:v>-84345</c:v>
                </c:pt>
                <c:pt idx="254">
                  <c:v>-83470</c:v>
                </c:pt>
                <c:pt idx="255">
                  <c:v>-83345</c:v>
                </c:pt>
                <c:pt idx="256">
                  <c:v>-86220</c:v>
                </c:pt>
                <c:pt idx="257">
                  <c:v>-86970</c:v>
                </c:pt>
                <c:pt idx="258">
                  <c:v>-87095</c:v>
                </c:pt>
                <c:pt idx="259">
                  <c:v>-88845</c:v>
                </c:pt>
                <c:pt idx="260">
                  <c:v>-89345</c:v>
                </c:pt>
                <c:pt idx="261">
                  <c:v>-89590</c:v>
                </c:pt>
                <c:pt idx="262">
                  <c:v>-91465</c:v>
                </c:pt>
                <c:pt idx="263">
                  <c:v>-88965</c:v>
                </c:pt>
                <c:pt idx="264">
                  <c:v>-87465</c:v>
                </c:pt>
                <c:pt idx="265">
                  <c:v>-87340</c:v>
                </c:pt>
                <c:pt idx="266">
                  <c:v>-91340</c:v>
                </c:pt>
                <c:pt idx="267">
                  <c:v>-95090</c:v>
                </c:pt>
                <c:pt idx="268">
                  <c:v>-86465</c:v>
                </c:pt>
                <c:pt idx="269">
                  <c:v>-83590</c:v>
                </c:pt>
                <c:pt idx="270">
                  <c:v>-85340</c:v>
                </c:pt>
                <c:pt idx="271">
                  <c:v>-87465</c:v>
                </c:pt>
                <c:pt idx="272">
                  <c:v>-87465</c:v>
                </c:pt>
                <c:pt idx="273">
                  <c:v>-88840</c:v>
                </c:pt>
                <c:pt idx="274">
                  <c:v>-88715</c:v>
                </c:pt>
                <c:pt idx="275">
                  <c:v>-88965</c:v>
                </c:pt>
                <c:pt idx="276">
                  <c:v>-87715</c:v>
                </c:pt>
                <c:pt idx="277">
                  <c:v>-86090</c:v>
                </c:pt>
                <c:pt idx="278">
                  <c:v>-85965</c:v>
                </c:pt>
                <c:pt idx="279">
                  <c:v>-84840</c:v>
                </c:pt>
                <c:pt idx="280">
                  <c:v>-84465</c:v>
                </c:pt>
                <c:pt idx="281">
                  <c:v>-86840</c:v>
                </c:pt>
                <c:pt idx="282">
                  <c:v>-84215</c:v>
                </c:pt>
                <c:pt idx="283">
                  <c:v>-84840</c:v>
                </c:pt>
                <c:pt idx="284">
                  <c:v>-82835</c:v>
                </c:pt>
                <c:pt idx="285">
                  <c:v>-80460</c:v>
                </c:pt>
                <c:pt idx="286">
                  <c:v>-79085</c:v>
                </c:pt>
                <c:pt idx="287">
                  <c:v>-79460</c:v>
                </c:pt>
                <c:pt idx="288">
                  <c:v>-79085</c:v>
                </c:pt>
                <c:pt idx="289">
                  <c:v>-80335</c:v>
                </c:pt>
                <c:pt idx="290">
                  <c:v>-79960</c:v>
                </c:pt>
                <c:pt idx="291">
                  <c:v>-80835</c:v>
                </c:pt>
                <c:pt idx="292">
                  <c:v>-81210</c:v>
                </c:pt>
                <c:pt idx="293">
                  <c:v>-78835</c:v>
                </c:pt>
                <c:pt idx="294">
                  <c:v>-78210</c:v>
                </c:pt>
                <c:pt idx="295">
                  <c:v>-76710</c:v>
                </c:pt>
                <c:pt idx="296">
                  <c:v>-74210</c:v>
                </c:pt>
                <c:pt idx="297">
                  <c:v>-73210</c:v>
                </c:pt>
                <c:pt idx="298">
                  <c:v>-73710</c:v>
                </c:pt>
                <c:pt idx="299">
                  <c:v>-75835</c:v>
                </c:pt>
                <c:pt idx="300">
                  <c:v>-74710</c:v>
                </c:pt>
                <c:pt idx="301">
                  <c:v>-72335</c:v>
                </c:pt>
                <c:pt idx="302">
                  <c:v>-75585</c:v>
                </c:pt>
                <c:pt idx="303">
                  <c:v>-72335</c:v>
                </c:pt>
                <c:pt idx="304">
                  <c:v>-70830</c:v>
                </c:pt>
                <c:pt idx="305">
                  <c:v>-63955</c:v>
                </c:pt>
                <c:pt idx="306">
                  <c:v>-63580</c:v>
                </c:pt>
                <c:pt idx="307">
                  <c:v>-58205</c:v>
                </c:pt>
                <c:pt idx="308">
                  <c:v>-59080</c:v>
                </c:pt>
                <c:pt idx="309">
                  <c:v>-64705</c:v>
                </c:pt>
                <c:pt idx="310">
                  <c:v>-63080</c:v>
                </c:pt>
                <c:pt idx="311">
                  <c:v>-60705</c:v>
                </c:pt>
                <c:pt idx="312">
                  <c:v>-61080</c:v>
                </c:pt>
                <c:pt idx="313">
                  <c:v>-63080</c:v>
                </c:pt>
                <c:pt idx="314">
                  <c:v>-64080</c:v>
                </c:pt>
                <c:pt idx="315">
                  <c:v>-60955</c:v>
                </c:pt>
                <c:pt idx="316">
                  <c:v>-59330</c:v>
                </c:pt>
                <c:pt idx="317">
                  <c:v>-64830</c:v>
                </c:pt>
                <c:pt idx="318">
                  <c:v>-64080</c:v>
                </c:pt>
                <c:pt idx="319">
                  <c:v>-59830</c:v>
                </c:pt>
                <c:pt idx="320">
                  <c:v>-61330</c:v>
                </c:pt>
                <c:pt idx="321">
                  <c:v>-62455</c:v>
                </c:pt>
                <c:pt idx="322">
                  <c:v>-58455</c:v>
                </c:pt>
                <c:pt idx="323">
                  <c:v>-57455</c:v>
                </c:pt>
                <c:pt idx="324">
                  <c:v>-53705</c:v>
                </c:pt>
                <c:pt idx="325">
                  <c:v>-50330</c:v>
                </c:pt>
                <c:pt idx="326">
                  <c:v>-57080</c:v>
                </c:pt>
                <c:pt idx="327">
                  <c:v>-55705</c:v>
                </c:pt>
                <c:pt idx="328">
                  <c:v>-54580</c:v>
                </c:pt>
                <c:pt idx="329">
                  <c:v>-55205</c:v>
                </c:pt>
                <c:pt idx="330">
                  <c:v>-50830</c:v>
                </c:pt>
                <c:pt idx="331">
                  <c:v>-52080</c:v>
                </c:pt>
                <c:pt idx="332">
                  <c:v>-53080</c:v>
                </c:pt>
                <c:pt idx="333">
                  <c:v>-54705</c:v>
                </c:pt>
                <c:pt idx="334">
                  <c:v>-52205</c:v>
                </c:pt>
                <c:pt idx="335">
                  <c:v>-52830</c:v>
                </c:pt>
                <c:pt idx="336">
                  <c:v>-55955</c:v>
                </c:pt>
                <c:pt idx="337">
                  <c:v>-57455</c:v>
                </c:pt>
                <c:pt idx="338">
                  <c:v>-57830</c:v>
                </c:pt>
                <c:pt idx="339">
                  <c:v>-60580</c:v>
                </c:pt>
                <c:pt idx="340">
                  <c:v>-55205</c:v>
                </c:pt>
                <c:pt idx="341">
                  <c:v>-52955</c:v>
                </c:pt>
                <c:pt idx="342">
                  <c:v>-53830</c:v>
                </c:pt>
                <c:pt idx="343">
                  <c:v>-50830</c:v>
                </c:pt>
                <c:pt idx="344">
                  <c:v>-50205</c:v>
                </c:pt>
                <c:pt idx="345">
                  <c:v>-47205</c:v>
                </c:pt>
                <c:pt idx="346">
                  <c:v>-48330</c:v>
                </c:pt>
                <c:pt idx="347">
                  <c:v>-53825</c:v>
                </c:pt>
                <c:pt idx="348">
                  <c:v>-58450</c:v>
                </c:pt>
                <c:pt idx="349">
                  <c:v>-53075</c:v>
                </c:pt>
                <c:pt idx="350">
                  <c:v>-48700</c:v>
                </c:pt>
                <c:pt idx="351">
                  <c:v>-52075</c:v>
                </c:pt>
                <c:pt idx="352">
                  <c:v>-49450</c:v>
                </c:pt>
                <c:pt idx="353">
                  <c:v>-52325</c:v>
                </c:pt>
                <c:pt idx="354">
                  <c:v>-57825</c:v>
                </c:pt>
                <c:pt idx="355">
                  <c:v>-56825</c:v>
                </c:pt>
                <c:pt idx="356">
                  <c:v>-59450</c:v>
                </c:pt>
                <c:pt idx="357">
                  <c:v>-65450</c:v>
                </c:pt>
                <c:pt idx="358">
                  <c:v>-66450</c:v>
                </c:pt>
                <c:pt idx="359">
                  <c:v>-68950</c:v>
                </c:pt>
                <c:pt idx="360">
                  <c:v>-70450</c:v>
                </c:pt>
                <c:pt idx="361">
                  <c:v>-70325</c:v>
                </c:pt>
                <c:pt idx="362">
                  <c:v>-69700</c:v>
                </c:pt>
                <c:pt idx="363">
                  <c:v>-68825</c:v>
                </c:pt>
                <c:pt idx="364">
                  <c:v>-68450</c:v>
                </c:pt>
                <c:pt idx="365">
                  <c:v>-72325</c:v>
                </c:pt>
                <c:pt idx="366">
                  <c:v>-71575</c:v>
                </c:pt>
                <c:pt idx="367">
                  <c:v>-73200</c:v>
                </c:pt>
                <c:pt idx="368">
                  <c:v>-74075</c:v>
                </c:pt>
                <c:pt idx="369">
                  <c:v>-74075</c:v>
                </c:pt>
                <c:pt idx="370">
                  <c:v>-78825</c:v>
                </c:pt>
                <c:pt idx="371">
                  <c:v>-79325</c:v>
                </c:pt>
                <c:pt idx="372">
                  <c:v>-82325</c:v>
                </c:pt>
                <c:pt idx="373">
                  <c:v>-79075</c:v>
                </c:pt>
                <c:pt idx="374">
                  <c:v>-83825</c:v>
                </c:pt>
                <c:pt idx="375">
                  <c:v>-84325</c:v>
                </c:pt>
                <c:pt idx="376">
                  <c:v>-87450</c:v>
                </c:pt>
                <c:pt idx="377">
                  <c:v>-86325</c:v>
                </c:pt>
                <c:pt idx="378">
                  <c:v>-85075</c:v>
                </c:pt>
                <c:pt idx="379">
                  <c:v>-86825</c:v>
                </c:pt>
                <c:pt idx="380">
                  <c:v>-88075</c:v>
                </c:pt>
                <c:pt idx="381">
                  <c:v>-86325</c:v>
                </c:pt>
                <c:pt idx="382">
                  <c:v>-83075</c:v>
                </c:pt>
                <c:pt idx="383">
                  <c:v>-81075</c:v>
                </c:pt>
                <c:pt idx="384">
                  <c:v>-84700</c:v>
                </c:pt>
                <c:pt idx="385">
                  <c:v>-86575</c:v>
                </c:pt>
                <c:pt idx="386">
                  <c:v>-87075</c:v>
                </c:pt>
                <c:pt idx="387">
                  <c:v>-84325</c:v>
                </c:pt>
                <c:pt idx="388">
                  <c:v>-84075</c:v>
                </c:pt>
                <c:pt idx="389">
                  <c:v>-94825</c:v>
                </c:pt>
                <c:pt idx="390">
                  <c:v>-97195</c:v>
                </c:pt>
                <c:pt idx="391">
                  <c:v>-98695</c:v>
                </c:pt>
                <c:pt idx="392">
                  <c:v>-99945</c:v>
                </c:pt>
                <c:pt idx="393">
                  <c:v>-103570</c:v>
                </c:pt>
                <c:pt idx="394">
                  <c:v>-104320</c:v>
                </c:pt>
                <c:pt idx="395">
                  <c:v>-105945</c:v>
                </c:pt>
                <c:pt idx="396">
                  <c:v>-109695</c:v>
                </c:pt>
                <c:pt idx="397">
                  <c:v>-111695</c:v>
                </c:pt>
                <c:pt idx="398">
                  <c:v>-115195</c:v>
                </c:pt>
                <c:pt idx="399">
                  <c:v>-114195</c:v>
                </c:pt>
                <c:pt idx="400">
                  <c:v>-117320</c:v>
                </c:pt>
                <c:pt idx="401">
                  <c:v>-116695</c:v>
                </c:pt>
                <c:pt idx="402">
                  <c:v>-114945</c:v>
                </c:pt>
                <c:pt idx="403">
                  <c:v>-118695</c:v>
                </c:pt>
                <c:pt idx="404">
                  <c:v>-122195</c:v>
                </c:pt>
                <c:pt idx="405">
                  <c:v>-124195</c:v>
                </c:pt>
                <c:pt idx="406">
                  <c:v>-123695</c:v>
                </c:pt>
                <c:pt idx="407">
                  <c:v>-124445</c:v>
                </c:pt>
                <c:pt idx="408">
                  <c:v>-123570</c:v>
                </c:pt>
                <c:pt idx="409">
                  <c:v>-120695</c:v>
                </c:pt>
                <c:pt idx="410">
                  <c:v>-124195</c:v>
                </c:pt>
                <c:pt idx="411">
                  <c:v>-124445</c:v>
                </c:pt>
                <c:pt idx="412">
                  <c:v>-125820</c:v>
                </c:pt>
                <c:pt idx="413">
                  <c:v>-127695</c:v>
                </c:pt>
                <c:pt idx="414">
                  <c:v>-125070</c:v>
                </c:pt>
                <c:pt idx="415">
                  <c:v>-127320</c:v>
                </c:pt>
                <c:pt idx="416">
                  <c:v>-123820</c:v>
                </c:pt>
                <c:pt idx="417">
                  <c:v>-125820</c:v>
                </c:pt>
                <c:pt idx="418">
                  <c:v>-128695</c:v>
                </c:pt>
                <c:pt idx="419">
                  <c:v>-126945</c:v>
                </c:pt>
                <c:pt idx="420">
                  <c:v>-125195</c:v>
                </c:pt>
                <c:pt idx="421">
                  <c:v>-125570</c:v>
                </c:pt>
                <c:pt idx="422">
                  <c:v>-123695</c:v>
                </c:pt>
                <c:pt idx="423">
                  <c:v>-121820</c:v>
                </c:pt>
                <c:pt idx="424">
                  <c:v>-124070</c:v>
                </c:pt>
                <c:pt idx="425">
                  <c:v>-123945</c:v>
                </c:pt>
                <c:pt idx="426">
                  <c:v>-125445</c:v>
                </c:pt>
                <c:pt idx="427">
                  <c:v>-124070</c:v>
                </c:pt>
                <c:pt idx="428">
                  <c:v>-122695</c:v>
                </c:pt>
                <c:pt idx="429">
                  <c:v>-124945</c:v>
                </c:pt>
                <c:pt idx="430">
                  <c:v>-127070</c:v>
                </c:pt>
                <c:pt idx="431">
                  <c:v>-126695</c:v>
                </c:pt>
                <c:pt idx="432">
                  <c:v>-124195</c:v>
                </c:pt>
                <c:pt idx="433">
                  <c:v>-127320</c:v>
                </c:pt>
                <c:pt idx="434">
                  <c:v>-126565</c:v>
                </c:pt>
                <c:pt idx="435">
                  <c:v>-127065</c:v>
                </c:pt>
                <c:pt idx="436">
                  <c:v>-132440</c:v>
                </c:pt>
                <c:pt idx="437">
                  <c:v>-135940</c:v>
                </c:pt>
                <c:pt idx="438">
                  <c:v>-131565</c:v>
                </c:pt>
                <c:pt idx="439">
                  <c:v>-135190</c:v>
                </c:pt>
                <c:pt idx="440">
                  <c:v>-136690</c:v>
                </c:pt>
                <c:pt idx="441">
                  <c:v>-135690</c:v>
                </c:pt>
                <c:pt idx="442">
                  <c:v>-139440</c:v>
                </c:pt>
                <c:pt idx="443">
                  <c:v>-139815</c:v>
                </c:pt>
                <c:pt idx="444">
                  <c:v>-137565</c:v>
                </c:pt>
                <c:pt idx="445">
                  <c:v>-136690</c:v>
                </c:pt>
                <c:pt idx="446">
                  <c:v>-138315</c:v>
                </c:pt>
                <c:pt idx="447">
                  <c:v>-139690</c:v>
                </c:pt>
                <c:pt idx="448">
                  <c:v>-142690</c:v>
                </c:pt>
                <c:pt idx="449">
                  <c:v>-143815</c:v>
                </c:pt>
                <c:pt idx="450">
                  <c:v>-146190</c:v>
                </c:pt>
                <c:pt idx="451">
                  <c:v>-144315</c:v>
                </c:pt>
                <c:pt idx="452">
                  <c:v>-146065</c:v>
                </c:pt>
                <c:pt idx="453">
                  <c:v>-147315</c:v>
                </c:pt>
                <c:pt idx="454">
                  <c:v>-146315</c:v>
                </c:pt>
                <c:pt idx="455">
                  <c:v>-148190</c:v>
                </c:pt>
                <c:pt idx="456">
                  <c:v>-148440</c:v>
                </c:pt>
                <c:pt idx="457">
                  <c:v>-148315</c:v>
                </c:pt>
                <c:pt idx="458">
                  <c:v>-147565</c:v>
                </c:pt>
                <c:pt idx="459">
                  <c:v>-143065</c:v>
                </c:pt>
                <c:pt idx="460">
                  <c:v>-139315</c:v>
                </c:pt>
                <c:pt idx="461">
                  <c:v>-137940</c:v>
                </c:pt>
                <c:pt idx="462">
                  <c:v>-136315</c:v>
                </c:pt>
                <c:pt idx="463">
                  <c:v>-142690</c:v>
                </c:pt>
                <c:pt idx="464">
                  <c:v>-136565</c:v>
                </c:pt>
                <c:pt idx="465">
                  <c:v>-131690</c:v>
                </c:pt>
                <c:pt idx="466">
                  <c:v>-134815</c:v>
                </c:pt>
                <c:pt idx="467">
                  <c:v>-133440</c:v>
                </c:pt>
                <c:pt idx="468">
                  <c:v>-135190</c:v>
                </c:pt>
                <c:pt idx="469">
                  <c:v>-135440</c:v>
                </c:pt>
                <c:pt idx="470">
                  <c:v>-130690</c:v>
                </c:pt>
                <c:pt idx="471">
                  <c:v>-132315</c:v>
                </c:pt>
                <c:pt idx="472">
                  <c:v>-129440</c:v>
                </c:pt>
                <c:pt idx="473">
                  <c:v>-132440</c:v>
                </c:pt>
                <c:pt idx="474">
                  <c:v>-128690</c:v>
                </c:pt>
                <c:pt idx="475">
                  <c:v>-126940</c:v>
                </c:pt>
                <c:pt idx="476">
                  <c:v>-122690</c:v>
                </c:pt>
                <c:pt idx="477">
                  <c:v>-121190</c:v>
                </c:pt>
                <c:pt idx="478">
                  <c:v>-122690</c:v>
                </c:pt>
                <c:pt idx="479">
                  <c:v>-123315</c:v>
                </c:pt>
                <c:pt idx="480">
                  <c:v>-126190</c:v>
                </c:pt>
                <c:pt idx="481">
                  <c:v>-124440</c:v>
                </c:pt>
                <c:pt idx="482">
                  <c:v>-123190</c:v>
                </c:pt>
                <c:pt idx="483">
                  <c:v>-124940</c:v>
                </c:pt>
                <c:pt idx="484">
                  <c:v>-123690</c:v>
                </c:pt>
                <c:pt idx="485">
                  <c:v>-122815</c:v>
                </c:pt>
                <c:pt idx="486">
                  <c:v>-120065</c:v>
                </c:pt>
                <c:pt idx="487">
                  <c:v>-117440</c:v>
                </c:pt>
                <c:pt idx="488">
                  <c:v>-117440</c:v>
                </c:pt>
                <c:pt idx="489">
                  <c:v>-120440</c:v>
                </c:pt>
                <c:pt idx="490">
                  <c:v>-122315</c:v>
                </c:pt>
                <c:pt idx="491">
                  <c:v>-127190</c:v>
                </c:pt>
                <c:pt idx="492">
                  <c:v>-122440</c:v>
                </c:pt>
                <c:pt idx="493">
                  <c:v>-120565</c:v>
                </c:pt>
                <c:pt idx="494">
                  <c:v>-125565</c:v>
                </c:pt>
                <c:pt idx="495">
                  <c:v>-122815</c:v>
                </c:pt>
                <c:pt idx="496">
                  <c:v>-119815</c:v>
                </c:pt>
                <c:pt idx="497">
                  <c:v>-121065</c:v>
                </c:pt>
                <c:pt idx="498">
                  <c:v>-120940</c:v>
                </c:pt>
                <c:pt idx="499">
                  <c:v>-121560</c:v>
                </c:pt>
                <c:pt idx="500">
                  <c:v>-124310</c:v>
                </c:pt>
                <c:pt idx="501">
                  <c:v>-125310</c:v>
                </c:pt>
                <c:pt idx="502">
                  <c:v>-120685</c:v>
                </c:pt>
                <c:pt idx="503">
                  <c:v>-117935</c:v>
                </c:pt>
                <c:pt idx="504">
                  <c:v>-119185</c:v>
                </c:pt>
                <c:pt idx="505">
                  <c:v>-118185</c:v>
                </c:pt>
                <c:pt idx="506">
                  <c:v>-119435</c:v>
                </c:pt>
                <c:pt idx="507">
                  <c:v>-117060</c:v>
                </c:pt>
                <c:pt idx="508">
                  <c:v>-110685</c:v>
                </c:pt>
                <c:pt idx="509">
                  <c:v>-111435</c:v>
                </c:pt>
                <c:pt idx="510">
                  <c:v>-112185</c:v>
                </c:pt>
                <c:pt idx="511">
                  <c:v>-111560</c:v>
                </c:pt>
                <c:pt idx="512">
                  <c:v>-110060</c:v>
                </c:pt>
                <c:pt idx="513">
                  <c:v>-111060</c:v>
                </c:pt>
                <c:pt idx="514">
                  <c:v>-109435</c:v>
                </c:pt>
                <c:pt idx="515">
                  <c:v>-108685</c:v>
                </c:pt>
                <c:pt idx="516">
                  <c:v>-111560</c:v>
                </c:pt>
                <c:pt idx="517">
                  <c:v>-110185</c:v>
                </c:pt>
                <c:pt idx="518">
                  <c:v>-108935</c:v>
                </c:pt>
                <c:pt idx="519">
                  <c:v>-109310</c:v>
                </c:pt>
                <c:pt idx="520">
                  <c:v>-112185</c:v>
                </c:pt>
                <c:pt idx="521">
                  <c:v>-117185</c:v>
                </c:pt>
                <c:pt idx="522">
                  <c:v>-116430</c:v>
                </c:pt>
                <c:pt idx="523">
                  <c:v>-117805</c:v>
                </c:pt>
                <c:pt idx="524">
                  <c:v>-112805</c:v>
                </c:pt>
                <c:pt idx="525">
                  <c:v>-113180</c:v>
                </c:pt>
                <c:pt idx="526">
                  <c:v>-117305</c:v>
                </c:pt>
                <c:pt idx="527">
                  <c:v>-118305</c:v>
                </c:pt>
                <c:pt idx="528">
                  <c:v>-115180</c:v>
                </c:pt>
                <c:pt idx="529">
                  <c:v>-114180</c:v>
                </c:pt>
                <c:pt idx="530">
                  <c:v>-122430</c:v>
                </c:pt>
                <c:pt idx="531">
                  <c:v>-125680</c:v>
                </c:pt>
                <c:pt idx="532">
                  <c:v>-126430</c:v>
                </c:pt>
                <c:pt idx="533">
                  <c:v>-122055</c:v>
                </c:pt>
                <c:pt idx="534">
                  <c:v>-122055</c:v>
                </c:pt>
                <c:pt idx="535">
                  <c:v>-120805</c:v>
                </c:pt>
                <c:pt idx="536">
                  <c:v>-121680</c:v>
                </c:pt>
                <c:pt idx="537">
                  <c:v>-123680</c:v>
                </c:pt>
                <c:pt idx="538">
                  <c:v>-122805</c:v>
                </c:pt>
                <c:pt idx="539">
                  <c:v>-123305</c:v>
                </c:pt>
                <c:pt idx="540">
                  <c:v>-124180</c:v>
                </c:pt>
                <c:pt idx="541">
                  <c:v>-127430</c:v>
                </c:pt>
                <c:pt idx="542">
                  <c:v>-130430</c:v>
                </c:pt>
                <c:pt idx="543">
                  <c:v>-130555</c:v>
                </c:pt>
                <c:pt idx="544">
                  <c:v>-130425</c:v>
                </c:pt>
                <c:pt idx="545">
                  <c:v>-122675</c:v>
                </c:pt>
                <c:pt idx="546">
                  <c:v>-125300</c:v>
                </c:pt>
                <c:pt idx="547">
                  <c:v>-123800</c:v>
                </c:pt>
                <c:pt idx="548">
                  <c:v>-124425</c:v>
                </c:pt>
                <c:pt idx="549">
                  <c:v>-120425</c:v>
                </c:pt>
                <c:pt idx="550">
                  <c:v>-122175</c:v>
                </c:pt>
                <c:pt idx="551">
                  <c:v>-122175</c:v>
                </c:pt>
                <c:pt idx="552">
                  <c:v>-124300</c:v>
                </c:pt>
                <c:pt idx="553">
                  <c:v>-123050</c:v>
                </c:pt>
                <c:pt idx="554">
                  <c:v>-122050</c:v>
                </c:pt>
                <c:pt idx="555">
                  <c:v>-121300</c:v>
                </c:pt>
                <c:pt idx="556">
                  <c:v>-123925</c:v>
                </c:pt>
                <c:pt idx="557">
                  <c:v>-121425</c:v>
                </c:pt>
                <c:pt idx="558">
                  <c:v>-123925</c:v>
                </c:pt>
                <c:pt idx="559">
                  <c:v>-126050</c:v>
                </c:pt>
                <c:pt idx="560">
                  <c:v>-126550</c:v>
                </c:pt>
                <c:pt idx="561">
                  <c:v>-129300</c:v>
                </c:pt>
                <c:pt idx="562">
                  <c:v>-125550</c:v>
                </c:pt>
                <c:pt idx="563">
                  <c:v>-121925</c:v>
                </c:pt>
                <c:pt idx="564">
                  <c:v>-125920</c:v>
                </c:pt>
                <c:pt idx="565">
                  <c:v>-124920</c:v>
                </c:pt>
                <c:pt idx="566">
                  <c:v>-125170</c:v>
                </c:pt>
                <c:pt idx="567">
                  <c:v>-124545</c:v>
                </c:pt>
                <c:pt idx="568">
                  <c:v>-128170</c:v>
                </c:pt>
                <c:pt idx="569">
                  <c:v>-125295</c:v>
                </c:pt>
                <c:pt idx="570">
                  <c:v>-126670</c:v>
                </c:pt>
                <c:pt idx="571">
                  <c:v>-124295</c:v>
                </c:pt>
                <c:pt idx="572">
                  <c:v>-125295</c:v>
                </c:pt>
                <c:pt idx="573">
                  <c:v>-129420</c:v>
                </c:pt>
                <c:pt idx="574">
                  <c:v>-130670</c:v>
                </c:pt>
                <c:pt idx="575">
                  <c:v>-134670</c:v>
                </c:pt>
                <c:pt idx="576">
                  <c:v>-133670</c:v>
                </c:pt>
                <c:pt idx="577">
                  <c:v>-133670</c:v>
                </c:pt>
                <c:pt idx="578">
                  <c:v>-126920</c:v>
                </c:pt>
                <c:pt idx="579">
                  <c:v>-124545</c:v>
                </c:pt>
                <c:pt idx="580">
                  <c:v>-123545</c:v>
                </c:pt>
                <c:pt idx="581">
                  <c:v>-122295</c:v>
                </c:pt>
                <c:pt idx="582">
                  <c:v>-124420</c:v>
                </c:pt>
                <c:pt idx="583">
                  <c:v>-124545</c:v>
                </c:pt>
                <c:pt idx="584">
                  <c:v>-123045</c:v>
                </c:pt>
                <c:pt idx="585">
                  <c:v>-131545</c:v>
                </c:pt>
                <c:pt idx="586">
                  <c:v>-129295</c:v>
                </c:pt>
                <c:pt idx="587">
                  <c:v>-126420</c:v>
                </c:pt>
                <c:pt idx="588">
                  <c:v>-125295</c:v>
                </c:pt>
                <c:pt idx="589">
                  <c:v>-127295</c:v>
                </c:pt>
                <c:pt idx="590">
                  <c:v>-128545</c:v>
                </c:pt>
                <c:pt idx="591">
                  <c:v>-130920</c:v>
                </c:pt>
                <c:pt idx="592">
                  <c:v>-130670</c:v>
                </c:pt>
                <c:pt idx="593">
                  <c:v>-131920</c:v>
                </c:pt>
                <c:pt idx="594">
                  <c:v>-134045</c:v>
                </c:pt>
                <c:pt idx="595">
                  <c:v>-132795</c:v>
                </c:pt>
                <c:pt idx="596">
                  <c:v>-132295</c:v>
                </c:pt>
                <c:pt idx="597">
                  <c:v>-131170</c:v>
                </c:pt>
                <c:pt idx="598">
                  <c:v>-130670</c:v>
                </c:pt>
                <c:pt idx="599">
                  <c:v>-130545</c:v>
                </c:pt>
                <c:pt idx="600">
                  <c:v>-133420</c:v>
                </c:pt>
                <c:pt idx="601">
                  <c:v>-133670</c:v>
                </c:pt>
                <c:pt idx="602">
                  <c:v>-132420</c:v>
                </c:pt>
                <c:pt idx="603">
                  <c:v>-137920</c:v>
                </c:pt>
                <c:pt idx="604">
                  <c:v>-140670</c:v>
                </c:pt>
                <c:pt idx="605">
                  <c:v>-140295</c:v>
                </c:pt>
                <c:pt idx="606">
                  <c:v>-139545</c:v>
                </c:pt>
                <c:pt idx="607">
                  <c:v>-140545</c:v>
                </c:pt>
                <c:pt idx="608">
                  <c:v>-142165</c:v>
                </c:pt>
                <c:pt idx="609">
                  <c:v>-141790</c:v>
                </c:pt>
                <c:pt idx="610">
                  <c:v>-143415</c:v>
                </c:pt>
                <c:pt idx="611">
                  <c:v>-140790</c:v>
                </c:pt>
                <c:pt idx="612">
                  <c:v>-142540</c:v>
                </c:pt>
                <c:pt idx="613">
                  <c:v>-142415</c:v>
                </c:pt>
                <c:pt idx="614">
                  <c:v>-143790</c:v>
                </c:pt>
                <c:pt idx="615">
                  <c:v>-141915</c:v>
                </c:pt>
                <c:pt idx="616">
                  <c:v>-142790</c:v>
                </c:pt>
                <c:pt idx="617">
                  <c:v>-139540</c:v>
                </c:pt>
                <c:pt idx="618">
                  <c:v>-141040</c:v>
                </c:pt>
                <c:pt idx="619">
                  <c:v>-138290</c:v>
                </c:pt>
                <c:pt idx="620">
                  <c:v>-142415</c:v>
                </c:pt>
                <c:pt idx="621">
                  <c:v>-143415</c:v>
                </c:pt>
                <c:pt idx="622">
                  <c:v>-140915</c:v>
                </c:pt>
                <c:pt idx="623">
                  <c:v>-142915</c:v>
                </c:pt>
                <c:pt idx="624">
                  <c:v>-143290</c:v>
                </c:pt>
                <c:pt idx="625">
                  <c:v>-146290</c:v>
                </c:pt>
                <c:pt idx="626">
                  <c:v>-148290</c:v>
                </c:pt>
                <c:pt idx="627">
                  <c:v>-146415</c:v>
                </c:pt>
                <c:pt idx="628">
                  <c:v>-148040</c:v>
                </c:pt>
                <c:pt idx="629">
                  <c:v>-147290</c:v>
                </c:pt>
                <c:pt idx="630">
                  <c:v>-143665</c:v>
                </c:pt>
                <c:pt idx="631">
                  <c:v>-144540</c:v>
                </c:pt>
                <c:pt idx="632">
                  <c:v>-141540</c:v>
                </c:pt>
                <c:pt idx="633">
                  <c:v>-143165</c:v>
                </c:pt>
                <c:pt idx="634">
                  <c:v>-141040</c:v>
                </c:pt>
                <c:pt idx="635">
                  <c:v>-140665</c:v>
                </c:pt>
                <c:pt idx="636">
                  <c:v>-143665</c:v>
                </c:pt>
                <c:pt idx="637">
                  <c:v>-145665</c:v>
                </c:pt>
                <c:pt idx="638">
                  <c:v>-146665</c:v>
                </c:pt>
                <c:pt idx="639">
                  <c:v>-149415</c:v>
                </c:pt>
                <c:pt idx="640">
                  <c:v>-147540</c:v>
                </c:pt>
                <c:pt idx="641">
                  <c:v>-144290</c:v>
                </c:pt>
                <c:pt idx="642">
                  <c:v>-143790</c:v>
                </c:pt>
                <c:pt idx="643">
                  <c:v>-146040</c:v>
                </c:pt>
                <c:pt idx="644">
                  <c:v>-144165</c:v>
                </c:pt>
                <c:pt idx="645">
                  <c:v>-139915</c:v>
                </c:pt>
                <c:pt idx="646">
                  <c:v>-139540</c:v>
                </c:pt>
                <c:pt idx="647">
                  <c:v>-135290</c:v>
                </c:pt>
                <c:pt idx="648">
                  <c:v>-129665</c:v>
                </c:pt>
                <c:pt idx="649">
                  <c:v>-129040</c:v>
                </c:pt>
                <c:pt idx="650">
                  <c:v>-116790</c:v>
                </c:pt>
                <c:pt idx="651">
                  <c:v>-117910</c:v>
                </c:pt>
                <c:pt idx="652">
                  <c:v>-111660</c:v>
                </c:pt>
                <c:pt idx="653">
                  <c:v>-112160</c:v>
                </c:pt>
                <c:pt idx="654">
                  <c:v>-112785</c:v>
                </c:pt>
                <c:pt idx="655">
                  <c:v>-115160</c:v>
                </c:pt>
                <c:pt idx="656">
                  <c:v>-114035</c:v>
                </c:pt>
                <c:pt idx="657">
                  <c:v>-110410</c:v>
                </c:pt>
                <c:pt idx="658">
                  <c:v>-108410</c:v>
                </c:pt>
                <c:pt idx="659">
                  <c:v>-105160</c:v>
                </c:pt>
                <c:pt idx="660">
                  <c:v>-110035</c:v>
                </c:pt>
                <c:pt idx="661">
                  <c:v>-112035</c:v>
                </c:pt>
                <c:pt idx="662">
                  <c:v>-110410</c:v>
                </c:pt>
                <c:pt idx="663">
                  <c:v>-115785</c:v>
                </c:pt>
                <c:pt idx="664">
                  <c:v>-122660</c:v>
                </c:pt>
                <c:pt idx="665">
                  <c:v>-122035</c:v>
                </c:pt>
                <c:pt idx="666">
                  <c:v>-124660</c:v>
                </c:pt>
                <c:pt idx="667">
                  <c:v>-125285</c:v>
                </c:pt>
                <c:pt idx="668">
                  <c:v>-128410</c:v>
                </c:pt>
                <c:pt idx="669">
                  <c:v>-137285</c:v>
                </c:pt>
                <c:pt idx="670">
                  <c:v>-140285</c:v>
                </c:pt>
                <c:pt idx="671">
                  <c:v>-141285</c:v>
                </c:pt>
                <c:pt idx="672">
                  <c:v>-140285</c:v>
                </c:pt>
                <c:pt idx="673">
                  <c:v>-138535</c:v>
                </c:pt>
                <c:pt idx="674">
                  <c:v>-141535</c:v>
                </c:pt>
                <c:pt idx="675">
                  <c:v>-142285</c:v>
                </c:pt>
                <c:pt idx="676">
                  <c:v>-139785</c:v>
                </c:pt>
                <c:pt idx="677">
                  <c:v>-140160</c:v>
                </c:pt>
                <c:pt idx="678">
                  <c:v>-139410</c:v>
                </c:pt>
                <c:pt idx="679">
                  <c:v>-132535</c:v>
                </c:pt>
                <c:pt idx="680">
                  <c:v>-135660</c:v>
                </c:pt>
                <c:pt idx="681">
                  <c:v>-147160</c:v>
                </c:pt>
                <c:pt idx="682">
                  <c:v>-145035</c:v>
                </c:pt>
                <c:pt idx="683">
                  <c:v>-144410</c:v>
                </c:pt>
                <c:pt idx="684">
                  <c:v>-143910</c:v>
                </c:pt>
                <c:pt idx="685">
                  <c:v>-142785</c:v>
                </c:pt>
                <c:pt idx="686">
                  <c:v>-142160</c:v>
                </c:pt>
                <c:pt idx="687">
                  <c:v>-140535</c:v>
                </c:pt>
                <c:pt idx="688">
                  <c:v>-143285</c:v>
                </c:pt>
                <c:pt idx="689">
                  <c:v>-141660</c:v>
                </c:pt>
                <c:pt idx="690">
                  <c:v>-143535</c:v>
                </c:pt>
                <c:pt idx="691">
                  <c:v>-144785</c:v>
                </c:pt>
                <c:pt idx="692">
                  <c:v>-144910</c:v>
                </c:pt>
                <c:pt idx="693">
                  <c:v>-143910</c:v>
                </c:pt>
                <c:pt idx="694">
                  <c:v>-144785</c:v>
                </c:pt>
                <c:pt idx="695">
                  <c:v>-147405</c:v>
                </c:pt>
                <c:pt idx="696">
                  <c:v>-149030</c:v>
                </c:pt>
                <c:pt idx="697">
                  <c:v>-151030</c:v>
                </c:pt>
                <c:pt idx="698">
                  <c:v>-150280</c:v>
                </c:pt>
                <c:pt idx="699">
                  <c:v>-150530</c:v>
                </c:pt>
                <c:pt idx="700">
                  <c:v>-148780</c:v>
                </c:pt>
                <c:pt idx="701">
                  <c:v>-147280</c:v>
                </c:pt>
                <c:pt idx="702">
                  <c:v>-144780</c:v>
                </c:pt>
                <c:pt idx="703">
                  <c:v>-139905</c:v>
                </c:pt>
                <c:pt idx="704">
                  <c:v>-135280</c:v>
                </c:pt>
                <c:pt idx="705">
                  <c:v>-136280</c:v>
                </c:pt>
                <c:pt idx="706">
                  <c:v>-138780</c:v>
                </c:pt>
                <c:pt idx="707">
                  <c:v>-141030</c:v>
                </c:pt>
                <c:pt idx="708">
                  <c:v>-142780</c:v>
                </c:pt>
                <c:pt idx="709">
                  <c:v>-139780</c:v>
                </c:pt>
                <c:pt idx="710">
                  <c:v>-141905</c:v>
                </c:pt>
                <c:pt idx="711">
                  <c:v>-140655</c:v>
                </c:pt>
                <c:pt idx="712">
                  <c:v>-141530</c:v>
                </c:pt>
                <c:pt idx="713">
                  <c:v>-137780</c:v>
                </c:pt>
                <c:pt idx="714">
                  <c:v>-138780</c:v>
                </c:pt>
                <c:pt idx="715">
                  <c:v>-137530</c:v>
                </c:pt>
                <c:pt idx="716">
                  <c:v>-139155</c:v>
                </c:pt>
                <c:pt idx="717">
                  <c:v>-136780</c:v>
                </c:pt>
                <c:pt idx="718">
                  <c:v>-136780</c:v>
                </c:pt>
                <c:pt idx="719">
                  <c:v>-135405</c:v>
                </c:pt>
                <c:pt idx="720">
                  <c:v>-133030</c:v>
                </c:pt>
                <c:pt idx="721">
                  <c:v>-133905</c:v>
                </c:pt>
                <c:pt idx="722">
                  <c:v>-135905</c:v>
                </c:pt>
                <c:pt idx="723">
                  <c:v>-139155</c:v>
                </c:pt>
                <c:pt idx="724">
                  <c:v>-141280</c:v>
                </c:pt>
                <c:pt idx="725">
                  <c:v>-139780</c:v>
                </c:pt>
                <c:pt idx="726">
                  <c:v>-142280</c:v>
                </c:pt>
                <c:pt idx="727">
                  <c:v>-144030</c:v>
                </c:pt>
                <c:pt idx="728">
                  <c:v>-143780</c:v>
                </c:pt>
                <c:pt idx="729">
                  <c:v>-145030</c:v>
                </c:pt>
                <c:pt idx="730">
                  <c:v>-144280</c:v>
                </c:pt>
                <c:pt idx="731">
                  <c:v>-141655</c:v>
                </c:pt>
                <c:pt idx="732">
                  <c:v>-142280</c:v>
                </c:pt>
                <c:pt idx="733">
                  <c:v>-142780</c:v>
                </c:pt>
                <c:pt idx="734">
                  <c:v>-139780</c:v>
                </c:pt>
                <c:pt idx="735">
                  <c:v>-141155</c:v>
                </c:pt>
                <c:pt idx="736">
                  <c:v>-143780</c:v>
                </c:pt>
                <c:pt idx="737">
                  <c:v>-142155</c:v>
                </c:pt>
                <c:pt idx="738">
                  <c:v>-140780</c:v>
                </c:pt>
                <c:pt idx="739">
                  <c:v>-143530</c:v>
                </c:pt>
                <c:pt idx="740">
                  <c:v>-142030</c:v>
                </c:pt>
                <c:pt idx="741">
                  <c:v>-140155</c:v>
                </c:pt>
                <c:pt idx="742">
                  <c:v>-144030</c:v>
                </c:pt>
                <c:pt idx="743">
                  <c:v>-145155</c:v>
                </c:pt>
                <c:pt idx="744">
                  <c:v>-147405</c:v>
                </c:pt>
                <c:pt idx="745">
                  <c:v>-152655</c:v>
                </c:pt>
                <c:pt idx="746">
                  <c:v>-151030</c:v>
                </c:pt>
                <c:pt idx="747">
                  <c:v>-151155</c:v>
                </c:pt>
                <c:pt idx="748">
                  <c:v>-152280</c:v>
                </c:pt>
                <c:pt idx="749">
                  <c:v>-152405</c:v>
                </c:pt>
                <c:pt idx="750">
                  <c:v>-151780</c:v>
                </c:pt>
                <c:pt idx="751">
                  <c:v>-151030</c:v>
                </c:pt>
                <c:pt idx="752">
                  <c:v>-149905</c:v>
                </c:pt>
                <c:pt idx="753">
                  <c:v>-150030</c:v>
                </c:pt>
                <c:pt idx="754">
                  <c:v>-148780</c:v>
                </c:pt>
                <c:pt idx="755">
                  <c:v>-150155</c:v>
                </c:pt>
                <c:pt idx="756">
                  <c:v>-149280</c:v>
                </c:pt>
                <c:pt idx="757">
                  <c:v>-149030</c:v>
                </c:pt>
                <c:pt idx="758">
                  <c:v>-151405</c:v>
                </c:pt>
                <c:pt idx="759">
                  <c:v>-149280</c:v>
                </c:pt>
                <c:pt idx="760">
                  <c:v>-148400</c:v>
                </c:pt>
                <c:pt idx="761">
                  <c:v>-149775</c:v>
                </c:pt>
                <c:pt idx="762">
                  <c:v>-146650</c:v>
                </c:pt>
                <c:pt idx="763">
                  <c:v>-144900</c:v>
                </c:pt>
                <c:pt idx="764">
                  <c:v>-148400</c:v>
                </c:pt>
                <c:pt idx="765">
                  <c:v>-148275</c:v>
                </c:pt>
                <c:pt idx="766">
                  <c:v>-148525</c:v>
                </c:pt>
                <c:pt idx="767">
                  <c:v>-145900</c:v>
                </c:pt>
                <c:pt idx="768">
                  <c:v>-147650</c:v>
                </c:pt>
                <c:pt idx="769">
                  <c:v>-145900</c:v>
                </c:pt>
                <c:pt idx="770">
                  <c:v>-145775</c:v>
                </c:pt>
                <c:pt idx="771">
                  <c:v>-150150</c:v>
                </c:pt>
                <c:pt idx="772">
                  <c:v>-148525</c:v>
                </c:pt>
                <c:pt idx="773">
                  <c:v>-147900</c:v>
                </c:pt>
                <c:pt idx="774">
                  <c:v>-149400</c:v>
                </c:pt>
                <c:pt idx="775">
                  <c:v>-151900</c:v>
                </c:pt>
                <c:pt idx="776">
                  <c:v>-152400</c:v>
                </c:pt>
                <c:pt idx="777">
                  <c:v>-152900</c:v>
                </c:pt>
                <c:pt idx="778">
                  <c:v>-153400</c:v>
                </c:pt>
                <c:pt idx="779">
                  <c:v>-154775</c:v>
                </c:pt>
                <c:pt idx="780">
                  <c:v>-154275</c:v>
                </c:pt>
                <c:pt idx="781">
                  <c:v>-155525</c:v>
                </c:pt>
                <c:pt idx="782">
                  <c:v>-155900</c:v>
                </c:pt>
                <c:pt idx="783">
                  <c:v>-155395</c:v>
                </c:pt>
                <c:pt idx="784">
                  <c:v>-159395</c:v>
                </c:pt>
                <c:pt idx="785">
                  <c:v>-158645</c:v>
                </c:pt>
                <c:pt idx="786">
                  <c:v>-158145</c:v>
                </c:pt>
                <c:pt idx="787">
                  <c:v>-159020</c:v>
                </c:pt>
                <c:pt idx="788">
                  <c:v>-157020</c:v>
                </c:pt>
                <c:pt idx="789">
                  <c:v>-159770</c:v>
                </c:pt>
                <c:pt idx="790">
                  <c:v>-156270</c:v>
                </c:pt>
                <c:pt idx="791">
                  <c:v>-155895</c:v>
                </c:pt>
                <c:pt idx="792">
                  <c:v>-155895</c:v>
                </c:pt>
                <c:pt idx="793">
                  <c:v>-154145</c:v>
                </c:pt>
                <c:pt idx="794">
                  <c:v>-153645</c:v>
                </c:pt>
                <c:pt idx="795">
                  <c:v>-151020</c:v>
                </c:pt>
                <c:pt idx="796">
                  <c:v>-151270</c:v>
                </c:pt>
                <c:pt idx="797">
                  <c:v>-151520</c:v>
                </c:pt>
                <c:pt idx="798">
                  <c:v>-150395</c:v>
                </c:pt>
                <c:pt idx="799">
                  <c:v>-150520</c:v>
                </c:pt>
                <c:pt idx="800">
                  <c:v>-150770</c:v>
                </c:pt>
                <c:pt idx="801">
                  <c:v>-150270</c:v>
                </c:pt>
                <c:pt idx="802">
                  <c:v>-152270</c:v>
                </c:pt>
                <c:pt idx="803">
                  <c:v>-149895</c:v>
                </c:pt>
                <c:pt idx="804">
                  <c:v>-150265</c:v>
                </c:pt>
                <c:pt idx="805">
                  <c:v>-149515</c:v>
                </c:pt>
                <c:pt idx="806">
                  <c:v>-150140</c:v>
                </c:pt>
                <c:pt idx="807">
                  <c:v>-151015</c:v>
                </c:pt>
                <c:pt idx="808">
                  <c:v>-152265</c:v>
                </c:pt>
                <c:pt idx="809">
                  <c:v>-154640</c:v>
                </c:pt>
                <c:pt idx="810">
                  <c:v>-155140</c:v>
                </c:pt>
                <c:pt idx="811">
                  <c:v>-155265</c:v>
                </c:pt>
                <c:pt idx="812">
                  <c:v>-155515</c:v>
                </c:pt>
                <c:pt idx="813">
                  <c:v>-156140</c:v>
                </c:pt>
                <c:pt idx="814">
                  <c:v>-155890</c:v>
                </c:pt>
                <c:pt idx="815">
                  <c:v>-154890</c:v>
                </c:pt>
                <c:pt idx="816">
                  <c:v>-152015</c:v>
                </c:pt>
                <c:pt idx="817">
                  <c:v>-152515</c:v>
                </c:pt>
                <c:pt idx="818">
                  <c:v>-153015</c:v>
                </c:pt>
                <c:pt idx="819">
                  <c:v>-151640</c:v>
                </c:pt>
                <c:pt idx="820">
                  <c:v>-154390</c:v>
                </c:pt>
                <c:pt idx="821">
                  <c:v>-155015</c:v>
                </c:pt>
                <c:pt idx="822">
                  <c:v>-157265</c:v>
                </c:pt>
                <c:pt idx="823">
                  <c:v>-158390</c:v>
                </c:pt>
                <c:pt idx="824">
                  <c:v>-159140</c:v>
                </c:pt>
                <c:pt idx="825">
                  <c:v>-159510</c:v>
                </c:pt>
                <c:pt idx="826">
                  <c:v>-160010</c:v>
                </c:pt>
                <c:pt idx="827">
                  <c:v>-160010</c:v>
                </c:pt>
                <c:pt idx="828">
                  <c:v>-158885</c:v>
                </c:pt>
                <c:pt idx="829">
                  <c:v>-157885</c:v>
                </c:pt>
                <c:pt idx="830">
                  <c:v>-158010</c:v>
                </c:pt>
                <c:pt idx="831">
                  <c:v>-158135</c:v>
                </c:pt>
                <c:pt idx="832">
                  <c:v>-156510</c:v>
                </c:pt>
                <c:pt idx="833">
                  <c:v>-155385</c:v>
                </c:pt>
                <c:pt idx="834">
                  <c:v>-153385</c:v>
                </c:pt>
                <c:pt idx="835">
                  <c:v>-153510</c:v>
                </c:pt>
                <c:pt idx="836">
                  <c:v>-154010</c:v>
                </c:pt>
                <c:pt idx="837">
                  <c:v>-153760</c:v>
                </c:pt>
                <c:pt idx="838">
                  <c:v>-154510</c:v>
                </c:pt>
                <c:pt idx="839">
                  <c:v>-153135</c:v>
                </c:pt>
                <c:pt idx="840">
                  <c:v>-153010</c:v>
                </c:pt>
                <c:pt idx="841">
                  <c:v>-153760</c:v>
                </c:pt>
                <c:pt idx="842">
                  <c:v>-153010</c:v>
                </c:pt>
                <c:pt idx="843">
                  <c:v>-152510</c:v>
                </c:pt>
                <c:pt idx="844">
                  <c:v>-152135</c:v>
                </c:pt>
                <c:pt idx="845">
                  <c:v>-151760</c:v>
                </c:pt>
                <c:pt idx="846">
                  <c:v>-153135</c:v>
                </c:pt>
                <c:pt idx="847">
                  <c:v>-163635</c:v>
                </c:pt>
                <c:pt idx="848">
                  <c:v>-162135</c:v>
                </c:pt>
                <c:pt idx="849">
                  <c:v>-160510</c:v>
                </c:pt>
                <c:pt idx="850">
                  <c:v>-160010</c:v>
                </c:pt>
                <c:pt idx="851">
                  <c:v>-158760</c:v>
                </c:pt>
                <c:pt idx="852">
                  <c:v>-157135</c:v>
                </c:pt>
                <c:pt idx="853">
                  <c:v>-156885</c:v>
                </c:pt>
                <c:pt idx="854">
                  <c:v>-159510</c:v>
                </c:pt>
                <c:pt idx="855">
                  <c:v>-158135</c:v>
                </c:pt>
                <c:pt idx="856">
                  <c:v>-150885</c:v>
                </c:pt>
                <c:pt idx="857">
                  <c:v>-150885</c:v>
                </c:pt>
                <c:pt idx="858">
                  <c:v>-147885</c:v>
                </c:pt>
                <c:pt idx="859">
                  <c:v>-147260</c:v>
                </c:pt>
                <c:pt idx="860">
                  <c:v>-145510</c:v>
                </c:pt>
                <c:pt idx="861">
                  <c:v>-142260</c:v>
                </c:pt>
                <c:pt idx="862">
                  <c:v>-142760</c:v>
                </c:pt>
                <c:pt idx="863">
                  <c:v>-151510</c:v>
                </c:pt>
                <c:pt idx="864">
                  <c:v>-147885</c:v>
                </c:pt>
                <c:pt idx="865">
                  <c:v>-147885</c:v>
                </c:pt>
                <c:pt idx="866">
                  <c:v>-149010</c:v>
                </c:pt>
                <c:pt idx="867">
                  <c:v>-145135</c:v>
                </c:pt>
                <c:pt idx="868">
                  <c:v>-145010</c:v>
                </c:pt>
                <c:pt idx="869">
                  <c:v>-146130</c:v>
                </c:pt>
                <c:pt idx="870">
                  <c:v>-151380</c:v>
                </c:pt>
                <c:pt idx="871">
                  <c:v>-151505</c:v>
                </c:pt>
                <c:pt idx="872">
                  <c:v>-153630</c:v>
                </c:pt>
                <c:pt idx="873">
                  <c:v>-151880</c:v>
                </c:pt>
                <c:pt idx="874">
                  <c:v>-155380</c:v>
                </c:pt>
                <c:pt idx="875">
                  <c:v>-151505</c:v>
                </c:pt>
                <c:pt idx="876">
                  <c:v>-152630</c:v>
                </c:pt>
                <c:pt idx="877">
                  <c:v>-147005</c:v>
                </c:pt>
                <c:pt idx="878">
                  <c:v>-145505</c:v>
                </c:pt>
                <c:pt idx="879">
                  <c:v>-144630</c:v>
                </c:pt>
                <c:pt idx="880">
                  <c:v>-142255</c:v>
                </c:pt>
                <c:pt idx="881">
                  <c:v>-141005</c:v>
                </c:pt>
                <c:pt idx="882">
                  <c:v>-146130</c:v>
                </c:pt>
                <c:pt idx="883">
                  <c:v>-144255</c:v>
                </c:pt>
                <c:pt idx="884">
                  <c:v>-142130</c:v>
                </c:pt>
                <c:pt idx="885">
                  <c:v>-140505</c:v>
                </c:pt>
                <c:pt idx="886">
                  <c:v>-138630</c:v>
                </c:pt>
                <c:pt idx="887">
                  <c:v>-136755</c:v>
                </c:pt>
                <c:pt idx="888">
                  <c:v>-134630</c:v>
                </c:pt>
                <c:pt idx="889">
                  <c:v>-133880</c:v>
                </c:pt>
                <c:pt idx="890">
                  <c:v>-137755</c:v>
                </c:pt>
                <c:pt idx="891">
                  <c:v>-134380</c:v>
                </c:pt>
                <c:pt idx="892">
                  <c:v>-132255</c:v>
                </c:pt>
                <c:pt idx="893">
                  <c:v>-131880</c:v>
                </c:pt>
                <c:pt idx="894">
                  <c:v>-127005</c:v>
                </c:pt>
                <c:pt idx="895">
                  <c:v>-127130</c:v>
                </c:pt>
                <c:pt idx="896">
                  <c:v>-124380</c:v>
                </c:pt>
                <c:pt idx="897">
                  <c:v>-127630</c:v>
                </c:pt>
                <c:pt idx="898">
                  <c:v>-129380</c:v>
                </c:pt>
                <c:pt idx="899">
                  <c:v>-126005</c:v>
                </c:pt>
                <c:pt idx="900">
                  <c:v>-123755</c:v>
                </c:pt>
                <c:pt idx="901">
                  <c:v>-125130</c:v>
                </c:pt>
                <c:pt idx="902">
                  <c:v>-128255</c:v>
                </c:pt>
                <c:pt idx="903">
                  <c:v>-123505</c:v>
                </c:pt>
                <c:pt idx="904">
                  <c:v>-129130</c:v>
                </c:pt>
                <c:pt idx="905">
                  <c:v>-141880</c:v>
                </c:pt>
                <c:pt idx="906">
                  <c:v>-142005</c:v>
                </c:pt>
                <c:pt idx="907">
                  <c:v>-146755</c:v>
                </c:pt>
                <c:pt idx="908">
                  <c:v>-149880</c:v>
                </c:pt>
                <c:pt idx="909">
                  <c:v>-149005</c:v>
                </c:pt>
                <c:pt idx="910">
                  <c:v>-148505</c:v>
                </c:pt>
                <c:pt idx="911">
                  <c:v>-153880</c:v>
                </c:pt>
                <c:pt idx="912">
                  <c:v>-159380</c:v>
                </c:pt>
                <c:pt idx="913">
                  <c:v>-163125</c:v>
                </c:pt>
                <c:pt idx="914">
                  <c:v>-167375</c:v>
                </c:pt>
                <c:pt idx="915">
                  <c:v>-168250</c:v>
                </c:pt>
                <c:pt idx="916">
                  <c:v>-171250</c:v>
                </c:pt>
                <c:pt idx="917">
                  <c:v>-172625</c:v>
                </c:pt>
                <c:pt idx="918">
                  <c:v>-166375</c:v>
                </c:pt>
                <c:pt idx="919">
                  <c:v>-170000</c:v>
                </c:pt>
                <c:pt idx="920">
                  <c:v>-167125</c:v>
                </c:pt>
                <c:pt idx="921">
                  <c:v>-162250</c:v>
                </c:pt>
                <c:pt idx="922">
                  <c:v>-164125</c:v>
                </c:pt>
                <c:pt idx="923">
                  <c:v>-166750</c:v>
                </c:pt>
                <c:pt idx="924">
                  <c:v>-165625</c:v>
                </c:pt>
                <c:pt idx="925">
                  <c:v>-171500</c:v>
                </c:pt>
                <c:pt idx="926">
                  <c:v>-175500</c:v>
                </c:pt>
                <c:pt idx="927">
                  <c:v>-175750</c:v>
                </c:pt>
                <c:pt idx="928">
                  <c:v>-175625</c:v>
                </c:pt>
                <c:pt idx="929">
                  <c:v>-176375</c:v>
                </c:pt>
                <c:pt idx="930">
                  <c:v>-177500</c:v>
                </c:pt>
                <c:pt idx="931">
                  <c:v>-175250</c:v>
                </c:pt>
                <c:pt idx="932">
                  <c:v>-178375</c:v>
                </c:pt>
                <c:pt idx="933">
                  <c:v>-176500</c:v>
                </c:pt>
                <c:pt idx="934">
                  <c:v>-179125</c:v>
                </c:pt>
                <c:pt idx="935">
                  <c:v>-182500</c:v>
                </c:pt>
                <c:pt idx="936">
                  <c:v>-180750</c:v>
                </c:pt>
                <c:pt idx="937">
                  <c:v>-182000</c:v>
                </c:pt>
                <c:pt idx="938">
                  <c:v>-181875</c:v>
                </c:pt>
                <c:pt idx="939">
                  <c:v>-180875</c:v>
                </c:pt>
                <c:pt idx="940">
                  <c:v>-181125</c:v>
                </c:pt>
                <c:pt idx="941">
                  <c:v>-180875</c:v>
                </c:pt>
                <c:pt idx="942">
                  <c:v>-182500</c:v>
                </c:pt>
                <c:pt idx="943">
                  <c:v>-183875</c:v>
                </c:pt>
                <c:pt idx="944">
                  <c:v>-179625</c:v>
                </c:pt>
                <c:pt idx="945">
                  <c:v>-179250</c:v>
                </c:pt>
                <c:pt idx="946">
                  <c:v>-179000</c:v>
                </c:pt>
                <c:pt idx="947">
                  <c:v>-177875</c:v>
                </c:pt>
                <c:pt idx="948">
                  <c:v>-176000</c:v>
                </c:pt>
                <c:pt idx="949">
                  <c:v>-176625</c:v>
                </c:pt>
                <c:pt idx="950">
                  <c:v>-178625</c:v>
                </c:pt>
                <c:pt idx="951">
                  <c:v>-179750</c:v>
                </c:pt>
                <c:pt idx="952">
                  <c:v>-181750</c:v>
                </c:pt>
                <c:pt idx="953">
                  <c:v>-184375</c:v>
                </c:pt>
                <c:pt idx="954">
                  <c:v>-187625</c:v>
                </c:pt>
                <c:pt idx="955">
                  <c:v>-189125</c:v>
                </c:pt>
                <c:pt idx="956">
                  <c:v>-189375</c:v>
                </c:pt>
                <c:pt idx="957">
                  <c:v>-186745</c:v>
                </c:pt>
                <c:pt idx="958">
                  <c:v>-183495</c:v>
                </c:pt>
                <c:pt idx="959">
                  <c:v>-183495</c:v>
                </c:pt>
                <c:pt idx="960">
                  <c:v>-184120</c:v>
                </c:pt>
                <c:pt idx="961">
                  <c:v>-181745</c:v>
                </c:pt>
                <c:pt idx="962">
                  <c:v>-178620</c:v>
                </c:pt>
                <c:pt idx="963">
                  <c:v>-176995</c:v>
                </c:pt>
                <c:pt idx="964">
                  <c:v>-177870</c:v>
                </c:pt>
                <c:pt idx="965">
                  <c:v>-182620</c:v>
                </c:pt>
                <c:pt idx="966">
                  <c:v>-182370</c:v>
                </c:pt>
                <c:pt idx="967">
                  <c:v>-183245</c:v>
                </c:pt>
                <c:pt idx="968">
                  <c:v>-179245</c:v>
                </c:pt>
                <c:pt idx="969">
                  <c:v>-180370</c:v>
                </c:pt>
                <c:pt idx="970">
                  <c:v>-177620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307-48B7-B774-75E1495063A0}"/>
            </c:ext>
          </c:extLst>
        </c:ser>
        <c:ser>
          <c:idx val="2"/>
          <c:order val="2"/>
          <c:tx>
            <c:strRef>
              <c:f>Data!$K$11</c:f>
              <c:strCache>
                <c:ptCount val="1"/>
                <c:pt idx="0">
                  <c:v>Short Corn Futures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[0]!dateRange</c:f>
              <c:numCache>
                <c:formatCode>m/d/yyyy</c:formatCode>
                <c:ptCount val="971"/>
                <c:pt idx="0">
                  <c:v>41275</c:v>
                </c:pt>
                <c:pt idx="1">
                  <c:v>41276</c:v>
                </c:pt>
                <c:pt idx="2">
                  <c:v>41277</c:v>
                </c:pt>
                <c:pt idx="3">
                  <c:v>41278</c:v>
                </c:pt>
                <c:pt idx="4">
                  <c:v>41281</c:v>
                </c:pt>
                <c:pt idx="5">
                  <c:v>41282</c:v>
                </c:pt>
                <c:pt idx="6">
                  <c:v>41283</c:v>
                </c:pt>
                <c:pt idx="7">
                  <c:v>41284</c:v>
                </c:pt>
                <c:pt idx="8">
                  <c:v>41285</c:v>
                </c:pt>
                <c:pt idx="9">
                  <c:v>41288</c:v>
                </c:pt>
                <c:pt idx="10">
                  <c:v>41289</c:v>
                </c:pt>
                <c:pt idx="11">
                  <c:v>41290</c:v>
                </c:pt>
                <c:pt idx="12">
                  <c:v>41291</c:v>
                </c:pt>
                <c:pt idx="13">
                  <c:v>41292</c:v>
                </c:pt>
                <c:pt idx="14">
                  <c:v>41295</c:v>
                </c:pt>
                <c:pt idx="15">
                  <c:v>41296</c:v>
                </c:pt>
                <c:pt idx="16">
                  <c:v>41297</c:v>
                </c:pt>
                <c:pt idx="17">
                  <c:v>41298</c:v>
                </c:pt>
                <c:pt idx="18">
                  <c:v>41299</c:v>
                </c:pt>
                <c:pt idx="19">
                  <c:v>41302</c:v>
                </c:pt>
                <c:pt idx="20">
                  <c:v>41303</c:v>
                </c:pt>
                <c:pt idx="21">
                  <c:v>41304</c:v>
                </c:pt>
                <c:pt idx="22">
                  <c:v>41305</c:v>
                </c:pt>
                <c:pt idx="23">
                  <c:v>41306</c:v>
                </c:pt>
                <c:pt idx="24">
                  <c:v>41309</c:v>
                </c:pt>
                <c:pt idx="25">
                  <c:v>41310</c:v>
                </c:pt>
                <c:pt idx="26">
                  <c:v>41311</c:v>
                </c:pt>
                <c:pt idx="27">
                  <c:v>41312</c:v>
                </c:pt>
                <c:pt idx="28">
                  <c:v>41313</c:v>
                </c:pt>
                <c:pt idx="29">
                  <c:v>41316</c:v>
                </c:pt>
                <c:pt idx="30">
                  <c:v>41317</c:v>
                </c:pt>
                <c:pt idx="31">
                  <c:v>41318</c:v>
                </c:pt>
                <c:pt idx="32">
                  <c:v>41319</c:v>
                </c:pt>
                <c:pt idx="33">
                  <c:v>41320</c:v>
                </c:pt>
                <c:pt idx="34">
                  <c:v>41323</c:v>
                </c:pt>
                <c:pt idx="35">
                  <c:v>41324</c:v>
                </c:pt>
                <c:pt idx="36">
                  <c:v>41325</c:v>
                </c:pt>
                <c:pt idx="37">
                  <c:v>41326</c:v>
                </c:pt>
                <c:pt idx="38">
                  <c:v>41327</c:v>
                </c:pt>
                <c:pt idx="39">
                  <c:v>41330</c:v>
                </c:pt>
                <c:pt idx="40">
                  <c:v>41331</c:v>
                </c:pt>
                <c:pt idx="41">
                  <c:v>41332</c:v>
                </c:pt>
                <c:pt idx="42">
                  <c:v>41333</c:v>
                </c:pt>
                <c:pt idx="43">
                  <c:v>41334</c:v>
                </c:pt>
                <c:pt idx="44">
                  <c:v>41337</c:v>
                </c:pt>
                <c:pt idx="45">
                  <c:v>41338</c:v>
                </c:pt>
                <c:pt idx="46">
                  <c:v>41339</c:v>
                </c:pt>
                <c:pt idx="47">
                  <c:v>41340</c:v>
                </c:pt>
                <c:pt idx="48">
                  <c:v>41341</c:v>
                </c:pt>
                <c:pt idx="49">
                  <c:v>41344</c:v>
                </c:pt>
                <c:pt idx="50">
                  <c:v>41345</c:v>
                </c:pt>
                <c:pt idx="51">
                  <c:v>41346</c:v>
                </c:pt>
                <c:pt idx="52">
                  <c:v>41347</c:v>
                </c:pt>
                <c:pt idx="53">
                  <c:v>41348</c:v>
                </c:pt>
                <c:pt idx="54">
                  <c:v>41351</c:v>
                </c:pt>
                <c:pt idx="55">
                  <c:v>41352</c:v>
                </c:pt>
                <c:pt idx="56">
                  <c:v>41353</c:v>
                </c:pt>
                <c:pt idx="57">
                  <c:v>41354</c:v>
                </c:pt>
                <c:pt idx="58">
                  <c:v>41355</c:v>
                </c:pt>
                <c:pt idx="59">
                  <c:v>41358</c:v>
                </c:pt>
                <c:pt idx="60">
                  <c:v>41359</c:v>
                </c:pt>
                <c:pt idx="61">
                  <c:v>41360</c:v>
                </c:pt>
                <c:pt idx="62">
                  <c:v>41361</c:v>
                </c:pt>
                <c:pt idx="63">
                  <c:v>41362</c:v>
                </c:pt>
                <c:pt idx="64">
                  <c:v>41365</c:v>
                </c:pt>
                <c:pt idx="65">
                  <c:v>41366</c:v>
                </c:pt>
                <c:pt idx="66">
                  <c:v>41367</c:v>
                </c:pt>
                <c:pt idx="67">
                  <c:v>41368</c:v>
                </c:pt>
                <c:pt idx="68">
                  <c:v>41369</c:v>
                </c:pt>
                <c:pt idx="69">
                  <c:v>41372</c:v>
                </c:pt>
                <c:pt idx="70">
                  <c:v>41373</c:v>
                </c:pt>
                <c:pt idx="71">
                  <c:v>41374</c:v>
                </c:pt>
                <c:pt idx="72">
                  <c:v>41375</c:v>
                </c:pt>
                <c:pt idx="73">
                  <c:v>41376</c:v>
                </c:pt>
                <c:pt idx="74">
                  <c:v>41379</c:v>
                </c:pt>
                <c:pt idx="75">
                  <c:v>41380</c:v>
                </c:pt>
                <c:pt idx="76">
                  <c:v>41381</c:v>
                </c:pt>
                <c:pt idx="77">
                  <c:v>41382</c:v>
                </c:pt>
                <c:pt idx="78">
                  <c:v>41383</c:v>
                </c:pt>
                <c:pt idx="79">
                  <c:v>41386</c:v>
                </c:pt>
                <c:pt idx="80">
                  <c:v>41387</c:v>
                </c:pt>
                <c:pt idx="81">
                  <c:v>41388</c:v>
                </c:pt>
                <c:pt idx="82">
                  <c:v>41389</c:v>
                </c:pt>
                <c:pt idx="83">
                  <c:v>41390</c:v>
                </c:pt>
                <c:pt idx="84">
                  <c:v>41393</c:v>
                </c:pt>
                <c:pt idx="85">
                  <c:v>41394</c:v>
                </c:pt>
                <c:pt idx="86">
                  <c:v>41395</c:v>
                </c:pt>
                <c:pt idx="87">
                  <c:v>41396</c:v>
                </c:pt>
                <c:pt idx="88">
                  <c:v>41397</c:v>
                </c:pt>
                <c:pt idx="89">
                  <c:v>41400</c:v>
                </c:pt>
                <c:pt idx="90">
                  <c:v>41401</c:v>
                </c:pt>
                <c:pt idx="91">
                  <c:v>41402</c:v>
                </c:pt>
                <c:pt idx="92">
                  <c:v>41403</c:v>
                </c:pt>
                <c:pt idx="93">
                  <c:v>41404</c:v>
                </c:pt>
                <c:pt idx="94">
                  <c:v>41407</c:v>
                </c:pt>
                <c:pt idx="95">
                  <c:v>41408</c:v>
                </c:pt>
                <c:pt idx="96">
                  <c:v>41409</c:v>
                </c:pt>
                <c:pt idx="97">
                  <c:v>41410</c:v>
                </c:pt>
                <c:pt idx="98">
                  <c:v>41411</c:v>
                </c:pt>
                <c:pt idx="99">
                  <c:v>41414</c:v>
                </c:pt>
                <c:pt idx="100">
                  <c:v>41415</c:v>
                </c:pt>
                <c:pt idx="101">
                  <c:v>41416</c:v>
                </c:pt>
                <c:pt idx="102">
                  <c:v>41417</c:v>
                </c:pt>
                <c:pt idx="103">
                  <c:v>41418</c:v>
                </c:pt>
                <c:pt idx="104">
                  <c:v>41421</c:v>
                </c:pt>
                <c:pt idx="105">
                  <c:v>41422</c:v>
                </c:pt>
                <c:pt idx="106">
                  <c:v>41423</c:v>
                </c:pt>
                <c:pt idx="107">
                  <c:v>41424</c:v>
                </c:pt>
                <c:pt idx="108">
                  <c:v>41425</c:v>
                </c:pt>
                <c:pt idx="109">
                  <c:v>41428</c:v>
                </c:pt>
                <c:pt idx="110">
                  <c:v>41429</c:v>
                </c:pt>
                <c:pt idx="111">
                  <c:v>41430</c:v>
                </c:pt>
                <c:pt idx="112">
                  <c:v>41431</c:v>
                </c:pt>
                <c:pt idx="113">
                  <c:v>41432</c:v>
                </c:pt>
                <c:pt idx="114">
                  <c:v>41435</c:v>
                </c:pt>
                <c:pt idx="115">
                  <c:v>41436</c:v>
                </c:pt>
                <c:pt idx="116">
                  <c:v>41437</c:v>
                </c:pt>
                <c:pt idx="117">
                  <c:v>41438</c:v>
                </c:pt>
                <c:pt idx="118">
                  <c:v>41439</c:v>
                </c:pt>
                <c:pt idx="119">
                  <c:v>41442</c:v>
                </c:pt>
                <c:pt idx="120">
                  <c:v>41443</c:v>
                </c:pt>
                <c:pt idx="121">
                  <c:v>41444</c:v>
                </c:pt>
                <c:pt idx="122">
                  <c:v>41445</c:v>
                </c:pt>
                <c:pt idx="123">
                  <c:v>41446</c:v>
                </c:pt>
                <c:pt idx="124">
                  <c:v>41449</c:v>
                </c:pt>
                <c:pt idx="125">
                  <c:v>41450</c:v>
                </c:pt>
                <c:pt idx="126">
                  <c:v>41451</c:v>
                </c:pt>
                <c:pt idx="127">
                  <c:v>41452</c:v>
                </c:pt>
                <c:pt idx="128">
                  <c:v>41453</c:v>
                </c:pt>
                <c:pt idx="129">
                  <c:v>41456</c:v>
                </c:pt>
                <c:pt idx="130">
                  <c:v>41457</c:v>
                </c:pt>
                <c:pt idx="131">
                  <c:v>41458</c:v>
                </c:pt>
                <c:pt idx="132">
                  <c:v>41459</c:v>
                </c:pt>
                <c:pt idx="133">
                  <c:v>41460</c:v>
                </c:pt>
                <c:pt idx="134">
                  <c:v>41463</c:v>
                </c:pt>
                <c:pt idx="135">
                  <c:v>41464</c:v>
                </c:pt>
                <c:pt idx="136">
                  <c:v>41465</c:v>
                </c:pt>
                <c:pt idx="137">
                  <c:v>41466</c:v>
                </c:pt>
                <c:pt idx="138">
                  <c:v>41467</c:v>
                </c:pt>
                <c:pt idx="139">
                  <c:v>41470</c:v>
                </c:pt>
                <c:pt idx="140">
                  <c:v>41471</c:v>
                </c:pt>
                <c:pt idx="141">
                  <c:v>41472</c:v>
                </c:pt>
                <c:pt idx="142">
                  <c:v>41473</c:v>
                </c:pt>
                <c:pt idx="143">
                  <c:v>41474</c:v>
                </c:pt>
                <c:pt idx="144">
                  <c:v>41477</c:v>
                </c:pt>
                <c:pt idx="145">
                  <c:v>41478</c:v>
                </c:pt>
                <c:pt idx="146">
                  <c:v>41479</c:v>
                </c:pt>
                <c:pt idx="147">
                  <c:v>41480</c:v>
                </c:pt>
                <c:pt idx="148">
                  <c:v>41481</c:v>
                </c:pt>
                <c:pt idx="149">
                  <c:v>41484</c:v>
                </c:pt>
                <c:pt idx="150">
                  <c:v>41485</c:v>
                </c:pt>
                <c:pt idx="151">
                  <c:v>41486</c:v>
                </c:pt>
                <c:pt idx="152">
                  <c:v>41487</c:v>
                </c:pt>
                <c:pt idx="153">
                  <c:v>41488</c:v>
                </c:pt>
                <c:pt idx="154">
                  <c:v>41491</c:v>
                </c:pt>
                <c:pt idx="155">
                  <c:v>41492</c:v>
                </c:pt>
                <c:pt idx="156">
                  <c:v>41493</c:v>
                </c:pt>
                <c:pt idx="157">
                  <c:v>41494</c:v>
                </c:pt>
                <c:pt idx="158">
                  <c:v>41495</c:v>
                </c:pt>
                <c:pt idx="159">
                  <c:v>41498</c:v>
                </c:pt>
                <c:pt idx="160">
                  <c:v>41499</c:v>
                </c:pt>
                <c:pt idx="161">
                  <c:v>41500</c:v>
                </c:pt>
                <c:pt idx="162">
                  <c:v>41501</c:v>
                </c:pt>
                <c:pt idx="163">
                  <c:v>41502</c:v>
                </c:pt>
                <c:pt idx="164">
                  <c:v>41505</c:v>
                </c:pt>
                <c:pt idx="165">
                  <c:v>41506</c:v>
                </c:pt>
                <c:pt idx="166">
                  <c:v>41507</c:v>
                </c:pt>
                <c:pt idx="167">
                  <c:v>41508</c:v>
                </c:pt>
                <c:pt idx="168">
                  <c:v>41509</c:v>
                </c:pt>
                <c:pt idx="169">
                  <c:v>41512</c:v>
                </c:pt>
                <c:pt idx="170">
                  <c:v>41513</c:v>
                </c:pt>
                <c:pt idx="171">
                  <c:v>41514</c:v>
                </c:pt>
                <c:pt idx="172">
                  <c:v>41515</c:v>
                </c:pt>
                <c:pt idx="173">
                  <c:v>41516</c:v>
                </c:pt>
                <c:pt idx="174">
                  <c:v>41519</c:v>
                </c:pt>
                <c:pt idx="175">
                  <c:v>41520</c:v>
                </c:pt>
                <c:pt idx="176">
                  <c:v>41521</c:v>
                </c:pt>
                <c:pt idx="177">
                  <c:v>41522</c:v>
                </c:pt>
                <c:pt idx="178">
                  <c:v>41523</c:v>
                </c:pt>
                <c:pt idx="179">
                  <c:v>41526</c:v>
                </c:pt>
                <c:pt idx="180">
                  <c:v>41527</c:v>
                </c:pt>
                <c:pt idx="181">
                  <c:v>41528</c:v>
                </c:pt>
                <c:pt idx="182">
                  <c:v>41529</c:v>
                </c:pt>
                <c:pt idx="183">
                  <c:v>41530</c:v>
                </c:pt>
                <c:pt idx="184">
                  <c:v>41533</c:v>
                </c:pt>
                <c:pt idx="185">
                  <c:v>41534</c:v>
                </c:pt>
                <c:pt idx="186">
                  <c:v>41535</c:v>
                </c:pt>
                <c:pt idx="187">
                  <c:v>41536</c:v>
                </c:pt>
                <c:pt idx="188">
                  <c:v>41537</c:v>
                </c:pt>
                <c:pt idx="189">
                  <c:v>41540</c:v>
                </c:pt>
                <c:pt idx="190">
                  <c:v>41541</c:v>
                </c:pt>
                <c:pt idx="191">
                  <c:v>41542</c:v>
                </c:pt>
                <c:pt idx="192">
                  <c:v>41543</c:v>
                </c:pt>
                <c:pt idx="193">
                  <c:v>41544</c:v>
                </c:pt>
                <c:pt idx="194">
                  <c:v>41547</c:v>
                </c:pt>
                <c:pt idx="195">
                  <c:v>41548</c:v>
                </c:pt>
                <c:pt idx="196">
                  <c:v>41549</c:v>
                </c:pt>
                <c:pt idx="197">
                  <c:v>41550</c:v>
                </c:pt>
                <c:pt idx="198">
                  <c:v>41551</c:v>
                </c:pt>
                <c:pt idx="199">
                  <c:v>41554</c:v>
                </c:pt>
                <c:pt idx="200">
                  <c:v>41555</c:v>
                </c:pt>
                <c:pt idx="201">
                  <c:v>41556</c:v>
                </c:pt>
                <c:pt idx="202">
                  <c:v>41557</c:v>
                </c:pt>
                <c:pt idx="203">
                  <c:v>41558</c:v>
                </c:pt>
                <c:pt idx="204">
                  <c:v>41561</c:v>
                </c:pt>
                <c:pt idx="205">
                  <c:v>41562</c:v>
                </c:pt>
                <c:pt idx="206">
                  <c:v>41563</c:v>
                </c:pt>
                <c:pt idx="207">
                  <c:v>41564</c:v>
                </c:pt>
                <c:pt idx="208">
                  <c:v>41565</c:v>
                </c:pt>
                <c:pt idx="209">
                  <c:v>41568</c:v>
                </c:pt>
                <c:pt idx="210">
                  <c:v>41569</c:v>
                </c:pt>
                <c:pt idx="211">
                  <c:v>41570</c:v>
                </c:pt>
                <c:pt idx="212">
                  <c:v>41571</c:v>
                </c:pt>
                <c:pt idx="213">
                  <c:v>41572</c:v>
                </c:pt>
                <c:pt idx="214">
                  <c:v>41575</c:v>
                </c:pt>
                <c:pt idx="215">
                  <c:v>41576</c:v>
                </c:pt>
                <c:pt idx="216">
                  <c:v>41577</c:v>
                </c:pt>
                <c:pt idx="217">
                  <c:v>41578</c:v>
                </c:pt>
                <c:pt idx="218">
                  <c:v>41579</c:v>
                </c:pt>
                <c:pt idx="219">
                  <c:v>41582</c:v>
                </c:pt>
                <c:pt idx="220">
                  <c:v>41583</c:v>
                </c:pt>
                <c:pt idx="221">
                  <c:v>41584</c:v>
                </c:pt>
                <c:pt idx="222">
                  <c:v>41585</c:v>
                </c:pt>
                <c:pt idx="223">
                  <c:v>41586</c:v>
                </c:pt>
                <c:pt idx="224">
                  <c:v>41589</c:v>
                </c:pt>
                <c:pt idx="225">
                  <c:v>41590</c:v>
                </c:pt>
                <c:pt idx="226">
                  <c:v>41591</c:v>
                </c:pt>
                <c:pt idx="227">
                  <c:v>41592</c:v>
                </c:pt>
                <c:pt idx="228">
                  <c:v>41593</c:v>
                </c:pt>
                <c:pt idx="229">
                  <c:v>41596</c:v>
                </c:pt>
                <c:pt idx="230">
                  <c:v>41597</c:v>
                </c:pt>
                <c:pt idx="231">
                  <c:v>41598</c:v>
                </c:pt>
                <c:pt idx="232">
                  <c:v>41599</c:v>
                </c:pt>
                <c:pt idx="233">
                  <c:v>41600</c:v>
                </c:pt>
                <c:pt idx="234">
                  <c:v>41603</c:v>
                </c:pt>
                <c:pt idx="235">
                  <c:v>41604</c:v>
                </c:pt>
                <c:pt idx="236">
                  <c:v>41605</c:v>
                </c:pt>
                <c:pt idx="237">
                  <c:v>41606</c:v>
                </c:pt>
                <c:pt idx="238">
                  <c:v>41607</c:v>
                </c:pt>
                <c:pt idx="239">
                  <c:v>41610</c:v>
                </c:pt>
                <c:pt idx="240">
                  <c:v>41611</c:v>
                </c:pt>
                <c:pt idx="241">
                  <c:v>41612</c:v>
                </c:pt>
                <c:pt idx="242">
                  <c:v>41613</c:v>
                </c:pt>
                <c:pt idx="243">
                  <c:v>41614</c:v>
                </c:pt>
                <c:pt idx="244">
                  <c:v>41617</c:v>
                </c:pt>
                <c:pt idx="245">
                  <c:v>41618</c:v>
                </c:pt>
                <c:pt idx="246">
                  <c:v>41619</c:v>
                </c:pt>
                <c:pt idx="247">
                  <c:v>41620</c:v>
                </c:pt>
                <c:pt idx="248">
                  <c:v>41621</c:v>
                </c:pt>
                <c:pt idx="249">
                  <c:v>41624</c:v>
                </c:pt>
                <c:pt idx="250">
                  <c:v>41625</c:v>
                </c:pt>
                <c:pt idx="251">
                  <c:v>41626</c:v>
                </c:pt>
                <c:pt idx="252">
                  <c:v>41627</c:v>
                </c:pt>
                <c:pt idx="253">
                  <c:v>41628</c:v>
                </c:pt>
                <c:pt idx="254">
                  <c:v>41631</c:v>
                </c:pt>
                <c:pt idx="255">
                  <c:v>41632</c:v>
                </c:pt>
                <c:pt idx="256">
                  <c:v>41633</c:v>
                </c:pt>
                <c:pt idx="257">
                  <c:v>41634</c:v>
                </c:pt>
                <c:pt idx="258">
                  <c:v>41635</c:v>
                </c:pt>
                <c:pt idx="259">
                  <c:v>41638</c:v>
                </c:pt>
                <c:pt idx="260">
                  <c:v>41639</c:v>
                </c:pt>
                <c:pt idx="261">
                  <c:v>41640</c:v>
                </c:pt>
                <c:pt idx="262">
                  <c:v>41641</c:v>
                </c:pt>
                <c:pt idx="263">
                  <c:v>41642</c:v>
                </c:pt>
                <c:pt idx="264">
                  <c:v>41645</c:v>
                </c:pt>
                <c:pt idx="265">
                  <c:v>41646</c:v>
                </c:pt>
                <c:pt idx="266">
                  <c:v>41647</c:v>
                </c:pt>
                <c:pt idx="267">
                  <c:v>41648</c:v>
                </c:pt>
                <c:pt idx="268">
                  <c:v>41649</c:v>
                </c:pt>
                <c:pt idx="269">
                  <c:v>41652</c:v>
                </c:pt>
                <c:pt idx="270">
                  <c:v>41653</c:v>
                </c:pt>
                <c:pt idx="271">
                  <c:v>41654</c:v>
                </c:pt>
                <c:pt idx="272">
                  <c:v>41655</c:v>
                </c:pt>
                <c:pt idx="273">
                  <c:v>41656</c:v>
                </c:pt>
                <c:pt idx="274">
                  <c:v>41659</c:v>
                </c:pt>
                <c:pt idx="275">
                  <c:v>41660</c:v>
                </c:pt>
                <c:pt idx="276">
                  <c:v>41661</c:v>
                </c:pt>
                <c:pt idx="277">
                  <c:v>41662</c:v>
                </c:pt>
                <c:pt idx="278">
                  <c:v>41663</c:v>
                </c:pt>
                <c:pt idx="279">
                  <c:v>41666</c:v>
                </c:pt>
                <c:pt idx="280">
                  <c:v>41667</c:v>
                </c:pt>
                <c:pt idx="281">
                  <c:v>41668</c:v>
                </c:pt>
                <c:pt idx="282">
                  <c:v>41669</c:v>
                </c:pt>
                <c:pt idx="283">
                  <c:v>41670</c:v>
                </c:pt>
                <c:pt idx="284">
                  <c:v>41673</c:v>
                </c:pt>
                <c:pt idx="285">
                  <c:v>41674</c:v>
                </c:pt>
                <c:pt idx="286">
                  <c:v>41675</c:v>
                </c:pt>
                <c:pt idx="287">
                  <c:v>41676</c:v>
                </c:pt>
                <c:pt idx="288">
                  <c:v>41677</c:v>
                </c:pt>
                <c:pt idx="289">
                  <c:v>41680</c:v>
                </c:pt>
                <c:pt idx="290">
                  <c:v>41681</c:v>
                </c:pt>
                <c:pt idx="291">
                  <c:v>41682</c:v>
                </c:pt>
                <c:pt idx="292">
                  <c:v>41683</c:v>
                </c:pt>
                <c:pt idx="293">
                  <c:v>41684</c:v>
                </c:pt>
                <c:pt idx="294">
                  <c:v>41687</c:v>
                </c:pt>
                <c:pt idx="295">
                  <c:v>41688</c:v>
                </c:pt>
                <c:pt idx="296">
                  <c:v>41689</c:v>
                </c:pt>
                <c:pt idx="297">
                  <c:v>41690</c:v>
                </c:pt>
                <c:pt idx="298">
                  <c:v>41691</c:v>
                </c:pt>
                <c:pt idx="299">
                  <c:v>41694</c:v>
                </c:pt>
                <c:pt idx="300">
                  <c:v>41695</c:v>
                </c:pt>
                <c:pt idx="301">
                  <c:v>41696</c:v>
                </c:pt>
                <c:pt idx="302">
                  <c:v>41697</c:v>
                </c:pt>
                <c:pt idx="303">
                  <c:v>41698</c:v>
                </c:pt>
                <c:pt idx="304">
                  <c:v>41701</c:v>
                </c:pt>
                <c:pt idx="305">
                  <c:v>41702</c:v>
                </c:pt>
                <c:pt idx="306">
                  <c:v>41703</c:v>
                </c:pt>
                <c:pt idx="307">
                  <c:v>41704</c:v>
                </c:pt>
                <c:pt idx="308">
                  <c:v>41705</c:v>
                </c:pt>
                <c:pt idx="309">
                  <c:v>41708</c:v>
                </c:pt>
                <c:pt idx="310">
                  <c:v>41709</c:v>
                </c:pt>
                <c:pt idx="311">
                  <c:v>41710</c:v>
                </c:pt>
                <c:pt idx="312">
                  <c:v>41711</c:v>
                </c:pt>
                <c:pt idx="313">
                  <c:v>41712</c:v>
                </c:pt>
                <c:pt idx="314">
                  <c:v>41715</c:v>
                </c:pt>
                <c:pt idx="315">
                  <c:v>41716</c:v>
                </c:pt>
                <c:pt idx="316">
                  <c:v>41717</c:v>
                </c:pt>
                <c:pt idx="317">
                  <c:v>41718</c:v>
                </c:pt>
                <c:pt idx="318">
                  <c:v>41719</c:v>
                </c:pt>
                <c:pt idx="319">
                  <c:v>41722</c:v>
                </c:pt>
                <c:pt idx="320">
                  <c:v>41723</c:v>
                </c:pt>
                <c:pt idx="321">
                  <c:v>41724</c:v>
                </c:pt>
                <c:pt idx="322">
                  <c:v>41725</c:v>
                </c:pt>
                <c:pt idx="323">
                  <c:v>41726</c:v>
                </c:pt>
                <c:pt idx="324">
                  <c:v>41729</c:v>
                </c:pt>
                <c:pt idx="325">
                  <c:v>41730</c:v>
                </c:pt>
                <c:pt idx="326">
                  <c:v>41731</c:v>
                </c:pt>
                <c:pt idx="327">
                  <c:v>41732</c:v>
                </c:pt>
                <c:pt idx="328">
                  <c:v>41733</c:v>
                </c:pt>
                <c:pt idx="329">
                  <c:v>41736</c:v>
                </c:pt>
                <c:pt idx="330">
                  <c:v>41737</c:v>
                </c:pt>
                <c:pt idx="331">
                  <c:v>41738</c:v>
                </c:pt>
                <c:pt idx="332">
                  <c:v>41739</c:v>
                </c:pt>
                <c:pt idx="333">
                  <c:v>41740</c:v>
                </c:pt>
                <c:pt idx="334">
                  <c:v>41743</c:v>
                </c:pt>
                <c:pt idx="335">
                  <c:v>41744</c:v>
                </c:pt>
                <c:pt idx="336">
                  <c:v>41745</c:v>
                </c:pt>
                <c:pt idx="337">
                  <c:v>41746</c:v>
                </c:pt>
                <c:pt idx="338">
                  <c:v>41747</c:v>
                </c:pt>
                <c:pt idx="339">
                  <c:v>41750</c:v>
                </c:pt>
                <c:pt idx="340">
                  <c:v>41751</c:v>
                </c:pt>
                <c:pt idx="341">
                  <c:v>41752</c:v>
                </c:pt>
                <c:pt idx="342">
                  <c:v>41753</c:v>
                </c:pt>
                <c:pt idx="343">
                  <c:v>41754</c:v>
                </c:pt>
                <c:pt idx="344">
                  <c:v>41757</c:v>
                </c:pt>
                <c:pt idx="345">
                  <c:v>41758</c:v>
                </c:pt>
                <c:pt idx="346">
                  <c:v>41759</c:v>
                </c:pt>
                <c:pt idx="347">
                  <c:v>41760</c:v>
                </c:pt>
                <c:pt idx="348">
                  <c:v>41761</c:v>
                </c:pt>
                <c:pt idx="349">
                  <c:v>41764</c:v>
                </c:pt>
                <c:pt idx="350">
                  <c:v>41765</c:v>
                </c:pt>
                <c:pt idx="351">
                  <c:v>41766</c:v>
                </c:pt>
                <c:pt idx="352">
                  <c:v>41767</c:v>
                </c:pt>
                <c:pt idx="353">
                  <c:v>41768</c:v>
                </c:pt>
                <c:pt idx="354">
                  <c:v>41771</c:v>
                </c:pt>
                <c:pt idx="355">
                  <c:v>41772</c:v>
                </c:pt>
                <c:pt idx="356">
                  <c:v>41773</c:v>
                </c:pt>
                <c:pt idx="357">
                  <c:v>41774</c:v>
                </c:pt>
                <c:pt idx="358">
                  <c:v>41775</c:v>
                </c:pt>
                <c:pt idx="359">
                  <c:v>41778</c:v>
                </c:pt>
                <c:pt idx="360">
                  <c:v>41779</c:v>
                </c:pt>
                <c:pt idx="361">
                  <c:v>41780</c:v>
                </c:pt>
                <c:pt idx="362">
                  <c:v>41781</c:v>
                </c:pt>
                <c:pt idx="363">
                  <c:v>41782</c:v>
                </c:pt>
                <c:pt idx="364">
                  <c:v>41785</c:v>
                </c:pt>
                <c:pt idx="365">
                  <c:v>41786</c:v>
                </c:pt>
                <c:pt idx="366">
                  <c:v>41787</c:v>
                </c:pt>
                <c:pt idx="367">
                  <c:v>41788</c:v>
                </c:pt>
                <c:pt idx="368">
                  <c:v>41789</c:v>
                </c:pt>
                <c:pt idx="369">
                  <c:v>41792</c:v>
                </c:pt>
                <c:pt idx="370">
                  <c:v>41793</c:v>
                </c:pt>
                <c:pt idx="371">
                  <c:v>41794</c:v>
                </c:pt>
                <c:pt idx="372">
                  <c:v>41795</c:v>
                </c:pt>
                <c:pt idx="373">
                  <c:v>41796</c:v>
                </c:pt>
                <c:pt idx="374">
                  <c:v>41799</c:v>
                </c:pt>
                <c:pt idx="375">
                  <c:v>41800</c:v>
                </c:pt>
                <c:pt idx="376">
                  <c:v>41801</c:v>
                </c:pt>
                <c:pt idx="377">
                  <c:v>41802</c:v>
                </c:pt>
                <c:pt idx="378">
                  <c:v>41803</c:v>
                </c:pt>
                <c:pt idx="379">
                  <c:v>41806</c:v>
                </c:pt>
                <c:pt idx="380">
                  <c:v>41807</c:v>
                </c:pt>
                <c:pt idx="381">
                  <c:v>41808</c:v>
                </c:pt>
                <c:pt idx="382">
                  <c:v>41809</c:v>
                </c:pt>
                <c:pt idx="383">
                  <c:v>41810</c:v>
                </c:pt>
                <c:pt idx="384">
                  <c:v>41813</c:v>
                </c:pt>
                <c:pt idx="385">
                  <c:v>41814</c:v>
                </c:pt>
                <c:pt idx="386">
                  <c:v>41815</c:v>
                </c:pt>
                <c:pt idx="387">
                  <c:v>41816</c:v>
                </c:pt>
                <c:pt idx="388">
                  <c:v>41817</c:v>
                </c:pt>
                <c:pt idx="389">
                  <c:v>41820</c:v>
                </c:pt>
                <c:pt idx="390">
                  <c:v>41821</c:v>
                </c:pt>
                <c:pt idx="391">
                  <c:v>41822</c:v>
                </c:pt>
                <c:pt idx="392">
                  <c:v>41823</c:v>
                </c:pt>
                <c:pt idx="393">
                  <c:v>41824</c:v>
                </c:pt>
                <c:pt idx="394">
                  <c:v>41827</c:v>
                </c:pt>
                <c:pt idx="395">
                  <c:v>41828</c:v>
                </c:pt>
                <c:pt idx="396">
                  <c:v>41829</c:v>
                </c:pt>
                <c:pt idx="397">
                  <c:v>41830</c:v>
                </c:pt>
                <c:pt idx="398">
                  <c:v>41831</c:v>
                </c:pt>
                <c:pt idx="399">
                  <c:v>41834</c:v>
                </c:pt>
                <c:pt idx="400">
                  <c:v>41835</c:v>
                </c:pt>
                <c:pt idx="401">
                  <c:v>41836</c:v>
                </c:pt>
                <c:pt idx="402">
                  <c:v>41837</c:v>
                </c:pt>
                <c:pt idx="403">
                  <c:v>41838</c:v>
                </c:pt>
                <c:pt idx="404">
                  <c:v>41841</c:v>
                </c:pt>
                <c:pt idx="405">
                  <c:v>41842</c:v>
                </c:pt>
                <c:pt idx="406">
                  <c:v>41843</c:v>
                </c:pt>
                <c:pt idx="407">
                  <c:v>41844</c:v>
                </c:pt>
                <c:pt idx="408">
                  <c:v>41845</c:v>
                </c:pt>
                <c:pt idx="409">
                  <c:v>41848</c:v>
                </c:pt>
                <c:pt idx="410">
                  <c:v>41849</c:v>
                </c:pt>
                <c:pt idx="411">
                  <c:v>41850</c:v>
                </c:pt>
                <c:pt idx="412">
                  <c:v>41851</c:v>
                </c:pt>
                <c:pt idx="413">
                  <c:v>41852</c:v>
                </c:pt>
                <c:pt idx="414">
                  <c:v>41855</c:v>
                </c:pt>
                <c:pt idx="415">
                  <c:v>41856</c:v>
                </c:pt>
                <c:pt idx="416">
                  <c:v>41857</c:v>
                </c:pt>
                <c:pt idx="417">
                  <c:v>41858</c:v>
                </c:pt>
                <c:pt idx="418">
                  <c:v>41859</c:v>
                </c:pt>
                <c:pt idx="419">
                  <c:v>41862</c:v>
                </c:pt>
                <c:pt idx="420">
                  <c:v>41863</c:v>
                </c:pt>
                <c:pt idx="421">
                  <c:v>41864</c:v>
                </c:pt>
                <c:pt idx="422">
                  <c:v>41865</c:v>
                </c:pt>
                <c:pt idx="423">
                  <c:v>41866</c:v>
                </c:pt>
                <c:pt idx="424">
                  <c:v>41869</c:v>
                </c:pt>
                <c:pt idx="425">
                  <c:v>41870</c:v>
                </c:pt>
                <c:pt idx="426">
                  <c:v>41871</c:v>
                </c:pt>
                <c:pt idx="427">
                  <c:v>41872</c:v>
                </c:pt>
                <c:pt idx="428">
                  <c:v>41873</c:v>
                </c:pt>
                <c:pt idx="429">
                  <c:v>41876</c:v>
                </c:pt>
                <c:pt idx="430">
                  <c:v>41877</c:v>
                </c:pt>
                <c:pt idx="431">
                  <c:v>41878</c:v>
                </c:pt>
                <c:pt idx="432">
                  <c:v>41879</c:v>
                </c:pt>
                <c:pt idx="433">
                  <c:v>41880</c:v>
                </c:pt>
                <c:pt idx="434">
                  <c:v>41883</c:v>
                </c:pt>
                <c:pt idx="435">
                  <c:v>41884</c:v>
                </c:pt>
                <c:pt idx="436">
                  <c:v>41885</c:v>
                </c:pt>
                <c:pt idx="437">
                  <c:v>41886</c:v>
                </c:pt>
                <c:pt idx="438">
                  <c:v>41887</c:v>
                </c:pt>
                <c:pt idx="439">
                  <c:v>41890</c:v>
                </c:pt>
                <c:pt idx="440">
                  <c:v>41891</c:v>
                </c:pt>
                <c:pt idx="441">
                  <c:v>41892</c:v>
                </c:pt>
                <c:pt idx="442">
                  <c:v>41893</c:v>
                </c:pt>
                <c:pt idx="443">
                  <c:v>41894</c:v>
                </c:pt>
                <c:pt idx="444">
                  <c:v>41897</c:v>
                </c:pt>
                <c:pt idx="445">
                  <c:v>41898</c:v>
                </c:pt>
                <c:pt idx="446">
                  <c:v>41899</c:v>
                </c:pt>
                <c:pt idx="447">
                  <c:v>41900</c:v>
                </c:pt>
                <c:pt idx="448">
                  <c:v>41901</c:v>
                </c:pt>
                <c:pt idx="449">
                  <c:v>41904</c:v>
                </c:pt>
                <c:pt idx="450">
                  <c:v>41905</c:v>
                </c:pt>
                <c:pt idx="451">
                  <c:v>41906</c:v>
                </c:pt>
                <c:pt idx="452">
                  <c:v>41907</c:v>
                </c:pt>
                <c:pt idx="453">
                  <c:v>41908</c:v>
                </c:pt>
                <c:pt idx="454">
                  <c:v>41911</c:v>
                </c:pt>
                <c:pt idx="455">
                  <c:v>41912</c:v>
                </c:pt>
                <c:pt idx="456">
                  <c:v>41913</c:v>
                </c:pt>
                <c:pt idx="457">
                  <c:v>41914</c:v>
                </c:pt>
                <c:pt idx="458">
                  <c:v>41915</c:v>
                </c:pt>
                <c:pt idx="459">
                  <c:v>41918</c:v>
                </c:pt>
                <c:pt idx="460">
                  <c:v>41919</c:v>
                </c:pt>
                <c:pt idx="461">
                  <c:v>41920</c:v>
                </c:pt>
                <c:pt idx="462">
                  <c:v>41921</c:v>
                </c:pt>
                <c:pt idx="463">
                  <c:v>41922</c:v>
                </c:pt>
                <c:pt idx="464">
                  <c:v>41925</c:v>
                </c:pt>
                <c:pt idx="465">
                  <c:v>41926</c:v>
                </c:pt>
                <c:pt idx="466">
                  <c:v>41927</c:v>
                </c:pt>
                <c:pt idx="467">
                  <c:v>41928</c:v>
                </c:pt>
                <c:pt idx="468">
                  <c:v>41929</c:v>
                </c:pt>
                <c:pt idx="469">
                  <c:v>41932</c:v>
                </c:pt>
                <c:pt idx="470">
                  <c:v>41933</c:v>
                </c:pt>
                <c:pt idx="471">
                  <c:v>41934</c:v>
                </c:pt>
                <c:pt idx="472">
                  <c:v>41935</c:v>
                </c:pt>
                <c:pt idx="473">
                  <c:v>41936</c:v>
                </c:pt>
                <c:pt idx="474">
                  <c:v>41939</c:v>
                </c:pt>
                <c:pt idx="475">
                  <c:v>41940</c:v>
                </c:pt>
                <c:pt idx="476">
                  <c:v>41941</c:v>
                </c:pt>
                <c:pt idx="477">
                  <c:v>41942</c:v>
                </c:pt>
                <c:pt idx="478">
                  <c:v>41943</c:v>
                </c:pt>
                <c:pt idx="479">
                  <c:v>41946</c:v>
                </c:pt>
                <c:pt idx="480">
                  <c:v>41947</c:v>
                </c:pt>
                <c:pt idx="481">
                  <c:v>41948</c:v>
                </c:pt>
                <c:pt idx="482">
                  <c:v>41949</c:v>
                </c:pt>
                <c:pt idx="483">
                  <c:v>41950</c:v>
                </c:pt>
                <c:pt idx="484">
                  <c:v>41953</c:v>
                </c:pt>
                <c:pt idx="485">
                  <c:v>41954</c:v>
                </c:pt>
                <c:pt idx="486">
                  <c:v>41955</c:v>
                </c:pt>
                <c:pt idx="487">
                  <c:v>41956</c:v>
                </c:pt>
                <c:pt idx="488">
                  <c:v>41957</c:v>
                </c:pt>
                <c:pt idx="489">
                  <c:v>41960</c:v>
                </c:pt>
                <c:pt idx="490">
                  <c:v>41961</c:v>
                </c:pt>
                <c:pt idx="491">
                  <c:v>41962</c:v>
                </c:pt>
                <c:pt idx="492">
                  <c:v>41963</c:v>
                </c:pt>
                <c:pt idx="493">
                  <c:v>41964</c:v>
                </c:pt>
                <c:pt idx="494">
                  <c:v>41967</c:v>
                </c:pt>
                <c:pt idx="495">
                  <c:v>41968</c:v>
                </c:pt>
                <c:pt idx="496">
                  <c:v>41969</c:v>
                </c:pt>
                <c:pt idx="497">
                  <c:v>41970</c:v>
                </c:pt>
                <c:pt idx="498">
                  <c:v>41971</c:v>
                </c:pt>
                <c:pt idx="499">
                  <c:v>41974</c:v>
                </c:pt>
                <c:pt idx="500">
                  <c:v>41975</c:v>
                </c:pt>
                <c:pt idx="501">
                  <c:v>41976</c:v>
                </c:pt>
                <c:pt idx="502">
                  <c:v>41977</c:v>
                </c:pt>
                <c:pt idx="503">
                  <c:v>41978</c:v>
                </c:pt>
                <c:pt idx="504">
                  <c:v>41981</c:v>
                </c:pt>
                <c:pt idx="505">
                  <c:v>41982</c:v>
                </c:pt>
                <c:pt idx="506">
                  <c:v>41983</c:v>
                </c:pt>
                <c:pt idx="507">
                  <c:v>41984</c:v>
                </c:pt>
                <c:pt idx="508">
                  <c:v>41985</c:v>
                </c:pt>
                <c:pt idx="509">
                  <c:v>41988</c:v>
                </c:pt>
                <c:pt idx="510">
                  <c:v>41989</c:v>
                </c:pt>
                <c:pt idx="511">
                  <c:v>41990</c:v>
                </c:pt>
                <c:pt idx="512">
                  <c:v>41991</c:v>
                </c:pt>
                <c:pt idx="513">
                  <c:v>41992</c:v>
                </c:pt>
                <c:pt idx="514">
                  <c:v>41995</c:v>
                </c:pt>
                <c:pt idx="515">
                  <c:v>41996</c:v>
                </c:pt>
                <c:pt idx="516">
                  <c:v>41997</c:v>
                </c:pt>
                <c:pt idx="517">
                  <c:v>41998</c:v>
                </c:pt>
                <c:pt idx="518">
                  <c:v>41999</c:v>
                </c:pt>
                <c:pt idx="519">
                  <c:v>42002</c:v>
                </c:pt>
                <c:pt idx="520">
                  <c:v>42003</c:v>
                </c:pt>
                <c:pt idx="521">
                  <c:v>42004</c:v>
                </c:pt>
                <c:pt idx="522">
                  <c:v>42005</c:v>
                </c:pt>
                <c:pt idx="523">
                  <c:v>42006</c:v>
                </c:pt>
                <c:pt idx="524">
                  <c:v>42009</c:v>
                </c:pt>
                <c:pt idx="525">
                  <c:v>42010</c:v>
                </c:pt>
                <c:pt idx="526">
                  <c:v>42011</c:v>
                </c:pt>
                <c:pt idx="527">
                  <c:v>42012</c:v>
                </c:pt>
                <c:pt idx="528">
                  <c:v>42013</c:v>
                </c:pt>
                <c:pt idx="529">
                  <c:v>42016</c:v>
                </c:pt>
                <c:pt idx="530">
                  <c:v>42017</c:v>
                </c:pt>
                <c:pt idx="531">
                  <c:v>42018</c:v>
                </c:pt>
                <c:pt idx="532">
                  <c:v>42019</c:v>
                </c:pt>
                <c:pt idx="533">
                  <c:v>42020</c:v>
                </c:pt>
                <c:pt idx="534">
                  <c:v>42023</c:v>
                </c:pt>
                <c:pt idx="535">
                  <c:v>42024</c:v>
                </c:pt>
                <c:pt idx="536">
                  <c:v>42025</c:v>
                </c:pt>
                <c:pt idx="537">
                  <c:v>42026</c:v>
                </c:pt>
                <c:pt idx="538">
                  <c:v>42027</c:v>
                </c:pt>
                <c:pt idx="539">
                  <c:v>42030</c:v>
                </c:pt>
                <c:pt idx="540">
                  <c:v>42031</c:v>
                </c:pt>
                <c:pt idx="541">
                  <c:v>42032</c:v>
                </c:pt>
                <c:pt idx="542">
                  <c:v>42033</c:v>
                </c:pt>
                <c:pt idx="543">
                  <c:v>42034</c:v>
                </c:pt>
                <c:pt idx="544">
                  <c:v>42037</c:v>
                </c:pt>
                <c:pt idx="545">
                  <c:v>42038</c:v>
                </c:pt>
                <c:pt idx="546">
                  <c:v>42039</c:v>
                </c:pt>
                <c:pt idx="547">
                  <c:v>42040</c:v>
                </c:pt>
                <c:pt idx="548">
                  <c:v>42041</c:v>
                </c:pt>
                <c:pt idx="549">
                  <c:v>42044</c:v>
                </c:pt>
                <c:pt idx="550">
                  <c:v>42045</c:v>
                </c:pt>
                <c:pt idx="551">
                  <c:v>42046</c:v>
                </c:pt>
                <c:pt idx="552">
                  <c:v>42047</c:v>
                </c:pt>
                <c:pt idx="553">
                  <c:v>42048</c:v>
                </c:pt>
                <c:pt idx="554">
                  <c:v>42051</c:v>
                </c:pt>
                <c:pt idx="555">
                  <c:v>42052</c:v>
                </c:pt>
                <c:pt idx="556">
                  <c:v>42053</c:v>
                </c:pt>
                <c:pt idx="557">
                  <c:v>42054</c:v>
                </c:pt>
                <c:pt idx="558">
                  <c:v>42055</c:v>
                </c:pt>
                <c:pt idx="559">
                  <c:v>42058</c:v>
                </c:pt>
                <c:pt idx="560">
                  <c:v>42059</c:v>
                </c:pt>
                <c:pt idx="561">
                  <c:v>42060</c:v>
                </c:pt>
                <c:pt idx="562">
                  <c:v>42061</c:v>
                </c:pt>
                <c:pt idx="563">
                  <c:v>42062</c:v>
                </c:pt>
                <c:pt idx="564">
                  <c:v>42065</c:v>
                </c:pt>
                <c:pt idx="565">
                  <c:v>42066</c:v>
                </c:pt>
                <c:pt idx="566">
                  <c:v>42067</c:v>
                </c:pt>
                <c:pt idx="567">
                  <c:v>42068</c:v>
                </c:pt>
                <c:pt idx="568">
                  <c:v>42069</c:v>
                </c:pt>
                <c:pt idx="569">
                  <c:v>42072</c:v>
                </c:pt>
                <c:pt idx="570">
                  <c:v>42073</c:v>
                </c:pt>
                <c:pt idx="571">
                  <c:v>42074</c:v>
                </c:pt>
                <c:pt idx="572">
                  <c:v>42075</c:v>
                </c:pt>
                <c:pt idx="573">
                  <c:v>42076</c:v>
                </c:pt>
                <c:pt idx="574">
                  <c:v>42079</c:v>
                </c:pt>
                <c:pt idx="575">
                  <c:v>42080</c:v>
                </c:pt>
                <c:pt idx="576">
                  <c:v>42081</c:v>
                </c:pt>
                <c:pt idx="577">
                  <c:v>42082</c:v>
                </c:pt>
                <c:pt idx="578">
                  <c:v>42083</c:v>
                </c:pt>
                <c:pt idx="579">
                  <c:v>42086</c:v>
                </c:pt>
                <c:pt idx="580">
                  <c:v>42087</c:v>
                </c:pt>
                <c:pt idx="581">
                  <c:v>42088</c:v>
                </c:pt>
                <c:pt idx="582">
                  <c:v>42089</c:v>
                </c:pt>
                <c:pt idx="583">
                  <c:v>42090</c:v>
                </c:pt>
                <c:pt idx="584">
                  <c:v>42093</c:v>
                </c:pt>
                <c:pt idx="585">
                  <c:v>42094</c:v>
                </c:pt>
                <c:pt idx="586">
                  <c:v>42095</c:v>
                </c:pt>
                <c:pt idx="587">
                  <c:v>42096</c:v>
                </c:pt>
                <c:pt idx="588">
                  <c:v>42097</c:v>
                </c:pt>
                <c:pt idx="589">
                  <c:v>42100</c:v>
                </c:pt>
                <c:pt idx="590">
                  <c:v>42101</c:v>
                </c:pt>
                <c:pt idx="591">
                  <c:v>42102</c:v>
                </c:pt>
                <c:pt idx="592">
                  <c:v>42103</c:v>
                </c:pt>
                <c:pt idx="593">
                  <c:v>42104</c:v>
                </c:pt>
                <c:pt idx="594">
                  <c:v>42107</c:v>
                </c:pt>
                <c:pt idx="595">
                  <c:v>42108</c:v>
                </c:pt>
                <c:pt idx="596">
                  <c:v>42109</c:v>
                </c:pt>
                <c:pt idx="597">
                  <c:v>42110</c:v>
                </c:pt>
                <c:pt idx="598">
                  <c:v>42111</c:v>
                </c:pt>
                <c:pt idx="599">
                  <c:v>42114</c:v>
                </c:pt>
                <c:pt idx="600">
                  <c:v>42115</c:v>
                </c:pt>
                <c:pt idx="601">
                  <c:v>42116</c:v>
                </c:pt>
                <c:pt idx="602">
                  <c:v>42117</c:v>
                </c:pt>
                <c:pt idx="603">
                  <c:v>42118</c:v>
                </c:pt>
                <c:pt idx="604">
                  <c:v>42121</c:v>
                </c:pt>
                <c:pt idx="605">
                  <c:v>42122</c:v>
                </c:pt>
                <c:pt idx="606">
                  <c:v>42123</c:v>
                </c:pt>
                <c:pt idx="607">
                  <c:v>42124</c:v>
                </c:pt>
                <c:pt idx="608">
                  <c:v>42125</c:v>
                </c:pt>
                <c:pt idx="609">
                  <c:v>42128</c:v>
                </c:pt>
                <c:pt idx="610">
                  <c:v>42129</c:v>
                </c:pt>
                <c:pt idx="611">
                  <c:v>42130</c:v>
                </c:pt>
                <c:pt idx="612">
                  <c:v>42131</c:v>
                </c:pt>
                <c:pt idx="613">
                  <c:v>42132</c:v>
                </c:pt>
                <c:pt idx="614">
                  <c:v>42135</c:v>
                </c:pt>
                <c:pt idx="615">
                  <c:v>42136</c:v>
                </c:pt>
                <c:pt idx="616">
                  <c:v>42137</c:v>
                </c:pt>
                <c:pt idx="617">
                  <c:v>42138</c:v>
                </c:pt>
                <c:pt idx="618">
                  <c:v>42139</c:v>
                </c:pt>
                <c:pt idx="619">
                  <c:v>42142</c:v>
                </c:pt>
                <c:pt idx="620">
                  <c:v>42143</c:v>
                </c:pt>
                <c:pt idx="621">
                  <c:v>42144</c:v>
                </c:pt>
                <c:pt idx="622">
                  <c:v>42145</c:v>
                </c:pt>
                <c:pt idx="623">
                  <c:v>42146</c:v>
                </c:pt>
                <c:pt idx="624">
                  <c:v>42149</c:v>
                </c:pt>
                <c:pt idx="625">
                  <c:v>42150</c:v>
                </c:pt>
                <c:pt idx="626">
                  <c:v>42151</c:v>
                </c:pt>
                <c:pt idx="627">
                  <c:v>42152</c:v>
                </c:pt>
                <c:pt idx="628">
                  <c:v>42153</c:v>
                </c:pt>
                <c:pt idx="629">
                  <c:v>42156</c:v>
                </c:pt>
                <c:pt idx="630">
                  <c:v>42157</c:v>
                </c:pt>
                <c:pt idx="631">
                  <c:v>42158</c:v>
                </c:pt>
                <c:pt idx="632">
                  <c:v>42159</c:v>
                </c:pt>
                <c:pt idx="633">
                  <c:v>42160</c:v>
                </c:pt>
                <c:pt idx="634">
                  <c:v>42163</c:v>
                </c:pt>
                <c:pt idx="635">
                  <c:v>42164</c:v>
                </c:pt>
                <c:pt idx="636">
                  <c:v>42165</c:v>
                </c:pt>
                <c:pt idx="637">
                  <c:v>42166</c:v>
                </c:pt>
                <c:pt idx="638">
                  <c:v>42167</c:v>
                </c:pt>
                <c:pt idx="639">
                  <c:v>42170</c:v>
                </c:pt>
                <c:pt idx="640">
                  <c:v>42171</c:v>
                </c:pt>
                <c:pt idx="641">
                  <c:v>42172</c:v>
                </c:pt>
                <c:pt idx="642">
                  <c:v>42173</c:v>
                </c:pt>
                <c:pt idx="643">
                  <c:v>42174</c:v>
                </c:pt>
                <c:pt idx="644">
                  <c:v>42177</c:v>
                </c:pt>
                <c:pt idx="645">
                  <c:v>42178</c:v>
                </c:pt>
                <c:pt idx="646">
                  <c:v>42179</c:v>
                </c:pt>
                <c:pt idx="647">
                  <c:v>42180</c:v>
                </c:pt>
                <c:pt idx="648">
                  <c:v>42181</c:v>
                </c:pt>
                <c:pt idx="649">
                  <c:v>42184</c:v>
                </c:pt>
                <c:pt idx="650">
                  <c:v>42185</c:v>
                </c:pt>
                <c:pt idx="651">
                  <c:v>42186</c:v>
                </c:pt>
                <c:pt idx="652">
                  <c:v>42187</c:v>
                </c:pt>
                <c:pt idx="653">
                  <c:v>42188</c:v>
                </c:pt>
                <c:pt idx="654">
                  <c:v>42191</c:v>
                </c:pt>
                <c:pt idx="655">
                  <c:v>42192</c:v>
                </c:pt>
                <c:pt idx="656">
                  <c:v>42193</c:v>
                </c:pt>
                <c:pt idx="657">
                  <c:v>42194</c:v>
                </c:pt>
                <c:pt idx="658">
                  <c:v>42195</c:v>
                </c:pt>
                <c:pt idx="659">
                  <c:v>42198</c:v>
                </c:pt>
                <c:pt idx="660">
                  <c:v>42199</c:v>
                </c:pt>
                <c:pt idx="661">
                  <c:v>42200</c:v>
                </c:pt>
                <c:pt idx="662">
                  <c:v>42201</c:v>
                </c:pt>
                <c:pt idx="663">
                  <c:v>42202</c:v>
                </c:pt>
                <c:pt idx="664">
                  <c:v>42205</c:v>
                </c:pt>
                <c:pt idx="665">
                  <c:v>42206</c:v>
                </c:pt>
                <c:pt idx="666">
                  <c:v>42207</c:v>
                </c:pt>
                <c:pt idx="667">
                  <c:v>42208</c:v>
                </c:pt>
                <c:pt idx="668">
                  <c:v>42209</c:v>
                </c:pt>
                <c:pt idx="669">
                  <c:v>42212</c:v>
                </c:pt>
                <c:pt idx="670">
                  <c:v>42213</c:v>
                </c:pt>
                <c:pt idx="671">
                  <c:v>42214</c:v>
                </c:pt>
                <c:pt idx="672">
                  <c:v>42215</c:v>
                </c:pt>
                <c:pt idx="673">
                  <c:v>42216</c:v>
                </c:pt>
                <c:pt idx="674">
                  <c:v>42219</c:v>
                </c:pt>
                <c:pt idx="675">
                  <c:v>42220</c:v>
                </c:pt>
                <c:pt idx="676">
                  <c:v>42221</c:v>
                </c:pt>
                <c:pt idx="677">
                  <c:v>42222</c:v>
                </c:pt>
                <c:pt idx="678">
                  <c:v>42223</c:v>
                </c:pt>
                <c:pt idx="679">
                  <c:v>42226</c:v>
                </c:pt>
                <c:pt idx="680">
                  <c:v>42227</c:v>
                </c:pt>
                <c:pt idx="681">
                  <c:v>42228</c:v>
                </c:pt>
                <c:pt idx="682">
                  <c:v>42229</c:v>
                </c:pt>
                <c:pt idx="683">
                  <c:v>42230</c:v>
                </c:pt>
                <c:pt idx="684">
                  <c:v>42233</c:v>
                </c:pt>
                <c:pt idx="685">
                  <c:v>42234</c:v>
                </c:pt>
                <c:pt idx="686">
                  <c:v>42235</c:v>
                </c:pt>
                <c:pt idx="687">
                  <c:v>42236</c:v>
                </c:pt>
                <c:pt idx="688">
                  <c:v>42237</c:v>
                </c:pt>
                <c:pt idx="689">
                  <c:v>42240</c:v>
                </c:pt>
                <c:pt idx="690">
                  <c:v>42241</c:v>
                </c:pt>
                <c:pt idx="691">
                  <c:v>42242</c:v>
                </c:pt>
                <c:pt idx="692">
                  <c:v>42243</c:v>
                </c:pt>
                <c:pt idx="693">
                  <c:v>42244</c:v>
                </c:pt>
                <c:pt idx="694">
                  <c:v>42247</c:v>
                </c:pt>
                <c:pt idx="695">
                  <c:v>42248</c:v>
                </c:pt>
                <c:pt idx="696">
                  <c:v>42249</c:v>
                </c:pt>
                <c:pt idx="697">
                  <c:v>42250</c:v>
                </c:pt>
                <c:pt idx="698">
                  <c:v>42251</c:v>
                </c:pt>
                <c:pt idx="699">
                  <c:v>42254</c:v>
                </c:pt>
                <c:pt idx="700">
                  <c:v>42255</c:v>
                </c:pt>
                <c:pt idx="701">
                  <c:v>42256</c:v>
                </c:pt>
                <c:pt idx="702">
                  <c:v>42257</c:v>
                </c:pt>
                <c:pt idx="703">
                  <c:v>42258</c:v>
                </c:pt>
                <c:pt idx="704">
                  <c:v>42261</c:v>
                </c:pt>
                <c:pt idx="705">
                  <c:v>42262</c:v>
                </c:pt>
                <c:pt idx="706">
                  <c:v>42263</c:v>
                </c:pt>
                <c:pt idx="707">
                  <c:v>42264</c:v>
                </c:pt>
                <c:pt idx="708">
                  <c:v>42265</c:v>
                </c:pt>
                <c:pt idx="709">
                  <c:v>42268</c:v>
                </c:pt>
                <c:pt idx="710">
                  <c:v>42269</c:v>
                </c:pt>
                <c:pt idx="711">
                  <c:v>42270</c:v>
                </c:pt>
                <c:pt idx="712">
                  <c:v>42271</c:v>
                </c:pt>
                <c:pt idx="713">
                  <c:v>42272</c:v>
                </c:pt>
                <c:pt idx="714">
                  <c:v>42275</c:v>
                </c:pt>
                <c:pt idx="715">
                  <c:v>42276</c:v>
                </c:pt>
                <c:pt idx="716">
                  <c:v>42277</c:v>
                </c:pt>
                <c:pt idx="717">
                  <c:v>42278</c:v>
                </c:pt>
                <c:pt idx="718">
                  <c:v>42279</c:v>
                </c:pt>
                <c:pt idx="719">
                  <c:v>42282</c:v>
                </c:pt>
                <c:pt idx="720">
                  <c:v>42283</c:v>
                </c:pt>
                <c:pt idx="721">
                  <c:v>42284</c:v>
                </c:pt>
                <c:pt idx="722">
                  <c:v>42285</c:v>
                </c:pt>
                <c:pt idx="723">
                  <c:v>42286</c:v>
                </c:pt>
                <c:pt idx="724">
                  <c:v>42289</c:v>
                </c:pt>
                <c:pt idx="725">
                  <c:v>42290</c:v>
                </c:pt>
                <c:pt idx="726">
                  <c:v>42291</c:v>
                </c:pt>
                <c:pt idx="727">
                  <c:v>42292</c:v>
                </c:pt>
                <c:pt idx="728">
                  <c:v>42293</c:v>
                </c:pt>
                <c:pt idx="729">
                  <c:v>42296</c:v>
                </c:pt>
                <c:pt idx="730">
                  <c:v>42297</c:v>
                </c:pt>
                <c:pt idx="731">
                  <c:v>42298</c:v>
                </c:pt>
                <c:pt idx="732">
                  <c:v>42299</c:v>
                </c:pt>
                <c:pt idx="733">
                  <c:v>42300</c:v>
                </c:pt>
                <c:pt idx="734">
                  <c:v>42303</c:v>
                </c:pt>
                <c:pt idx="735">
                  <c:v>42304</c:v>
                </c:pt>
                <c:pt idx="736">
                  <c:v>42305</c:v>
                </c:pt>
                <c:pt idx="737">
                  <c:v>42306</c:v>
                </c:pt>
                <c:pt idx="738">
                  <c:v>42307</c:v>
                </c:pt>
                <c:pt idx="739">
                  <c:v>42310</c:v>
                </c:pt>
                <c:pt idx="740">
                  <c:v>42311</c:v>
                </c:pt>
                <c:pt idx="741">
                  <c:v>42312</c:v>
                </c:pt>
                <c:pt idx="742">
                  <c:v>42313</c:v>
                </c:pt>
                <c:pt idx="743">
                  <c:v>42314</c:v>
                </c:pt>
                <c:pt idx="744">
                  <c:v>42317</c:v>
                </c:pt>
                <c:pt idx="745">
                  <c:v>42318</c:v>
                </c:pt>
                <c:pt idx="746">
                  <c:v>42319</c:v>
                </c:pt>
                <c:pt idx="747">
                  <c:v>42320</c:v>
                </c:pt>
                <c:pt idx="748">
                  <c:v>42321</c:v>
                </c:pt>
                <c:pt idx="749">
                  <c:v>42324</c:v>
                </c:pt>
                <c:pt idx="750">
                  <c:v>42325</c:v>
                </c:pt>
                <c:pt idx="751">
                  <c:v>42326</c:v>
                </c:pt>
                <c:pt idx="752">
                  <c:v>42327</c:v>
                </c:pt>
                <c:pt idx="753">
                  <c:v>42328</c:v>
                </c:pt>
                <c:pt idx="754">
                  <c:v>42331</c:v>
                </c:pt>
                <c:pt idx="755">
                  <c:v>42332</c:v>
                </c:pt>
                <c:pt idx="756">
                  <c:v>42333</c:v>
                </c:pt>
                <c:pt idx="757">
                  <c:v>42334</c:v>
                </c:pt>
                <c:pt idx="758">
                  <c:v>42335</c:v>
                </c:pt>
                <c:pt idx="759">
                  <c:v>42338</c:v>
                </c:pt>
                <c:pt idx="760">
                  <c:v>42339</c:v>
                </c:pt>
                <c:pt idx="761">
                  <c:v>42340</c:v>
                </c:pt>
                <c:pt idx="762">
                  <c:v>42341</c:v>
                </c:pt>
                <c:pt idx="763">
                  <c:v>42342</c:v>
                </c:pt>
                <c:pt idx="764">
                  <c:v>42345</c:v>
                </c:pt>
                <c:pt idx="765">
                  <c:v>42346</c:v>
                </c:pt>
                <c:pt idx="766">
                  <c:v>42347</c:v>
                </c:pt>
                <c:pt idx="767">
                  <c:v>42348</c:v>
                </c:pt>
                <c:pt idx="768">
                  <c:v>42349</c:v>
                </c:pt>
                <c:pt idx="769">
                  <c:v>42352</c:v>
                </c:pt>
                <c:pt idx="770">
                  <c:v>42353</c:v>
                </c:pt>
                <c:pt idx="771">
                  <c:v>42354</c:v>
                </c:pt>
                <c:pt idx="772">
                  <c:v>42355</c:v>
                </c:pt>
                <c:pt idx="773">
                  <c:v>42356</c:v>
                </c:pt>
                <c:pt idx="774">
                  <c:v>42359</c:v>
                </c:pt>
                <c:pt idx="775">
                  <c:v>42360</c:v>
                </c:pt>
                <c:pt idx="776">
                  <c:v>42361</c:v>
                </c:pt>
                <c:pt idx="777">
                  <c:v>42362</c:v>
                </c:pt>
                <c:pt idx="778">
                  <c:v>42363</c:v>
                </c:pt>
                <c:pt idx="779">
                  <c:v>42366</c:v>
                </c:pt>
                <c:pt idx="780">
                  <c:v>42367</c:v>
                </c:pt>
                <c:pt idx="781">
                  <c:v>42368</c:v>
                </c:pt>
                <c:pt idx="782">
                  <c:v>42369</c:v>
                </c:pt>
                <c:pt idx="783">
                  <c:v>42370</c:v>
                </c:pt>
                <c:pt idx="784">
                  <c:v>42373</c:v>
                </c:pt>
                <c:pt idx="785">
                  <c:v>42374</c:v>
                </c:pt>
                <c:pt idx="786">
                  <c:v>42375</c:v>
                </c:pt>
                <c:pt idx="787">
                  <c:v>42376</c:v>
                </c:pt>
                <c:pt idx="788">
                  <c:v>42377</c:v>
                </c:pt>
                <c:pt idx="789">
                  <c:v>42380</c:v>
                </c:pt>
                <c:pt idx="790">
                  <c:v>42381</c:v>
                </c:pt>
                <c:pt idx="791">
                  <c:v>42382</c:v>
                </c:pt>
                <c:pt idx="792">
                  <c:v>42383</c:v>
                </c:pt>
                <c:pt idx="793">
                  <c:v>42384</c:v>
                </c:pt>
                <c:pt idx="794">
                  <c:v>42387</c:v>
                </c:pt>
                <c:pt idx="795">
                  <c:v>42388</c:v>
                </c:pt>
                <c:pt idx="796">
                  <c:v>42389</c:v>
                </c:pt>
                <c:pt idx="797">
                  <c:v>42390</c:v>
                </c:pt>
                <c:pt idx="798">
                  <c:v>42391</c:v>
                </c:pt>
                <c:pt idx="799">
                  <c:v>42394</c:v>
                </c:pt>
                <c:pt idx="800">
                  <c:v>42395</c:v>
                </c:pt>
                <c:pt idx="801">
                  <c:v>42396</c:v>
                </c:pt>
                <c:pt idx="802">
                  <c:v>42397</c:v>
                </c:pt>
                <c:pt idx="803">
                  <c:v>42398</c:v>
                </c:pt>
                <c:pt idx="804">
                  <c:v>42401</c:v>
                </c:pt>
                <c:pt idx="805">
                  <c:v>42402</c:v>
                </c:pt>
                <c:pt idx="806">
                  <c:v>42403</c:v>
                </c:pt>
                <c:pt idx="807">
                  <c:v>42404</c:v>
                </c:pt>
                <c:pt idx="808">
                  <c:v>42405</c:v>
                </c:pt>
                <c:pt idx="809">
                  <c:v>42408</c:v>
                </c:pt>
                <c:pt idx="810">
                  <c:v>42409</c:v>
                </c:pt>
                <c:pt idx="811">
                  <c:v>42410</c:v>
                </c:pt>
                <c:pt idx="812">
                  <c:v>42411</c:v>
                </c:pt>
                <c:pt idx="813">
                  <c:v>42412</c:v>
                </c:pt>
                <c:pt idx="814">
                  <c:v>42415</c:v>
                </c:pt>
                <c:pt idx="815">
                  <c:v>42416</c:v>
                </c:pt>
                <c:pt idx="816">
                  <c:v>42417</c:v>
                </c:pt>
                <c:pt idx="817">
                  <c:v>42418</c:v>
                </c:pt>
                <c:pt idx="818">
                  <c:v>42419</c:v>
                </c:pt>
                <c:pt idx="819">
                  <c:v>42422</c:v>
                </c:pt>
                <c:pt idx="820">
                  <c:v>42423</c:v>
                </c:pt>
                <c:pt idx="821">
                  <c:v>42424</c:v>
                </c:pt>
                <c:pt idx="822">
                  <c:v>42425</c:v>
                </c:pt>
                <c:pt idx="823">
                  <c:v>42426</c:v>
                </c:pt>
                <c:pt idx="824">
                  <c:v>42429</c:v>
                </c:pt>
                <c:pt idx="825">
                  <c:v>42430</c:v>
                </c:pt>
                <c:pt idx="826">
                  <c:v>42431</c:v>
                </c:pt>
                <c:pt idx="827">
                  <c:v>42432</c:v>
                </c:pt>
                <c:pt idx="828">
                  <c:v>42433</c:v>
                </c:pt>
                <c:pt idx="829">
                  <c:v>42436</c:v>
                </c:pt>
                <c:pt idx="830">
                  <c:v>42437</c:v>
                </c:pt>
                <c:pt idx="831">
                  <c:v>42438</c:v>
                </c:pt>
                <c:pt idx="832">
                  <c:v>42439</c:v>
                </c:pt>
                <c:pt idx="833">
                  <c:v>42440</c:v>
                </c:pt>
                <c:pt idx="834">
                  <c:v>42443</c:v>
                </c:pt>
                <c:pt idx="835">
                  <c:v>42444</c:v>
                </c:pt>
                <c:pt idx="836">
                  <c:v>42445</c:v>
                </c:pt>
                <c:pt idx="837">
                  <c:v>42446</c:v>
                </c:pt>
                <c:pt idx="838">
                  <c:v>42447</c:v>
                </c:pt>
                <c:pt idx="839">
                  <c:v>42450</c:v>
                </c:pt>
                <c:pt idx="840">
                  <c:v>42451</c:v>
                </c:pt>
                <c:pt idx="841">
                  <c:v>42452</c:v>
                </c:pt>
                <c:pt idx="842">
                  <c:v>42453</c:v>
                </c:pt>
                <c:pt idx="843">
                  <c:v>42454</c:v>
                </c:pt>
                <c:pt idx="844">
                  <c:v>42457</c:v>
                </c:pt>
                <c:pt idx="845">
                  <c:v>42458</c:v>
                </c:pt>
                <c:pt idx="846">
                  <c:v>42459</c:v>
                </c:pt>
                <c:pt idx="847">
                  <c:v>42460</c:v>
                </c:pt>
                <c:pt idx="848">
                  <c:v>42461</c:v>
                </c:pt>
                <c:pt idx="849">
                  <c:v>42464</c:v>
                </c:pt>
                <c:pt idx="850">
                  <c:v>42465</c:v>
                </c:pt>
                <c:pt idx="851">
                  <c:v>42466</c:v>
                </c:pt>
                <c:pt idx="852">
                  <c:v>42467</c:v>
                </c:pt>
                <c:pt idx="853">
                  <c:v>42468</c:v>
                </c:pt>
                <c:pt idx="854">
                  <c:v>42471</c:v>
                </c:pt>
                <c:pt idx="855">
                  <c:v>42472</c:v>
                </c:pt>
                <c:pt idx="856">
                  <c:v>42473</c:v>
                </c:pt>
                <c:pt idx="857">
                  <c:v>42474</c:v>
                </c:pt>
                <c:pt idx="858">
                  <c:v>42475</c:v>
                </c:pt>
                <c:pt idx="859">
                  <c:v>42478</c:v>
                </c:pt>
                <c:pt idx="860">
                  <c:v>42479</c:v>
                </c:pt>
                <c:pt idx="861">
                  <c:v>42480</c:v>
                </c:pt>
                <c:pt idx="862">
                  <c:v>42481</c:v>
                </c:pt>
                <c:pt idx="863">
                  <c:v>42482</c:v>
                </c:pt>
                <c:pt idx="864">
                  <c:v>42485</c:v>
                </c:pt>
                <c:pt idx="865">
                  <c:v>42486</c:v>
                </c:pt>
                <c:pt idx="866">
                  <c:v>42487</c:v>
                </c:pt>
                <c:pt idx="867">
                  <c:v>42488</c:v>
                </c:pt>
                <c:pt idx="868">
                  <c:v>42489</c:v>
                </c:pt>
                <c:pt idx="869">
                  <c:v>42492</c:v>
                </c:pt>
                <c:pt idx="870">
                  <c:v>42493</c:v>
                </c:pt>
                <c:pt idx="871">
                  <c:v>42494</c:v>
                </c:pt>
                <c:pt idx="872">
                  <c:v>42495</c:v>
                </c:pt>
                <c:pt idx="873">
                  <c:v>42496</c:v>
                </c:pt>
                <c:pt idx="874">
                  <c:v>42499</c:v>
                </c:pt>
                <c:pt idx="875">
                  <c:v>42500</c:v>
                </c:pt>
                <c:pt idx="876">
                  <c:v>42501</c:v>
                </c:pt>
                <c:pt idx="877">
                  <c:v>42502</c:v>
                </c:pt>
                <c:pt idx="878">
                  <c:v>42503</c:v>
                </c:pt>
                <c:pt idx="879">
                  <c:v>42506</c:v>
                </c:pt>
                <c:pt idx="880">
                  <c:v>42507</c:v>
                </c:pt>
                <c:pt idx="881">
                  <c:v>42508</c:v>
                </c:pt>
                <c:pt idx="882">
                  <c:v>42509</c:v>
                </c:pt>
                <c:pt idx="883">
                  <c:v>42510</c:v>
                </c:pt>
                <c:pt idx="884">
                  <c:v>42513</c:v>
                </c:pt>
                <c:pt idx="885">
                  <c:v>42514</c:v>
                </c:pt>
                <c:pt idx="886">
                  <c:v>42515</c:v>
                </c:pt>
                <c:pt idx="887">
                  <c:v>42516</c:v>
                </c:pt>
                <c:pt idx="888">
                  <c:v>42517</c:v>
                </c:pt>
                <c:pt idx="889">
                  <c:v>42520</c:v>
                </c:pt>
                <c:pt idx="890">
                  <c:v>42521</c:v>
                </c:pt>
                <c:pt idx="891">
                  <c:v>42522</c:v>
                </c:pt>
                <c:pt idx="892">
                  <c:v>42523</c:v>
                </c:pt>
                <c:pt idx="893">
                  <c:v>42524</c:v>
                </c:pt>
                <c:pt idx="894">
                  <c:v>42527</c:v>
                </c:pt>
                <c:pt idx="895">
                  <c:v>42528</c:v>
                </c:pt>
                <c:pt idx="896">
                  <c:v>42529</c:v>
                </c:pt>
                <c:pt idx="897">
                  <c:v>42530</c:v>
                </c:pt>
                <c:pt idx="898">
                  <c:v>42531</c:v>
                </c:pt>
                <c:pt idx="899">
                  <c:v>42534</c:v>
                </c:pt>
                <c:pt idx="900">
                  <c:v>42535</c:v>
                </c:pt>
                <c:pt idx="901">
                  <c:v>42536</c:v>
                </c:pt>
                <c:pt idx="902">
                  <c:v>42537</c:v>
                </c:pt>
                <c:pt idx="903">
                  <c:v>42538</c:v>
                </c:pt>
                <c:pt idx="904">
                  <c:v>42541</c:v>
                </c:pt>
                <c:pt idx="905">
                  <c:v>42542</c:v>
                </c:pt>
                <c:pt idx="906">
                  <c:v>42543</c:v>
                </c:pt>
                <c:pt idx="907">
                  <c:v>42544</c:v>
                </c:pt>
                <c:pt idx="908">
                  <c:v>42545</c:v>
                </c:pt>
                <c:pt idx="909">
                  <c:v>42548</c:v>
                </c:pt>
                <c:pt idx="910">
                  <c:v>42549</c:v>
                </c:pt>
                <c:pt idx="911">
                  <c:v>42550</c:v>
                </c:pt>
                <c:pt idx="912">
                  <c:v>42551</c:v>
                </c:pt>
                <c:pt idx="913">
                  <c:v>42552</c:v>
                </c:pt>
                <c:pt idx="914">
                  <c:v>42555</c:v>
                </c:pt>
                <c:pt idx="915">
                  <c:v>42556</c:v>
                </c:pt>
                <c:pt idx="916">
                  <c:v>42557</c:v>
                </c:pt>
                <c:pt idx="917">
                  <c:v>42558</c:v>
                </c:pt>
                <c:pt idx="918">
                  <c:v>42559</c:v>
                </c:pt>
                <c:pt idx="919">
                  <c:v>42562</c:v>
                </c:pt>
                <c:pt idx="920">
                  <c:v>42563</c:v>
                </c:pt>
                <c:pt idx="921">
                  <c:v>42564</c:v>
                </c:pt>
                <c:pt idx="922">
                  <c:v>42565</c:v>
                </c:pt>
                <c:pt idx="923">
                  <c:v>42566</c:v>
                </c:pt>
                <c:pt idx="924">
                  <c:v>42569</c:v>
                </c:pt>
                <c:pt idx="925">
                  <c:v>42570</c:v>
                </c:pt>
                <c:pt idx="926">
                  <c:v>42571</c:v>
                </c:pt>
                <c:pt idx="927">
                  <c:v>42572</c:v>
                </c:pt>
                <c:pt idx="928">
                  <c:v>42573</c:v>
                </c:pt>
                <c:pt idx="929">
                  <c:v>42576</c:v>
                </c:pt>
                <c:pt idx="930">
                  <c:v>42577</c:v>
                </c:pt>
                <c:pt idx="931">
                  <c:v>42578</c:v>
                </c:pt>
                <c:pt idx="932">
                  <c:v>42579</c:v>
                </c:pt>
                <c:pt idx="933">
                  <c:v>42580</c:v>
                </c:pt>
                <c:pt idx="934">
                  <c:v>42583</c:v>
                </c:pt>
                <c:pt idx="935">
                  <c:v>42584</c:v>
                </c:pt>
                <c:pt idx="936">
                  <c:v>42585</c:v>
                </c:pt>
                <c:pt idx="937">
                  <c:v>42586</c:v>
                </c:pt>
                <c:pt idx="938">
                  <c:v>42587</c:v>
                </c:pt>
                <c:pt idx="939">
                  <c:v>42590</c:v>
                </c:pt>
                <c:pt idx="940">
                  <c:v>42591</c:v>
                </c:pt>
                <c:pt idx="941">
                  <c:v>42592</c:v>
                </c:pt>
                <c:pt idx="942">
                  <c:v>42593</c:v>
                </c:pt>
                <c:pt idx="943">
                  <c:v>42594</c:v>
                </c:pt>
                <c:pt idx="944">
                  <c:v>42597</c:v>
                </c:pt>
                <c:pt idx="945">
                  <c:v>42598</c:v>
                </c:pt>
                <c:pt idx="946">
                  <c:v>42599</c:v>
                </c:pt>
                <c:pt idx="947">
                  <c:v>42600</c:v>
                </c:pt>
                <c:pt idx="948">
                  <c:v>42601</c:v>
                </c:pt>
                <c:pt idx="949">
                  <c:v>42604</c:v>
                </c:pt>
                <c:pt idx="950">
                  <c:v>42605</c:v>
                </c:pt>
                <c:pt idx="951">
                  <c:v>42606</c:v>
                </c:pt>
                <c:pt idx="952">
                  <c:v>42607</c:v>
                </c:pt>
                <c:pt idx="953">
                  <c:v>42608</c:v>
                </c:pt>
                <c:pt idx="954">
                  <c:v>42611</c:v>
                </c:pt>
                <c:pt idx="955">
                  <c:v>42612</c:v>
                </c:pt>
                <c:pt idx="956">
                  <c:v>42613</c:v>
                </c:pt>
                <c:pt idx="957">
                  <c:v>42614</c:v>
                </c:pt>
                <c:pt idx="958">
                  <c:v>42615</c:v>
                </c:pt>
                <c:pt idx="959">
                  <c:v>42618</c:v>
                </c:pt>
                <c:pt idx="960">
                  <c:v>42619</c:v>
                </c:pt>
                <c:pt idx="961">
                  <c:v>42620</c:v>
                </c:pt>
                <c:pt idx="962">
                  <c:v>42621</c:v>
                </c:pt>
                <c:pt idx="963">
                  <c:v>42622</c:v>
                </c:pt>
                <c:pt idx="964">
                  <c:v>42625</c:v>
                </c:pt>
                <c:pt idx="965">
                  <c:v>42626</c:v>
                </c:pt>
                <c:pt idx="966">
                  <c:v>42627</c:v>
                </c:pt>
                <c:pt idx="967">
                  <c:v>42628</c:v>
                </c:pt>
                <c:pt idx="968">
                  <c:v>42629</c:v>
                </c:pt>
                <c:pt idx="969">
                  <c:v>42632</c:v>
                </c:pt>
                <c:pt idx="970">
                  <c:v>42633</c:v>
                </c:pt>
              </c:numCache>
            </c:numRef>
          </c:cat>
          <c:val>
            <c:numRef>
              <c:f>[0]!shortExoRange</c:f>
              <c:numCache>
                <c:formatCode>General</c:formatCode>
                <c:ptCount val="971"/>
                <c:pt idx="0">
                  <c:v>0</c:v>
                </c:pt>
                <c:pt idx="1">
                  <c:v>8500</c:v>
                </c:pt>
                <c:pt idx="2">
                  <c:v>8000</c:v>
                </c:pt>
                <c:pt idx="3">
                  <c:v>11750</c:v>
                </c:pt>
                <c:pt idx="4">
                  <c:v>10875</c:v>
                </c:pt>
                <c:pt idx="5">
                  <c:v>7500</c:v>
                </c:pt>
                <c:pt idx="6">
                  <c:v>6250</c:v>
                </c:pt>
                <c:pt idx="7">
                  <c:v>4375</c:v>
                </c:pt>
                <c:pt idx="8">
                  <c:v>-4125</c:v>
                </c:pt>
                <c:pt idx="9">
                  <c:v>-8000</c:v>
                </c:pt>
                <c:pt idx="10">
                  <c:v>-12500</c:v>
                </c:pt>
                <c:pt idx="11">
                  <c:v>-11250</c:v>
                </c:pt>
                <c:pt idx="12">
                  <c:v>-10375</c:v>
                </c:pt>
                <c:pt idx="13">
                  <c:v>-10875</c:v>
                </c:pt>
                <c:pt idx="14">
                  <c:v>-10625</c:v>
                </c:pt>
                <c:pt idx="15">
                  <c:v>-11875</c:v>
                </c:pt>
                <c:pt idx="16">
                  <c:v>-8375</c:v>
                </c:pt>
                <c:pt idx="17">
                  <c:v>-7375</c:v>
                </c:pt>
                <c:pt idx="18">
                  <c:v>-7000</c:v>
                </c:pt>
                <c:pt idx="19">
                  <c:v>-8500</c:v>
                </c:pt>
                <c:pt idx="20">
                  <c:v>-12125</c:v>
                </c:pt>
                <c:pt idx="21">
                  <c:v>-16875</c:v>
                </c:pt>
                <c:pt idx="22">
                  <c:v>-16500</c:v>
                </c:pt>
                <c:pt idx="23">
                  <c:v>-15630</c:v>
                </c:pt>
                <c:pt idx="24">
                  <c:v>-13255</c:v>
                </c:pt>
                <c:pt idx="25">
                  <c:v>-10130</c:v>
                </c:pt>
                <c:pt idx="26">
                  <c:v>-8255</c:v>
                </c:pt>
                <c:pt idx="27">
                  <c:v>-3755</c:v>
                </c:pt>
                <c:pt idx="28">
                  <c:v>-2755</c:v>
                </c:pt>
                <c:pt idx="29">
                  <c:v>2495</c:v>
                </c:pt>
                <c:pt idx="30">
                  <c:v>6495</c:v>
                </c:pt>
                <c:pt idx="31">
                  <c:v>6995</c:v>
                </c:pt>
                <c:pt idx="32">
                  <c:v>7995</c:v>
                </c:pt>
                <c:pt idx="33">
                  <c:v>4745</c:v>
                </c:pt>
                <c:pt idx="34">
                  <c:v>3870</c:v>
                </c:pt>
                <c:pt idx="35">
                  <c:v>6745</c:v>
                </c:pt>
                <c:pt idx="36">
                  <c:v>3870</c:v>
                </c:pt>
                <c:pt idx="37">
                  <c:v>7370</c:v>
                </c:pt>
                <c:pt idx="38">
                  <c:v>7995</c:v>
                </c:pt>
                <c:pt idx="39">
                  <c:v>7745</c:v>
                </c:pt>
                <c:pt idx="40">
                  <c:v>4495</c:v>
                </c:pt>
                <c:pt idx="41">
                  <c:v>2870</c:v>
                </c:pt>
                <c:pt idx="42">
                  <c:v>-1255</c:v>
                </c:pt>
                <c:pt idx="43">
                  <c:v>-3135</c:v>
                </c:pt>
                <c:pt idx="44">
                  <c:v>1365</c:v>
                </c:pt>
                <c:pt idx="45">
                  <c:v>-2510</c:v>
                </c:pt>
                <c:pt idx="46">
                  <c:v>4240</c:v>
                </c:pt>
                <c:pt idx="47">
                  <c:v>8365</c:v>
                </c:pt>
                <c:pt idx="48">
                  <c:v>1365</c:v>
                </c:pt>
                <c:pt idx="49">
                  <c:v>-5510</c:v>
                </c:pt>
                <c:pt idx="50">
                  <c:v>-6760</c:v>
                </c:pt>
                <c:pt idx="51">
                  <c:v>-3635</c:v>
                </c:pt>
                <c:pt idx="52">
                  <c:v>-6510</c:v>
                </c:pt>
                <c:pt idx="53">
                  <c:v>-7135</c:v>
                </c:pt>
                <c:pt idx="54">
                  <c:v>-7260</c:v>
                </c:pt>
                <c:pt idx="55">
                  <c:v>-11760</c:v>
                </c:pt>
                <c:pt idx="56">
                  <c:v>-14385</c:v>
                </c:pt>
                <c:pt idx="57">
                  <c:v>-15885</c:v>
                </c:pt>
                <c:pt idx="58">
                  <c:v>-12385</c:v>
                </c:pt>
                <c:pt idx="59">
                  <c:v>-14260</c:v>
                </c:pt>
                <c:pt idx="60">
                  <c:v>-13010</c:v>
                </c:pt>
                <c:pt idx="61">
                  <c:v>-17010</c:v>
                </c:pt>
                <c:pt idx="62">
                  <c:v>3490</c:v>
                </c:pt>
                <c:pt idx="63">
                  <c:v>13990</c:v>
                </c:pt>
                <c:pt idx="64">
                  <c:v>27990</c:v>
                </c:pt>
                <c:pt idx="65">
                  <c:v>33615</c:v>
                </c:pt>
                <c:pt idx="66">
                  <c:v>31365</c:v>
                </c:pt>
                <c:pt idx="67">
                  <c:v>34865</c:v>
                </c:pt>
                <c:pt idx="68">
                  <c:v>36365</c:v>
                </c:pt>
                <c:pt idx="69">
                  <c:v>34740</c:v>
                </c:pt>
                <c:pt idx="70">
                  <c:v>29365</c:v>
                </c:pt>
                <c:pt idx="71">
                  <c:v>28490</c:v>
                </c:pt>
                <c:pt idx="72">
                  <c:v>24490</c:v>
                </c:pt>
                <c:pt idx="73">
                  <c:v>22865</c:v>
                </c:pt>
                <c:pt idx="74">
                  <c:v>26615</c:v>
                </c:pt>
                <c:pt idx="75">
                  <c:v>20990</c:v>
                </c:pt>
                <c:pt idx="76">
                  <c:v>21365</c:v>
                </c:pt>
                <c:pt idx="77">
                  <c:v>28115</c:v>
                </c:pt>
                <c:pt idx="78">
                  <c:v>25990</c:v>
                </c:pt>
                <c:pt idx="79">
                  <c:v>28490</c:v>
                </c:pt>
                <c:pt idx="80">
                  <c:v>30865</c:v>
                </c:pt>
                <c:pt idx="81">
                  <c:v>32240</c:v>
                </c:pt>
                <c:pt idx="82">
                  <c:v>29115</c:v>
                </c:pt>
                <c:pt idx="83">
                  <c:v>30865</c:v>
                </c:pt>
                <c:pt idx="84">
                  <c:v>11365</c:v>
                </c:pt>
                <c:pt idx="85">
                  <c:v>13865</c:v>
                </c:pt>
                <c:pt idx="86">
                  <c:v>16485</c:v>
                </c:pt>
                <c:pt idx="87">
                  <c:v>10860</c:v>
                </c:pt>
                <c:pt idx="88">
                  <c:v>10360</c:v>
                </c:pt>
                <c:pt idx="89">
                  <c:v>22360</c:v>
                </c:pt>
                <c:pt idx="90">
                  <c:v>19485</c:v>
                </c:pt>
                <c:pt idx="91">
                  <c:v>25110</c:v>
                </c:pt>
                <c:pt idx="92">
                  <c:v>15360</c:v>
                </c:pt>
                <c:pt idx="93">
                  <c:v>23235</c:v>
                </c:pt>
                <c:pt idx="94">
                  <c:v>13360</c:v>
                </c:pt>
                <c:pt idx="95">
                  <c:v>15610</c:v>
                </c:pt>
                <c:pt idx="96">
                  <c:v>16485</c:v>
                </c:pt>
                <c:pt idx="97">
                  <c:v>19985</c:v>
                </c:pt>
                <c:pt idx="98">
                  <c:v>14985</c:v>
                </c:pt>
                <c:pt idx="99">
                  <c:v>17235</c:v>
                </c:pt>
                <c:pt idx="100">
                  <c:v>22735</c:v>
                </c:pt>
                <c:pt idx="101">
                  <c:v>13110</c:v>
                </c:pt>
                <c:pt idx="102">
                  <c:v>9860</c:v>
                </c:pt>
                <c:pt idx="103">
                  <c:v>11485</c:v>
                </c:pt>
                <c:pt idx="104">
                  <c:v>12485</c:v>
                </c:pt>
                <c:pt idx="105">
                  <c:v>8485</c:v>
                </c:pt>
                <c:pt idx="106">
                  <c:v>8735</c:v>
                </c:pt>
                <c:pt idx="107">
                  <c:v>14735</c:v>
                </c:pt>
                <c:pt idx="108">
                  <c:v>9860</c:v>
                </c:pt>
                <c:pt idx="109">
                  <c:v>11735</c:v>
                </c:pt>
                <c:pt idx="110">
                  <c:v>13485</c:v>
                </c:pt>
                <c:pt idx="111">
                  <c:v>10485</c:v>
                </c:pt>
                <c:pt idx="112">
                  <c:v>10485</c:v>
                </c:pt>
                <c:pt idx="113">
                  <c:v>8360</c:v>
                </c:pt>
                <c:pt idx="114">
                  <c:v>16485</c:v>
                </c:pt>
                <c:pt idx="115">
                  <c:v>13110</c:v>
                </c:pt>
                <c:pt idx="116">
                  <c:v>16360</c:v>
                </c:pt>
                <c:pt idx="117">
                  <c:v>18985</c:v>
                </c:pt>
                <c:pt idx="118">
                  <c:v>13860</c:v>
                </c:pt>
                <c:pt idx="119">
                  <c:v>8985</c:v>
                </c:pt>
                <c:pt idx="120">
                  <c:v>5985</c:v>
                </c:pt>
                <c:pt idx="121">
                  <c:v>485</c:v>
                </c:pt>
                <c:pt idx="122">
                  <c:v>4235</c:v>
                </c:pt>
                <c:pt idx="123">
                  <c:v>5735</c:v>
                </c:pt>
                <c:pt idx="124">
                  <c:v>13360</c:v>
                </c:pt>
                <c:pt idx="125">
                  <c:v>14735</c:v>
                </c:pt>
                <c:pt idx="126">
                  <c:v>15985</c:v>
                </c:pt>
                <c:pt idx="127">
                  <c:v>17860</c:v>
                </c:pt>
                <c:pt idx="128">
                  <c:v>28485</c:v>
                </c:pt>
                <c:pt idx="129">
                  <c:v>37230</c:v>
                </c:pt>
                <c:pt idx="130">
                  <c:v>37605</c:v>
                </c:pt>
                <c:pt idx="131">
                  <c:v>37480</c:v>
                </c:pt>
                <c:pt idx="132">
                  <c:v>36105</c:v>
                </c:pt>
                <c:pt idx="133">
                  <c:v>39980</c:v>
                </c:pt>
                <c:pt idx="134">
                  <c:v>36230</c:v>
                </c:pt>
                <c:pt idx="135">
                  <c:v>29855</c:v>
                </c:pt>
                <c:pt idx="136">
                  <c:v>27980</c:v>
                </c:pt>
                <c:pt idx="137">
                  <c:v>23480</c:v>
                </c:pt>
                <c:pt idx="138">
                  <c:v>29355</c:v>
                </c:pt>
                <c:pt idx="139">
                  <c:v>35230</c:v>
                </c:pt>
                <c:pt idx="140">
                  <c:v>31480</c:v>
                </c:pt>
                <c:pt idx="141">
                  <c:v>34230</c:v>
                </c:pt>
                <c:pt idx="142">
                  <c:v>33355</c:v>
                </c:pt>
                <c:pt idx="143">
                  <c:v>31605</c:v>
                </c:pt>
                <c:pt idx="144">
                  <c:v>32980</c:v>
                </c:pt>
                <c:pt idx="145">
                  <c:v>41730</c:v>
                </c:pt>
                <c:pt idx="146">
                  <c:v>49355</c:v>
                </c:pt>
                <c:pt idx="147">
                  <c:v>55730</c:v>
                </c:pt>
                <c:pt idx="148">
                  <c:v>56605</c:v>
                </c:pt>
                <c:pt idx="149">
                  <c:v>59355</c:v>
                </c:pt>
                <c:pt idx="150">
                  <c:v>57355</c:v>
                </c:pt>
                <c:pt idx="151">
                  <c:v>54230</c:v>
                </c:pt>
                <c:pt idx="152">
                  <c:v>59980</c:v>
                </c:pt>
                <c:pt idx="153">
                  <c:v>64605</c:v>
                </c:pt>
                <c:pt idx="154">
                  <c:v>69355</c:v>
                </c:pt>
                <c:pt idx="155">
                  <c:v>67855</c:v>
                </c:pt>
                <c:pt idx="156">
                  <c:v>69355</c:v>
                </c:pt>
                <c:pt idx="157">
                  <c:v>68105</c:v>
                </c:pt>
                <c:pt idx="158">
                  <c:v>69855</c:v>
                </c:pt>
                <c:pt idx="159">
                  <c:v>66730</c:v>
                </c:pt>
                <c:pt idx="160">
                  <c:v>74355</c:v>
                </c:pt>
                <c:pt idx="161">
                  <c:v>72480</c:v>
                </c:pt>
                <c:pt idx="162">
                  <c:v>64355</c:v>
                </c:pt>
                <c:pt idx="163">
                  <c:v>66980</c:v>
                </c:pt>
                <c:pt idx="164">
                  <c:v>58980</c:v>
                </c:pt>
                <c:pt idx="165">
                  <c:v>60480</c:v>
                </c:pt>
                <c:pt idx="166">
                  <c:v>54355</c:v>
                </c:pt>
                <c:pt idx="167">
                  <c:v>63105</c:v>
                </c:pt>
                <c:pt idx="168">
                  <c:v>60855</c:v>
                </c:pt>
                <c:pt idx="169">
                  <c:v>43230</c:v>
                </c:pt>
                <c:pt idx="170">
                  <c:v>50605</c:v>
                </c:pt>
                <c:pt idx="171">
                  <c:v>55980</c:v>
                </c:pt>
                <c:pt idx="172">
                  <c:v>56105</c:v>
                </c:pt>
                <c:pt idx="173">
                  <c:v>57105</c:v>
                </c:pt>
                <c:pt idx="174">
                  <c:v>55475</c:v>
                </c:pt>
                <c:pt idx="175">
                  <c:v>60100</c:v>
                </c:pt>
                <c:pt idx="176">
                  <c:v>62350</c:v>
                </c:pt>
                <c:pt idx="177">
                  <c:v>66850</c:v>
                </c:pt>
                <c:pt idx="178">
                  <c:v>62850</c:v>
                </c:pt>
                <c:pt idx="179">
                  <c:v>64725</c:v>
                </c:pt>
                <c:pt idx="180">
                  <c:v>62225</c:v>
                </c:pt>
                <c:pt idx="181">
                  <c:v>61725</c:v>
                </c:pt>
                <c:pt idx="182">
                  <c:v>66225</c:v>
                </c:pt>
                <c:pt idx="183">
                  <c:v>66350</c:v>
                </c:pt>
                <c:pt idx="184">
                  <c:v>68225</c:v>
                </c:pt>
                <c:pt idx="185">
                  <c:v>68600</c:v>
                </c:pt>
                <c:pt idx="186">
                  <c:v>69350</c:v>
                </c:pt>
                <c:pt idx="187">
                  <c:v>67850</c:v>
                </c:pt>
                <c:pt idx="188">
                  <c:v>70850</c:v>
                </c:pt>
                <c:pt idx="189">
                  <c:v>70350</c:v>
                </c:pt>
                <c:pt idx="190">
                  <c:v>72225</c:v>
                </c:pt>
                <c:pt idx="191">
                  <c:v>68225</c:v>
                </c:pt>
                <c:pt idx="192">
                  <c:v>68850</c:v>
                </c:pt>
                <c:pt idx="193">
                  <c:v>69225</c:v>
                </c:pt>
                <c:pt idx="194">
                  <c:v>74100</c:v>
                </c:pt>
                <c:pt idx="195">
                  <c:v>77725</c:v>
                </c:pt>
                <c:pt idx="196">
                  <c:v>76725</c:v>
                </c:pt>
                <c:pt idx="197">
                  <c:v>75725</c:v>
                </c:pt>
                <c:pt idx="198">
                  <c:v>74600</c:v>
                </c:pt>
                <c:pt idx="199">
                  <c:v>72475</c:v>
                </c:pt>
                <c:pt idx="200">
                  <c:v>75600</c:v>
                </c:pt>
                <c:pt idx="201">
                  <c:v>74600</c:v>
                </c:pt>
                <c:pt idx="202">
                  <c:v>77475</c:v>
                </c:pt>
                <c:pt idx="203">
                  <c:v>79225</c:v>
                </c:pt>
                <c:pt idx="204">
                  <c:v>78350</c:v>
                </c:pt>
                <c:pt idx="205">
                  <c:v>74975</c:v>
                </c:pt>
                <c:pt idx="206">
                  <c:v>75225</c:v>
                </c:pt>
                <c:pt idx="207">
                  <c:v>75225</c:v>
                </c:pt>
                <c:pt idx="208">
                  <c:v>74850</c:v>
                </c:pt>
                <c:pt idx="209">
                  <c:v>74725</c:v>
                </c:pt>
                <c:pt idx="210">
                  <c:v>76225</c:v>
                </c:pt>
                <c:pt idx="211">
                  <c:v>74725</c:v>
                </c:pt>
                <c:pt idx="212">
                  <c:v>76475</c:v>
                </c:pt>
                <c:pt idx="213">
                  <c:v>76100</c:v>
                </c:pt>
                <c:pt idx="214">
                  <c:v>80725</c:v>
                </c:pt>
                <c:pt idx="215">
                  <c:v>80975</c:v>
                </c:pt>
                <c:pt idx="216">
                  <c:v>80975</c:v>
                </c:pt>
                <c:pt idx="217">
                  <c:v>82725</c:v>
                </c:pt>
                <c:pt idx="218">
                  <c:v>82475</c:v>
                </c:pt>
                <c:pt idx="219">
                  <c:v>82975</c:v>
                </c:pt>
                <c:pt idx="220">
                  <c:v>83975</c:v>
                </c:pt>
                <c:pt idx="221">
                  <c:v>85725</c:v>
                </c:pt>
                <c:pt idx="222">
                  <c:v>85725</c:v>
                </c:pt>
                <c:pt idx="223">
                  <c:v>83975</c:v>
                </c:pt>
                <c:pt idx="224">
                  <c:v>78225</c:v>
                </c:pt>
                <c:pt idx="225">
                  <c:v>79350</c:v>
                </c:pt>
                <c:pt idx="226">
                  <c:v>81225</c:v>
                </c:pt>
                <c:pt idx="227">
                  <c:v>83350</c:v>
                </c:pt>
                <c:pt idx="228">
                  <c:v>84225</c:v>
                </c:pt>
                <c:pt idx="229">
                  <c:v>89725</c:v>
                </c:pt>
                <c:pt idx="230">
                  <c:v>88600</c:v>
                </c:pt>
                <c:pt idx="231">
                  <c:v>87600</c:v>
                </c:pt>
                <c:pt idx="232">
                  <c:v>85975</c:v>
                </c:pt>
                <c:pt idx="233">
                  <c:v>85600</c:v>
                </c:pt>
                <c:pt idx="234">
                  <c:v>85475</c:v>
                </c:pt>
                <c:pt idx="235">
                  <c:v>88100</c:v>
                </c:pt>
                <c:pt idx="236">
                  <c:v>87100</c:v>
                </c:pt>
                <c:pt idx="237">
                  <c:v>87725</c:v>
                </c:pt>
                <c:pt idx="238">
                  <c:v>88225</c:v>
                </c:pt>
                <c:pt idx="239">
                  <c:v>88720</c:v>
                </c:pt>
                <c:pt idx="240">
                  <c:v>85345</c:v>
                </c:pt>
                <c:pt idx="241">
                  <c:v>82595</c:v>
                </c:pt>
                <c:pt idx="242">
                  <c:v>83220</c:v>
                </c:pt>
                <c:pt idx="243">
                  <c:v>84595</c:v>
                </c:pt>
                <c:pt idx="244">
                  <c:v>81845</c:v>
                </c:pt>
                <c:pt idx="245">
                  <c:v>82720</c:v>
                </c:pt>
                <c:pt idx="246">
                  <c:v>81220</c:v>
                </c:pt>
                <c:pt idx="247">
                  <c:v>84095</c:v>
                </c:pt>
                <c:pt idx="248">
                  <c:v>87470</c:v>
                </c:pt>
                <c:pt idx="249">
                  <c:v>88095</c:v>
                </c:pt>
                <c:pt idx="250">
                  <c:v>87095</c:v>
                </c:pt>
                <c:pt idx="251">
                  <c:v>88095</c:v>
                </c:pt>
                <c:pt idx="252">
                  <c:v>85970</c:v>
                </c:pt>
                <c:pt idx="253">
                  <c:v>84345</c:v>
                </c:pt>
                <c:pt idx="254">
                  <c:v>83470</c:v>
                </c:pt>
                <c:pt idx="255">
                  <c:v>83345</c:v>
                </c:pt>
                <c:pt idx="256">
                  <c:v>86220</c:v>
                </c:pt>
                <c:pt idx="257">
                  <c:v>86970</c:v>
                </c:pt>
                <c:pt idx="258">
                  <c:v>87095</c:v>
                </c:pt>
                <c:pt idx="259">
                  <c:v>88845</c:v>
                </c:pt>
                <c:pt idx="260">
                  <c:v>89345</c:v>
                </c:pt>
                <c:pt idx="261">
                  <c:v>89590</c:v>
                </c:pt>
                <c:pt idx="262">
                  <c:v>91465</c:v>
                </c:pt>
                <c:pt idx="263">
                  <c:v>88965</c:v>
                </c:pt>
                <c:pt idx="264">
                  <c:v>87465</c:v>
                </c:pt>
                <c:pt idx="265">
                  <c:v>87340</c:v>
                </c:pt>
                <c:pt idx="266">
                  <c:v>91340</c:v>
                </c:pt>
                <c:pt idx="267">
                  <c:v>95090</c:v>
                </c:pt>
                <c:pt idx="268">
                  <c:v>86465</c:v>
                </c:pt>
                <c:pt idx="269">
                  <c:v>83590</c:v>
                </c:pt>
                <c:pt idx="270">
                  <c:v>85340</c:v>
                </c:pt>
                <c:pt idx="271">
                  <c:v>87465</c:v>
                </c:pt>
                <c:pt idx="272">
                  <c:v>87465</c:v>
                </c:pt>
                <c:pt idx="273">
                  <c:v>88840</c:v>
                </c:pt>
                <c:pt idx="274">
                  <c:v>88715</c:v>
                </c:pt>
                <c:pt idx="275">
                  <c:v>88965</c:v>
                </c:pt>
                <c:pt idx="276">
                  <c:v>87715</c:v>
                </c:pt>
                <c:pt idx="277">
                  <c:v>86090</c:v>
                </c:pt>
                <c:pt idx="278">
                  <c:v>85965</c:v>
                </c:pt>
                <c:pt idx="279">
                  <c:v>84840</c:v>
                </c:pt>
                <c:pt idx="280">
                  <c:v>84465</c:v>
                </c:pt>
                <c:pt idx="281">
                  <c:v>86840</c:v>
                </c:pt>
                <c:pt idx="282">
                  <c:v>84215</c:v>
                </c:pt>
                <c:pt idx="283">
                  <c:v>84840</c:v>
                </c:pt>
                <c:pt idx="284">
                  <c:v>82835</c:v>
                </c:pt>
                <c:pt idx="285">
                  <c:v>80460</c:v>
                </c:pt>
                <c:pt idx="286">
                  <c:v>79085</c:v>
                </c:pt>
                <c:pt idx="287">
                  <c:v>79460</c:v>
                </c:pt>
                <c:pt idx="288">
                  <c:v>79085</c:v>
                </c:pt>
                <c:pt idx="289">
                  <c:v>80335</c:v>
                </c:pt>
                <c:pt idx="290">
                  <c:v>79960</c:v>
                </c:pt>
                <c:pt idx="291">
                  <c:v>80835</c:v>
                </c:pt>
                <c:pt idx="292">
                  <c:v>81210</c:v>
                </c:pt>
                <c:pt idx="293">
                  <c:v>78835</c:v>
                </c:pt>
                <c:pt idx="294">
                  <c:v>78210</c:v>
                </c:pt>
                <c:pt idx="295">
                  <c:v>76710</c:v>
                </c:pt>
                <c:pt idx="296">
                  <c:v>74210</c:v>
                </c:pt>
                <c:pt idx="297">
                  <c:v>73210</c:v>
                </c:pt>
                <c:pt idx="298">
                  <c:v>73710</c:v>
                </c:pt>
                <c:pt idx="299">
                  <c:v>75835</c:v>
                </c:pt>
                <c:pt idx="300">
                  <c:v>74710</c:v>
                </c:pt>
                <c:pt idx="301">
                  <c:v>72335</c:v>
                </c:pt>
                <c:pt idx="302">
                  <c:v>75585</c:v>
                </c:pt>
                <c:pt idx="303">
                  <c:v>72335</c:v>
                </c:pt>
                <c:pt idx="304">
                  <c:v>70830</c:v>
                </c:pt>
                <c:pt idx="305">
                  <c:v>63955</c:v>
                </c:pt>
                <c:pt idx="306">
                  <c:v>63580</c:v>
                </c:pt>
                <c:pt idx="307">
                  <c:v>58205</c:v>
                </c:pt>
                <c:pt idx="308">
                  <c:v>59080</c:v>
                </c:pt>
                <c:pt idx="309">
                  <c:v>64705</c:v>
                </c:pt>
                <c:pt idx="310">
                  <c:v>63080</c:v>
                </c:pt>
                <c:pt idx="311">
                  <c:v>60705</c:v>
                </c:pt>
                <c:pt idx="312">
                  <c:v>61080</c:v>
                </c:pt>
                <c:pt idx="313">
                  <c:v>63080</c:v>
                </c:pt>
                <c:pt idx="314">
                  <c:v>64080</c:v>
                </c:pt>
                <c:pt idx="315">
                  <c:v>60955</c:v>
                </c:pt>
                <c:pt idx="316">
                  <c:v>59330</c:v>
                </c:pt>
                <c:pt idx="317">
                  <c:v>64830</c:v>
                </c:pt>
                <c:pt idx="318">
                  <c:v>64080</c:v>
                </c:pt>
                <c:pt idx="319">
                  <c:v>59830</c:v>
                </c:pt>
                <c:pt idx="320">
                  <c:v>61330</c:v>
                </c:pt>
                <c:pt idx="321">
                  <c:v>62455</c:v>
                </c:pt>
                <c:pt idx="322">
                  <c:v>58455</c:v>
                </c:pt>
                <c:pt idx="323">
                  <c:v>57455</c:v>
                </c:pt>
                <c:pt idx="324">
                  <c:v>53705</c:v>
                </c:pt>
                <c:pt idx="325">
                  <c:v>50330</c:v>
                </c:pt>
                <c:pt idx="326">
                  <c:v>57080</c:v>
                </c:pt>
                <c:pt idx="327">
                  <c:v>55705</c:v>
                </c:pt>
                <c:pt idx="328">
                  <c:v>54580</c:v>
                </c:pt>
                <c:pt idx="329">
                  <c:v>55205</c:v>
                </c:pt>
                <c:pt idx="330">
                  <c:v>50830</c:v>
                </c:pt>
                <c:pt idx="331">
                  <c:v>52080</c:v>
                </c:pt>
                <c:pt idx="332">
                  <c:v>53080</c:v>
                </c:pt>
                <c:pt idx="333">
                  <c:v>54705</c:v>
                </c:pt>
                <c:pt idx="334">
                  <c:v>52205</c:v>
                </c:pt>
                <c:pt idx="335">
                  <c:v>52830</c:v>
                </c:pt>
                <c:pt idx="336">
                  <c:v>55955</c:v>
                </c:pt>
                <c:pt idx="337">
                  <c:v>57455</c:v>
                </c:pt>
                <c:pt idx="338">
                  <c:v>57830</c:v>
                </c:pt>
                <c:pt idx="339">
                  <c:v>60580</c:v>
                </c:pt>
                <c:pt idx="340">
                  <c:v>55205</c:v>
                </c:pt>
                <c:pt idx="341">
                  <c:v>52955</c:v>
                </c:pt>
                <c:pt idx="342">
                  <c:v>53830</c:v>
                </c:pt>
                <c:pt idx="343">
                  <c:v>50830</c:v>
                </c:pt>
                <c:pt idx="344">
                  <c:v>50205</c:v>
                </c:pt>
                <c:pt idx="345">
                  <c:v>47205</c:v>
                </c:pt>
                <c:pt idx="346">
                  <c:v>48330</c:v>
                </c:pt>
                <c:pt idx="347">
                  <c:v>53825</c:v>
                </c:pt>
                <c:pt idx="348">
                  <c:v>58450</c:v>
                </c:pt>
                <c:pt idx="349">
                  <c:v>53075</c:v>
                </c:pt>
                <c:pt idx="350">
                  <c:v>48700</c:v>
                </c:pt>
                <c:pt idx="351">
                  <c:v>52075</c:v>
                </c:pt>
                <c:pt idx="352">
                  <c:v>49450</c:v>
                </c:pt>
                <c:pt idx="353">
                  <c:v>52325</c:v>
                </c:pt>
                <c:pt idx="354">
                  <c:v>57825</c:v>
                </c:pt>
                <c:pt idx="355">
                  <c:v>56825</c:v>
                </c:pt>
                <c:pt idx="356">
                  <c:v>59450</c:v>
                </c:pt>
                <c:pt idx="357">
                  <c:v>65450</c:v>
                </c:pt>
                <c:pt idx="358">
                  <c:v>66450</c:v>
                </c:pt>
                <c:pt idx="359">
                  <c:v>68950</c:v>
                </c:pt>
                <c:pt idx="360">
                  <c:v>70450</c:v>
                </c:pt>
                <c:pt idx="361">
                  <c:v>70325</c:v>
                </c:pt>
                <c:pt idx="362">
                  <c:v>69700</c:v>
                </c:pt>
                <c:pt idx="363">
                  <c:v>68825</c:v>
                </c:pt>
                <c:pt idx="364">
                  <c:v>68450</c:v>
                </c:pt>
                <c:pt idx="365">
                  <c:v>72325</c:v>
                </c:pt>
                <c:pt idx="366">
                  <c:v>71575</c:v>
                </c:pt>
                <c:pt idx="367">
                  <c:v>73200</c:v>
                </c:pt>
                <c:pt idx="368">
                  <c:v>74075</c:v>
                </c:pt>
                <c:pt idx="369">
                  <c:v>74075</c:v>
                </c:pt>
                <c:pt idx="370">
                  <c:v>78825</c:v>
                </c:pt>
                <c:pt idx="371">
                  <c:v>79325</c:v>
                </c:pt>
                <c:pt idx="372">
                  <c:v>82325</c:v>
                </c:pt>
                <c:pt idx="373">
                  <c:v>79075</c:v>
                </c:pt>
                <c:pt idx="374">
                  <c:v>83825</c:v>
                </c:pt>
                <c:pt idx="375">
                  <c:v>84325</c:v>
                </c:pt>
                <c:pt idx="376">
                  <c:v>87450</c:v>
                </c:pt>
                <c:pt idx="377">
                  <c:v>86325</c:v>
                </c:pt>
                <c:pt idx="378">
                  <c:v>85075</c:v>
                </c:pt>
                <c:pt idx="379">
                  <c:v>86825</c:v>
                </c:pt>
                <c:pt idx="380">
                  <c:v>88075</c:v>
                </c:pt>
                <c:pt idx="381">
                  <c:v>86325</c:v>
                </c:pt>
                <c:pt idx="382">
                  <c:v>83075</c:v>
                </c:pt>
                <c:pt idx="383">
                  <c:v>81075</c:v>
                </c:pt>
                <c:pt idx="384">
                  <c:v>84700</c:v>
                </c:pt>
                <c:pt idx="385">
                  <c:v>86575</c:v>
                </c:pt>
                <c:pt idx="386">
                  <c:v>87075</c:v>
                </c:pt>
                <c:pt idx="387">
                  <c:v>84325</c:v>
                </c:pt>
                <c:pt idx="388">
                  <c:v>84075</c:v>
                </c:pt>
                <c:pt idx="389">
                  <c:v>94825</c:v>
                </c:pt>
                <c:pt idx="390">
                  <c:v>97195</c:v>
                </c:pt>
                <c:pt idx="391">
                  <c:v>98695</c:v>
                </c:pt>
                <c:pt idx="392">
                  <c:v>99945</c:v>
                </c:pt>
                <c:pt idx="393">
                  <c:v>103570</c:v>
                </c:pt>
                <c:pt idx="394">
                  <c:v>104320</c:v>
                </c:pt>
                <c:pt idx="395">
                  <c:v>105945</c:v>
                </c:pt>
                <c:pt idx="396">
                  <c:v>109695</c:v>
                </c:pt>
                <c:pt idx="397">
                  <c:v>111695</c:v>
                </c:pt>
                <c:pt idx="398">
                  <c:v>115195</c:v>
                </c:pt>
                <c:pt idx="399">
                  <c:v>114195</c:v>
                </c:pt>
                <c:pt idx="400">
                  <c:v>117320</c:v>
                </c:pt>
                <c:pt idx="401">
                  <c:v>116695</c:v>
                </c:pt>
                <c:pt idx="402">
                  <c:v>114945</c:v>
                </c:pt>
                <c:pt idx="403">
                  <c:v>118695</c:v>
                </c:pt>
                <c:pt idx="404">
                  <c:v>122195</c:v>
                </c:pt>
                <c:pt idx="405">
                  <c:v>124195</c:v>
                </c:pt>
                <c:pt idx="406">
                  <c:v>123695</c:v>
                </c:pt>
                <c:pt idx="407">
                  <c:v>124445</c:v>
                </c:pt>
                <c:pt idx="408">
                  <c:v>123570</c:v>
                </c:pt>
                <c:pt idx="409">
                  <c:v>120695</c:v>
                </c:pt>
                <c:pt idx="410">
                  <c:v>124195</c:v>
                </c:pt>
                <c:pt idx="411">
                  <c:v>124445</c:v>
                </c:pt>
                <c:pt idx="412">
                  <c:v>125820</c:v>
                </c:pt>
                <c:pt idx="413">
                  <c:v>127695</c:v>
                </c:pt>
                <c:pt idx="414">
                  <c:v>125070</c:v>
                </c:pt>
                <c:pt idx="415">
                  <c:v>127320</c:v>
                </c:pt>
                <c:pt idx="416">
                  <c:v>123820</c:v>
                </c:pt>
                <c:pt idx="417">
                  <c:v>125820</c:v>
                </c:pt>
                <c:pt idx="418">
                  <c:v>128695</c:v>
                </c:pt>
                <c:pt idx="419">
                  <c:v>126945</c:v>
                </c:pt>
                <c:pt idx="420">
                  <c:v>125195</c:v>
                </c:pt>
                <c:pt idx="421">
                  <c:v>125570</c:v>
                </c:pt>
                <c:pt idx="422">
                  <c:v>123695</c:v>
                </c:pt>
                <c:pt idx="423">
                  <c:v>121820</c:v>
                </c:pt>
                <c:pt idx="424">
                  <c:v>124070</c:v>
                </c:pt>
                <c:pt idx="425">
                  <c:v>123945</c:v>
                </c:pt>
                <c:pt idx="426">
                  <c:v>125445</c:v>
                </c:pt>
                <c:pt idx="427">
                  <c:v>124070</c:v>
                </c:pt>
                <c:pt idx="428">
                  <c:v>122695</c:v>
                </c:pt>
                <c:pt idx="429">
                  <c:v>124945</c:v>
                </c:pt>
                <c:pt idx="430">
                  <c:v>127070</c:v>
                </c:pt>
                <c:pt idx="431">
                  <c:v>126695</c:v>
                </c:pt>
                <c:pt idx="432">
                  <c:v>124195</c:v>
                </c:pt>
                <c:pt idx="433">
                  <c:v>127320</c:v>
                </c:pt>
                <c:pt idx="434">
                  <c:v>126565</c:v>
                </c:pt>
                <c:pt idx="435">
                  <c:v>127065</c:v>
                </c:pt>
                <c:pt idx="436">
                  <c:v>132440</c:v>
                </c:pt>
                <c:pt idx="437">
                  <c:v>135940</c:v>
                </c:pt>
                <c:pt idx="438">
                  <c:v>131565</c:v>
                </c:pt>
                <c:pt idx="439">
                  <c:v>135190</c:v>
                </c:pt>
                <c:pt idx="440">
                  <c:v>136690</c:v>
                </c:pt>
                <c:pt idx="441">
                  <c:v>135690</c:v>
                </c:pt>
                <c:pt idx="442">
                  <c:v>139440</c:v>
                </c:pt>
                <c:pt idx="443">
                  <c:v>139815</c:v>
                </c:pt>
                <c:pt idx="444">
                  <c:v>137565</c:v>
                </c:pt>
                <c:pt idx="445">
                  <c:v>136690</c:v>
                </c:pt>
                <c:pt idx="446">
                  <c:v>138315</c:v>
                </c:pt>
                <c:pt idx="447">
                  <c:v>139690</c:v>
                </c:pt>
                <c:pt idx="448">
                  <c:v>142690</c:v>
                </c:pt>
                <c:pt idx="449">
                  <c:v>143815</c:v>
                </c:pt>
                <c:pt idx="450">
                  <c:v>146190</c:v>
                </c:pt>
                <c:pt idx="451">
                  <c:v>144315</c:v>
                </c:pt>
                <c:pt idx="452">
                  <c:v>146065</c:v>
                </c:pt>
                <c:pt idx="453">
                  <c:v>147315</c:v>
                </c:pt>
                <c:pt idx="454">
                  <c:v>146315</c:v>
                </c:pt>
                <c:pt idx="455">
                  <c:v>148190</c:v>
                </c:pt>
                <c:pt idx="456">
                  <c:v>148440</c:v>
                </c:pt>
                <c:pt idx="457">
                  <c:v>148315</c:v>
                </c:pt>
                <c:pt idx="458">
                  <c:v>147565</c:v>
                </c:pt>
                <c:pt idx="459">
                  <c:v>143065</c:v>
                </c:pt>
                <c:pt idx="460">
                  <c:v>139315</c:v>
                </c:pt>
                <c:pt idx="461">
                  <c:v>137940</c:v>
                </c:pt>
                <c:pt idx="462">
                  <c:v>136315</c:v>
                </c:pt>
                <c:pt idx="463">
                  <c:v>142690</c:v>
                </c:pt>
                <c:pt idx="464">
                  <c:v>136565</c:v>
                </c:pt>
                <c:pt idx="465">
                  <c:v>131690</c:v>
                </c:pt>
                <c:pt idx="466">
                  <c:v>134815</c:v>
                </c:pt>
                <c:pt idx="467">
                  <c:v>133440</c:v>
                </c:pt>
                <c:pt idx="468">
                  <c:v>135190</c:v>
                </c:pt>
                <c:pt idx="469">
                  <c:v>135440</c:v>
                </c:pt>
                <c:pt idx="470">
                  <c:v>130690</c:v>
                </c:pt>
                <c:pt idx="471">
                  <c:v>132315</c:v>
                </c:pt>
                <c:pt idx="472">
                  <c:v>129440</c:v>
                </c:pt>
                <c:pt idx="473">
                  <c:v>132440</c:v>
                </c:pt>
                <c:pt idx="474">
                  <c:v>128690</c:v>
                </c:pt>
                <c:pt idx="475">
                  <c:v>126940</c:v>
                </c:pt>
                <c:pt idx="476">
                  <c:v>122690</c:v>
                </c:pt>
                <c:pt idx="477">
                  <c:v>121190</c:v>
                </c:pt>
                <c:pt idx="478">
                  <c:v>122690</c:v>
                </c:pt>
                <c:pt idx="479">
                  <c:v>123315</c:v>
                </c:pt>
                <c:pt idx="480">
                  <c:v>126190</c:v>
                </c:pt>
                <c:pt idx="481">
                  <c:v>124440</c:v>
                </c:pt>
                <c:pt idx="482">
                  <c:v>123190</c:v>
                </c:pt>
                <c:pt idx="483">
                  <c:v>124940</c:v>
                </c:pt>
                <c:pt idx="484">
                  <c:v>123690</c:v>
                </c:pt>
                <c:pt idx="485">
                  <c:v>122815</c:v>
                </c:pt>
                <c:pt idx="486">
                  <c:v>120065</c:v>
                </c:pt>
                <c:pt idx="487">
                  <c:v>117440</c:v>
                </c:pt>
                <c:pt idx="488">
                  <c:v>117440</c:v>
                </c:pt>
                <c:pt idx="489">
                  <c:v>120440</c:v>
                </c:pt>
                <c:pt idx="490">
                  <c:v>122315</c:v>
                </c:pt>
                <c:pt idx="491">
                  <c:v>127190</c:v>
                </c:pt>
                <c:pt idx="492">
                  <c:v>122440</c:v>
                </c:pt>
                <c:pt idx="493">
                  <c:v>120565</c:v>
                </c:pt>
                <c:pt idx="494">
                  <c:v>125565</c:v>
                </c:pt>
                <c:pt idx="495">
                  <c:v>122815</c:v>
                </c:pt>
                <c:pt idx="496">
                  <c:v>119815</c:v>
                </c:pt>
                <c:pt idx="497">
                  <c:v>121065</c:v>
                </c:pt>
                <c:pt idx="498">
                  <c:v>120940</c:v>
                </c:pt>
                <c:pt idx="499">
                  <c:v>121560</c:v>
                </c:pt>
                <c:pt idx="500">
                  <c:v>124310</c:v>
                </c:pt>
                <c:pt idx="501">
                  <c:v>125310</c:v>
                </c:pt>
                <c:pt idx="502">
                  <c:v>120685</c:v>
                </c:pt>
                <c:pt idx="503">
                  <c:v>117935</c:v>
                </c:pt>
                <c:pt idx="504">
                  <c:v>119185</c:v>
                </c:pt>
                <c:pt idx="505">
                  <c:v>118185</c:v>
                </c:pt>
                <c:pt idx="506">
                  <c:v>119435</c:v>
                </c:pt>
                <c:pt idx="507">
                  <c:v>117060</c:v>
                </c:pt>
                <c:pt idx="508">
                  <c:v>110685</c:v>
                </c:pt>
                <c:pt idx="509">
                  <c:v>111435</c:v>
                </c:pt>
                <c:pt idx="510">
                  <c:v>112185</c:v>
                </c:pt>
                <c:pt idx="511">
                  <c:v>111560</c:v>
                </c:pt>
                <c:pt idx="512">
                  <c:v>110060</c:v>
                </c:pt>
                <c:pt idx="513">
                  <c:v>111060</c:v>
                </c:pt>
                <c:pt idx="514">
                  <c:v>109435</c:v>
                </c:pt>
                <c:pt idx="515">
                  <c:v>108685</c:v>
                </c:pt>
                <c:pt idx="516">
                  <c:v>111560</c:v>
                </c:pt>
                <c:pt idx="517">
                  <c:v>110185</c:v>
                </c:pt>
                <c:pt idx="518">
                  <c:v>108935</c:v>
                </c:pt>
                <c:pt idx="519">
                  <c:v>109310</c:v>
                </c:pt>
                <c:pt idx="520">
                  <c:v>112185</c:v>
                </c:pt>
                <c:pt idx="521">
                  <c:v>117185</c:v>
                </c:pt>
                <c:pt idx="522">
                  <c:v>116430</c:v>
                </c:pt>
                <c:pt idx="523">
                  <c:v>117805</c:v>
                </c:pt>
                <c:pt idx="524">
                  <c:v>112805</c:v>
                </c:pt>
                <c:pt idx="525">
                  <c:v>113180</c:v>
                </c:pt>
                <c:pt idx="526">
                  <c:v>117305</c:v>
                </c:pt>
                <c:pt idx="527">
                  <c:v>118305</c:v>
                </c:pt>
                <c:pt idx="528">
                  <c:v>115180</c:v>
                </c:pt>
                <c:pt idx="529">
                  <c:v>114180</c:v>
                </c:pt>
                <c:pt idx="530">
                  <c:v>122430</c:v>
                </c:pt>
                <c:pt idx="531">
                  <c:v>125680</c:v>
                </c:pt>
                <c:pt idx="532">
                  <c:v>126430</c:v>
                </c:pt>
                <c:pt idx="533">
                  <c:v>122055</c:v>
                </c:pt>
                <c:pt idx="534">
                  <c:v>122055</c:v>
                </c:pt>
                <c:pt idx="535">
                  <c:v>120805</c:v>
                </c:pt>
                <c:pt idx="536">
                  <c:v>121680</c:v>
                </c:pt>
                <c:pt idx="537">
                  <c:v>123680</c:v>
                </c:pt>
                <c:pt idx="538">
                  <c:v>122805</c:v>
                </c:pt>
                <c:pt idx="539">
                  <c:v>123305</c:v>
                </c:pt>
                <c:pt idx="540">
                  <c:v>124180</c:v>
                </c:pt>
                <c:pt idx="541">
                  <c:v>127430</c:v>
                </c:pt>
                <c:pt idx="542">
                  <c:v>130430</c:v>
                </c:pt>
                <c:pt idx="543">
                  <c:v>130555</c:v>
                </c:pt>
                <c:pt idx="544">
                  <c:v>130425</c:v>
                </c:pt>
                <c:pt idx="545">
                  <c:v>122675</c:v>
                </c:pt>
                <c:pt idx="546">
                  <c:v>125300</c:v>
                </c:pt>
                <c:pt idx="547">
                  <c:v>123800</c:v>
                </c:pt>
                <c:pt idx="548">
                  <c:v>124425</c:v>
                </c:pt>
                <c:pt idx="549">
                  <c:v>120425</c:v>
                </c:pt>
                <c:pt idx="550">
                  <c:v>122175</c:v>
                </c:pt>
                <c:pt idx="551">
                  <c:v>122175</c:v>
                </c:pt>
                <c:pt idx="552">
                  <c:v>124300</c:v>
                </c:pt>
                <c:pt idx="553">
                  <c:v>123050</c:v>
                </c:pt>
                <c:pt idx="554">
                  <c:v>122050</c:v>
                </c:pt>
                <c:pt idx="555">
                  <c:v>121300</c:v>
                </c:pt>
                <c:pt idx="556">
                  <c:v>123925</c:v>
                </c:pt>
                <c:pt idx="557">
                  <c:v>121425</c:v>
                </c:pt>
                <c:pt idx="558">
                  <c:v>123925</c:v>
                </c:pt>
                <c:pt idx="559">
                  <c:v>126050</c:v>
                </c:pt>
                <c:pt idx="560">
                  <c:v>126550</c:v>
                </c:pt>
                <c:pt idx="561">
                  <c:v>129300</c:v>
                </c:pt>
                <c:pt idx="562">
                  <c:v>125550</c:v>
                </c:pt>
                <c:pt idx="563">
                  <c:v>121925</c:v>
                </c:pt>
                <c:pt idx="564">
                  <c:v>125920</c:v>
                </c:pt>
                <c:pt idx="565">
                  <c:v>124920</c:v>
                </c:pt>
                <c:pt idx="566">
                  <c:v>125170</c:v>
                </c:pt>
                <c:pt idx="567">
                  <c:v>124545</c:v>
                </c:pt>
                <c:pt idx="568">
                  <c:v>128170</c:v>
                </c:pt>
                <c:pt idx="569">
                  <c:v>125295</c:v>
                </c:pt>
                <c:pt idx="570">
                  <c:v>126670</c:v>
                </c:pt>
                <c:pt idx="571">
                  <c:v>124295</c:v>
                </c:pt>
                <c:pt idx="572">
                  <c:v>125295</c:v>
                </c:pt>
                <c:pt idx="573">
                  <c:v>129420</c:v>
                </c:pt>
                <c:pt idx="574">
                  <c:v>130670</c:v>
                </c:pt>
                <c:pt idx="575">
                  <c:v>134670</c:v>
                </c:pt>
                <c:pt idx="576">
                  <c:v>133670</c:v>
                </c:pt>
                <c:pt idx="577">
                  <c:v>133670</c:v>
                </c:pt>
                <c:pt idx="578">
                  <c:v>126920</c:v>
                </c:pt>
                <c:pt idx="579">
                  <c:v>124545</c:v>
                </c:pt>
                <c:pt idx="580">
                  <c:v>123545</c:v>
                </c:pt>
                <c:pt idx="581">
                  <c:v>122295</c:v>
                </c:pt>
                <c:pt idx="582">
                  <c:v>124420</c:v>
                </c:pt>
                <c:pt idx="583">
                  <c:v>124545</c:v>
                </c:pt>
                <c:pt idx="584">
                  <c:v>123045</c:v>
                </c:pt>
                <c:pt idx="585">
                  <c:v>131545</c:v>
                </c:pt>
                <c:pt idx="586">
                  <c:v>129295</c:v>
                </c:pt>
                <c:pt idx="587">
                  <c:v>126420</c:v>
                </c:pt>
                <c:pt idx="588">
                  <c:v>125295</c:v>
                </c:pt>
                <c:pt idx="589">
                  <c:v>127295</c:v>
                </c:pt>
                <c:pt idx="590">
                  <c:v>128545</c:v>
                </c:pt>
                <c:pt idx="591">
                  <c:v>130920</c:v>
                </c:pt>
                <c:pt idx="592">
                  <c:v>130670</c:v>
                </c:pt>
                <c:pt idx="593">
                  <c:v>131920</c:v>
                </c:pt>
                <c:pt idx="594">
                  <c:v>134045</c:v>
                </c:pt>
                <c:pt idx="595">
                  <c:v>132795</c:v>
                </c:pt>
                <c:pt idx="596">
                  <c:v>132295</c:v>
                </c:pt>
                <c:pt idx="597">
                  <c:v>131170</c:v>
                </c:pt>
                <c:pt idx="598">
                  <c:v>130670</c:v>
                </c:pt>
                <c:pt idx="599">
                  <c:v>130545</c:v>
                </c:pt>
                <c:pt idx="600">
                  <c:v>133420</c:v>
                </c:pt>
                <c:pt idx="601">
                  <c:v>133670</c:v>
                </c:pt>
                <c:pt idx="602">
                  <c:v>132420</c:v>
                </c:pt>
                <c:pt idx="603">
                  <c:v>137920</c:v>
                </c:pt>
                <c:pt idx="604">
                  <c:v>140670</c:v>
                </c:pt>
                <c:pt idx="605">
                  <c:v>140295</c:v>
                </c:pt>
                <c:pt idx="606">
                  <c:v>139545</c:v>
                </c:pt>
                <c:pt idx="607">
                  <c:v>140545</c:v>
                </c:pt>
                <c:pt idx="608">
                  <c:v>142165</c:v>
                </c:pt>
                <c:pt idx="609">
                  <c:v>141790</c:v>
                </c:pt>
                <c:pt idx="610">
                  <c:v>143415</c:v>
                </c:pt>
                <c:pt idx="611">
                  <c:v>140790</c:v>
                </c:pt>
                <c:pt idx="612">
                  <c:v>142540</c:v>
                </c:pt>
                <c:pt idx="613">
                  <c:v>142415</c:v>
                </c:pt>
                <c:pt idx="614">
                  <c:v>143790</c:v>
                </c:pt>
                <c:pt idx="615">
                  <c:v>141915</c:v>
                </c:pt>
                <c:pt idx="616">
                  <c:v>142790</c:v>
                </c:pt>
                <c:pt idx="617">
                  <c:v>139540</c:v>
                </c:pt>
                <c:pt idx="618">
                  <c:v>141040</c:v>
                </c:pt>
                <c:pt idx="619">
                  <c:v>138290</c:v>
                </c:pt>
                <c:pt idx="620">
                  <c:v>142415</c:v>
                </c:pt>
                <c:pt idx="621">
                  <c:v>143415</c:v>
                </c:pt>
                <c:pt idx="622">
                  <c:v>140915</c:v>
                </c:pt>
                <c:pt idx="623">
                  <c:v>142915</c:v>
                </c:pt>
                <c:pt idx="624">
                  <c:v>143290</c:v>
                </c:pt>
                <c:pt idx="625">
                  <c:v>146290</c:v>
                </c:pt>
                <c:pt idx="626">
                  <c:v>148290</c:v>
                </c:pt>
                <c:pt idx="627">
                  <c:v>146415</c:v>
                </c:pt>
                <c:pt idx="628">
                  <c:v>148040</c:v>
                </c:pt>
                <c:pt idx="629">
                  <c:v>147290</c:v>
                </c:pt>
                <c:pt idx="630">
                  <c:v>143665</c:v>
                </c:pt>
                <c:pt idx="631">
                  <c:v>144540</c:v>
                </c:pt>
                <c:pt idx="632">
                  <c:v>141540</c:v>
                </c:pt>
                <c:pt idx="633">
                  <c:v>143165</c:v>
                </c:pt>
                <c:pt idx="634">
                  <c:v>141040</c:v>
                </c:pt>
                <c:pt idx="635">
                  <c:v>140665</c:v>
                </c:pt>
                <c:pt idx="636">
                  <c:v>143665</c:v>
                </c:pt>
                <c:pt idx="637">
                  <c:v>145665</c:v>
                </c:pt>
                <c:pt idx="638">
                  <c:v>146665</c:v>
                </c:pt>
                <c:pt idx="639">
                  <c:v>149415</c:v>
                </c:pt>
                <c:pt idx="640">
                  <c:v>147540</c:v>
                </c:pt>
                <c:pt idx="641">
                  <c:v>144290</c:v>
                </c:pt>
                <c:pt idx="642">
                  <c:v>143790</c:v>
                </c:pt>
                <c:pt idx="643">
                  <c:v>146040</c:v>
                </c:pt>
                <c:pt idx="644">
                  <c:v>144165</c:v>
                </c:pt>
                <c:pt idx="645">
                  <c:v>139915</c:v>
                </c:pt>
                <c:pt idx="646">
                  <c:v>139540</c:v>
                </c:pt>
                <c:pt idx="647">
                  <c:v>135290</c:v>
                </c:pt>
                <c:pt idx="648">
                  <c:v>129665</c:v>
                </c:pt>
                <c:pt idx="649">
                  <c:v>129040</c:v>
                </c:pt>
                <c:pt idx="650">
                  <c:v>116790</c:v>
                </c:pt>
                <c:pt idx="651">
                  <c:v>117910</c:v>
                </c:pt>
                <c:pt idx="652">
                  <c:v>111660</c:v>
                </c:pt>
                <c:pt idx="653">
                  <c:v>112160</c:v>
                </c:pt>
                <c:pt idx="654">
                  <c:v>112785</c:v>
                </c:pt>
                <c:pt idx="655">
                  <c:v>115160</c:v>
                </c:pt>
                <c:pt idx="656">
                  <c:v>114035</c:v>
                </c:pt>
                <c:pt idx="657">
                  <c:v>110410</c:v>
                </c:pt>
                <c:pt idx="658">
                  <c:v>108410</c:v>
                </c:pt>
                <c:pt idx="659">
                  <c:v>105160</c:v>
                </c:pt>
                <c:pt idx="660">
                  <c:v>110035</c:v>
                </c:pt>
                <c:pt idx="661">
                  <c:v>112035</c:v>
                </c:pt>
                <c:pt idx="662">
                  <c:v>110410</c:v>
                </c:pt>
                <c:pt idx="663">
                  <c:v>115785</c:v>
                </c:pt>
                <c:pt idx="664">
                  <c:v>122660</c:v>
                </c:pt>
                <c:pt idx="665">
                  <c:v>122035</c:v>
                </c:pt>
                <c:pt idx="666">
                  <c:v>124660</c:v>
                </c:pt>
                <c:pt idx="667">
                  <c:v>125285</c:v>
                </c:pt>
                <c:pt idx="668">
                  <c:v>128410</c:v>
                </c:pt>
                <c:pt idx="669">
                  <c:v>137285</c:v>
                </c:pt>
                <c:pt idx="670">
                  <c:v>140285</c:v>
                </c:pt>
                <c:pt idx="671">
                  <c:v>141285</c:v>
                </c:pt>
                <c:pt idx="672">
                  <c:v>140285</c:v>
                </c:pt>
                <c:pt idx="673">
                  <c:v>138535</c:v>
                </c:pt>
                <c:pt idx="674">
                  <c:v>141535</c:v>
                </c:pt>
                <c:pt idx="675">
                  <c:v>142285</c:v>
                </c:pt>
                <c:pt idx="676">
                  <c:v>139785</c:v>
                </c:pt>
                <c:pt idx="677">
                  <c:v>140160</c:v>
                </c:pt>
                <c:pt idx="678">
                  <c:v>139410</c:v>
                </c:pt>
                <c:pt idx="679">
                  <c:v>132535</c:v>
                </c:pt>
                <c:pt idx="680">
                  <c:v>135660</c:v>
                </c:pt>
                <c:pt idx="681">
                  <c:v>147160</c:v>
                </c:pt>
                <c:pt idx="682">
                  <c:v>145035</c:v>
                </c:pt>
                <c:pt idx="683">
                  <c:v>144410</c:v>
                </c:pt>
                <c:pt idx="684">
                  <c:v>143910</c:v>
                </c:pt>
                <c:pt idx="685">
                  <c:v>142785</c:v>
                </c:pt>
                <c:pt idx="686">
                  <c:v>142160</c:v>
                </c:pt>
                <c:pt idx="687">
                  <c:v>140535</c:v>
                </c:pt>
                <c:pt idx="688">
                  <c:v>143285</c:v>
                </c:pt>
                <c:pt idx="689">
                  <c:v>141660</c:v>
                </c:pt>
                <c:pt idx="690">
                  <c:v>143535</c:v>
                </c:pt>
                <c:pt idx="691">
                  <c:v>144785</c:v>
                </c:pt>
                <c:pt idx="692">
                  <c:v>144910</c:v>
                </c:pt>
                <c:pt idx="693">
                  <c:v>143910</c:v>
                </c:pt>
                <c:pt idx="694">
                  <c:v>144785</c:v>
                </c:pt>
                <c:pt idx="695">
                  <c:v>147405</c:v>
                </c:pt>
                <c:pt idx="696">
                  <c:v>149030</c:v>
                </c:pt>
                <c:pt idx="697">
                  <c:v>151030</c:v>
                </c:pt>
                <c:pt idx="698">
                  <c:v>150280</c:v>
                </c:pt>
                <c:pt idx="699">
                  <c:v>150530</c:v>
                </c:pt>
                <c:pt idx="700">
                  <c:v>148780</c:v>
                </c:pt>
                <c:pt idx="701">
                  <c:v>147280</c:v>
                </c:pt>
                <c:pt idx="702">
                  <c:v>144780</c:v>
                </c:pt>
                <c:pt idx="703">
                  <c:v>139905</c:v>
                </c:pt>
                <c:pt idx="704">
                  <c:v>135280</c:v>
                </c:pt>
                <c:pt idx="705">
                  <c:v>136280</c:v>
                </c:pt>
                <c:pt idx="706">
                  <c:v>138780</c:v>
                </c:pt>
                <c:pt idx="707">
                  <c:v>141030</c:v>
                </c:pt>
                <c:pt idx="708">
                  <c:v>142780</c:v>
                </c:pt>
                <c:pt idx="709">
                  <c:v>139780</c:v>
                </c:pt>
                <c:pt idx="710">
                  <c:v>141905</c:v>
                </c:pt>
                <c:pt idx="711">
                  <c:v>140655</c:v>
                </c:pt>
                <c:pt idx="712">
                  <c:v>141530</c:v>
                </c:pt>
                <c:pt idx="713">
                  <c:v>137780</c:v>
                </c:pt>
                <c:pt idx="714">
                  <c:v>138780</c:v>
                </c:pt>
                <c:pt idx="715">
                  <c:v>137530</c:v>
                </c:pt>
                <c:pt idx="716">
                  <c:v>139155</c:v>
                </c:pt>
                <c:pt idx="717">
                  <c:v>136780</c:v>
                </c:pt>
                <c:pt idx="718">
                  <c:v>136780</c:v>
                </c:pt>
                <c:pt idx="719">
                  <c:v>135405</c:v>
                </c:pt>
                <c:pt idx="720">
                  <c:v>133030</c:v>
                </c:pt>
                <c:pt idx="721">
                  <c:v>133905</c:v>
                </c:pt>
                <c:pt idx="722">
                  <c:v>135905</c:v>
                </c:pt>
                <c:pt idx="723">
                  <c:v>139155</c:v>
                </c:pt>
                <c:pt idx="724">
                  <c:v>141280</c:v>
                </c:pt>
                <c:pt idx="725">
                  <c:v>139780</c:v>
                </c:pt>
                <c:pt idx="726">
                  <c:v>142280</c:v>
                </c:pt>
                <c:pt idx="727">
                  <c:v>144030</c:v>
                </c:pt>
                <c:pt idx="728">
                  <c:v>143780</c:v>
                </c:pt>
                <c:pt idx="729">
                  <c:v>145030</c:v>
                </c:pt>
                <c:pt idx="730">
                  <c:v>144280</c:v>
                </c:pt>
                <c:pt idx="731">
                  <c:v>141655</c:v>
                </c:pt>
                <c:pt idx="732">
                  <c:v>142280</c:v>
                </c:pt>
                <c:pt idx="733">
                  <c:v>142780</c:v>
                </c:pt>
                <c:pt idx="734">
                  <c:v>139780</c:v>
                </c:pt>
                <c:pt idx="735">
                  <c:v>141155</c:v>
                </c:pt>
                <c:pt idx="736">
                  <c:v>143780</c:v>
                </c:pt>
                <c:pt idx="737">
                  <c:v>142155</c:v>
                </c:pt>
                <c:pt idx="738">
                  <c:v>140780</c:v>
                </c:pt>
                <c:pt idx="739">
                  <c:v>143530</c:v>
                </c:pt>
                <c:pt idx="740">
                  <c:v>142030</c:v>
                </c:pt>
                <c:pt idx="741">
                  <c:v>140155</c:v>
                </c:pt>
                <c:pt idx="742">
                  <c:v>144030</c:v>
                </c:pt>
                <c:pt idx="743">
                  <c:v>145155</c:v>
                </c:pt>
                <c:pt idx="744">
                  <c:v>147405</c:v>
                </c:pt>
                <c:pt idx="745">
                  <c:v>152655</c:v>
                </c:pt>
                <c:pt idx="746">
                  <c:v>151030</c:v>
                </c:pt>
                <c:pt idx="747">
                  <c:v>151155</c:v>
                </c:pt>
                <c:pt idx="748">
                  <c:v>152280</c:v>
                </c:pt>
                <c:pt idx="749">
                  <c:v>152405</c:v>
                </c:pt>
                <c:pt idx="750">
                  <c:v>151780</c:v>
                </c:pt>
                <c:pt idx="751">
                  <c:v>151030</c:v>
                </c:pt>
                <c:pt idx="752">
                  <c:v>149905</c:v>
                </c:pt>
                <c:pt idx="753">
                  <c:v>150030</c:v>
                </c:pt>
                <c:pt idx="754">
                  <c:v>148780</c:v>
                </c:pt>
                <c:pt idx="755">
                  <c:v>150155</c:v>
                </c:pt>
                <c:pt idx="756">
                  <c:v>149280</c:v>
                </c:pt>
                <c:pt idx="757">
                  <c:v>149030</c:v>
                </c:pt>
                <c:pt idx="758">
                  <c:v>151405</c:v>
                </c:pt>
                <c:pt idx="759">
                  <c:v>149280</c:v>
                </c:pt>
                <c:pt idx="760">
                  <c:v>148400</c:v>
                </c:pt>
                <c:pt idx="761">
                  <c:v>149775</c:v>
                </c:pt>
                <c:pt idx="762">
                  <c:v>146650</c:v>
                </c:pt>
                <c:pt idx="763">
                  <c:v>144900</c:v>
                </c:pt>
                <c:pt idx="764">
                  <c:v>148400</c:v>
                </c:pt>
                <c:pt idx="765">
                  <c:v>148275</c:v>
                </c:pt>
                <c:pt idx="766">
                  <c:v>148525</c:v>
                </c:pt>
                <c:pt idx="767">
                  <c:v>145900</c:v>
                </c:pt>
                <c:pt idx="768">
                  <c:v>147650</c:v>
                </c:pt>
                <c:pt idx="769">
                  <c:v>145900</c:v>
                </c:pt>
                <c:pt idx="770">
                  <c:v>145775</c:v>
                </c:pt>
                <c:pt idx="771">
                  <c:v>150150</c:v>
                </c:pt>
                <c:pt idx="772">
                  <c:v>148525</c:v>
                </c:pt>
                <c:pt idx="773">
                  <c:v>147900</c:v>
                </c:pt>
                <c:pt idx="774">
                  <c:v>149400</c:v>
                </c:pt>
                <c:pt idx="775">
                  <c:v>151900</c:v>
                </c:pt>
                <c:pt idx="776">
                  <c:v>152400</c:v>
                </c:pt>
                <c:pt idx="777">
                  <c:v>152900</c:v>
                </c:pt>
                <c:pt idx="778">
                  <c:v>153400</c:v>
                </c:pt>
                <c:pt idx="779">
                  <c:v>154775</c:v>
                </c:pt>
                <c:pt idx="780">
                  <c:v>154275</c:v>
                </c:pt>
                <c:pt idx="781">
                  <c:v>155525</c:v>
                </c:pt>
                <c:pt idx="782">
                  <c:v>155900</c:v>
                </c:pt>
                <c:pt idx="783">
                  <c:v>155395</c:v>
                </c:pt>
                <c:pt idx="784">
                  <c:v>159395</c:v>
                </c:pt>
                <c:pt idx="785">
                  <c:v>158645</c:v>
                </c:pt>
                <c:pt idx="786">
                  <c:v>158145</c:v>
                </c:pt>
                <c:pt idx="787">
                  <c:v>159020</c:v>
                </c:pt>
                <c:pt idx="788">
                  <c:v>157020</c:v>
                </c:pt>
                <c:pt idx="789">
                  <c:v>159770</c:v>
                </c:pt>
                <c:pt idx="790">
                  <c:v>156270</c:v>
                </c:pt>
                <c:pt idx="791">
                  <c:v>155895</c:v>
                </c:pt>
                <c:pt idx="792">
                  <c:v>155895</c:v>
                </c:pt>
                <c:pt idx="793">
                  <c:v>154145</c:v>
                </c:pt>
                <c:pt idx="794">
                  <c:v>153645</c:v>
                </c:pt>
                <c:pt idx="795">
                  <c:v>151020</c:v>
                </c:pt>
                <c:pt idx="796">
                  <c:v>151270</c:v>
                </c:pt>
                <c:pt idx="797">
                  <c:v>151520</c:v>
                </c:pt>
                <c:pt idx="798">
                  <c:v>150395</c:v>
                </c:pt>
                <c:pt idx="799">
                  <c:v>150520</c:v>
                </c:pt>
                <c:pt idx="800">
                  <c:v>150770</c:v>
                </c:pt>
                <c:pt idx="801">
                  <c:v>150270</c:v>
                </c:pt>
                <c:pt idx="802">
                  <c:v>152270</c:v>
                </c:pt>
                <c:pt idx="803">
                  <c:v>149895</c:v>
                </c:pt>
                <c:pt idx="804">
                  <c:v>150265</c:v>
                </c:pt>
                <c:pt idx="805">
                  <c:v>149515</c:v>
                </c:pt>
                <c:pt idx="806">
                  <c:v>150140</c:v>
                </c:pt>
                <c:pt idx="807">
                  <c:v>151015</c:v>
                </c:pt>
                <c:pt idx="808">
                  <c:v>152265</c:v>
                </c:pt>
                <c:pt idx="809">
                  <c:v>154640</c:v>
                </c:pt>
                <c:pt idx="810">
                  <c:v>155140</c:v>
                </c:pt>
                <c:pt idx="811">
                  <c:v>155265</c:v>
                </c:pt>
                <c:pt idx="812">
                  <c:v>155515</c:v>
                </c:pt>
                <c:pt idx="813">
                  <c:v>156140</c:v>
                </c:pt>
                <c:pt idx="814">
                  <c:v>155890</c:v>
                </c:pt>
                <c:pt idx="815">
                  <c:v>154890</c:v>
                </c:pt>
                <c:pt idx="816">
                  <c:v>152015</c:v>
                </c:pt>
                <c:pt idx="817">
                  <c:v>152515</c:v>
                </c:pt>
                <c:pt idx="818">
                  <c:v>153015</c:v>
                </c:pt>
                <c:pt idx="819">
                  <c:v>151640</c:v>
                </c:pt>
                <c:pt idx="820">
                  <c:v>154390</c:v>
                </c:pt>
                <c:pt idx="821">
                  <c:v>155015</c:v>
                </c:pt>
                <c:pt idx="822">
                  <c:v>157265</c:v>
                </c:pt>
                <c:pt idx="823">
                  <c:v>158390</c:v>
                </c:pt>
                <c:pt idx="824">
                  <c:v>159140</c:v>
                </c:pt>
                <c:pt idx="825">
                  <c:v>159510</c:v>
                </c:pt>
                <c:pt idx="826">
                  <c:v>160010</c:v>
                </c:pt>
                <c:pt idx="827">
                  <c:v>160010</c:v>
                </c:pt>
                <c:pt idx="828">
                  <c:v>158885</c:v>
                </c:pt>
                <c:pt idx="829">
                  <c:v>157885</c:v>
                </c:pt>
                <c:pt idx="830">
                  <c:v>158010</c:v>
                </c:pt>
                <c:pt idx="831">
                  <c:v>158135</c:v>
                </c:pt>
                <c:pt idx="832">
                  <c:v>156510</c:v>
                </c:pt>
                <c:pt idx="833">
                  <c:v>155385</c:v>
                </c:pt>
                <c:pt idx="834">
                  <c:v>153385</c:v>
                </c:pt>
                <c:pt idx="835">
                  <c:v>153510</c:v>
                </c:pt>
                <c:pt idx="836">
                  <c:v>154010</c:v>
                </c:pt>
                <c:pt idx="837">
                  <c:v>153760</c:v>
                </c:pt>
                <c:pt idx="838">
                  <c:v>154510</c:v>
                </c:pt>
                <c:pt idx="839">
                  <c:v>153135</c:v>
                </c:pt>
                <c:pt idx="840">
                  <c:v>153010</c:v>
                </c:pt>
                <c:pt idx="841">
                  <c:v>153760</c:v>
                </c:pt>
                <c:pt idx="842">
                  <c:v>153010</c:v>
                </c:pt>
                <c:pt idx="843">
                  <c:v>152510</c:v>
                </c:pt>
                <c:pt idx="844">
                  <c:v>152135</c:v>
                </c:pt>
                <c:pt idx="845">
                  <c:v>151760</c:v>
                </c:pt>
                <c:pt idx="846">
                  <c:v>153135</c:v>
                </c:pt>
                <c:pt idx="847">
                  <c:v>163635</c:v>
                </c:pt>
                <c:pt idx="848">
                  <c:v>162135</c:v>
                </c:pt>
                <c:pt idx="849">
                  <c:v>160510</c:v>
                </c:pt>
                <c:pt idx="850">
                  <c:v>160010</c:v>
                </c:pt>
                <c:pt idx="851">
                  <c:v>158760</c:v>
                </c:pt>
                <c:pt idx="852">
                  <c:v>157135</c:v>
                </c:pt>
                <c:pt idx="853">
                  <c:v>156885</c:v>
                </c:pt>
                <c:pt idx="854">
                  <c:v>159510</c:v>
                </c:pt>
                <c:pt idx="855">
                  <c:v>158135</c:v>
                </c:pt>
                <c:pt idx="856">
                  <c:v>150885</c:v>
                </c:pt>
                <c:pt idx="857">
                  <c:v>150885</c:v>
                </c:pt>
                <c:pt idx="858">
                  <c:v>147885</c:v>
                </c:pt>
                <c:pt idx="859">
                  <c:v>147260</c:v>
                </c:pt>
                <c:pt idx="860">
                  <c:v>145510</c:v>
                </c:pt>
                <c:pt idx="861">
                  <c:v>142260</c:v>
                </c:pt>
                <c:pt idx="862">
                  <c:v>142760</c:v>
                </c:pt>
                <c:pt idx="863">
                  <c:v>151510</c:v>
                </c:pt>
                <c:pt idx="864">
                  <c:v>147885</c:v>
                </c:pt>
                <c:pt idx="865">
                  <c:v>147885</c:v>
                </c:pt>
                <c:pt idx="866">
                  <c:v>149010</c:v>
                </c:pt>
                <c:pt idx="867">
                  <c:v>145135</c:v>
                </c:pt>
                <c:pt idx="868">
                  <c:v>145010</c:v>
                </c:pt>
                <c:pt idx="869">
                  <c:v>146130</c:v>
                </c:pt>
                <c:pt idx="870">
                  <c:v>151380</c:v>
                </c:pt>
                <c:pt idx="871">
                  <c:v>151505</c:v>
                </c:pt>
                <c:pt idx="872">
                  <c:v>153630</c:v>
                </c:pt>
                <c:pt idx="873">
                  <c:v>151880</c:v>
                </c:pt>
                <c:pt idx="874">
                  <c:v>155380</c:v>
                </c:pt>
                <c:pt idx="875">
                  <c:v>151505</c:v>
                </c:pt>
                <c:pt idx="876">
                  <c:v>152630</c:v>
                </c:pt>
                <c:pt idx="877">
                  <c:v>147005</c:v>
                </c:pt>
                <c:pt idx="878">
                  <c:v>145505</c:v>
                </c:pt>
                <c:pt idx="879">
                  <c:v>144630</c:v>
                </c:pt>
                <c:pt idx="880">
                  <c:v>142255</c:v>
                </c:pt>
                <c:pt idx="881">
                  <c:v>141005</c:v>
                </c:pt>
                <c:pt idx="882">
                  <c:v>146130</c:v>
                </c:pt>
                <c:pt idx="883">
                  <c:v>144255</c:v>
                </c:pt>
                <c:pt idx="884">
                  <c:v>142130</c:v>
                </c:pt>
                <c:pt idx="885">
                  <c:v>140505</c:v>
                </c:pt>
                <c:pt idx="886">
                  <c:v>138630</c:v>
                </c:pt>
                <c:pt idx="887">
                  <c:v>136755</c:v>
                </c:pt>
                <c:pt idx="888">
                  <c:v>134630</c:v>
                </c:pt>
                <c:pt idx="889">
                  <c:v>133880</c:v>
                </c:pt>
                <c:pt idx="890">
                  <c:v>137755</c:v>
                </c:pt>
                <c:pt idx="891">
                  <c:v>134380</c:v>
                </c:pt>
                <c:pt idx="892">
                  <c:v>132255</c:v>
                </c:pt>
                <c:pt idx="893">
                  <c:v>131880</c:v>
                </c:pt>
                <c:pt idx="894">
                  <c:v>127005</c:v>
                </c:pt>
                <c:pt idx="895">
                  <c:v>127130</c:v>
                </c:pt>
                <c:pt idx="896">
                  <c:v>124380</c:v>
                </c:pt>
                <c:pt idx="897">
                  <c:v>127630</c:v>
                </c:pt>
                <c:pt idx="898">
                  <c:v>129380</c:v>
                </c:pt>
                <c:pt idx="899">
                  <c:v>126005</c:v>
                </c:pt>
                <c:pt idx="900">
                  <c:v>123755</c:v>
                </c:pt>
                <c:pt idx="901">
                  <c:v>125130</c:v>
                </c:pt>
                <c:pt idx="902">
                  <c:v>128255</c:v>
                </c:pt>
                <c:pt idx="903">
                  <c:v>123505</c:v>
                </c:pt>
                <c:pt idx="904">
                  <c:v>129130</c:v>
                </c:pt>
                <c:pt idx="905">
                  <c:v>141880</c:v>
                </c:pt>
                <c:pt idx="906">
                  <c:v>142005</c:v>
                </c:pt>
                <c:pt idx="907">
                  <c:v>146755</c:v>
                </c:pt>
                <c:pt idx="908">
                  <c:v>149880</c:v>
                </c:pt>
                <c:pt idx="909">
                  <c:v>149005</c:v>
                </c:pt>
                <c:pt idx="910">
                  <c:v>148505</c:v>
                </c:pt>
                <c:pt idx="911">
                  <c:v>153880</c:v>
                </c:pt>
                <c:pt idx="912">
                  <c:v>159380</c:v>
                </c:pt>
                <c:pt idx="913">
                  <c:v>163125</c:v>
                </c:pt>
                <c:pt idx="914">
                  <c:v>167375</c:v>
                </c:pt>
                <c:pt idx="915">
                  <c:v>168250</c:v>
                </c:pt>
                <c:pt idx="916">
                  <c:v>171250</c:v>
                </c:pt>
                <c:pt idx="917">
                  <c:v>172625</c:v>
                </c:pt>
                <c:pt idx="918">
                  <c:v>166375</c:v>
                </c:pt>
                <c:pt idx="919">
                  <c:v>170000</c:v>
                </c:pt>
                <c:pt idx="920">
                  <c:v>167125</c:v>
                </c:pt>
                <c:pt idx="921">
                  <c:v>162250</c:v>
                </c:pt>
                <c:pt idx="922">
                  <c:v>164125</c:v>
                </c:pt>
                <c:pt idx="923">
                  <c:v>166750</c:v>
                </c:pt>
                <c:pt idx="924">
                  <c:v>165625</c:v>
                </c:pt>
                <c:pt idx="925">
                  <c:v>171500</c:v>
                </c:pt>
                <c:pt idx="926">
                  <c:v>175500</c:v>
                </c:pt>
                <c:pt idx="927">
                  <c:v>175750</c:v>
                </c:pt>
                <c:pt idx="928">
                  <c:v>175625</c:v>
                </c:pt>
                <c:pt idx="929">
                  <c:v>176375</c:v>
                </c:pt>
                <c:pt idx="930">
                  <c:v>177500</c:v>
                </c:pt>
                <c:pt idx="931">
                  <c:v>175250</c:v>
                </c:pt>
                <c:pt idx="932">
                  <c:v>178375</c:v>
                </c:pt>
                <c:pt idx="933">
                  <c:v>176500</c:v>
                </c:pt>
                <c:pt idx="934">
                  <c:v>179125</c:v>
                </c:pt>
                <c:pt idx="935">
                  <c:v>182500</c:v>
                </c:pt>
                <c:pt idx="936">
                  <c:v>180750</c:v>
                </c:pt>
                <c:pt idx="937">
                  <c:v>182000</c:v>
                </c:pt>
                <c:pt idx="938">
                  <c:v>181875</c:v>
                </c:pt>
                <c:pt idx="939">
                  <c:v>180875</c:v>
                </c:pt>
                <c:pt idx="940">
                  <c:v>181125</c:v>
                </c:pt>
                <c:pt idx="941">
                  <c:v>180875</c:v>
                </c:pt>
                <c:pt idx="942">
                  <c:v>182500</c:v>
                </c:pt>
                <c:pt idx="943">
                  <c:v>183875</c:v>
                </c:pt>
                <c:pt idx="944">
                  <c:v>179625</c:v>
                </c:pt>
                <c:pt idx="945">
                  <c:v>179250</c:v>
                </c:pt>
                <c:pt idx="946">
                  <c:v>179000</c:v>
                </c:pt>
                <c:pt idx="947">
                  <c:v>177875</c:v>
                </c:pt>
                <c:pt idx="948">
                  <c:v>176000</c:v>
                </c:pt>
                <c:pt idx="949">
                  <c:v>176625</c:v>
                </c:pt>
                <c:pt idx="950">
                  <c:v>178625</c:v>
                </c:pt>
                <c:pt idx="951">
                  <c:v>179750</c:v>
                </c:pt>
                <c:pt idx="952">
                  <c:v>181750</c:v>
                </c:pt>
                <c:pt idx="953">
                  <c:v>184375</c:v>
                </c:pt>
                <c:pt idx="954">
                  <c:v>187625</c:v>
                </c:pt>
                <c:pt idx="955">
                  <c:v>189125</c:v>
                </c:pt>
                <c:pt idx="956">
                  <c:v>189375</c:v>
                </c:pt>
                <c:pt idx="957">
                  <c:v>186745</c:v>
                </c:pt>
                <c:pt idx="958">
                  <c:v>183495</c:v>
                </c:pt>
                <c:pt idx="959">
                  <c:v>183495</c:v>
                </c:pt>
                <c:pt idx="960">
                  <c:v>184120</c:v>
                </c:pt>
                <c:pt idx="961">
                  <c:v>181745</c:v>
                </c:pt>
                <c:pt idx="962">
                  <c:v>178620</c:v>
                </c:pt>
                <c:pt idx="963">
                  <c:v>176995</c:v>
                </c:pt>
                <c:pt idx="964">
                  <c:v>177870</c:v>
                </c:pt>
                <c:pt idx="965">
                  <c:v>182620</c:v>
                </c:pt>
                <c:pt idx="966">
                  <c:v>182370</c:v>
                </c:pt>
                <c:pt idx="967">
                  <c:v>183245</c:v>
                </c:pt>
                <c:pt idx="968">
                  <c:v>179245</c:v>
                </c:pt>
                <c:pt idx="969">
                  <c:v>180370</c:v>
                </c:pt>
                <c:pt idx="970">
                  <c:v>177620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7307-48B7-B774-75E1495063A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30232992"/>
        <c:axId val="530234952"/>
      </c:lineChart>
      <c:dateAx>
        <c:axId val="530232992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0234952"/>
        <c:crosses val="autoZero"/>
        <c:auto val="1"/>
        <c:lblOffset val="100"/>
        <c:baseTimeUnit val="days"/>
      </c:dateAx>
      <c:valAx>
        <c:axId val="5302349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$&quot;#,##0" sourceLinked="0"/>
        <c:majorTickMark val="none"/>
        <c:minorTickMark val="none"/>
        <c:tickLblPos val="high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023299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DHP</a:t>
            </a:r>
            <a:r>
              <a:rPr lang="en-US" baseline="0"/>
              <a:t> and Futures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Data!$I$11</c:f>
              <c:strCache>
                <c:ptCount val="1"/>
                <c:pt idx="0">
                  <c:v>Corn DHP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[0]!dateRange</c:f>
              <c:numCache>
                <c:formatCode>m/d/yyyy</c:formatCode>
                <c:ptCount val="971"/>
                <c:pt idx="0">
                  <c:v>41275</c:v>
                </c:pt>
                <c:pt idx="1">
                  <c:v>41276</c:v>
                </c:pt>
                <c:pt idx="2">
                  <c:v>41277</c:v>
                </c:pt>
                <c:pt idx="3">
                  <c:v>41278</c:v>
                </c:pt>
                <c:pt idx="4">
                  <c:v>41281</c:v>
                </c:pt>
                <c:pt idx="5">
                  <c:v>41282</c:v>
                </c:pt>
                <c:pt idx="6">
                  <c:v>41283</c:v>
                </c:pt>
                <c:pt idx="7">
                  <c:v>41284</c:v>
                </c:pt>
                <c:pt idx="8">
                  <c:v>41285</c:v>
                </c:pt>
                <c:pt idx="9">
                  <c:v>41288</c:v>
                </c:pt>
                <c:pt idx="10">
                  <c:v>41289</c:v>
                </c:pt>
                <c:pt idx="11">
                  <c:v>41290</c:v>
                </c:pt>
                <c:pt idx="12">
                  <c:v>41291</c:v>
                </c:pt>
                <c:pt idx="13">
                  <c:v>41292</c:v>
                </c:pt>
                <c:pt idx="14">
                  <c:v>41295</c:v>
                </c:pt>
                <c:pt idx="15">
                  <c:v>41296</c:v>
                </c:pt>
                <c:pt idx="16">
                  <c:v>41297</c:v>
                </c:pt>
                <c:pt idx="17">
                  <c:v>41298</c:v>
                </c:pt>
                <c:pt idx="18">
                  <c:v>41299</c:v>
                </c:pt>
                <c:pt idx="19">
                  <c:v>41302</c:v>
                </c:pt>
                <c:pt idx="20">
                  <c:v>41303</c:v>
                </c:pt>
                <c:pt idx="21">
                  <c:v>41304</c:v>
                </c:pt>
                <c:pt idx="22">
                  <c:v>41305</c:v>
                </c:pt>
                <c:pt idx="23">
                  <c:v>41306</c:v>
                </c:pt>
                <c:pt idx="24">
                  <c:v>41309</c:v>
                </c:pt>
                <c:pt idx="25">
                  <c:v>41310</c:v>
                </c:pt>
                <c:pt idx="26">
                  <c:v>41311</c:v>
                </c:pt>
                <c:pt idx="27">
                  <c:v>41312</c:v>
                </c:pt>
                <c:pt idx="28">
                  <c:v>41313</c:v>
                </c:pt>
                <c:pt idx="29">
                  <c:v>41316</c:v>
                </c:pt>
                <c:pt idx="30">
                  <c:v>41317</c:v>
                </c:pt>
                <c:pt idx="31">
                  <c:v>41318</c:v>
                </c:pt>
                <c:pt idx="32">
                  <c:v>41319</c:v>
                </c:pt>
                <c:pt idx="33">
                  <c:v>41320</c:v>
                </c:pt>
                <c:pt idx="34">
                  <c:v>41323</c:v>
                </c:pt>
                <c:pt idx="35">
                  <c:v>41324</c:v>
                </c:pt>
                <c:pt idx="36">
                  <c:v>41325</c:v>
                </c:pt>
                <c:pt idx="37">
                  <c:v>41326</c:v>
                </c:pt>
                <c:pt idx="38">
                  <c:v>41327</c:v>
                </c:pt>
                <c:pt idx="39">
                  <c:v>41330</c:v>
                </c:pt>
                <c:pt idx="40">
                  <c:v>41331</c:v>
                </c:pt>
                <c:pt idx="41">
                  <c:v>41332</c:v>
                </c:pt>
                <c:pt idx="42">
                  <c:v>41333</c:v>
                </c:pt>
                <c:pt idx="43">
                  <c:v>41334</c:v>
                </c:pt>
                <c:pt idx="44">
                  <c:v>41337</c:v>
                </c:pt>
                <c:pt idx="45">
                  <c:v>41338</c:v>
                </c:pt>
                <c:pt idx="46">
                  <c:v>41339</c:v>
                </c:pt>
                <c:pt idx="47">
                  <c:v>41340</c:v>
                </c:pt>
                <c:pt idx="48">
                  <c:v>41341</c:v>
                </c:pt>
                <c:pt idx="49">
                  <c:v>41344</c:v>
                </c:pt>
                <c:pt idx="50">
                  <c:v>41345</c:v>
                </c:pt>
                <c:pt idx="51">
                  <c:v>41346</c:v>
                </c:pt>
                <c:pt idx="52">
                  <c:v>41347</c:v>
                </c:pt>
                <c:pt idx="53">
                  <c:v>41348</c:v>
                </c:pt>
                <c:pt idx="54">
                  <c:v>41351</c:v>
                </c:pt>
                <c:pt idx="55">
                  <c:v>41352</c:v>
                </c:pt>
                <c:pt idx="56">
                  <c:v>41353</c:v>
                </c:pt>
                <c:pt idx="57">
                  <c:v>41354</c:v>
                </c:pt>
                <c:pt idx="58">
                  <c:v>41355</c:v>
                </c:pt>
                <c:pt idx="59">
                  <c:v>41358</c:v>
                </c:pt>
                <c:pt idx="60">
                  <c:v>41359</c:v>
                </c:pt>
                <c:pt idx="61">
                  <c:v>41360</c:v>
                </c:pt>
                <c:pt idx="62">
                  <c:v>41361</c:v>
                </c:pt>
                <c:pt idx="63">
                  <c:v>41362</c:v>
                </c:pt>
                <c:pt idx="64">
                  <c:v>41365</c:v>
                </c:pt>
                <c:pt idx="65">
                  <c:v>41366</c:v>
                </c:pt>
                <c:pt idx="66">
                  <c:v>41367</c:v>
                </c:pt>
                <c:pt idx="67">
                  <c:v>41368</c:v>
                </c:pt>
                <c:pt idx="68">
                  <c:v>41369</c:v>
                </c:pt>
                <c:pt idx="69">
                  <c:v>41372</c:v>
                </c:pt>
                <c:pt idx="70">
                  <c:v>41373</c:v>
                </c:pt>
                <c:pt idx="71">
                  <c:v>41374</c:v>
                </c:pt>
                <c:pt idx="72">
                  <c:v>41375</c:v>
                </c:pt>
                <c:pt idx="73">
                  <c:v>41376</c:v>
                </c:pt>
                <c:pt idx="74">
                  <c:v>41379</c:v>
                </c:pt>
                <c:pt idx="75">
                  <c:v>41380</c:v>
                </c:pt>
                <c:pt idx="76">
                  <c:v>41381</c:v>
                </c:pt>
                <c:pt idx="77">
                  <c:v>41382</c:v>
                </c:pt>
                <c:pt idx="78">
                  <c:v>41383</c:v>
                </c:pt>
                <c:pt idx="79">
                  <c:v>41386</c:v>
                </c:pt>
                <c:pt idx="80">
                  <c:v>41387</c:v>
                </c:pt>
                <c:pt idx="81">
                  <c:v>41388</c:v>
                </c:pt>
                <c:pt idx="82">
                  <c:v>41389</c:v>
                </c:pt>
                <c:pt idx="83">
                  <c:v>41390</c:v>
                </c:pt>
                <c:pt idx="84">
                  <c:v>41393</c:v>
                </c:pt>
                <c:pt idx="85">
                  <c:v>41394</c:v>
                </c:pt>
                <c:pt idx="86">
                  <c:v>41395</c:v>
                </c:pt>
                <c:pt idx="87">
                  <c:v>41396</c:v>
                </c:pt>
                <c:pt idx="88">
                  <c:v>41397</c:v>
                </c:pt>
                <c:pt idx="89">
                  <c:v>41400</c:v>
                </c:pt>
                <c:pt idx="90">
                  <c:v>41401</c:v>
                </c:pt>
                <c:pt idx="91">
                  <c:v>41402</c:v>
                </c:pt>
                <c:pt idx="92">
                  <c:v>41403</c:v>
                </c:pt>
                <c:pt idx="93">
                  <c:v>41404</c:v>
                </c:pt>
                <c:pt idx="94">
                  <c:v>41407</c:v>
                </c:pt>
                <c:pt idx="95">
                  <c:v>41408</c:v>
                </c:pt>
                <c:pt idx="96">
                  <c:v>41409</c:v>
                </c:pt>
                <c:pt idx="97">
                  <c:v>41410</c:v>
                </c:pt>
                <c:pt idx="98">
                  <c:v>41411</c:v>
                </c:pt>
                <c:pt idx="99">
                  <c:v>41414</c:v>
                </c:pt>
                <c:pt idx="100">
                  <c:v>41415</c:v>
                </c:pt>
                <c:pt idx="101">
                  <c:v>41416</c:v>
                </c:pt>
                <c:pt idx="102">
                  <c:v>41417</c:v>
                </c:pt>
                <c:pt idx="103">
                  <c:v>41418</c:v>
                </c:pt>
                <c:pt idx="104">
                  <c:v>41421</c:v>
                </c:pt>
                <c:pt idx="105">
                  <c:v>41422</c:v>
                </c:pt>
                <c:pt idx="106">
                  <c:v>41423</c:v>
                </c:pt>
                <c:pt idx="107">
                  <c:v>41424</c:v>
                </c:pt>
                <c:pt idx="108">
                  <c:v>41425</c:v>
                </c:pt>
                <c:pt idx="109">
                  <c:v>41428</c:v>
                </c:pt>
                <c:pt idx="110">
                  <c:v>41429</c:v>
                </c:pt>
                <c:pt idx="111">
                  <c:v>41430</c:v>
                </c:pt>
                <c:pt idx="112">
                  <c:v>41431</c:v>
                </c:pt>
                <c:pt idx="113">
                  <c:v>41432</c:v>
                </c:pt>
                <c:pt idx="114">
                  <c:v>41435</c:v>
                </c:pt>
                <c:pt idx="115">
                  <c:v>41436</c:v>
                </c:pt>
                <c:pt idx="116">
                  <c:v>41437</c:v>
                </c:pt>
                <c:pt idx="117">
                  <c:v>41438</c:v>
                </c:pt>
                <c:pt idx="118">
                  <c:v>41439</c:v>
                </c:pt>
                <c:pt idx="119">
                  <c:v>41442</c:v>
                </c:pt>
                <c:pt idx="120">
                  <c:v>41443</c:v>
                </c:pt>
                <c:pt idx="121">
                  <c:v>41444</c:v>
                </c:pt>
                <c:pt idx="122">
                  <c:v>41445</c:v>
                </c:pt>
                <c:pt idx="123">
                  <c:v>41446</c:v>
                </c:pt>
                <c:pt idx="124">
                  <c:v>41449</c:v>
                </c:pt>
                <c:pt idx="125">
                  <c:v>41450</c:v>
                </c:pt>
                <c:pt idx="126">
                  <c:v>41451</c:v>
                </c:pt>
                <c:pt idx="127">
                  <c:v>41452</c:v>
                </c:pt>
                <c:pt idx="128">
                  <c:v>41453</c:v>
                </c:pt>
                <c:pt idx="129">
                  <c:v>41456</c:v>
                </c:pt>
                <c:pt idx="130">
                  <c:v>41457</c:v>
                </c:pt>
                <c:pt idx="131">
                  <c:v>41458</c:v>
                </c:pt>
                <c:pt idx="132">
                  <c:v>41459</c:v>
                </c:pt>
                <c:pt idx="133">
                  <c:v>41460</c:v>
                </c:pt>
                <c:pt idx="134">
                  <c:v>41463</c:v>
                </c:pt>
                <c:pt idx="135">
                  <c:v>41464</c:v>
                </c:pt>
                <c:pt idx="136">
                  <c:v>41465</c:v>
                </c:pt>
                <c:pt idx="137">
                  <c:v>41466</c:v>
                </c:pt>
                <c:pt idx="138">
                  <c:v>41467</c:v>
                </c:pt>
                <c:pt idx="139">
                  <c:v>41470</c:v>
                </c:pt>
                <c:pt idx="140">
                  <c:v>41471</c:v>
                </c:pt>
                <c:pt idx="141">
                  <c:v>41472</c:v>
                </c:pt>
                <c:pt idx="142">
                  <c:v>41473</c:v>
                </c:pt>
                <c:pt idx="143">
                  <c:v>41474</c:v>
                </c:pt>
                <c:pt idx="144">
                  <c:v>41477</c:v>
                </c:pt>
                <c:pt idx="145">
                  <c:v>41478</c:v>
                </c:pt>
                <c:pt idx="146">
                  <c:v>41479</c:v>
                </c:pt>
                <c:pt idx="147">
                  <c:v>41480</c:v>
                </c:pt>
                <c:pt idx="148">
                  <c:v>41481</c:v>
                </c:pt>
                <c:pt idx="149">
                  <c:v>41484</c:v>
                </c:pt>
                <c:pt idx="150">
                  <c:v>41485</c:v>
                </c:pt>
                <c:pt idx="151">
                  <c:v>41486</c:v>
                </c:pt>
                <c:pt idx="152">
                  <c:v>41487</c:v>
                </c:pt>
                <c:pt idx="153">
                  <c:v>41488</c:v>
                </c:pt>
                <c:pt idx="154">
                  <c:v>41491</c:v>
                </c:pt>
                <c:pt idx="155">
                  <c:v>41492</c:v>
                </c:pt>
                <c:pt idx="156">
                  <c:v>41493</c:v>
                </c:pt>
                <c:pt idx="157">
                  <c:v>41494</c:v>
                </c:pt>
                <c:pt idx="158">
                  <c:v>41495</c:v>
                </c:pt>
                <c:pt idx="159">
                  <c:v>41498</c:v>
                </c:pt>
                <c:pt idx="160">
                  <c:v>41499</c:v>
                </c:pt>
                <c:pt idx="161">
                  <c:v>41500</c:v>
                </c:pt>
                <c:pt idx="162">
                  <c:v>41501</c:v>
                </c:pt>
                <c:pt idx="163">
                  <c:v>41502</c:v>
                </c:pt>
                <c:pt idx="164">
                  <c:v>41505</c:v>
                </c:pt>
                <c:pt idx="165">
                  <c:v>41506</c:v>
                </c:pt>
                <c:pt idx="166">
                  <c:v>41507</c:v>
                </c:pt>
                <c:pt idx="167">
                  <c:v>41508</c:v>
                </c:pt>
                <c:pt idx="168">
                  <c:v>41509</c:v>
                </c:pt>
                <c:pt idx="169">
                  <c:v>41512</c:v>
                </c:pt>
                <c:pt idx="170">
                  <c:v>41513</c:v>
                </c:pt>
                <c:pt idx="171">
                  <c:v>41514</c:v>
                </c:pt>
                <c:pt idx="172">
                  <c:v>41515</c:v>
                </c:pt>
                <c:pt idx="173">
                  <c:v>41516</c:v>
                </c:pt>
                <c:pt idx="174">
                  <c:v>41519</c:v>
                </c:pt>
                <c:pt idx="175">
                  <c:v>41520</c:v>
                </c:pt>
                <c:pt idx="176">
                  <c:v>41521</c:v>
                </c:pt>
                <c:pt idx="177">
                  <c:v>41522</c:v>
                </c:pt>
                <c:pt idx="178">
                  <c:v>41523</c:v>
                </c:pt>
                <c:pt idx="179">
                  <c:v>41526</c:v>
                </c:pt>
                <c:pt idx="180">
                  <c:v>41527</c:v>
                </c:pt>
                <c:pt idx="181">
                  <c:v>41528</c:v>
                </c:pt>
                <c:pt idx="182">
                  <c:v>41529</c:v>
                </c:pt>
                <c:pt idx="183">
                  <c:v>41530</c:v>
                </c:pt>
                <c:pt idx="184">
                  <c:v>41533</c:v>
                </c:pt>
                <c:pt idx="185">
                  <c:v>41534</c:v>
                </c:pt>
                <c:pt idx="186">
                  <c:v>41535</c:v>
                </c:pt>
                <c:pt idx="187">
                  <c:v>41536</c:v>
                </c:pt>
                <c:pt idx="188">
                  <c:v>41537</c:v>
                </c:pt>
                <c:pt idx="189">
                  <c:v>41540</c:v>
                </c:pt>
                <c:pt idx="190">
                  <c:v>41541</c:v>
                </c:pt>
                <c:pt idx="191">
                  <c:v>41542</c:v>
                </c:pt>
                <c:pt idx="192">
                  <c:v>41543</c:v>
                </c:pt>
                <c:pt idx="193">
                  <c:v>41544</c:v>
                </c:pt>
                <c:pt idx="194">
                  <c:v>41547</c:v>
                </c:pt>
                <c:pt idx="195">
                  <c:v>41548</c:v>
                </c:pt>
                <c:pt idx="196">
                  <c:v>41549</c:v>
                </c:pt>
                <c:pt idx="197">
                  <c:v>41550</c:v>
                </c:pt>
                <c:pt idx="198">
                  <c:v>41551</c:v>
                </c:pt>
                <c:pt idx="199">
                  <c:v>41554</c:v>
                </c:pt>
                <c:pt idx="200">
                  <c:v>41555</c:v>
                </c:pt>
                <c:pt idx="201">
                  <c:v>41556</c:v>
                </c:pt>
                <c:pt idx="202">
                  <c:v>41557</c:v>
                </c:pt>
                <c:pt idx="203">
                  <c:v>41558</c:v>
                </c:pt>
                <c:pt idx="204">
                  <c:v>41561</c:v>
                </c:pt>
                <c:pt idx="205">
                  <c:v>41562</c:v>
                </c:pt>
                <c:pt idx="206">
                  <c:v>41563</c:v>
                </c:pt>
                <c:pt idx="207">
                  <c:v>41564</c:v>
                </c:pt>
                <c:pt idx="208">
                  <c:v>41565</c:v>
                </c:pt>
                <c:pt idx="209">
                  <c:v>41568</c:v>
                </c:pt>
                <c:pt idx="210">
                  <c:v>41569</c:v>
                </c:pt>
                <c:pt idx="211">
                  <c:v>41570</c:v>
                </c:pt>
                <c:pt idx="212">
                  <c:v>41571</c:v>
                </c:pt>
                <c:pt idx="213">
                  <c:v>41572</c:v>
                </c:pt>
                <c:pt idx="214">
                  <c:v>41575</c:v>
                </c:pt>
                <c:pt idx="215">
                  <c:v>41576</c:v>
                </c:pt>
                <c:pt idx="216">
                  <c:v>41577</c:v>
                </c:pt>
                <c:pt idx="217">
                  <c:v>41578</c:v>
                </c:pt>
                <c:pt idx="218">
                  <c:v>41579</c:v>
                </c:pt>
                <c:pt idx="219">
                  <c:v>41582</c:v>
                </c:pt>
                <c:pt idx="220">
                  <c:v>41583</c:v>
                </c:pt>
                <c:pt idx="221">
                  <c:v>41584</c:v>
                </c:pt>
                <c:pt idx="222">
                  <c:v>41585</c:v>
                </c:pt>
                <c:pt idx="223">
                  <c:v>41586</c:v>
                </c:pt>
                <c:pt idx="224">
                  <c:v>41589</c:v>
                </c:pt>
                <c:pt idx="225">
                  <c:v>41590</c:v>
                </c:pt>
                <c:pt idx="226">
                  <c:v>41591</c:v>
                </c:pt>
                <c:pt idx="227">
                  <c:v>41592</c:v>
                </c:pt>
                <c:pt idx="228">
                  <c:v>41593</c:v>
                </c:pt>
                <c:pt idx="229">
                  <c:v>41596</c:v>
                </c:pt>
                <c:pt idx="230">
                  <c:v>41597</c:v>
                </c:pt>
                <c:pt idx="231">
                  <c:v>41598</c:v>
                </c:pt>
                <c:pt idx="232">
                  <c:v>41599</c:v>
                </c:pt>
                <c:pt idx="233">
                  <c:v>41600</c:v>
                </c:pt>
                <c:pt idx="234">
                  <c:v>41603</c:v>
                </c:pt>
                <c:pt idx="235">
                  <c:v>41604</c:v>
                </c:pt>
                <c:pt idx="236">
                  <c:v>41605</c:v>
                </c:pt>
                <c:pt idx="237">
                  <c:v>41606</c:v>
                </c:pt>
                <c:pt idx="238">
                  <c:v>41607</c:v>
                </c:pt>
                <c:pt idx="239">
                  <c:v>41610</c:v>
                </c:pt>
                <c:pt idx="240">
                  <c:v>41611</c:v>
                </c:pt>
                <c:pt idx="241">
                  <c:v>41612</c:v>
                </c:pt>
                <c:pt idx="242">
                  <c:v>41613</c:v>
                </c:pt>
                <c:pt idx="243">
                  <c:v>41614</c:v>
                </c:pt>
                <c:pt idx="244">
                  <c:v>41617</c:v>
                </c:pt>
                <c:pt idx="245">
                  <c:v>41618</c:v>
                </c:pt>
                <c:pt idx="246">
                  <c:v>41619</c:v>
                </c:pt>
                <c:pt idx="247">
                  <c:v>41620</c:v>
                </c:pt>
                <c:pt idx="248">
                  <c:v>41621</c:v>
                </c:pt>
                <c:pt idx="249">
                  <c:v>41624</c:v>
                </c:pt>
                <c:pt idx="250">
                  <c:v>41625</c:v>
                </c:pt>
                <c:pt idx="251">
                  <c:v>41626</c:v>
                </c:pt>
                <c:pt idx="252">
                  <c:v>41627</c:v>
                </c:pt>
                <c:pt idx="253">
                  <c:v>41628</c:v>
                </c:pt>
                <c:pt idx="254">
                  <c:v>41631</c:v>
                </c:pt>
                <c:pt idx="255">
                  <c:v>41632</c:v>
                </c:pt>
                <c:pt idx="256">
                  <c:v>41633</c:v>
                </c:pt>
                <c:pt idx="257">
                  <c:v>41634</c:v>
                </c:pt>
                <c:pt idx="258">
                  <c:v>41635</c:v>
                </c:pt>
                <c:pt idx="259">
                  <c:v>41638</c:v>
                </c:pt>
                <c:pt idx="260">
                  <c:v>41639</c:v>
                </c:pt>
                <c:pt idx="261">
                  <c:v>41640</c:v>
                </c:pt>
                <c:pt idx="262">
                  <c:v>41641</c:v>
                </c:pt>
                <c:pt idx="263">
                  <c:v>41642</c:v>
                </c:pt>
                <c:pt idx="264">
                  <c:v>41645</c:v>
                </c:pt>
                <c:pt idx="265">
                  <c:v>41646</c:v>
                </c:pt>
                <c:pt idx="266">
                  <c:v>41647</c:v>
                </c:pt>
                <c:pt idx="267">
                  <c:v>41648</c:v>
                </c:pt>
                <c:pt idx="268">
                  <c:v>41649</c:v>
                </c:pt>
                <c:pt idx="269">
                  <c:v>41652</c:v>
                </c:pt>
                <c:pt idx="270">
                  <c:v>41653</c:v>
                </c:pt>
                <c:pt idx="271">
                  <c:v>41654</c:v>
                </c:pt>
                <c:pt idx="272">
                  <c:v>41655</c:v>
                </c:pt>
                <c:pt idx="273">
                  <c:v>41656</c:v>
                </c:pt>
                <c:pt idx="274">
                  <c:v>41659</c:v>
                </c:pt>
                <c:pt idx="275">
                  <c:v>41660</c:v>
                </c:pt>
                <c:pt idx="276">
                  <c:v>41661</c:v>
                </c:pt>
                <c:pt idx="277">
                  <c:v>41662</c:v>
                </c:pt>
                <c:pt idx="278">
                  <c:v>41663</c:v>
                </c:pt>
                <c:pt idx="279">
                  <c:v>41666</c:v>
                </c:pt>
                <c:pt idx="280">
                  <c:v>41667</c:v>
                </c:pt>
                <c:pt idx="281">
                  <c:v>41668</c:v>
                </c:pt>
                <c:pt idx="282">
                  <c:v>41669</c:v>
                </c:pt>
                <c:pt idx="283">
                  <c:v>41670</c:v>
                </c:pt>
                <c:pt idx="284">
                  <c:v>41673</c:v>
                </c:pt>
                <c:pt idx="285">
                  <c:v>41674</c:v>
                </c:pt>
                <c:pt idx="286">
                  <c:v>41675</c:v>
                </c:pt>
                <c:pt idx="287">
                  <c:v>41676</c:v>
                </c:pt>
                <c:pt idx="288">
                  <c:v>41677</c:v>
                </c:pt>
                <c:pt idx="289">
                  <c:v>41680</c:v>
                </c:pt>
                <c:pt idx="290">
                  <c:v>41681</c:v>
                </c:pt>
                <c:pt idx="291">
                  <c:v>41682</c:v>
                </c:pt>
                <c:pt idx="292">
                  <c:v>41683</c:v>
                </c:pt>
                <c:pt idx="293">
                  <c:v>41684</c:v>
                </c:pt>
                <c:pt idx="294">
                  <c:v>41687</c:v>
                </c:pt>
                <c:pt idx="295">
                  <c:v>41688</c:v>
                </c:pt>
                <c:pt idx="296">
                  <c:v>41689</c:v>
                </c:pt>
                <c:pt idx="297">
                  <c:v>41690</c:v>
                </c:pt>
                <c:pt idx="298">
                  <c:v>41691</c:v>
                </c:pt>
                <c:pt idx="299">
                  <c:v>41694</c:v>
                </c:pt>
                <c:pt idx="300">
                  <c:v>41695</c:v>
                </c:pt>
                <c:pt idx="301">
                  <c:v>41696</c:v>
                </c:pt>
                <c:pt idx="302">
                  <c:v>41697</c:v>
                </c:pt>
                <c:pt idx="303">
                  <c:v>41698</c:v>
                </c:pt>
                <c:pt idx="304">
                  <c:v>41701</c:v>
                </c:pt>
                <c:pt idx="305">
                  <c:v>41702</c:v>
                </c:pt>
                <c:pt idx="306">
                  <c:v>41703</c:v>
                </c:pt>
                <c:pt idx="307">
                  <c:v>41704</c:v>
                </c:pt>
                <c:pt idx="308">
                  <c:v>41705</c:v>
                </c:pt>
                <c:pt idx="309">
                  <c:v>41708</c:v>
                </c:pt>
                <c:pt idx="310">
                  <c:v>41709</c:v>
                </c:pt>
                <c:pt idx="311">
                  <c:v>41710</c:v>
                </c:pt>
                <c:pt idx="312">
                  <c:v>41711</c:v>
                </c:pt>
                <c:pt idx="313">
                  <c:v>41712</c:v>
                </c:pt>
                <c:pt idx="314">
                  <c:v>41715</c:v>
                </c:pt>
                <c:pt idx="315">
                  <c:v>41716</c:v>
                </c:pt>
                <c:pt idx="316">
                  <c:v>41717</c:v>
                </c:pt>
                <c:pt idx="317">
                  <c:v>41718</c:v>
                </c:pt>
                <c:pt idx="318">
                  <c:v>41719</c:v>
                </c:pt>
                <c:pt idx="319">
                  <c:v>41722</c:v>
                </c:pt>
                <c:pt idx="320">
                  <c:v>41723</c:v>
                </c:pt>
                <c:pt idx="321">
                  <c:v>41724</c:v>
                </c:pt>
                <c:pt idx="322">
                  <c:v>41725</c:v>
                </c:pt>
                <c:pt idx="323">
                  <c:v>41726</c:v>
                </c:pt>
                <c:pt idx="324">
                  <c:v>41729</c:v>
                </c:pt>
                <c:pt idx="325">
                  <c:v>41730</c:v>
                </c:pt>
                <c:pt idx="326">
                  <c:v>41731</c:v>
                </c:pt>
                <c:pt idx="327">
                  <c:v>41732</c:v>
                </c:pt>
                <c:pt idx="328">
                  <c:v>41733</c:v>
                </c:pt>
                <c:pt idx="329">
                  <c:v>41736</c:v>
                </c:pt>
                <c:pt idx="330">
                  <c:v>41737</c:v>
                </c:pt>
                <c:pt idx="331">
                  <c:v>41738</c:v>
                </c:pt>
                <c:pt idx="332">
                  <c:v>41739</c:v>
                </c:pt>
                <c:pt idx="333">
                  <c:v>41740</c:v>
                </c:pt>
                <c:pt idx="334">
                  <c:v>41743</c:v>
                </c:pt>
                <c:pt idx="335">
                  <c:v>41744</c:v>
                </c:pt>
                <c:pt idx="336">
                  <c:v>41745</c:v>
                </c:pt>
                <c:pt idx="337">
                  <c:v>41746</c:v>
                </c:pt>
                <c:pt idx="338">
                  <c:v>41747</c:v>
                </c:pt>
                <c:pt idx="339">
                  <c:v>41750</c:v>
                </c:pt>
                <c:pt idx="340">
                  <c:v>41751</c:v>
                </c:pt>
                <c:pt idx="341">
                  <c:v>41752</c:v>
                </c:pt>
                <c:pt idx="342">
                  <c:v>41753</c:v>
                </c:pt>
                <c:pt idx="343">
                  <c:v>41754</c:v>
                </c:pt>
                <c:pt idx="344">
                  <c:v>41757</c:v>
                </c:pt>
                <c:pt idx="345">
                  <c:v>41758</c:v>
                </c:pt>
                <c:pt idx="346">
                  <c:v>41759</c:v>
                </c:pt>
                <c:pt idx="347">
                  <c:v>41760</c:v>
                </c:pt>
                <c:pt idx="348">
                  <c:v>41761</c:v>
                </c:pt>
                <c:pt idx="349">
                  <c:v>41764</c:v>
                </c:pt>
                <c:pt idx="350">
                  <c:v>41765</c:v>
                </c:pt>
                <c:pt idx="351">
                  <c:v>41766</c:v>
                </c:pt>
                <c:pt idx="352">
                  <c:v>41767</c:v>
                </c:pt>
                <c:pt idx="353">
                  <c:v>41768</c:v>
                </c:pt>
                <c:pt idx="354">
                  <c:v>41771</c:v>
                </c:pt>
                <c:pt idx="355">
                  <c:v>41772</c:v>
                </c:pt>
                <c:pt idx="356">
                  <c:v>41773</c:v>
                </c:pt>
                <c:pt idx="357">
                  <c:v>41774</c:v>
                </c:pt>
                <c:pt idx="358">
                  <c:v>41775</c:v>
                </c:pt>
                <c:pt idx="359">
                  <c:v>41778</c:v>
                </c:pt>
                <c:pt idx="360">
                  <c:v>41779</c:v>
                </c:pt>
                <c:pt idx="361">
                  <c:v>41780</c:v>
                </c:pt>
                <c:pt idx="362">
                  <c:v>41781</c:v>
                </c:pt>
                <c:pt idx="363">
                  <c:v>41782</c:v>
                </c:pt>
                <c:pt idx="364">
                  <c:v>41785</c:v>
                </c:pt>
                <c:pt idx="365">
                  <c:v>41786</c:v>
                </c:pt>
                <c:pt idx="366">
                  <c:v>41787</c:v>
                </c:pt>
                <c:pt idx="367">
                  <c:v>41788</c:v>
                </c:pt>
                <c:pt idx="368">
                  <c:v>41789</c:v>
                </c:pt>
                <c:pt idx="369">
                  <c:v>41792</c:v>
                </c:pt>
                <c:pt idx="370">
                  <c:v>41793</c:v>
                </c:pt>
                <c:pt idx="371">
                  <c:v>41794</c:v>
                </c:pt>
                <c:pt idx="372">
                  <c:v>41795</c:v>
                </c:pt>
                <c:pt idx="373">
                  <c:v>41796</c:v>
                </c:pt>
                <c:pt idx="374">
                  <c:v>41799</c:v>
                </c:pt>
                <c:pt idx="375">
                  <c:v>41800</c:v>
                </c:pt>
                <c:pt idx="376">
                  <c:v>41801</c:v>
                </c:pt>
                <c:pt idx="377">
                  <c:v>41802</c:v>
                </c:pt>
                <c:pt idx="378">
                  <c:v>41803</c:v>
                </c:pt>
                <c:pt idx="379">
                  <c:v>41806</c:v>
                </c:pt>
                <c:pt idx="380">
                  <c:v>41807</c:v>
                </c:pt>
                <c:pt idx="381">
                  <c:v>41808</c:v>
                </c:pt>
                <c:pt idx="382">
                  <c:v>41809</c:v>
                </c:pt>
                <c:pt idx="383">
                  <c:v>41810</c:v>
                </c:pt>
                <c:pt idx="384">
                  <c:v>41813</c:v>
                </c:pt>
                <c:pt idx="385">
                  <c:v>41814</c:v>
                </c:pt>
                <c:pt idx="386">
                  <c:v>41815</c:v>
                </c:pt>
                <c:pt idx="387">
                  <c:v>41816</c:v>
                </c:pt>
                <c:pt idx="388">
                  <c:v>41817</c:v>
                </c:pt>
                <c:pt idx="389">
                  <c:v>41820</c:v>
                </c:pt>
                <c:pt idx="390">
                  <c:v>41821</c:v>
                </c:pt>
                <c:pt idx="391">
                  <c:v>41822</c:v>
                </c:pt>
                <c:pt idx="392">
                  <c:v>41823</c:v>
                </c:pt>
                <c:pt idx="393">
                  <c:v>41824</c:v>
                </c:pt>
                <c:pt idx="394">
                  <c:v>41827</c:v>
                </c:pt>
                <c:pt idx="395">
                  <c:v>41828</c:v>
                </c:pt>
                <c:pt idx="396">
                  <c:v>41829</c:v>
                </c:pt>
                <c:pt idx="397">
                  <c:v>41830</c:v>
                </c:pt>
                <c:pt idx="398">
                  <c:v>41831</c:v>
                </c:pt>
                <c:pt idx="399">
                  <c:v>41834</c:v>
                </c:pt>
                <c:pt idx="400">
                  <c:v>41835</c:v>
                </c:pt>
                <c:pt idx="401">
                  <c:v>41836</c:v>
                </c:pt>
                <c:pt idx="402">
                  <c:v>41837</c:v>
                </c:pt>
                <c:pt idx="403">
                  <c:v>41838</c:v>
                </c:pt>
                <c:pt idx="404">
                  <c:v>41841</c:v>
                </c:pt>
                <c:pt idx="405">
                  <c:v>41842</c:v>
                </c:pt>
                <c:pt idx="406">
                  <c:v>41843</c:v>
                </c:pt>
                <c:pt idx="407">
                  <c:v>41844</c:v>
                </c:pt>
                <c:pt idx="408">
                  <c:v>41845</c:v>
                </c:pt>
                <c:pt idx="409">
                  <c:v>41848</c:v>
                </c:pt>
                <c:pt idx="410">
                  <c:v>41849</c:v>
                </c:pt>
                <c:pt idx="411">
                  <c:v>41850</c:v>
                </c:pt>
                <c:pt idx="412">
                  <c:v>41851</c:v>
                </c:pt>
                <c:pt idx="413">
                  <c:v>41852</c:v>
                </c:pt>
                <c:pt idx="414">
                  <c:v>41855</c:v>
                </c:pt>
                <c:pt idx="415">
                  <c:v>41856</c:v>
                </c:pt>
                <c:pt idx="416">
                  <c:v>41857</c:v>
                </c:pt>
                <c:pt idx="417">
                  <c:v>41858</c:v>
                </c:pt>
                <c:pt idx="418">
                  <c:v>41859</c:v>
                </c:pt>
                <c:pt idx="419">
                  <c:v>41862</c:v>
                </c:pt>
                <c:pt idx="420">
                  <c:v>41863</c:v>
                </c:pt>
                <c:pt idx="421">
                  <c:v>41864</c:v>
                </c:pt>
                <c:pt idx="422">
                  <c:v>41865</c:v>
                </c:pt>
                <c:pt idx="423">
                  <c:v>41866</c:v>
                </c:pt>
                <c:pt idx="424">
                  <c:v>41869</c:v>
                </c:pt>
                <c:pt idx="425">
                  <c:v>41870</c:v>
                </c:pt>
                <c:pt idx="426">
                  <c:v>41871</c:v>
                </c:pt>
                <c:pt idx="427">
                  <c:v>41872</c:v>
                </c:pt>
                <c:pt idx="428">
                  <c:v>41873</c:v>
                </c:pt>
                <c:pt idx="429">
                  <c:v>41876</c:v>
                </c:pt>
                <c:pt idx="430">
                  <c:v>41877</c:v>
                </c:pt>
                <c:pt idx="431">
                  <c:v>41878</c:v>
                </c:pt>
                <c:pt idx="432">
                  <c:v>41879</c:v>
                </c:pt>
                <c:pt idx="433">
                  <c:v>41880</c:v>
                </c:pt>
                <c:pt idx="434">
                  <c:v>41883</c:v>
                </c:pt>
                <c:pt idx="435">
                  <c:v>41884</c:v>
                </c:pt>
                <c:pt idx="436">
                  <c:v>41885</c:v>
                </c:pt>
                <c:pt idx="437">
                  <c:v>41886</c:v>
                </c:pt>
                <c:pt idx="438">
                  <c:v>41887</c:v>
                </c:pt>
                <c:pt idx="439">
                  <c:v>41890</c:v>
                </c:pt>
                <c:pt idx="440">
                  <c:v>41891</c:v>
                </c:pt>
                <c:pt idx="441">
                  <c:v>41892</c:v>
                </c:pt>
                <c:pt idx="442">
                  <c:v>41893</c:v>
                </c:pt>
                <c:pt idx="443">
                  <c:v>41894</c:v>
                </c:pt>
                <c:pt idx="444">
                  <c:v>41897</c:v>
                </c:pt>
                <c:pt idx="445">
                  <c:v>41898</c:v>
                </c:pt>
                <c:pt idx="446">
                  <c:v>41899</c:v>
                </c:pt>
                <c:pt idx="447">
                  <c:v>41900</c:v>
                </c:pt>
                <c:pt idx="448">
                  <c:v>41901</c:v>
                </c:pt>
                <c:pt idx="449">
                  <c:v>41904</c:v>
                </c:pt>
                <c:pt idx="450">
                  <c:v>41905</c:v>
                </c:pt>
                <c:pt idx="451">
                  <c:v>41906</c:v>
                </c:pt>
                <c:pt idx="452">
                  <c:v>41907</c:v>
                </c:pt>
                <c:pt idx="453">
                  <c:v>41908</c:v>
                </c:pt>
                <c:pt idx="454">
                  <c:v>41911</c:v>
                </c:pt>
                <c:pt idx="455">
                  <c:v>41912</c:v>
                </c:pt>
                <c:pt idx="456">
                  <c:v>41913</c:v>
                </c:pt>
                <c:pt idx="457">
                  <c:v>41914</c:v>
                </c:pt>
                <c:pt idx="458">
                  <c:v>41915</c:v>
                </c:pt>
                <c:pt idx="459">
                  <c:v>41918</c:v>
                </c:pt>
                <c:pt idx="460">
                  <c:v>41919</c:v>
                </c:pt>
                <c:pt idx="461">
                  <c:v>41920</c:v>
                </c:pt>
                <c:pt idx="462">
                  <c:v>41921</c:v>
                </c:pt>
                <c:pt idx="463">
                  <c:v>41922</c:v>
                </c:pt>
                <c:pt idx="464">
                  <c:v>41925</c:v>
                </c:pt>
                <c:pt idx="465">
                  <c:v>41926</c:v>
                </c:pt>
                <c:pt idx="466">
                  <c:v>41927</c:v>
                </c:pt>
                <c:pt idx="467">
                  <c:v>41928</c:v>
                </c:pt>
                <c:pt idx="468">
                  <c:v>41929</c:v>
                </c:pt>
                <c:pt idx="469">
                  <c:v>41932</c:v>
                </c:pt>
                <c:pt idx="470">
                  <c:v>41933</c:v>
                </c:pt>
                <c:pt idx="471">
                  <c:v>41934</c:v>
                </c:pt>
                <c:pt idx="472">
                  <c:v>41935</c:v>
                </c:pt>
                <c:pt idx="473">
                  <c:v>41936</c:v>
                </c:pt>
                <c:pt idx="474">
                  <c:v>41939</c:v>
                </c:pt>
                <c:pt idx="475">
                  <c:v>41940</c:v>
                </c:pt>
                <c:pt idx="476">
                  <c:v>41941</c:v>
                </c:pt>
                <c:pt idx="477">
                  <c:v>41942</c:v>
                </c:pt>
                <c:pt idx="478">
                  <c:v>41943</c:v>
                </c:pt>
                <c:pt idx="479">
                  <c:v>41946</c:v>
                </c:pt>
                <c:pt idx="480">
                  <c:v>41947</c:v>
                </c:pt>
                <c:pt idx="481">
                  <c:v>41948</c:v>
                </c:pt>
                <c:pt idx="482">
                  <c:v>41949</c:v>
                </c:pt>
                <c:pt idx="483">
                  <c:v>41950</c:v>
                </c:pt>
                <c:pt idx="484">
                  <c:v>41953</c:v>
                </c:pt>
                <c:pt idx="485">
                  <c:v>41954</c:v>
                </c:pt>
                <c:pt idx="486">
                  <c:v>41955</c:v>
                </c:pt>
                <c:pt idx="487">
                  <c:v>41956</c:v>
                </c:pt>
                <c:pt idx="488">
                  <c:v>41957</c:v>
                </c:pt>
                <c:pt idx="489">
                  <c:v>41960</c:v>
                </c:pt>
                <c:pt idx="490">
                  <c:v>41961</c:v>
                </c:pt>
                <c:pt idx="491">
                  <c:v>41962</c:v>
                </c:pt>
                <c:pt idx="492">
                  <c:v>41963</c:v>
                </c:pt>
                <c:pt idx="493">
                  <c:v>41964</c:v>
                </c:pt>
                <c:pt idx="494">
                  <c:v>41967</c:v>
                </c:pt>
                <c:pt idx="495">
                  <c:v>41968</c:v>
                </c:pt>
                <c:pt idx="496">
                  <c:v>41969</c:v>
                </c:pt>
                <c:pt idx="497">
                  <c:v>41970</c:v>
                </c:pt>
                <c:pt idx="498">
                  <c:v>41971</c:v>
                </c:pt>
                <c:pt idx="499">
                  <c:v>41974</c:v>
                </c:pt>
                <c:pt idx="500">
                  <c:v>41975</c:v>
                </c:pt>
                <c:pt idx="501">
                  <c:v>41976</c:v>
                </c:pt>
                <c:pt idx="502">
                  <c:v>41977</c:v>
                </c:pt>
                <c:pt idx="503">
                  <c:v>41978</c:v>
                </c:pt>
                <c:pt idx="504">
                  <c:v>41981</c:v>
                </c:pt>
                <c:pt idx="505">
                  <c:v>41982</c:v>
                </c:pt>
                <c:pt idx="506">
                  <c:v>41983</c:v>
                </c:pt>
                <c:pt idx="507">
                  <c:v>41984</c:v>
                </c:pt>
                <c:pt idx="508">
                  <c:v>41985</c:v>
                </c:pt>
                <c:pt idx="509">
                  <c:v>41988</c:v>
                </c:pt>
                <c:pt idx="510">
                  <c:v>41989</c:v>
                </c:pt>
                <c:pt idx="511">
                  <c:v>41990</c:v>
                </c:pt>
                <c:pt idx="512">
                  <c:v>41991</c:v>
                </c:pt>
                <c:pt idx="513">
                  <c:v>41992</c:v>
                </c:pt>
                <c:pt idx="514">
                  <c:v>41995</c:v>
                </c:pt>
                <c:pt idx="515">
                  <c:v>41996</c:v>
                </c:pt>
                <c:pt idx="516">
                  <c:v>41997</c:v>
                </c:pt>
                <c:pt idx="517">
                  <c:v>41998</c:v>
                </c:pt>
                <c:pt idx="518">
                  <c:v>41999</c:v>
                </c:pt>
                <c:pt idx="519">
                  <c:v>42002</c:v>
                </c:pt>
                <c:pt idx="520">
                  <c:v>42003</c:v>
                </c:pt>
                <c:pt idx="521">
                  <c:v>42004</c:v>
                </c:pt>
                <c:pt idx="522">
                  <c:v>42005</c:v>
                </c:pt>
                <c:pt idx="523">
                  <c:v>42006</c:v>
                </c:pt>
                <c:pt idx="524">
                  <c:v>42009</c:v>
                </c:pt>
                <c:pt idx="525">
                  <c:v>42010</c:v>
                </c:pt>
                <c:pt idx="526">
                  <c:v>42011</c:v>
                </c:pt>
                <c:pt idx="527">
                  <c:v>42012</c:v>
                </c:pt>
                <c:pt idx="528">
                  <c:v>42013</c:v>
                </c:pt>
                <c:pt idx="529">
                  <c:v>42016</c:v>
                </c:pt>
                <c:pt idx="530">
                  <c:v>42017</c:v>
                </c:pt>
                <c:pt idx="531">
                  <c:v>42018</c:v>
                </c:pt>
                <c:pt idx="532">
                  <c:v>42019</c:v>
                </c:pt>
                <c:pt idx="533">
                  <c:v>42020</c:v>
                </c:pt>
                <c:pt idx="534">
                  <c:v>42023</c:v>
                </c:pt>
                <c:pt idx="535">
                  <c:v>42024</c:v>
                </c:pt>
                <c:pt idx="536">
                  <c:v>42025</c:v>
                </c:pt>
                <c:pt idx="537">
                  <c:v>42026</c:v>
                </c:pt>
                <c:pt idx="538">
                  <c:v>42027</c:v>
                </c:pt>
                <c:pt idx="539">
                  <c:v>42030</c:v>
                </c:pt>
                <c:pt idx="540">
                  <c:v>42031</c:v>
                </c:pt>
                <c:pt idx="541">
                  <c:v>42032</c:v>
                </c:pt>
                <c:pt idx="542">
                  <c:v>42033</c:v>
                </c:pt>
                <c:pt idx="543">
                  <c:v>42034</c:v>
                </c:pt>
                <c:pt idx="544">
                  <c:v>42037</c:v>
                </c:pt>
                <c:pt idx="545">
                  <c:v>42038</c:v>
                </c:pt>
                <c:pt idx="546">
                  <c:v>42039</c:v>
                </c:pt>
                <c:pt idx="547">
                  <c:v>42040</c:v>
                </c:pt>
                <c:pt idx="548">
                  <c:v>42041</c:v>
                </c:pt>
                <c:pt idx="549">
                  <c:v>42044</c:v>
                </c:pt>
                <c:pt idx="550">
                  <c:v>42045</c:v>
                </c:pt>
                <c:pt idx="551">
                  <c:v>42046</c:v>
                </c:pt>
                <c:pt idx="552">
                  <c:v>42047</c:v>
                </c:pt>
                <c:pt idx="553">
                  <c:v>42048</c:v>
                </c:pt>
                <c:pt idx="554">
                  <c:v>42051</c:v>
                </c:pt>
                <c:pt idx="555">
                  <c:v>42052</c:v>
                </c:pt>
                <c:pt idx="556">
                  <c:v>42053</c:v>
                </c:pt>
                <c:pt idx="557">
                  <c:v>42054</c:v>
                </c:pt>
                <c:pt idx="558">
                  <c:v>42055</c:v>
                </c:pt>
                <c:pt idx="559">
                  <c:v>42058</c:v>
                </c:pt>
                <c:pt idx="560">
                  <c:v>42059</c:v>
                </c:pt>
                <c:pt idx="561">
                  <c:v>42060</c:v>
                </c:pt>
                <c:pt idx="562">
                  <c:v>42061</c:v>
                </c:pt>
                <c:pt idx="563">
                  <c:v>42062</c:v>
                </c:pt>
                <c:pt idx="564">
                  <c:v>42065</c:v>
                </c:pt>
                <c:pt idx="565">
                  <c:v>42066</c:v>
                </c:pt>
                <c:pt idx="566">
                  <c:v>42067</c:v>
                </c:pt>
                <c:pt idx="567">
                  <c:v>42068</c:v>
                </c:pt>
                <c:pt idx="568">
                  <c:v>42069</c:v>
                </c:pt>
                <c:pt idx="569">
                  <c:v>42072</c:v>
                </c:pt>
                <c:pt idx="570">
                  <c:v>42073</c:v>
                </c:pt>
                <c:pt idx="571">
                  <c:v>42074</c:v>
                </c:pt>
                <c:pt idx="572">
                  <c:v>42075</c:v>
                </c:pt>
                <c:pt idx="573">
                  <c:v>42076</c:v>
                </c:pt>
                <c:pt idx="574">
                  <c:v>42079</c:v>
                </c:pt>
                <c:pt idx="575">
                  <c:v>42080</c:v>
                </c:pt>
                <c:pt idx="576">
                  <c:v>42081</c:v>
                </c:pt>
                <c:pt idx="577">
                  <c:v>42082</c:v>
                </c:pt>
                <c:pt idx="578">
                  <c:v>42083</c:v>
                </c:pt>
                <c:pt idx="579">
                  <c:v>42086</c:v>
                </c:pt>
                <c:pt idx="580">
                  <c:v>42087</c:v>
                </c:pt>
                <c:pt idx="581">
                  <c:v>42088</c:v>
                </c:pt>
                <c:pt idx="582">
                  <c:v>42089</c:v>
                </c:pt>
                <c:pt idx="583">
                  <c:v>42090</c:v>
                </c:pt>
                <c:pt idx="584">
                  <c:v>42093</c:v>
                </c:pt>
                <c:pt idx="585">
                  <c:v>42094</c:v>
                </c:pt>
                <c:pt idx="586">
                  <c:v>42095</c:v>
                </c:pt>
                <c:pt idx="587">
                  <c:v>42096</c:v>
                </c:pt>
                <c:pt idx="588">
                  <c:v>42097</c:v>
                </c:pt>
                <c:pt idx="589">
                  <c:v>42100</c:v>
                </c:pt>
                <c:pt idx="590">
                  <c:v>42101</c:v>
                </c:pt>
                <c:pt idx="591">
                  <c:v>42102</c:v>
                </c:pt>
                <c:pt idx="592">
                  <c:v>42103</c:v>
                </c:pt>
                <c:pt idx="593">
                  <c:v>42104</c:v>
                </c:pt>
                <c:pt idx="594">
                  <c:v>42107</c:v>
                </c:pt>
                <c:pt idx="595">
                  <c:v>42108</c:v>
                </c:pt>
                <c:pt idx="596">
                  <c:v>42109</c:v>
                </c:pt>
                <c:pt idx="597">
                  <c:v>42110</c:v>
                </c:pt>
                <c:pt idx="598">
                  <c:v>42111</c:v>
                </c:pt>
                <c:pt idx="599">
                  <c:v>42114</c:v>
                </c:pt>
                <c:pt idx="600">
                  <c:v>42115</c:v>
                </c:pt>
                <c:pt idx="601">
                  <c:v>42116</c:v>
                </c:pt>
                <c:pt idx="602">
                  <c:v>42117</c:v>
                </c:pt>
                <c:pt idx="603">
                  <c:v>42118</c:v>
                </c:pt>
                <c:pt idx="604">
                  <c:v>42121</c:v>
                </c:pt>
                <c:pt idx="605">
                  <c:v>42122</c:v>
                </c:pt>
                <c:pt idx="606">
                  <c:v>42123</c:v>
                </c:pt>
                <c:pt idx="607">
                  <c:v>42124</c:v>
                </c:pt>
                <c:pt idx="608">
                  <c:v>42125</c:v>
                </c:pt>
                <c:pt idx="609">
                  <c:v>42128</c:v>
                </c:pt>
                <c:pt idx="610">
                  <c:v>42129</c:v>
                </c:pt>
                <c:pt idx="611">
                  <c:v>42130</c:v>
                </c:pt>
                <c:pt idx="612">
                  <c:v>42131</c:v>
                </c:pt>
                <c:pt idx="613">
                  <c:v>42132</c:v>
                </c:pt>
                <c:pt idx="614">
                  <c:v>42135</c:v>
                </c:pt>
                <c:pt idx="615">
                  <c:v>42136</c:v>
                </c:pt>
                <c:pt idx="616">
                  <c:v>42137</c:v>
                </c:pt>
                <c:pt idx="617">
                  <c:v>42138</c:v>
                </c:pt>
                <c:pt idx="618">
                  <c:v>42139</c:v>
                </c:pt>
                <c:pt idx="619">
                  <c:v>42142</c:v>
                </c:pt>
                <c:pt idx="620">
                  <c:v>42143</c:v>
                </c:pt>
                <c:pt idx="621">
                  <c:v>42144</c:v>
                </c:pt>
                <c:pt idx="622">
                  <c:v>42145</c:v>
                </c:pt>
                <c:pt idx="623">
                  <c:v>42146</c:v>
                </c:pt>
                <c:pt idx="624">
                  <c:v>42149</c:v>
                </c:pt>
                <c:pt idx="625">
                  <c:v>42150</c:v>
                </c:pt>
                <c:pt idx="626">
                  <c:v>42151</c:v>
                </c:pt>
                <c:pt idx="627">
                  <c:v>42152</c:v>
                </c:pt>
                <c:pt idx="628">
                  <c:v>42153</c:v>
                </c:pt>
                <c:pt idx="629">
                  <c:v>42156</c:v>
                </c:pt>
                <c:pt idx="630">
                  <c:v>42157</c:v>
                </c:pt>
                <c:pt idx="631">
                  <c:v>42158</c:v>
                </c:pt>
                <c:pt idx="632">
                  <c:v>42159</c:v>
                </c:pt>
                <c:pt idx="633">
                  <c:v>42160</c:v>
                </c:pt>
                <c:pt idx="634">
                  <c:v>42163</c:v>
                </c:pt>
                <c:pt idx="635">
                  <c:v>42164</c:v>
                </c:pt>
                <c:pt idx="636">
                  <c:v>42165</c:v>
                </c:pt>
                <c:pt idx="637">
                  <c:v>42166</c:v>
                </c:pt>
                <c:pt idx="638">
                  <c:v>42167</c:v>
                </c:pt>
                <c:pt idx="639">
                  <c:v>42170</c:v>
                </c:pt>
                <c:pt idx="640">
                  <c:v>42171</c:v>
                </c:pt>
                <c:pt idx="641">
                  <c:v>42172</c:v>
                </c:pt>
                <c:pt idx="642">
                  <c:v>42173</c:v>
                </c:pt>
                <c:pt idx="643">
                  <c:v>42174</c:v>
                </c:pt>
                <c:pt idx="644">
                  <c:v>42177</c:v>
                </c:pt>
                <c:pt idx="645">
                  <c:v>42178</c:v>
                </c:pt>
                <c:pt idx="646">
                  <c:v>42179</c:v>
                </c:pt>
                <c:pt idx="647">
                  <c:v>42180</c:v>
                </c:pt>
                <c:pt idx="648">
                  <c:v>42181</c:v>
                </c:pt>
                <c:pt idx="649">
                  <c:v>42184</c:v>
                </c:pt>
                <c:pt idx="650">
                  <c:v>42185</c:v>
                </c:pt>
                <c:pt idx="651">
                  <c:v>42186</c:v>
                </c:pt>
                <c:pt idx="652">
                  <c:v>42187</c:v>
                </c:pt>
                <c:pt idx="653">
                  <c:v>42188</c:v>
                </c:pt>
                <c:pt idx="654">
                  <c:v>42191</c:v>
                </c:pt>
                <c:pt idx="655">
                  <c:v>42192</c:v>
                </c:pt>
                <c:pt idx="656">
                  <c:v>42193</c:v>
                </c:pt>
                <c:pt idx="657">
                  <c:v>42194</c:v>
                </c:pt>
                <c:pt idx="658">
                  <c:v>42195</c:v>
                </c:pt>
                <c:pt idx="659">
                  <c:v>42198</c:v>
                </c:pt>
                <c:pt idx="660">
                  <c:v>42199</c:v>
                </c:pt>
                <c:pt idx="661">
                  <c:v>42200</c:v>
                </c:pt>
                <c:pt idx="662">
                  <c:v>42201</c:v>
                </c:pt>
                <c:pt idx="663">
                  <c:v>42202</c:v>
                </c:pt>
                <c:pt idx="664">
                  <c:v>42205</c:v>
                </c:pt>
                <c:pt idx="665">
                  <c:v>42206</c:v>
                </c:pt>
                <c:pt idx="666">
                  <c:v>42207</c:v>
                </c:pt>
                <c:pt idx="667">
                  <c:v>42208</c:v>
                </c:pt>
                <c:pt idx="668">
                  <c:v>42209</c:v>
                </c:pt>
                <c:pt idx="669">
                  <c:v>42212</c:v>
                </c:pt>
                <c:pt idx="670">
                  <c:v>42213</c:v>
                </c:pt>
                <c:pt idx="671">
                  <c:v>42214</c:v>
                </c:pt>
                <c:pt idx="672">
                  <c:v>42215</c:v>
                </c:pt>
                <c:pt idx="673">
                  <c:v>42216</c:v>
                </c:pt>
                <c:pt idx="674">
                  <c:v>42219</c:v>
                </c:pt>
                <c:pt idx="675">
                  <c:v>42220</c:v>
                </c:pt>
                <c:pt idx="676">
                  <c:v>42221</c:v>
                </c:pt>
                <c:pt idx="677">
                  <c:v>42222</c:v>
                </c:pt>
                <c:pt idx="678">
                  <c:v>42223</c:v>
                </c:pt>
                <c:pt idx="679">
                  <c:v>42226</c:v>
                </c:pt>
                <c:pt idx="680">
                  <c:v>42227</c:v>
                </c:pt>
                <c:pt idx="681">
                  <c:v>42228</c:v>
                </c:pt>
                <c:pt idx="682">
                  <c:v>42229</c:v>
                </c:pt>
                <c:pt idx="683">
                  <c:v>42230</c:v>
                </c:pt>
                <c:pt idx="684">
                  <c:v>42233</c:v>
                </c:pt>
                <c:pt idx="685">
                  <c:v>42234</c:v>
                </c:pt>
                <c:pt idx="686">
                  <c:v>42235</c:v>
                </c:pt>
                <c:pt idx="687">
                  <c:v>42236</c:v>
                </c:pt>
                <c:pt idx="688">
                  <c:v>42237</c:v>
                </c:pt>
                <c:pt idx="689">
                  <c:v>42240</c:v>
                </c:pt>
                <c:pt idx="690">
                  <c:v>42241</c:v>
                </c:pt>
                <c:pt idx="691">
                  <c:v>42242</c:v>
                </c:pt>
                <c:pt idx="692">
                  <c:v>42243</c:v>
                </c:pt>
                <c:pt idx="693">
                  <c:v>42244</c:v>
                </c:pt>
                <c:pt idx="694">
                  <c:v>42247</c:v>
                </c:pt>
                <c:pt idx="695">
                  <c:v>42248</c:v>
                </c:pt>
                <c:pt idx="696">
                  <c:v>42249</c:v>
                </c:pt>
                <c:pt idx="697">
                  <c:v>42250</c:v>
                </c:pt>
                <c:pt idx="698">
                  <c:v>42251</c:v>
                </c:pt>
                <c:pt idx="699">
                  <c:v>42254</c:v>
                </c:pt>
                <c:pt idx="700">
                  <c:v>42255</c:v>
                </c:pt>
                <c:pt idx="701">
                  <c:v>42256</c:v>
                </c:pt>
                <c:pt idx="702">
                  <c:v>42257</c:v>
                </c:pt>
                <c:pt idx="703">
                  <c:v>42258</c:v>
                </c:pt>
                <c:pt idx="704">
                  <c:v>42261</c:v>
                </c:pt>
                <c:pt idx="705">
                  <c:v>42262</c:v>
                </c:pt>
                <c:pt idx="706">
                  <c:v>42263</c:v>
                </c:pt>
                <c:pt idx="707">
                  <c:v>42264</c:v>
                </c:pt>
                <c:pt idx="708">
                  <c:v>42265</c:v>
                </c:pt>
                <c:pt idx="709">
                  <c:v>42268</c:v>
                </c:pt>
                <c:pt idx="710">
                  <c:v>42269</c:v>
                </c:pt>
                <c:pt idx="711">
                  <c:v>42270</c:v>
                </c:pt>
                <c:pt idx="712">
                  <c:v>42271</c:v>
                </c:pt>
                <c:pt idx="713">
                  <c:v>42272</c:v>
                </c:pt>
                <c:pt idx="714">
                  <c:v>42275</c:v>
                </c:pt>
                <c:pt idx="715">
                  <c:v>42276</c:v>
                </c:pt>
                <c:pt idx="716">
                  <c:v>42277</c:v>
                </c:pt>
                <c:pt idx="717">
                  <c:v>42278</c:v>
                </c:pt>
                <c:pt idx="718">
                  <c:v>42279</c:v>
                </c:pt>
                <c:pt idx="719">
                  <c:v>42282</c:v>
                </c:pt>
                <c:pt idx="720">
                  <c:v>42283</c:v>
                </c:pt>
                <c:pt idx="721">
                  <c:v>42284</c:v>
                </c:pt>
                <c:pt idx="722">
                  <c:v>42285</c:v>
                </c:pt>
                <c:pt idx="723">
                  <c:v>42286</c:v>
                </c:pt>
                <c:pt idx="724">
                  <c:v>42289</c:v>
                </c:pt>
                <c:pt idx="725">
                  <c:v>42290</c:v>
                </c:pt>
                <c:pt idx="726">
                  <c:v>42291</c:v>
                </c:pt>
                <c:pt idx="727">
                  <c:v>42292</c:v>
                </c:pt>
                <c:pt idx="728">
                  <c:v>42293</c:v>
                </c:pt>
                <c:pt idx="729">
                  <c:v>42296</c:v>
                </c:pt>
                <c:pt idx="730">
                  <c:v>42297</c:v>
                </c:pt>
                <c:pt idx="731">
                  <c:v>42298</c:v>
                </c:pt>
                <c:pt idx="732">
                  <c:v>42299</c:v>
                </c:pt>
                <c:pt idx="733">
                  <c:v>42300</c:v>
                </c:pt>
                <c:pt idx="734">
                  <c:v>42303</c:v>
                </c:pt>
                <c:pt idx="735">
                  <c:v>42304</c:v>
                </c:pt>
                <c:pt idx="736">
                  <c:v>42305</c:v>
                </c:pt>
                <c:pt idx="737">
                  <c:v>42306</c:v>
                </c:pt>
                <c:pt idx="738">
                  <c:v>42307</c:v>
                </c:pt>
                <c:pt idx="739">
                  <c:v>42310</c:v>
                </c:pt>
                <c:pt idx="740">
                  <c:v>42311</c:v>
                </c:pt>
                <c:pt idx="741">
                  <c:v>42312</c:v>
                </c:pt>
                <c:pt idx="742">
                  <c:v>42313</c:v>
                </c:pt>
                <c:pt idx="743">
                  <c:v>42314</c:v>
                </c:pt>
                <c:pt idx="744">
                  <c:v>42317</c:v>
                </c:pt>
                <c:pt idx="745">
                  <c:v>42318</c:v>
                </c:pt>
                <c:pt idx="746">
                  <c:v>42319</c:v>
                </c:pt>
                <c:pt idx="747">
                  <c:v>42320</c:v>
                </c:pt>
                <c:pt idx="748">
                  <c:v>42321</c:v>
                </c:pt>
                <c:pt idx="749">
                  <c:v>42324</c:v>
                </c:pt>
                <c:pt idx="750">
                  <c:v>42325</c:v>
                </c:pt>
                <c:pt idx="751">
                  <c:v>42326</c:v>
                </c:pt>
                <c:pt idx="752">
                  <c:v>42327</c:v>
                </c:pt>
                <c:pt idx="753">
                  <c:v>42328</c:v>
                </c:pt>
                <c:pt idx="754">
                  <c:v>42331</c:v>
                </c:pt>
                <c:pt idx="755">
                  <c:v>42332</c:v>
                </c:pt>
                <c:pt idx="756">
                  <c:v>42333</c:v>
                </c:pt>
                <c:pt idx="757">
                  <c:v>42334</c:v>
                </c:pt>
                <c:pt idx="758">
                  <c:v>42335</c:v>
                </c:pt>
                <c:pt idx="759">
                  <c:v>42338</c:v>
                </c:pt>
                <c:pt idx="760">
                  <c:v>42339</c:v>
                </c:pt>
                <c:pt idx="761">
                  <c:v>42340</c:v>
                </c:pt>
                <c:pt idx="762">
                  <c:v>42341</c:v>
                </c:pt>
                <c:pt idx="763">
                  <c:v>42342</c:v>
                </c:pt>
                <c:pt idx="764">
                  <c:v>42345</c:v>
                </c:pt>
                <c:pt idx="765">
                  <c:v>42346</c:v>
                </c:pt>
                <c:pt idx="766">
                  <c:v>42347</c:v>
                </c:pt>
                <c:pt idx="767">
                  <c:v>42348</c:v>
                </c:pt>
                <c:pt idx="768">
                  <c:v>42349</c:v>
                </c:pt>
                <c:pt idx="769">
                  <c:v>42352</c:v>
                </c:pt>
                <c:pt idx="770">
                  <c:v>42353</c:v>
                </c:pt>
                <c:pt idx="771">
                  <c:v>42354</c:v>
                </c:pt>
                <c:pt idx="772">
                  <c:v>42355</c:v>
                </c:pt>
                <c:pt idx="773">
                  <c:v>42356</c:v>
                </c:pt>
                <c:pt idx="774">
                  <c:v>42359</c:v>
                </c:pt>
                <c:pt idx="775">
                  <c:v>42360</c:v>
                </c:pt>
                <c:pt idx="776">
                  <c:v>42361</c:v>
                </c:pt>
                <c:pt idx="777">
                  <c:v>42362</c:v>
                </c:pt>
                <c:pt idx="778">
                  <c:v>42363</c:v>
                </c:pt>
                <c:pt idx="779">
                  <c:v>42366</c:v>
                </c:pt>
                <c:pt idx="780">
                  <c:v>42367</c:v>
                </c:pt>
                <c:pt idx="781">
                  <c:v>42368</c:v>
                </c:pt>
                <c:pt idx="782">
                  <c:v>42369</c:v>
                </c:pt>
                <c:pt idx="783">
                  <c:v>42370</c:v>
                </c:pt>
                <c:pt idx="784">
                  <c:v>42373</c:v>
                </c:pt>
                <c:pt idx="785">
                  <c:v>42374</c:v>
                </c:pt>
                <c:pt idx="786">
                  <c:v>42375</c:v>
                </c:pt>
                <c:pt idx="787">
                  <c:v>42376</c:v>
                </c:pt>
                <c:pt idx="788">
                  <c:v>42377</c:v>
                </c:pt>
                <c:pt idx="789">
                  <c:v>42380</c:v>
                </c:pt>
                <c:pt idx="790">
                  <c:v>42381</c:v>
                </c:pt>
                <c:pt idx="791">
                  <c:v>42382</c:v>
                </c:pt>
                <c:pt idx="792">
                  <c:v>42383</c:v>
                </c:pt>
                <c:pt idx="793">
                  <c:v>42384</c:v>
                </c:pt>
                <c:pt idx="794">
                  <c:v>42387</c:v>
                </c:pt>
                <c:pt idx="795">
                  <c:v>42388</c:v>
                </c:pt>
                <c:pt idx="796">
                  <c:v>42389</c:v>
                </c:pt>
                <c:pt idx="797">
                  <c:v>42390</c:v>
                </c:pt>
                <c:pt idx="798">
                  <c:v>42391</c:v>
                </c:pt>
                <c:pt idx="799">
                  <c:v>42394</c:v>
                </c:pt>
                <c:pt idx="800">
                  <c:v>42395</c:v>
                </c:pt>
                <c:pt idx="801">
                  <c:v>42396</c:v>
                </c:pt>
                <c:pt idx="802">
                  <c:v>42397</c:v>
                </c:pt>
                <c:pt idx="803">
                  <c:v>42398</c:v>
                </c:pt>
                <c:pt idx="804">
                  <c:v>42401</c:v>
                </c:pt>
                <c:pt idx="805">
                  <c:v>42402</c:v>
                </c:pt>
                <c:pt idx="806">
                  <c:v>42403</c:v>
                </c:pt>
                <c:pt idx="807">
                  <c:v>42404</c:v>
                </c:pt>
                <c:pt idx="808">
                  <c:v>42405</c:v>
                </c:pt>
                <c:pt idx="809">
                  <c:v>42408</c:v>
                </c:pt>
                <c:pt idx="810">
                  <c:v>42409</c:v>
                </c:pt>
                <c:pt idx="811">
                  <c:v>42410</c:v>
                </c:pt>
                <c:pt idx="812">
                  <c:v>42411</c:v>
                </c:pt>
                <c:pt idx="813">
                  <c:v>42412</c:v>
                </c:pt>
                <c:pt idx="814">
                  <c:v>42415</c:v>
                </c:pt>
                <c:pt idx="815">
                  <c:v>42416</c:v>
                </c:pt>
                <c:pt idx="816">
                  <c:v>42417</c:v>
                </c:pt>
                <c:pt idx="817">
                  <c:v>42418</c:v>
                </c:pt>
                <c:pt idx="818">
                  <c:v>42419</c:v>
                </c:pt>
                <c:pt idx="819">
                  <c:v>42422</c:v>
                </c:pt>
                <c:pt idx="820">
                  <c:v>42423</c:v>
                </c:pt>
                <c:pt idx="821">
                  <c:v>42424</c:v>
                </c:pt>
                <c:pt idx="822">
                  <c:v>42425</c:v>
                </c:pt>
                <c:pt idx="823">
                  <c:v>42426</c:v>
                </c:pt>
                <c:pt idx="824">
                  <c:v>42429</c:v>
                </c:pt>
                <c:pt idx="825">
                  <c:v>42430</c:v>
                </c:pt>
                <c:pt idx="826">
                  <c:v>42431</c:v>
                </c:pt>
                <c:pt idx="827">
                  <c:v>42432</c:v>
                </c:pt>
                <c:pt idx="828">
                  <c:v>42433</c:v>
                </c:pt>
                <c:pt idx="829">
                  <c:v>42436</c:v>
                </c:pt>
                <c:pt idx="830">
                  <c:v>42437</c:v>
                </c:pt>
                <c:pt idx="831">
                  <c:v>42438</c:v>
                </c:pt>
                <c:pt idx="832">
                  <c:v>42439</c:v>
                </c:pt>
                <c:pt idx="833">
                  <c:v>42440</c:v>
                </c:pt>
                <c:pt idx="834">
                  <c:v>42443</c:v>
                </c:pt>
                <c:pt idx="835">
                  <c:v>42444</c:v>
                </c:pt>
                <c:pt idx="836">
                  <c:v>42445</c:v>
                </c:pt>
                <c:pt idx="837">
                  <c:v>42446</c:v>
                </c:pt>
                <c:pt idx="838">
                  <c:v>42447</c:v>
                </c:pt>
                <c:pt idx="839">
                  <c:v>42450</c:v>
                </c:pt>
                <c:pt idx="840">
                  <c:v>42451</c:v>
                </c:pt>
                <c:pt idx="841">
                  <c:v>42452</c:v>
                </c:pt>
                <c:pt idx="842">
                  <c:v>42453</c:v>
                </c:pt>
                <c:pt idx="843">
                  <c:v>42454</c:v>
                </c:pt>
                <c:pt idx="844">
                  <c:v>42457</c:v>
                </c:pt>
                <c:pt idx="845">
                  <c:v>42458</c:v>
                </c:pt>
                <c:pt idx="846">
                  <c:v>42459</c:v>
                </c:pt>
                <c:pt idx="847">
                  <c:v>42460</c:v>
                </c:pt>
                <c:pt idx="848">
                  <c:v>42461</c:v>
                </c:pt>
                <c:pt idx="849">
                  <c:v>42464</c:v>
                </c:pt>
                <c:pt idx="850">
                  <c:v>42465</c:v>
                </c:pt>
                <c:pt idx="851">
                  <c:v>42466</c:v>
                </c:pt>
                <c:pt idx="852">
                  <c:v>42467</c:v>
                </c:pt>
                <c:pt idx="853">
                  <c:v>42468</c:v>
                </c:pt>
                <c:pt idx="854">
                  <c:v>42471</c:v>
                </c:pt>
                <c:pt idx="855">
                  <c:v>42472</c:v>
                </c:pt>
                <c:pt idx="856">
                  <c:v>42473</c:v>
                </c:pt>
                <c:pt idx="857">
                  <c:v>42474</c:v>
                </c:pt>
                <c:pt idx="858">
                  <c:v>42475</c:v>
                </c:pt>
                <c:pt idx="859">
                  <c:v>42478</c:v>
                </c:pt>
                <c:pt idx="860">
                  <c:v>42479</c:v>
                </c:pt>
                <c:pt idx="861">
                  <c:v>42480</c:v>
                </c:pt>
                <c:pt idx="862">
                  <c:v>42481</c:v>
                </c:pt>
                <c:pt idx="863">
                  <c:v>42482</c:v>
                </c:pt>
                <c:pt idx="864">
                  <c:v>42485</c:v>
                </c:pt>
                <c:pt idx="865">
                  <c:v>42486</c:v>
                </c:pt>
                <c:pt idx="866">
                  <c:v>42487</c:v>
                </c:pt>
                <c:pt idx="867">
                  <c:v>42488</c:v>
                </c:pt>
                <c:pt idx="868">
                  <c:v>42489</c:v>
                </c:pt>
                <c:pt idx="869">
                  <c:v>42492</c:v>
                </c:pt>
                <c:pt idx="870">
                  <c:v>42493</c:v>
                </c:pt>
                <c:pt idx="871">
                  <c:v>42494</c:v>
                </c:pt>
                <c:pt idx="872">
                  <c:v>42495</c:v>
                </c:pt>
                <c:pt idx="873">
                  <c:v>42496</c:v>
                </c:pt>
                <c:pt idx="874">
                  <c:v>42499</c:v>
                </c:pt>
                <c:pt idx="875">
                  <c:v>42500</c:v>
                </c:pt>
                <c:pt idx="876">
                  <c:v>42501</c:v>
                </c:pt>
                <c:pt idx="877">
                  <c:v>42502</c:v>
                </c:pt>
                <c:pt idx="878">
                  <c:v>42503</c:v>
                </c:pt>
                <c:pt idx="879">
                  <c:v>42506</c:v>
                </c:pt>
                <c:pt idx="880">
                  <c:v>42507</c:v>
                </c:pt>
                <c:pt idx="881">
                  <c:v>42508</c:v>
                </c:pt>
                <c:pt idx="882">
                  <c:v>42509</c:v>
                </c:pt>
                <c:pt idx="883">
                  <c:v>42510</c:v>
                </c:pt>
                <c:pt idx="884">
                  <c:v>42513</c:v>
                </c:pt>
                <c:pt idx="885">
                  <c:v>42514</c:v>
                </c:pt>
                <c:pt idx="886">
                  <c:v>42515</c:v>
                </c:pt>
                <c:pt idx="887">
                  <c:v>42516</c:v>
                </c:pt>
                <c:pt idx="888">
                  <c:v>42517</c:v>
                </c:pt>
                <c:pt idx="889">
                  <c:v>42520</c:v>
                </c:pt>
                <c:pt idx="890">
                  <c:v>42521</c:v>
                </c:pt>
                <c:pt idx="891">
                  <c:v>42522</c:v>
                </c:pt>
                <c:pt idx="892">
                  <c:v>42523</c:v>
                </c:pt>
                <c:pt idx="893">
                  <c:v>42524</c:v>
                </c:pt>
                <c:pt idx="894">
                  <c:v>42527</c:v>
                </c:pt>
                <c:pt idx="895">
                  <c:v>42528</c:v>
                </c:pt>
                <c:pt idx="896">
                  <c:v>42529</c:v>
                </c:pt>
                <c:pt idx="897">
                  <c:v>42530</c:v>
                </c:pt>
                <c:pt idx="898">
                  <c:v>42531</c:v>
                </c:pt>
                <c:pt idx="899">
                  <c:v>42534</c:v>
                </c:pt>
                <c:pt idx="900">
                  <c:v>42535</c:v>
                </c:pt>
                <c:pt idx="901">
                  <c:v>42536</c:v>
                </c:pt>
                <c:pt idx="902">
                  <c:v>42537</c:v>
                </c:pt>
                <c:pt idx="903">
                  <c:v>42538</c:v>
                </c:pt>
                <c:pt idx="904">
                  <c:v>42541</c:v>
                </c:pt>
                <c:pt idx="905">
                  <c:v>42542</c:v>
                </c:pt>
                <c:pt idx="906">
                  <c:v>42543</c:v>
                </c:pt>
                <c:pt idx="907">
                  <c:v>42544</c:v>
                </c:pt>
                <c:pt idx="908">
                  <c:v>42545</c:v>
                </c:pt>
                <c:pt idx="909">
                  <c:v>42548</c:v>
                </c:pt>
                <c:pt idx="910">
                  <c:v>42549</c:v>
                </c:pt>
                <c:pt idx="911">
                  <c:v>42550</c:v>
                </c:pt>
                <c:pt idx="912">
                  <c:v>42551</c:v>
                </c:pt>
                <c:pt idx="913">
                  <c:v>42552</c:v>
                </c:pt>
                <c:pt idx="914">
                  <c:v>42555</c:v>
                </c:pt>
                <c:pt idx="915">
                  <c:v>42556</c:v>
                </c:pt>
                <c:pt idx="916">
                  <c:v>42557</c:v>
                </c:pt>
                <c:pt idx="917">
                  <c:v>42558</c:v>
                </c:pt>
                <c:pt idx="918">
                  <c:v>42559</c:v>
                </c:pt>
                <c:pt idx="919">
                  <c:v>42562</c:v>
                </c:pt>
                <c:pt idx="920">
                  <c:v>42563</c:v>
                </c:pt>
                <c:pt idx="921">
                  <c:v>42564</c:v>
                </c:pt>
                <c:pt idx="922">
                  <c:v>42565</c:v>
                </c:pt>
                <c:pt idx="923">
                  <c:v>42566</c:v>
                </c:pt>
                <c:pt idx="924">
                  <c:v>42569</c:v>
                </c:pt>
                <c:pt idx="925">
                  <c:v>42570</c:v>
                </c:pt>
                <c:pt idx="926">
                  <c:v>42571</c:v>
                </c:pt>
                <c:pt idx="927">
                  <c:v>42572</c:v>
                </c:pt>
                <c:pt idx="928">
                  <c:v>42573</c:v>
                </c:pt>
                <c:pt idx="929">
                  <c:v>42576</c:v>
                </c:pt>
                <c:pt idx="930">
                  <c:v>42577</c:v>
                </c:pt>
                <c:pt idx="931">
                  <c:v>42578</c:v>
                </c:pt>
                <c:pt idx="932">
                  <c:v>42579</c:v>
                </c:pt>
                <c:pt idx="933">
                  <c:v>42580</c:v>
                </c:pt>
                <c:pt idx="934">
                  <c:v>42583</c:v>
                </c:pt>
                <c:pt idx="935">
                  <c:v>42584</c:v>
                </c:pt>
                <c:pt idx="936">
                  <c:v>42585</c:v>
                </c:pt>
                <c:pt idx="937">
                  <c:v>42586</c:v>
                </c:pt>
                <c:pt idx="938">
                  <c:v>42587</c:v>
                </c:pt>
                <c:pt idx="939">
                  <c:v>42590</c:v>
                </c:pt>
                <c:pt idx="940">
                  <c:v>42591</c:v>
                </c:pt>
                <c:pt idx="941">
                  <c:v>42592</c:v>
                </c:pt>
                <c:pt idx="942">
                  <c:v>42593</c:v>
                </c:pt>
                <c:pt idx="943">
                  <c:v>42594</c:v>
                </c:pt>
                <c:pt idx="944">
                  <c:v>42597</c:v>
                </c:pt>
                <c:pt idx="945">
                  <c:v>42598</c:v>
                </c:pt>
                <c:pt idx="946">
                  <c:v>42599</c:v>
                </c:pt>
                <c:pt idx="947">
                  <c:v>42600</c:v>
                </c:pt>
                <c:pt idx="948">
                  <c:v>42601</c:v>
                </c:pt>
                <c:pt idx="949">
                  <c:v>42604</c:v>
                </c:pt>
                <c:pt idx="950">
                  <c:v>42605</c:v>
                </c:pt>
                <c:pt idx="951">
                  <c:v>42606</c:v>
                </c:pt>
                <c:pt idx="952">
                  <c:v>42607</c:v>
                </c:pt>
                <c:pt idx="953">
                  <c:v>42608</c:v>
                </c:pt>
                <c:pt idx="954">
                  <c:v>42611</c:v>
                </c:pt>
                <c:pt idx="955">
                  <c:v>42612</c:v>
                </c:pt>
                <c:pt idx="956">
                  <c:v>42613</c:v>
                </c:pt>
                <c:pt idx="957">
                  <c:v>42614</c:v>
                </c:pt>
                <c:pt idx="958">
                  <c:v>42615</c:v>
                </c:pt>
                <c:pt idx="959">
                  <c:v>42618</c:v>
                </c:pt>
                <c:pt idx="960">
                  <c:v>42619</c:v>
                </c:pt>
                <c:pt idx="961">
                  <c:v>42620</c:v>
                </c:pt>
                <c:pt idx="962">
                  <c:v>42621</c:v>
                </c:pt>
                <c:pt idx="963">
                  <c:v>42622</c:v>
                </c:pt>
                <c:pt idx="964">
                  <c:v>42625</c:v>
                </c:pt>
                <c:pt idx="965">
                  <c:v>42626</c:v>
                </c:pt>
                <c:pt idx="966">
                  <c:v>42627</c:v>
                </c:pt>
                <c:pt idx="967">
                  <c:v>42628</c:v>
                </c:pt>
                <c:pt idx="968">
                  <c:v>42629</c:v>
                </c:pt>
                <c:pt idx="969">
                  <c:v>42632</c:v>
                </c:pt>
                <c:pt idx="970">
                  <c:v>42633</c:v>
                </c:pt>
              </c:numCache>
            </c:numRef>
          </c:cat>
          <c:val>
            <c:numRef>
              <c:f>[0]!dhpRange</c:f>
              <c:numCache>
                <c:formatCode>General</c:formatCode>
                <c:ptCount val="971"/>
                <c:pt idx="0">
                  <c:v>0</c:v>
                </c:pt>
                <c:pt idx="1">
                  <c:v>10625</c:v>
                </c:pt>
                <c:pt idx="2">
                  <c:v>14000</c:v>
                </c:pt>
                <c:pt idx="3">
                  <c:v>19750</c:v>
                </c:pt>
                <c:pt idx="4">
                  <c:v>21000</c:v>
                </c:pt>
                <c:pt idx="5">
                  <c:v>14750</c:v>
                </c:pt>
                <c:pt idx="6">
                  <c:v>12625</c:v>
                </c:pt>
                <c:pt idx="7">
                  <c:v>7910</c:v>
                </c:pt>
                <c:pt idx="8">
                  <c:v>-1050</c:v>
                </c:pt>
                <c:pt idx="9">
                  <c:v>15825</c:v>
                </c:pt>
                <c:pt idx="10">
                  <c:v>12950</c:v>
                </c:pt>
                <c:pt idx="11">
                  <c:v>15450</c:v>
                </c:pt>
                <c:pt idx="12">
                  <c:v>17200</c:v>
                </c:pt>
                <c:pt idx="13">
                  <c:v>17825</c:v>
                </c:pt>
                <c:pt idx="14">
                  <c:v>20075</c:v>
                </c:pt>
                <c:pt idx="15">
                  <c:v>18575</c:v>
                </c:pt>
                <c:pt idx="16">
                  <c:v>23610</c:v>
                </c:pt>
                <c:pt idx="17">
                  <c:v>26150</c:v>
                </c:pt>
                <c:pt idx="18">
                  <c:v>22775</c:v>
                </c:pt>
                <c:pt idx="19">
                  <c:v>27025</c:v>
                </c:pt>
                <c:pt idx="20">
                  <c:v>27525</c:v>
                </c:pt>
                <c:pt idx="21">
                  <c:v>28150</c:v>
                </c:pt>
                <c:pt idx="22">
                  <c:v>28025</c:v>
                </c:pt>
                <c:pt idx="23">
                  <c:v>30025</c:v>
                </c:pt>
                <c:pt idx="24">
                  <c:v>33150</c:v>
                </c:pt>
                <c:pt idx="25">
                  <c:v>34150</c:v>
                </c:pt>
                <c:pt idx="26">
                  <c:v>34540</c:v>
                </c:pt>
                <c:pt idx="27">
                  <c:v>29480</c:v>
                </c:pt>
                <c:pt idx="28">
                  <c:v>30480</c:v>
                </c:pt>
                <c:pt idx="29">
                  <c:v>32750</c:v>
                </c:pt>
                <c:pt idx="30">
                  <c:v>37500</c:v>
                </c:pt>
                <c:pt idx="31">
                  <c:v>37125</c:v>
                </c:pt>
                <c:pt idx="32">
                  <c:v>36890</c:v>
                </c:pt>
                <c:pt idx="33">
                  <c:v>35015</c:v>
                </c:pt>
                <c:pt idx="34">
                  <c:v>37015</c:v>
                </c:pt>
                <c:pt idx="35">
                  <c:v>41265</c:v>
                </c:pt>
                <c:pt idx="36">
                  <c:v>38160</c:v>
                </c:pt>
                <c:pt idx="37">
                  <c:v>38980</c:v>
                </c:pt>
                <c:pt idx="38">
                  <c:v>38105</c:v>
                </c:pt>
                <c:pt idx="39">
                  <c:v>37005</c:v>
                </c:pt>
                <c:pt idx="40">
                  <c:v>32005</c:v>
                </c:pt>
                <c:pt idx="41">
                  <c:v>25950</c:v>
                </c:pt>
                <c:pt idx="42">
                  <c:v>26715</c:v>
                </c:pt>
                <c:pt idx="43">
                  <c:v>28465</c:v>
                </c:pt>
                <c:pt idx="44">
                  <c:v>27855</c:v>
                </c:pt>
                <c:pt idx="45">
                  <c:v>24115</c:v>
                </c:pt>
                <c:pt idx="46">
                  <c:v>30240</c:v>
                </c:pt>
                <c:pt idx="47">
                  <c:v>29435</c:v>
                </c:pt>
                <c:pt idx="48">
                  <c:v>14285</c:v>
                </c:pt>
                <c:pt idx="49">
                  <c:v>-4950</c:v>
                </c:pt>
                <c:pt idx="50">
                  <c:v>-7575</c:v>
                </c:pt>
                <c:pt idx="51">
                  <c:v>-2450</c:v>
                </c:pt>
                <c:pt idx="52">
                  <c:v>-7440</c:v>
                </c:pt>
                <c:pt idx="53">
                  <c:v>-8550</c:v>
                </c:pt>
                <c:pt idx="54">
                  <c:v>-8925</c:v>
                </c:pt>
                <c:pt idx="55">
                  <c:v>-17270</c:v>
                </c:pt>
                <c:pt idx="56">
                  <c:v>-20130</c:v>
                </c:pt>
                <c:pt idx="57">
                  <c:v>-21880</c:v>
                </c:pt>
                <c:pt idx="58">
                  <c:v>-21880</c:v>
                </c:pt>
                <c:pt idx="59">
                  <c:v>-21880</c:v>
                </c:pt>
                <c:pt idx="60">
                  <c:v>-21880</c:v>
                </c:pt>
                <c:pt idx="61">
                  <c:v>-21880</c:v>
                </c:pt>
                <c:pt idx="62">
                  <c:v>-21880</c:v>
                </c:pt>
                <c:pt idx="63">
                  <c:v>-21880</c:v>
                </c:pt>
                <c:pt idx="64">
                  <c:v>4035</c:v>
                </c:pt>
                <c:pt idx="65">
                  <c:v>1095</c:v>
                </c:pt>
                <c:pt idx="66">
                  <c:v>6345</c:v>
                </c:pt>
                <c:pt idx="67">
                  <c:v>-4665</c:v>
                </c:pt>
                <c:pt idx="68">
                  <c:v>-7415</c:v>
                </c:pt>
                <c:pt idx="69">
                  <c:v>-5040</c:v>
                </c:pt>
                <c:pt idx="70">
                  <c:v>3960</c:v>
                </c:pt>
                <c:pt idx="71">
                  <c:v>5335</c:v>
                </c:pt>
                <c:pt idx="72">
                  <c:v>11125</c:v>
                </c:pt>
                <c:pt idx="73">
                  <c:v>17500</c:v>
                </c:pt>
                <c:pt idx="74">
                  <c:v>5280</c:v>
                </c:pt>
                <c:pt idx="75">
                  <c:v>17030</c:v>
                </c:pt>
                <c:pt idx="76">
                  <c:v>17655</c:v>
                </c:pt>
                <c:pt idx="77">
                  <c:v>1530</c:v>
                </c:pt>
                <c:pt idx="78">
                  <c:v>5420</c:v>
                </c:pt>
                <c:pt idx="79">
                  <c:v>295</c:v>
                </c:pt>
                <c:pt idx="80">
                  <c:v>-5945</c:v>
                </c:pt>
                <c:pt idx="81">
                  <c:v>-9550</c:v>
                </c:pt>
                <c:pt idx="82">
                  <c:v>-5072.5</c:v>
                </c:pt>
                <c:pt idx="83">
                  <c:v>-3447.5</c:v>
                </c:pt>
                <c:pt idx="84">
                  <c:v>-15212.5</c:v>
                </c:pt>
                <c:pt idx="85">
                  <c:v>-11962.5</c:v>
                </c:pt>
                <c:pt idx="86">
                  <c:v>-7322.5</c:v>
                </c:pt>
                <c:pt idx="87">
                  <c:v>-21927.5</c:v>
                </c:pt>
                <c:pt idx="88">
                  <c:v>-24632.5</c:v>
                </c:pt>
                <c:pt idx="89">
                  <c:v>-9632.5</c:v>
                </c:pt>
                <c:pt idx="90">
                  <c:v>-10757.5</c:v>
                </c:pt>
                <c:pt idx="91">
                  <c:v>-257.5</c:v>
                </c:pt>
                <c:pt idx="92">
                  <c:v>-14382.5</c:v>
                </c:pt>
                <c:pt idx="93">
                  <c:v>-2632.5</c:v>
                </c:pt>
                <c:pt idx="94">
                  <c:v>-16582.5</c:v>
                </c:pt>
                <c:pt idx="95">
                  <c:v>-18072.5</c:v>
                </c:pt>
                <c:pt idx="96">
                  <c:v>-17322.5</c:v>
                </c:pt>
                <c:pt idx="97">
                  <c:v>-14447.5</c:v>
                </c:pt>
                <c:pt idx="98">
                  <c:v>-16447.5</c:v>
                </c:pt>
                <c:pt idx="99">
                  <c:v>-12947.5</c:v>
                </c:pt>
                <c:pt idx="100">
                  <c:v>-8072.5</c:v>
                </c:pt>
                <c:pt idx="101">
                  <c:v>-14432.5</c:v>
                </c:pt>
                <c:pt idx="102">
                  <c:v>-16807.5</c:v>
                </c:pt>
                <c:pt idx="103">
                  <c:v>-15932.5</c:v>
                </c:pt>
                <c:pt idx="104">
                  <c:v>-13182.5</c:v>
                </c:pt>
                <c:pt idx="105">
                  <c:v>-16557.5</c:v>
                </c:pt>
                <c:pt idx="106">
                  <c:v>-16432.5</c:v>
                </c:pt>
                <c:pt idx="107">
                  <c:v>-11182.5</c:v>
                </c:pt>
                <c:pt idx="108">
                  <c:v>-12797.5</c:v>
                </c:pt>
                <c:pt idx="109">
                  <c:v>-9797.5</c:v>
                </c:pt>
                <c:pt idx="110">
                  <c:v>-7282.5</c:v>
                </c:pt>
                <c:pt idx="111">
                  <c:v>-11282.5</c:v>
                </c:pt>
                <c:pt idx="112">
                  <c:v>-11647.5</c:v>
                </c:pt>
                <c:pt idx="113">
                  <c:v>-15762.5</c:v>
                </c:pt>
                <c:pt idx="114">
                  <c:v>-762.5</c:v>
                </c:pt>
                <c:pt idx="115">
                  <c:v>-2137.5</c:v>
                </c:pt>
                <c:pt idx="116">
                  <c:v>497.5</c:v>
                </c:pt>
                <c:pt idx="117">
                  <c:v>2872.5</c:v>
                </c:pt>
                <c:pt idx="118">
                  <c:v>502.5</c:v>
                </c:pt>
                <c:pt idx="119">
                  <c:v>-5747.5</c:v>
                </c:pt>
                <c:pt idx="120">
                  <c:v>-11747.5</c:v>
                </c:pt>
                <c:pt idx="121">
                  <c:v>-11722.5</c:v>
                </c:pt>
                <c:pt idx="122">
                  <c:v>-15807.5</c:v>
                </c:pt>
                <c:pt idx="123">
                  <c:v>-17927.5</c:v>
                </c:pt>
                <c:pt idx="124">
                  <c:v>-23922.5</c:v>
                </c:pt>
                <c:pt idx="125">
                  <c:v>-26172.5</c:v>
                </c:pt>
                <c:pt idx="126">
                  <c:v>-26172.5</c:v>
                </c:pt>
                <c:pt idx="127">
                  <c:v>-26172.5</c:v>
                </c:pt>
                <c:pt idx="128">
                  <c:v>-26172.5</c:v>
                </c:pt>
                <c:pt idx="129">
                  <c:v>-26172.5</c:v>
                </c:pt>
                <c:pt idx="130">
                  <c:v>-26172.5</c:v>
                </c:pt>
                <c:pt idx="131">
                  <c:v>-26547.5</c:v>
                </c:pt>
                <c:pt idx="132">
                  <c:v>-27672.5</c:v>
                </c:pt>
                <c:pt idx="133">
                  <c:v>-23547.5</c:v>
                </c:pt>
                <c:pt idx="134">
                  <c:v>-27297.5</c:v>
                </c:pt>
                <c:pt idx="135">
                  <c:v>-35617.5</c:v>
                </c:pt>
                <c:pt idx="136">
                  <c:v>-35992.5</c:v>
                </c:pt>
                <c:pt idx="137">
                  <c:v>-28807.5</c:v>
                </c:pt>
                <c:pt idx="138">
                  <c:v>-30517.5</c:v>
                </c:pt>
                <c:pt idx="139">
                  <c:v>-39862.5</c:v>
                </c:pt>
                <c:pt idx="140">
                  <c:v>-35737.5</c:v>
                </c:pt>
                <c:pt idx="141">
                  <c:v>-36987.5</c:v>
                </c:pt>
                <c:pt idx="142">
                  <c:v>-35862.5</c:v>
                </c:pt>
                <c:pt idx="143">
                  <c:v>-32987.5</c:v>
                </c:pt>
                <c:pt idx="144">
                  <c:v>-34977.5</c:v>
                </c:pt>
                <c:pt idx="145">
                  <c:v>-44807.5</c:v>
                </c:pt>
                <c:pt idx="146">
                  <c:v>-51402.5</c:v>
                </c:pt>
                <c:pt idx="147">
                  <c:v>-57902.5</c:v>
                </c:pt>
                <c:pt idx="148">
                  <c:v>-59027.5</c:v>
                </c:pt>
                <c:pt idx="149">
                  <c:v>-62402.5</c:v>
                </c:pt>
                <c:pt idx="150">
                  <c:v>-62027.5</c:v>
                </c:pt>
                <c:pt idx="151">
                  <c:v>-58527.5</c:v>
                </c:pt>
                <c:pt idx="152">
                  <c:v>-63652.5</c:v>
                </c:pt>
                <c:pt idx="153">
                  <c:v>-66777.5</c:v>
                </c:pt>
                <c:pt idx="154">
                  <c:v>-68027.5</c:v>
                </c:pt>
                <c:pt idx="155">
                  <c:v>-67777.5</c:v>
                </c:pt>
                <c:pt idx="156">
                  <c:v>-67902.5</c:v>
                </c:pt>
                <c:pt idx="157">
                  <c:v>-67902.5</c:v>
                </c:pt>
                <c:pt idx="158">
                  <c:v>-68027.5</c:v>
                </c:pt>
                <c:pt idx="159">
                  <c:v>-67527.5</c:v>
                </c:pt>
                <c:pt idx="160">
                  <c:v>-69402.5</c:v>
                </c:pt>
                <c:pt idx="161">
                  <c:v>-69762.5</c:v>
                </c:pt>
                <c:pt idx="162">
                  <c:v>-68012.5</c:v>
                </c:pt>
                <c:pt idx="163">
                  <c:v>-68762.5</c:v>
                </c:pt>
                <c:pt idx="164">
                  <c:v>-67012.5</c:v>
                </c:pt>
                <c:pt idx="165">
                  <c:v>-67762.5</c:v>
                </c:pt>
                <c:pt idx="166">
                  <c:v>-61867.5</c:v>
                </c:pt>
                <c:pt idx="167">
                  <c:v>-62640</c:v>
                </c:pt>
                <c:pt idx="168">
                  <c:v>-66235</c:v>
                </c:pt>
                <c:pt idx="169">
                  <c:v>-73570</c:v>
                </c:pt>
                <c:pt idx="170">
                  <c:v>-75945</c:v>
                </c:pt>
                <c:pt idx="171">
                  <c:v>-75555</c:v>
                </c:pt>
                <c:pt idx="172">
                  <c:v>-75055</c:v>
                </c:pt>
                <c:pt idx="173">
                  <c:v>-72290</c:v>
                </c:pt>
                <c:pt idx="174">
                  <c:v>-76540</c:v>
                </c:pt>
                <c:pt idx="175">
                  <c:v>-64540</c:v>
                </c:pt>
                <c:pt idx="176">
                  <c:v>-58970</c:v>
                </c:pt>
                <c:pt idx="177">
                  <c:v>-56595</c:v>
                </c:pt>
                <c:pt idx="178">
                  <c:v>-66220</c:v>
                </c:pt>
                <c:pt idx="179">
                  <c:v>-60165</c:v>
                </c:pt>
                <c:pt idx="180">
                  <c:v>-69030</c:v>
                </c:pt>
                <c:pt idx="181">
                  <c:v>-70500</c:v>
                </c:pt>
                <c:pt idx="182">
                  <c:v>-60585</c:v>
                </c:pt>
                <c:pt idx="183">
                  <c:v>-50335</c:v>
                </c:pt>
                <c:pt idx="184">
                  <c:v>-41935</c:v>
                </c:pt>
                <c:pt idx="185">
                  <c:v>-41055</c:v>
                </c:pt>
                <c:pt idx="186">
                  <c:v>-33430</c:v>
                </c:pt>
                <c:pt idx="187">
                  <c:v>-41430</c:v>
                </c:pt>
                <c:pt idx="188">
                  <c:v>-25430</c:v>
                </c:pt>
                <c:pt idx="189">
                  <c:v>-27400</c:v>
                </c:pt>
                <c:pt idx="190">
                  <c:v>-17900</c:v>
                </c:pt>
                <c:pt idx="191">
                  <c:v>-31380</c:v>
                </c:pt>
                <c:pt idx="192">
                  <c:v>-33375</c:v>
                </c:pt>
                <c:pt idx="193">
                  <c:v>-28485</c:v>
                </c:pt>
                <c:pt idx="194">
                  <c:v>-5485</c:v>
                </c:pt>
                <c:pt idx="195">
                  <c:v>5390</c:v>
                </c:pt>
                <c:pt idx="196">
                  <c:v>4830</c:v>
                </c:pt>
                <c:pt idx="197">
                  <c:v>6455</c:v>
                </c:pt>
                <c:pt idx="198">
                  <c:v>7330</c:v>
                </c:pt>
                <c:pt idx="199">
                  <c:v>2705</c:v>
                </c:pt>
                <c:pt idx="200">
                  <c:v>6705</c:v>
                </c:pt>
                <c:pt idx="201">
                  <c:v>6955</c:v>
                </c:pt>
                <c:pt idx="202">
                  <c:v>9580</c:v>
                </c:pt>
                <c:pt idx="203">
                  <c:v>9955</c:v>
                </c:pt>
                <c:pt idx="204">
                  <c:v>9830</c:v>
                </c:pt>
                <c:pt idx="205">
                  <c:v>7330</c:v>
                </c:pt>
                <c:pt idx="206">
                  <c:v>8080</c:v>
                </c:pt>
                <c:pt idx="207">
                  <c:v>8205</c:v>
                </c:pt>
                <c:pt idx="208">
                  <c:v>7580</c:v>
                </c:pt>
                <c:pt idx="209">
                  <c:v>8830</c:v>
                </c:pt>
                <c:pt idx="210">
                  <c:v>14455</c:v>
                </c:pt>
                <c:pt idx="211">
                  <c:v>11580</c:v>
                </c:pt>
                <c:pt idx="212">
                  <c:v>12080</c:v>
                </c:pt>
                <c:pt idx="213">
                  <c:v>12830</c:v>
                </c:pt>
                <c:pt idx="214">
                  <c:v>13455</c:v>
                </c:pt>
                <c:pt idx="215">
                  <c:v>13705</c:v>
                </c:pt>
                <c:pt idx="216">
                  <c:v>14955</c:v>
                </c:pt>
                <c:pt idx="217">
                  <c:v>14705</c:v>
                </c:pt>
                <c:pt idx="218">
                  <c:v>15205</c:v>
                </c:pt>
                <c:pt idx="219">
                  <c:v>17080</c:v>
                </c:pt>
                <c:pt idx="220">
                  <c:v>15455</c:v>
                </c:pt>
                <c:pt idx="221">
                  <c:v>14455</c:v>
                </c:pt>
                <c:pt idx="222">
                  <c:v>14080</c:v>
                </c:pt>
                <c:pt idx="223">
                  <c:v>18705</c:v>
                </c:pt>
                <c:pt idx="224">
                  <c:v>26245</c:v>
                </c:pt>
                <c:pt idx="225">
                  <c:v>24120</c:v>
                </c:pt>
                <c:pt idx="226">
                  <c:v>19620</c:v>
                </c:pt>
                <c:pt idx="227">
                  <c:v>14620</c:v>
                </c:pt>
                <c:pt idx="228">
                  <c:v>12495</c:v>
                </c:pt>
                <c:pt idx="229">
                  <c:v>370</c:v>
                </c:pt>
                <c:pt idx="230">
                  <c:v>3245</c:v>
                </c:pt>
                <c:pt idx="231">
                  <c:v>4265</c:v>
                </c:pt>
                <c:pt idx="232">
                  <c:v>3647.5</c:v>
                </c:pt>
                <c:pt idx="233">
                  <c:v>4522.5</c:v>
                </c:pt>
                <c:pt idx="234">
                  <c:v>6022.5</c:v>
                </c:pt>
                <c:pt idx="235">
                  <c:v>8912.5</c:v>
                </c:pt>
                <c:pt idx="236">
                  <c:v>7177.5</c:v>
                </c:pt>
                <c:pt idx="237">
                  <c:v>7177.5</c:v>
                </c:pt>
                <c:pt idx="238">
                  <c:v>7177.5</c:v>
                </c:pt>
                <c:pt idx="239">
                  <c:v>7552.5</c:v>
                </c:pt>
                <c:pt idx="240">
                  <c:v>7552.5</c:v>
                </c:pt>
                <c:pt idx="241">
                  <c:v>3727.5</c:v>
                </c:pt>
                <c:pt idx="242">
                  <c:v>5022.5</c:v>
                </c:pt>
                <c:pt idx="243">
                  <c:v>7662.5</c:v>
                </c:pt>
                <c:pt idx="244">
                  <c:v>-1837.5</c:v>
                </c:pt>
                <c:pt idx="245">
                  <c:v>-212.5</c:v>
                </c:pt>
                <c:pt idx="246">
                  <c:v>-6962.5</c:v>
                </c:pt>
                <c:pt idx="247">
                  <c:v>20787.5</c:v>
                </c:pt>
                <c:pt idx="248">
                  <c:v>41287.5</c:v>
                </c:pt>
                <c:pt idx="249">
                  <c:v>42787.5</c:v>
                </c:pt>
                <c:pt idx="250">
                  <c:v>40787.5</c:v>
                </c:pt>
                <c:pt idx="251">
                  <c:v>43912.5</c:v>
                </c:pt>
                <c:pt idx="252">
                  <c:v>39412.5</c:v>
                </c:pt>
                <c:pt idx="253">
                  <c:v>37452.5</c:v>
                </c:pt>
                <c:pt idx="254">
                  <c:v>37987.5</c:v>
                </c:pt>
                <c:pt idx="255">
                  <c:v>37772.5</c:v>
                </c:pt>
                <c:pt idx="256">
                  <c:v>37067.5</c:v>
                </c:pt>
                <c:pt idx="257">
                  <c:v>35357.5</c:v>
                </c:pt>
                <c:pt idx="258">
                  <c:v>35127.5</c:v>
                </c:pt>
                <c:pt idx="259">
                  <c:v>36022.5</c:v>
                </c:pt>
                <c:pt idx="260">
                  <c:v>35897.5</c:v>
                </c:pt>
                <c:pt idx="261">
                  <c:v>35532.5</c:v>
                </c:pt>
                <c:pt idx="262">
                  <c:v>36132.5</c:v>
                </c:pt>
                <c:pt idx="263">
                  <c:v>27537.5</c:v>
                </c:pt>
                <c:pt idx="264">
                  <c:v>31357.5</c:v>
                </c:pt>
                <c:pt idx="265">
                  <c:v>33997.5</c:v>
                </c:pt>
                <c:pt idx="266">
                  <c:v>607.5</c:v>
                </c:pt>
                <c:pt idx="267">
                  <c:v>-12747.5</c:v>
                </c:pt>
                <c:pt idx="268">
                  <c:v>-8787.5</c:v>
                </c:pt>
                <c:pt idx="269">
                  <c:v>-12087.5</c:v>
                </c:pt>
                <c:pt idx="270">
                  <c:v>-5822.5</c:v>
                </c:pt>
                <c:pt idx="271">
                  <c:v>3207.5</c:v>
                </c:pt>
                <c:pt idx="272">
                  <c:v>2207.5</c:v>
                </c:pt>
                <c:pt idx="273">
                  <c:v>10722.5</c:v>
                </c:pt>
                <c:pt idx="274">
                  <c:v>11597.5</c:v>
                </c:pt>
                <c:pt idx="275">
                  <c:v>11347.5</c:v>
                </c:pt>
                <c:pt idx="276">
                  <c:v>6367.5</c:v>
                </c:pt>
                <c:pt idx="277">
                  <c:v>-5092.5</c:v>
                </c:pt>
                <c:pt idx="278">
                  <c:v>-5812.5</c:v>
                </c:pt>
                <c:pt idx="279">
                  <c:v>-1937.5</c:v>
                </c:pt>
                <c:pt idx="280">
                  <c:v>-1312.5</c:v>
                </c:pt>
                <c:pt idx="281">
                  <c:v>-3687.5</c:v>
                </c:pt>
                <c:pt idx="282">
                  <c:v>2072.5</c:v>
                </c:pt>
                <c:pt idx="283">
                  <c:v>322.5</c:v>
                </c:pt>
                <c:pt idx="284">
                  <c:v>2727.5</c:v>
                </c:pt>
                <c:pt idx="285">
                  <c:v>7977.5</c:v>
                </c:pt>
                <c:pt idx="286">
                  <c:v>8227.5</c:v>
                </c:pt>
                <c:pt idx="287">
                  <c:v>7227.5</c:v>
                </c:pt>
                <c:pt idx="288">
                  <c:v>8737.5</c:v>
                </c:pt>
                <c:pt idx="289">
                  <c:v>9862.5</c:v>
                </c:pt>
                <c:pt idx="290">
                  <c:v>8112.5</c:v>
                </c:pt>
                <c:pt idx="291">
                  <c:v>10252.5</c:v>
                </c:pt>
                <c:pt idx="292">
                  <c:v>13252.5</c:v>
                </c:pt>
                <c:pt idx="293">
                  <c:v>17532.5</c:v>
                </c:pt>
                <c:pt idx="294">
                  <c:v>17922.5</c:v>
                </c:pt>
                <c:pt idx="295">
                  <c:v>23797.5</c:v>
                </c:pt>
                <c:pt idx="296">
                  <c:v>28712.5</c:v>
                </c:pt>
                <c:pt idx="297">
                  <c:v>28960</c:v>
                </c:pt>
                <c:pt idx="298">
                  <c:v>25585</c:v>
                </c:pt>
                <c:pt idx="299">
                  <c:v>18710</c:v>
                </c:pt>
                <c:pt idx="300">
                  <c:v>22460</c:v>
                </c:pt>
                <c:pt idx="301">
                  <c:v>33460</c:v>
                </c:pt>
                <c:pt idx="302">
                  <c:v>19960</c:v>
                </c:pt>
                <c:pt idx="303">
                  <c:v>39085</c:v>
                </c:pt>
                <c:pt idx="304">
                  <c:v>43960</c:v>
                </c:pt>
                <c:pt idx="305">
                  <c:v>58345</c:v>
                </c:pt>
                <c:pt idx="306">
                  <c:v>55235</c:v>
                </c:pt>
                <c:pt idx="307">
                  <c:v>60985</c:v>
                </c:pt>
                <c:pt idx="308">
                  <c:v>59140</c:v>
                </c:pt>
                <c:pt idx="309">
                  <c:v>58515</c:v>
                </c:pt>
                <c:pt idx="310">
                  <c:v>60640</c:v>
                </c:pt>
                <c:pt idx="311">
                  <c:v>59140</c:v>
                </c:pt>
                <c:pt idx="312">
                  <c:v>57890</c:v>
                </c:pt>
                <c:pt idx="313">
                  <c:v>58515</c:v>
                </c:pt>
                <c:pt idx="314">
                  <c:v>58265</c:v>
                </c:pt>
                <c:pt idx="315">
                  <c:v>59765</c:v>
                </c:pt>
                <c:pt idx="316">
                  <c:v>59640</c:v>
                </c:pt>
                <c:pt idx="317">
                  <c:v>59670</c:v>
                </c:pt>
                <c:pt idx="318">
                  <c:v>60670</c:v>
                </c:pt>
                <c:pt idx="319">
                  <c:v>57805</c:v>
                </c:pt>
                <c:pt idx="320">
                  <c:v>58430</c:v>
                </c:pt>
                <c:pt idx="321">
                  <c:v>58430</c:v>
                </c:pt>
                <c:pt idx="322">
                  <c:v>54180</c:v>
                </c:pt>
                <c:pt idx="323">
                  <c:v>51430</c:v>
                </c:pt>
                <c:pt idx="324">
                  <c:v>48245</c:v>
                </c:pt>
                <c:pt idx="325">
                  <c:v>40300</c:v>
                </c:pt>
                <c:pt idx="326">
                  <c:v>52800</c:v>
                </c:pt>
                <c:pt idx="327">
                  <c:v>51425</c:v>
                </c:pt>
                <c:pt idx="328">
                  <c:v>49925</c:v>
                </c:pt>
                <c:pt idx="329">
                  <c:v>51925</c:v>
                </c:pt>
                <c:pt idx="330">
                  <c:v>42675</c:v>
                </c:pt>
                <c:pt idx="331">
                  <c:v>44925</c:v>
                </c:pt>
                <c:pt idx="332">
                  <c:v>47800</c:v>
                </c:pt>
                <c:pt idx="333">
                  <c:v>51925</c:v>
                </c:pt>
                <c:pt idx="334">
                  <c:v>45675</c:v>
                </c:pt>
                <c:pt idx="335">
                  <c:v>46800</c:v>
                </c:pt>
                <c:pt idx="336">
                  <c:v>54800</c:v>
                </c:pt>
                <c:pt idx="337">
                  <c:v>58800</c:v>
                </c:pt>
                <c:pt idx="338">
                  <c:v>60175</c:v>
                </c:pt>
                <c:pt idx="339">
                  <c:v>68050</c:v>
                </c:pt>
                <c:pt idx="340">
                  <c:v>52550</c:v>
                </c:pt>
                <c:pt idx="341">
                  <c:v>45695</c:v>
                </c:pt>
                <c:pt idx="342">
                  <c:v>44020</c:v>
                </c:pt>
                <c:pt idx="343">
                  <c:v>44905</c:v>
                </c:pt>
                <c:pt idx="344">
                  <c:v>45655</c:v>
                </c:pt>
                <c:pt idx="345">
                  <c:v>46905</c:v>
                </c:pt>
                <c:pt idx="346">
                  <c:v>47905</c:v>
                </c:pt>
                <c:pt idx="347">
                  <c:v>45415</c:v>
                </c:pt>
                <c:pt idx="348">
                  <c:v>42085</c:v>
                </c:pt>
                <c:pt idx="349">
                  <c:v>39645</c:v>
                </c:pt>
                <c:pt idx="350">
                  <c:v>36895</c:v>
                </c:pt>
                <c:pt idx="351">
                  <c:v>39020</c:v>
                </c:pt>
                <c:pt idx="352">
                  <c:v>39020</c:v>
                </c:pt>
                <c:pt idx="353">
                  <c:v>39020</c:v>
                </c:pt>
                <c:pt idx="354">
                  <c:v>39020</c:v>
                </c:pt>
                <c:pt idx="355">
                  <c:v>39020</c:v>
                </c:pt>
                <c:pt idx="356">
                  <c:v>45905</c:v>
                </c:pt>
                <c:pt idx="357">
                  <c:v>62040</c:v>
                </c:pt>
                <c:pt idx="358">
                  <c:v>61540</c:v>
                </c:pt>
                <c:pt idx="359">
                  <c:v>68540</c:v>
                </c:pt>
                <c:pt idx="360">
                  <c:v>71665</c:v>
                </c:pt>
                <c:pt idx="361">
                  <c:v>70555</c:v>
                </c:pt>
                <c:pt idx="362">
                  <c:v>68430</c:v>
                </c:pt>
                <c:pt idx="363">
                  <c:v>69680</c:v>
                </c:pt>
                <c:pt idx="364">
                  <c:v>69475</c:v>
                </c:pt>
                <c:pt idx="365">
                  <c:v>70020</c:v>
                </c:pt>
                <c:pt idx="366">
                  <c:v>68395</c:v>
                </c:pt>
                <c:pt idx="367">
                  <c:v>75020</c:v>
                </c:pt>
                <c:pt idx="368">
                  <c:v>76280</c:v>
                </c:pt>
                <c:pt idx="369">
                  <c:v>79405</c:v>
                </c:pt>
                <c:pt idx="370">
                  <c:v>79030</c:v>
                </c:pt>
                <c:pt idx="371">
                  <c:v>79530</c:v>
                </c:pt>
                <c:pt idx="372">
                  <c:v>78530</c:v>
                </c:pt>
                <c:pt idx="373">
                  <c:v>80030</c:v>
                </c:pt>
                <c:pt idx="374">
                  <c:v>77030</c:v>
                </c:pt>
                <c:pt idx="375">
                  <c:v>77060</c:v>
                </c:pt>
                <c:pt idx="376">
                  <c:v>72935</c:v>
                </c:pt>
                <c:pt idx="377">
                  <c:v>75185</c:v>
                </c:pt>
                <c:pt idx="378">
                  <c:v>77185</c:v>
                </c:pt>
                <c:pt idx="379">
                  <c:v>74560</c:v>
                </c:pt>
                <c:pt idx="380">
                  <c:v>72435</c:v>
                </c:pt>
                <c:pt idx="381">
                  <c:v>75580</c:v>
                </c:pt>
                <c:pt idx="382">
                  <c:v>76087.5</c:v>
                </c:pt>
                <c:pt idx="383">
                  <c:v>76097.5</c:v>
                </c:pt>
                <c:pt idx="384">
                  <c:v>76097.5</c:v>
                </c:pt>
                <c:pt idx="385">
                  <c:v>76097.5</c:v>
                </c:pt>
                <c:pt idx="386">
                  <c:v>76347.5</c:v>
                </c:pt>
                <c:pt idx="387">
                  <c:v>77472.5</c:v>
                </c:pt>
                <c:pt idx="388">
                  <c:v>77222.5</c:v>
                </c:pt>
                <c:pt idx="389">
                  <c:v>70862.5</c:v>
                </c:pt>
                <c:pt idx="390">
                  <c:v>71987.5</c:v>
                </c:pt>
                <c:pt idx="391">
                  <c:v>73112.5</c:v>
                </c:pt>
                <c:pt idx="392">
                  <c:v>72862.5</c:v>
                </c:pt>
                <c:pt idx="393">
                  <c:v>69237.5</c:v>
                </c:pt>
                <c:pt idx="394">
                  <c:v>67862.5</c:v>
                </c:pt>
                <c:pt idx="395">
                  <c:v>66362.5</c:v>
                </c:pt>
                <c:pt idx="396">
                  <c:v>65237.5</c:v>
                </c:pt>
                <c:pt idx="397">
                  <c:v>63612.5</c:v>
                </c:pt>
                <c:pt idx="398">
                  <c:v>61752.5</c:v>
                </c:pt>
                <c:pt idx="399">
                  <c:v>62502.5</c:v>
                </c:pt>
                <c:pt idx="400">
                  <c:v>60627.5</c:v>
                </c:pt>
                <c:pt idx="401">
                  <c:v>61002.5</c:v>
                </c:pt>
                <c:pt idx="402">
                  <c:v>62127.5</c:v>
                </c:pt>
                <c:pt idx="403">
                  <c:v>59502.5</c:v>
                </c:pt>
                <c:pt idx="404">
                  <c:v>56502.5</c:v>
                </c:pt>
                <c:pt idx="405">
                  <c:v>54877.5</c:v>
                </c:pt>
                <c:pt idx="406">
                  <c:v>54877.5</c:v>
                </c:pt>
                <c:pt idx="407">
                  <c:v>54502.5</c:v>
                </c:pt>
                <c:pt idx="408">
                  <c:v>55252.5</c:v>
                </c:pt>
                <c:pt idx="409">
                  <c:v>57377.5</c:v>
                </c:pt>
                <c:pt idx="410">
                  <c:v>54627.5</c:v>
                </c:pt>
                <c:pt idx="411">
                  <c:v>53752.5</c:v>
                </c:pt>
                <c:pt idx="412">
                  <c:v>52627.5</c:v>
                </c:pt>
                <c:pt idx="413">
                  <c:v>51127.5</c:v>
                </c:pt>
                <c:pt idx="414">
                  <c:v>52752.5</c:v>
                </c:pt>
                <c:pt idx="415">
                  <c:v>52752.5</c:v>
                </c:pt>
                <c:pt idx="416">
                  <c:v>52752.5</c:v>
                </c:pt>
                <c:pt idx="417">
                  <c:v>52752.5</c:v>
                </c:pt>
                <c:pt idx="418">
                  <c:v>52752.5</c:v>
                </c:pt>
                <c:pt idx="419">
                  <c:v>52752.5</c:v>
                </c:pt>
                <c:pt idx="420">
                  <c:v>52752.5</c:v>
                </c:pt>
                <c:pt idx="421">
                  <c:v>52752.5</c:v>
                </c:pt>
                <c:pt idx="422">
                  <c:v>52752.5</c:v>
                </c:pt>
                <c:pt idx="423">
                  <c:v>52752.5</c:v>
                </c:pt>
                <c:pt idx="424">
                  <c:v>52752.5</c:v>
                </c:pt>
                <c:pt idx="425">
                  <c:v>53002.5</c:v>
                </c:pt>
                <c:pt idx="426">
                  <c:v>51022.5</c:v>
                </c:pt>
                <c:pt idx="427">
                  <c:v>52835</c:v>
                </c:pt>
                <c:pt idx="428">
                  <c:v>52835</c:v>
                </c:pt>
                <c:pt idx="429">
                  <c:v>52835</c:v>
                </c:pt>
                <c:pt idx="430">
                  <c:v>52835</c:v>
                </c:pt>
                <c:pt idx="431">
                  <c:v>53865</c:v>
                </c:pt>
                <c:pt idx="432">
                  <c:v>45140</c:v>
                </c:pt>
                <c:pt idx="433">
                  <c:v>54765</c:v>
                </c:pt>
                <c:pt idx="434">
                  <c:v>51685</c:v>
                </c:pt>
                <c:pt idx="435">
                  <c:v>52685</c:v>
                </c:pt>
                <c:pt idx="436">
                  <c:v>80185</c:v>
                </c:pt>
                <c:pt idx="437">
                  <c:v>91495</c:v>
                </c:pt>
                <c:pt idx="438">
                  <c:v>82305</c:v>
                </c:pt>
                <c:pt idx="439">
                  <c:v>78930</c:v>
                </c:pt>
                <c:pt idx="440">
                  <c:v>77930</c:v>
                </c:pt>
                <c:pt idx="441">
                  <c:v>79055</c:v>
                </c:pt>
                <c:pt idx="442">
                  <c:v>75680</c:v>
                </c:pt>
                <c:pt idx="443">
                  <c:v>76055</c:v>
                </c:pt>
                <c:pt idx="444">
                  <c:v>79680</c:v>
                </c:pt>
                <c:pt idx="445">
                  <c:v>81055</c:v>
                </c:pt>
                <c:pt idx="446">
                  <c:v>79180</c:v>
                </c:pt>
                <c:pt idx="447">
                  <c:v>77555</c:v>
                </c:pt>
                <c:pt idx="448">
                  <c:v>72555</c:v>
                </c:pt>
                <c:pt idx="449">
                  <c:v>69930</c:v>
                </c:pt>
                <c:pt idx="450">
                  <c:v>65430</c:v>
                </c:pt>
                <c:pt idx="451">
                  <c:v>68555</c:v>
                </c:pt>
                <c:pt idx="452">
                  <c:v>65430</c:v>
                </c:pt>
                <c:pt idx="453">
                  <c:v>62930</c:v>
                </c:pt>
                <c:pt idx="454">
                  <c:v>65180</c:v>
                </c:pt>
                <c:pt idx="455">
                  <c:v>61805</c:v>
                </c:pt>
                <c:pt idx="456">
                  <c:v>60805</c:v>
                </c:pt>
                <c:pt idx="457">
                  <c:v>61055</c:v>
                </c:pt>
                <c:pt idx="458">
                  <c:v>62930</c:v>
                </c:pt>
                <c:pt idx="459">
                  <c:v>72430</c:v>
                </c:pt>
                <c:pt idx="460">
                  <c:v>79555</c:v>
                </c:pt>
                <c:pt idx="461">
                  <c:v>81180</c:v>
                </c:pt>
                <c:pt idx="462">
                  <c:v>83960</c:v>
                </c:pt>
                <c:pt idx="463">
                  <c:v>63740</c:v>
                </c:pt>
                <c:pt idx="464">
                  <c:v>95365</c:v>
                </c:pt>
                <c:pt idx="465">
                  <c:v>114500</c:v>
                </c:pt>
                <c:pt idx="466">
                  <c:v>103155</c:v>
                </c:pt>
                <c:pt idx="467">
                  <c:v>102430</c:v>
                </c:pt>
                <c:pt idx="468">
                  <c:v>99695</c:v>
                </c:pt>
                <c:pt idx="469">
                  <c:v>100945</c:v>
                </c:pt>
                <c:pt idx="470">
                  <c:v>106695</c:v>
                </c:pt>
                <c:pt idx="471">
                  <c:v>104330</c:v>
                </c:pt>
                <c:pt idx="472">
                  <c:v>109080</c:v>
                </c:pt>
                <c:pt idx="473">
                  <c:v>105090</c:v>
                </c:pt>
                <c:pt idx="474">
                  <c:v>113465</c:v>
                </c:pt>
                <c:pt idx="475">
                  <c:v>115965</c:v>
                </c:pt>
                <c:pt idx="476">
                  <c:v>119465</c:v>
                </c:pt>
                <c:pt idx="477">
                  <c:v>120965</c:v>
                </c:pt>
                <c:pt idx="478">
                  <c:v>121590</c:v>
                </c:pt>
                <c:pt idx="479">
                  <c:v>123090</c:v>
                </c:pt>
                <c:pt idx="480">
                  <c:v>120340</c:v>
                </c:pt>
                <c:pt idx="481">
                  <c:v>125495</c:v>
                </c:pt>
                <c:pt idx="482">
                  <c:v>125620</c:v>
                </c:pt>
                <c:pt idx="483">
                  <c:v>127620</c:v>
                </c:pt>
                <c:pt idx="484">
                  <c:v>128870</c:v>
                </c:pt>
                <c:pt idx="485">
                  <c:v>131495</c:v>
                </c:pt>
                <c:pt idx="486">
                  <c:v>127760</c:v>
                </c:pt>
                <c:pt idx="487">
                  <c:v>126010</c:v>
                </c:pt>
                <c:pt idx="488">
                  <c:v>124760</c:v>
                </c:pt>
                <c:pt idx="489">
                  <c:v>131760</c:v>
                </c:pt>
                <c:pt idx="490">
                  <c:v>133150</c:v>
                </c:pt>
                <c:pt idx="491">
                  <c:v>138175</c:v>
                </c:pt>
                <c:pt idx="492">
                  <c:v>137465</c:v>
                </c:pt>
                <c:pt idx="493">
                  <c:v>137350</c:v>
                </c:pt>
                <c:pt idx="494">
                  <c:v>131350</c:v>
                </c:pt>
                <c:pt idx="495">
                  <c:v>137600</c:v>
                </c:pt>
                <c:pt idx="496">
                  <c:v>141600</c:v>
                </c:pt>
                <c:pt idx="497">
                  <c:v>140605</c:v>
                </c:pt>
                <c:pt idx="498">
                  <c:v>142105</c:v>
                </c:pt>
                <c:pt idx="499">
                  <c:v>139260</c:v>
                </c:pt>
                <c:pt idx="500">
                  <c:v>137520</c:v>
                </c:pt>
                <c:pt idx="501">
                  <c:v>137660</c:v>
                </c:pt>
                <c:pt idx="502">
                  <c:v>143800</c:v>
                </c:pt>
                <c:pt idx="503">
                  <c:v>143705</c:v>
                </c:pt>
                <c:pt idx="504">
                  <c:v>138740</c:v>
                </c:pt>
                <c:pt idx="505">
                  <c:v>145490</c:v>
                </c:pt>
                <c:pt idx="506">
                  <c:v>142115</c:v>
                </c:pt>
                <c:pt idx="507">
                  <c:v>155145</c:v>
                </c:pt>
                <c:pt idx="508">
                  <c:v>165300</c:v>
                </c:pt>
                <c:pt idx="509">
                  <c:v>165685</c:v>
                </c:pt>
                <c:pt idx="510">
                  <c:v>165060</c:v>
                </c:pt>
                <c:pt idx="511">
                  <c:v>167310</c:v>
                </c:pt>
                <c:pt idx="512">
                  <c:v>168185</c:v>
                </c:pt>
                <c:pt idx="513">
                  <c:v>169060</c:v>
                </c:pt>
                <c:pt idx="514">
                  <c:v>171435</c:v>
                </c:pt>
                <c:pt idx="515">
                  <c:v>171485</c:v>
                </c:pt>
                <c:pt idx="516">
                  <c:v>172712.5</c:v>
                </c:pt>
                <c:pt idx="517">
                  <c:v>174462.5</c:v>
                </c:pt>
                <c:pt idx="518">
                  <c:v>175462.5</c:v>
                </c:pt>
                <c:pt idx="519">
                  <c:v>175337.5</c:v>
                </c:pt>
                <c:pt idx="520">
                  <c:v>174337.5</c:v>
                </c:pt>
                <c:pt idx="521">
                  <c:v>166677.5</c:v>
                </c:pt>
                <c:pt idx="522">
                  <c:v>167177.5</c:v>
                </c:pt>
                <c:pt idx="523">
                  <c:v>167677.5</c:v>
                </c:pt>
                <c:pt idx="524">
                  <c:v>170852.5</c:v>
                </c:pt>
                <c:pt idx="525">
                  <c:v>169852.5</c:v>
                </c:pt>
                <c:pt idx="526">
                  <c:v>160487.5</c:v>
                </c:pt>
                <c:pt idx="527">
                  <c:v>158487.5</c:v>
                </c:pt>
                <c:pt idx="528">
                  <c:v>156002.5</c:v>
                </c:pt>
                <c:pt idx="529">
                  <c:v>156392.5</c:v>
                </c:pt>
                <c:pt idx="530">
                  <c:v>154097.5</c:v>
                </c:pt>
                <c:pt idx="531">
                  <c:v>161517.5</c:v>
                </c:pt>
                <c:pt idx="532">
                  <c:v>160642.5</c:v>
                </c:pt>
                <c:pt idx="533">
                  <c:v>159657.5</c:v>
                </c:pt>
                <c:pt idx="534">
                  <c:v>160782.5</c:v>
                </c:pt>
                <c:pt idx="535">
                  <c:v>159812.5</c:v>
                </c:pt>
                <c:pt idx="536">
                  <c:v>157092.5</c:v>
                </c:pt>
                <c:pt idx="537">
                  <c:v>152710</c:v>
                </c:pt>
                <c:pt idx="538">
                  <c:v>152585</c:v>
                </c:pt>
                <c:pt idx="539">
                  <c:v>153710</c:v>
                </c:pt>
                <c:pt idx="540">
                  <c:v>153460</c:v>
                </c:pt>
                <c:pt idx="541">
                  <c:v>152770</c:v>
                </c:pt>
                <c:pt idx="542">
                  <c:v>160160</c:v>
                </c:pt>
                <c:pt idx="543">
                  <c:v>161160</c:v>
                </c:pt>
                <c:pt idx="544">
                  <c:v>160410</c:v>
                </c:pt>
                <c:pt idx="545">
                  <c:v>139460</c:v>
                </c:pt>
                <c:pt idx="546">
                  <c:v>135460</c:v>
                </c:pt>
                <c:pt idx="547">
                  <c:v>135460</c:v>
                </c:pt>
                <c:pt idx="548">
                  <c:v>135460</c:v>
                </c:pt>
                <c:pt idx="549">
                  <c:v>135460</c:v>
                </c:pt>
                <c:pt idx="550">
                  <c:v>135460</c:v>
                </c:pt>
                <c:pt idx="551">
                  <c:v>135460</c:v>
                </c:pt>
                <c:pt idx="552">
                  <c:v>135460</c:v>
                </c:pt>
                <c:pt idx="553">
                  <c:v>135460</c:v>
                </c:pt>
                <c:pt idx="554">
                  <c:v>135460</c:v>
                </c:pt>
                <c:pt idx="555">
                  <c:v>134210</c:v>
                </c:pt>
                <c:pt idx="556">
                  <c:v>129105</c:v>
                </c:pt>
                <c:pt idx="557">
                  <c:v>136655</c:v>
                </c:pt>
                <c:pt idx="558">
                  <c:v>136655</c:v>
                </c:pt>
                <c:pt idx="559">
                  <c:v>130375</c:v>
                </c:pt>
                <c:pt idx="560">
                  <c:v>128950</c:v>
                </c:pt>
                <c:pt idx="561">
                  <c:v>141605</c:v>
                </c:pt>
                <c:pt idx="562">
                  <c:v>140855</c:v>
                </c:pt>
                <c:pt idx="563">
                  <c:v>117470</c:v>
                </c:pt>
                <c:pt idx="564">
                  <c:v>115970</c:v>
                </c:pt>
                <c:pt idx="565">
                  <c:v>115970</c:v>
                </c:pt>
                <c:pt idx="566">
                  <c:v>115970</c:v>
                </c:pt>
                <c:pt idx="567">
                  <c:v>115970</c:v>
                </c:pt>
                <c:pt idx="568">
                  <c:v>115970</c:v>
                </c:pt>
                <c:pt idx="569">
                  <c:v>115970</c:v>
                </c:pt>
                <c:pt idx="570">
                  <c:v>115970</c:v>
                </c:pt>
                <c:pt idx="571">
                  <c:v>115970</c:v>
                </c:pt>
                <c:pt idx="572">
                  <c:v>115970</c:v>
                </c:pt>
                <c:pt idx="573">
                  <c:v>115970</c:v>
                </c:pt>
                <c:pt idx="574">
                  <c:v>115970</c:v>
                </c:pt>
                <c:pt idx="575">
                  <c:v>115970</c:v>
                </c:pt>
                <c:pt idx="576">
                  <c:v>115970</c:v>
                </c:pt>
                <c:pt idx="577">
                  <c:v>115970</c:v>
                </c:pt>
                <c:pt idx="578">
                  <c:v>115970</c:v>
                </c:pt>
                <c:pt idx="579">
                  <c:v>115970</c:v>
                </c:pt>
                <c:pt idx="580">
                  <c:v>115970</c:v>
                </c:pt>
                <c:pt idx="581">
                  <c:v>115970</c:v>
                </c:pt>
                <c:pt idx="582">
                  <c:v>115970</c:v>
                </c:pt>
                <c:pt idx="583">
                  <c:v>115970</c:v>
                </c:pt>
                <c:pt idx="584">
                  <c:v>115970</c:v>
                </c:pt>
                <c:pt idx="585">
                  <c:v>115970</c:v>
                </c:pt>
                <c:pt idx="586">
                  <c:v>117620</c:v>
                </c:pt>
                <c:pt idx="587">
                  <c:v>117620</c:v>
                </c:pt>
                <c:pt idx="588">
                  <c:v>117620</c:v>
                </c:pt>
                <c:pt idx="589">
                  <c:v>117620</c:v>
                </c:pt>
                <c:pt idx="590">
                  <c:v>117620</c:v>
                </c:pt>
                <c:pt idx="591">
                  <c:v>117620</c:v>
                </c:pt>
                <c:pt idx="592">
                  <c:v>117620</c:v>
                </c:pt>
                <c:pt idx="593">
                  <c:v>117620</c:v>
                </c:pt>
                <c:pt idx="594">
                  <c:v>117620</c:v>
                </c:pt>
                <c:pt idx="595">
                  <c:v>117620</c:v>
                </c:pt>
                <c:pt idx="596">
                  <c:v>117620</c:v>
                </c:pt>
                <c:pt idx="597">
                  <c:v>117620</c:v>
                </c:pt>
                <c:pt idx="598">
                  <c:v>117620</c:v>
                </c:pt>
                <c:pt idx="599">
                  <c:v>117620</c:v>
                </c:pt>
                <c:pt idx="600">
                  <c:v>117620</c:v>
                </c:pt>
                <c:pt idx="601">
                  <c:v>117620</c:v>
                </c:pt>
                <c:pt idx="602">
                  <c:v>117620</c:v>
                </c:pt>
                <c:pt idx="603">
                  <c:v>117620</c:v>
                </c:pt>
                <c:pt idx="604">
                  <c:v>117620</c:v>
                </c:pt>
                <c:pt idx="605">
                  <c:v>117745</c:v>
                </c:pt>
                <c:pt idx="606">
                  <c:v>119120</c:v>
                </c:pt>
                <c:pt idx="607">
                  <c:v>118870</c:v>
                </c:pt>
                <c:pt idx="608">
                  <c:v>115370</c:v>
                </c:pt>
                <c:pt idx="609">
                  <c:v>116245</c:v>
                </c:pt>
                <c:pt idx="610">
                  <c:v>115005</c:v>
                </c:pt>
                <c:pt idx="611">
                  <c:v>115505</c:v>
                </c:pt>
                <c:pt idx="612">
                  <c:v>115630</c:v>
                </c:pt>
                <c:pt idx="613">
                  <c:v>115880</c:v>
                </c:pt>
                <c:pt idx="614">
                  <c:v>116380</c:v>
                </c:pt>
                <c:pt idx="615">
                  <c:v>116630</c:v>
                </c:pt>
                <c:pt idx="616">
                  <c:v>116880</c:v>
                </c:pt>
                <c:pt idx="617">
                  <c:v>117630</c:v>
                </c:pt>
                <c:pt idx="618">
                  <c:v>117755</c:v>
                </c:pt>
                <c:pt idx="619">
                  <c:v>121265</c:v>
                </c:pt>
                <c:pt idx="620">
                  <c:v>118515</c:v>
                </c:pt>
                <c:pt idx="621">
                  <c:v>117765</c:v>
                </c:pt>
                <c:pt idx="622">
                  <c:v>119515</c:v>
                </c:pt>
                <c:pt idx="623">
                  <c:v>117640</c:v>
                </c:pt>
                <c:pt idx="624">
                  <c:v>118640</c:v>
                </c:pt>
                <c:pt idx="625">
                  <c:v>114415</c:v>
                </c:pt>
                <c:pt idx="626">
                  <c:v>115540</c:v>
                </c:pt>
                <c:pt idx="627">
                  <c:v>115440</c:v>
                </c:pt>
                <c:pt idx="628">
                  <c:v>113190</c:v>
                </c:pt>
                <c:pt idx="629">
                  <c:v>114565</c:v>
                </c:pt>
                <c:pt idx="630">
                  <c:v>118825</c:v>
                </c:pt>
                <c:pt idx="631">
                  <c:v>117700</c:v>
                </c:pt>
                <c:pt idx="632">
                  <c:v>121390</c:v>
                </c:pt>
                <c:pt idx="633">
                  <c:v>121650</c:v>
                </c:pt>
                <c:pt idx="634">
                  <c:v>119160</c:v>
                </c:pt>
                <c:pt idx="635">
                  <c:v>119285</c:v>
                </c:pt>
                <c:pt idx="636">
                  <c:v>127160</c:v>
                </c:pt>
                <c:pt idx="637">
                  <c:v>129785</c:v>
                </c:pt>
                <c:pt idx="638">
                  <c:v>134910</c:v>
                </c:pt>
                <c:pt idx="639">
                  <c:v>139545</c:v>
                </c:pt>
                <c:pt idx="640">
                  <c:v>129920</c:v>
                </c:pt>
                <c:pt idx="641">
                  <c:v>123440</c:v>
                </c:pt>
                <c:pt idx="642">
                  <c:v>124355</c:v>
                </c:pt>
                <c:pt idx="643">
                  <c:v>120355</c:v>
                </c:pt>
                <c:pt idx="644">
                  <c:v>124480</c:v>
                </c:pt>
                <c:pt idx="645">
                  <c:v>131015</c:v>
                </c:pt>
                <c:pt idx="646">
                  <c:v>132410</c:v>
                </c:pt>
                <c:pt idx="647">
                  <c:v>135775</c:v>
                </c:pt>
                <c:pt idx="648">
                  <c:v>137240</c:v>
                </c:pt>
                <c:pt idx="649">
                  <c:v>131510</c:v>
                </c:pt>
                <c:pt idx="650">
                  <c:v>135235</c:v>
                </c:pt>
                <c:pt idx="651">
                  <c:v>126250</c:v>
                </c:pt>
                <c:pt idx="652">
                  <c:v>143250</c:v>
                </c:pt>
                <c:pt idx="653">
                  <c:v>141250</c:v>
                </c:pt>
                <c:pt idx="654">
                  <c:v>143250</c:v>
                </c:pt>
                <c:pt idx="655">
                  <c:v>138510</c:v>
                </c:pt>
                <c:pt idx="656">
                  <c:v>142260</c:v>
                </c:pt>
                <c:pt idx="657">
                  <c:v>152635</c:v>
                </c:pt>
                <c:pt idx="658">
                  <c:v>159415</c:v>
                </c:pt>
                <c:pt idx="659">
                  <c:v>164290</c:v>
                </c:pt>
                <c:pt idx="660">
                  <c:v>156925</c:v>
                </c:pt>
                <c:pt idx="661">
                  <c:v>157800</c:v>
                </c:pt>
                <c:pt idx="662">
                  <c:v>157425</c:v>
                </c:pt>
                <c:pt idx="663">
                  <c:v>156455</c:v>
                </c:pt>
                <c:pt idx="664">
                  <c:v>157590</c:v>
                </c:pt>
                <c:pt idx="665">
                  <c:v>156840</c:v>
                </c:pt>
                <c:pt idx="666">
                  <c:v>158965</c:v>
                </c:pt>
                <c:pt idx="667">
                  <c:v>159090</c:v>
                </c:pt>
                <c:pt idx="668">
                  <c:v>159600</c:v>
                </c:pt>
                <c:pt idx="669">
                  <c:v>160475</c:v>
                </c:pt>
                <c:pt idx="670">
                  <c:v>157225</c:v>
                </c:pt>
                <c:pt idx="671">
                  <c:v>159985</c:v>
                </c:pt>
                <c:pt idx="672">
                  <c:v>161610</c:v>
                </c:pt>
                <c:pt idx="673">
                  <c:v>161860</c:v>
                </c:pt>
                <c:pt idx="674">
                  <c:v>161110</c:v>
                </c:pt>
                <c:pt idx="675">
                  <c:v>159610</c:v>
                </c:pt>
                <c:pt idx="676">
                  <c:v>162985</c:v>
                </c:pt>
                <c:pt idx="677">
                  <c:v>163610</c:v>
                </c:pt>
                <c:pt idx="678">
                  <c:v>164860</c:v>
                </c:pt>
                <c:pt idx="679">
                  <c:v>168995</c:v>
                </c:pt>
                <c:pt idx="680">
                  <c:v>167620</c:v>
                </c:pt>
                <c:pt idx="681">
                  <c:v>147880</c:v>
                </c:pt>
                <c:pt idx="682">
                  <c:v>153800</c:v>
                </c:pt>
                <c:pt idx="683">
                  <c:v>154175</c:v>
                </c:pt>
                <c:pt idx="684">
                  <c:v>155300</c:v>
                </c:pt>
                <c:pt idx="685">
                  <c:v>154300</c:v>
                </c:pt>
                <c:pt idx="686">
                  <c:v>154320</c:v>
                </c:pt>
                <c:pt idx="687">
                  <c:v>152390</c:v>
                </c:pt>
                <c:pt idx="688">
                  <c:v>152265</c:v>
                </c:pt>
                <c:pt idx="689">
                  <c:v>152890</c:v>
                </c:pt>
                <c:pt idx="690">
                  <c:v>151530</c:v>
                </c:pt>
                <c:pt idx="691">
                  <c:v>152405</c:v>
                </c:pt>
                <c:pt idx="692">
                  <c:v>152780</c:v>
                </c:pt>
                <c:pt idx="693">
                  <c:v>152905</c:v>
                </c:pt>
                <c:pt idx="694">
                  <c:v>153155</c:v>
                </c:pt>
                <c:pt idx="695">
                  <c:v>153405</c:v>
                </c:pt>
                <c:pt idx="696">
                  <c:v>153655</c:v>
                </c:pt>
                <c:pt idx="697">
                  <c:v>153170</c:v>
                </c:pt>
                <c:pt idx="698">
                  <c:v>153450</c:v>
                </c:pt>
                <c:pt idx="699">
                  <c:v>154200</c:v>
                </c:pt>
                <c:pt idx="700">
                  <c:v>154950</c:v>
                </c:pt>
                <c:pt idx="701">
                  <c:v>154575</c:v>
                </c:pt>
                <c:pt idx="702">
                  <c:v>154870</c:v>
                </c:pt>
                <c:pt idx="703">
                  <c:v>153370</c:v>
                </c:pt>
                <c:pt idx="704">
                  <c:v>169270</c:v>
                </c:pt>
                <c:pt idx="705">
                  <c:v>167020</c:v>
                </c:pt>
                <c:pt idx="706">
                  <c:v>164770</c:v>
                </c:pt>
                <c:pt idx="707">
                  <c:v>161030</c:v>
                </c:pt>
                <c:pt idx="708">
                  <c:v>156820</c:v>
                </c:pt>
                <c:pt idx="709">
                  <c:v>160070</c:v>
                </c:pt>
                <c:pt idx="710">
                  <c:v>158320</c:v>
                </c:pt>
                <c:pt idx="711">
                  <c:v>160080</c:v>
                </c:pt>
                <c:pt idx="712">
                  <c:v>158955</c:v>
                </c:pt>
                <c:pt idx="713">
                  <c:v>162590</c:v>
                </c:pt>
                <c:pt idx="714">
                  <c:v>161840</c:v>
                </c:pt>
                <c:pt idx="715">
                  <c:v>162840</c:v>
                </c:pt>
                <c:pt idx="716">
                  <c:v>163840</c:v>
                </c:pt>
                <c:pt idx="717">
                  <c:v>168465</c:v>
                </c:pt>
                <c:pt idx="718">
                  <c:v>169100</c:v>
                </c:pt>
                <c:pt idx="719">
                  <c:v>173475</c:v>
                </c:pt>
                <c:pt idx="720">
                  <c:v>173880</c:v>
                </c:pt>
                <c:pt idx="721">
                  <c:v>172880</c:v>
                </c:pt>
                <c:pt idx="722">
                  <c:v>168410</c:v>
                </c:pt>
                <c:pt idx="723">
                  <c:v>157090</c:v>
                </c:pt>
                <c:pt idx="724">
                  <c:v>158375</c:v>
                </c:pt>
                <c:pt idx="725">
                  <c:v>161875</c:v>
                </c:pt>
                <c:pt idx="726">
                  <c:v>158810</c:v>
                </c:pt>
                <c:pt idx="727">
                  <c:v>162440</c:v>
                </c:pt>
                <c:pt idx="728">
                  <c:v>160315</c:v>
                </c:pt>
                <c:pt idx="729">
                  <c:v>165565</c:v>
                </c:pt>
                <c:pt idx="730">
                  <c:v>162815</c:v>
                </c:pt>
                <c:pt idx="731">
                  <c:v>159730</c:v>
                </c:pt>
                <c:pt idx="732">
                  <c:v>158875</c:v>
                </c:pt>
                <c:pt idx="733">
                  <c:v>158250</c:v>
                </c:pt>
                <c:pt idx="734">
                  <c:v>162255</c:v>
                </c:pt>
                <c:pt idx="735">
                  <c:v>160510</c:v>
                </c:pt>
                <c:pt idx="736">
                  <c:v>158385</c:v>
                </c:pt>
                <c:pt idx="737">
                  <c:v>161135</c:v>
                </c:pt>
                <c:pt idx="738">
                  <c:v>162040</c:v>
                </c:pt>
                <c:pt idx="739">
                  <c:v>165665</c:v>
                </c:pt>
                <c:pt idx="740">
                  <c:v>164540</c:v>
                </c:pt>
                <c:pt idx="741">
                  <c:v>163550</c:v>
                </c:pt>
                <c:pt idx="742">
                  <c:v>161110</c:v>
                </c:pt>
                <c:pt idx="743">
                  <c:v>158810</c:v>
                </c:pt>
                <c:pt idx="744">
                  <c:v>167820</c:v>
                </c:pt>
                <c:pt idx="745">
                  <c:v>183035</c:v>
                </c:pt>
                <c:pt idx="746">
                  <c:v>184470</c:v>
                </c:pt>
                <c:pt idx="747">
                  <c:v>185345</c:v>
                </c:pt>
                <c:pt idx="748">
                  <c:v>180095</c:v>
                </c:pt>
                <c:pt idx="749">
                  <c:v>179845</c:v>
                </c:pt>
                <c:pt idx="750">
                  <c:v>182970</c:v>
                </c:pt>
                <c:pt idx="751">
                  <c:v>185500</c:v>
                </c:pt>
                <c:pt idx="752">
                  <c:v>189435</c:v>
                </c:pt>
                <c:pt idx="753">
                  <c:v>189205</c:v>
                </c:pt>
                <c:pt idx="754">
                  <c:v>195330</c:v>
                </c:pt>
                <c:pt idx="755">
                  <c:v>194705</c:v>
                </c:pt>
                <c:pt idx="756">
                  <c:v>196955</c:v>
                </c:pt>
                <c:pt idx="757">
                  <c:v>198705</c:v>
                </c:pt>
                <c:pt idx="758">
                  <c:v>193080</c:v>
                </c:pt>
                <c:pt idx="759">
                  <c:v>200080</c:v>
                </c:pt>
                <c:pt idx="760">
                  <c:v>201455</c:v>
                </c:pt>
                <c:pt idx="761">
                  <c:v>198705</c:v>
                </c:pt>
                <c:pt idx="762">
                  <c:v>204080</c:v>
                </c:pt>
                <c:pt idx="763">
                  <c:v>206830</c:v>
                </c:pt>
                <c:pt idx="764">
                  <c:v>203830</c:v>
                </c:pt>
                <c:pt idx="765">
                  <c:v>203830</c:v>
                </c:pt>
                <c:pt idx="766">
                  <c:v>205580</c:v>
                </c:pt>
                <c:pt idx="767">
                  <c:v>210830</c:v>
                </c:pt>
                <c:pt idx="768">
                  <c:v>207955</c:v>
                </c:pt>
                <c:pt idx="769">
                  <c:v>211205</c:v>
                </c:pt>
                <c:pt idx="770">
                  <c:v>211330</c:v>
                </c:pt>
                <c:pt idx="771">
                  <c:v>204485</c:v>
                </c:pt>
                <c:pt idx="772">
                  <c:v>205485</c:v>
                </c:pt>
                <c:pt idx="773">
                  <c:v>204985</c:v>
                </c:pt>
                <c:pt idx="774">
                  <c:v>207735</c:v>
                </c:pt>
                <c:pt idx="775">
                  <c:v>204280</c:v>
                </c:pt>
                <c:pt idx="776">
                  <c:v>202980</c:v>
                </c:pt>
                <c:pt idx="777">
                  <c:v>243355</c:v>
                </c:pt>
                <c:pt idx="778">
                  <c:v>219605</c:v>
                </c:pt>
                <c:pt idx="779">
                  <c:v>221885</c:v>
                </c:pt>
                <c:pt idx="780">
                  <c:v>222135</c:v>
                </c:pt>
                <c:pt idx="781">
                  <c:v>222260</c:v>
                </c:pt>
                <c:pt idx="782">
                  <c:v>222010</c:v>
                </c:pt>
                <c:pt idx="783">
                  <c:v>222010</c:v>
                </c:pt>
                <c:pt idx="784">
                  <c:v>215815</c:v>
                </c:pt>
                <c:pt idx="785">
                  <c:v>214970</c:v>
                </c:pt>
                <c:pt idx="786">
                  <c:v>216345</c:v>
                </c:pt>
                <c:pt idx="787">
                  <c:v>215595</c:v>
                </c:pt>
                <c:pt idx="788">
                  <c:v>218095</c:v>
                </c:pt>
                <c:pt idx="789">
                  <c:v>217595</c:v>
                </c:pt>
                <c:pt idx="790">
                  <c:v>222485</c:v>
                </c:pt>
                <c:pt idx="791">
                  <c:v>227755</c:v>
                </c:pt>
                <c:pt idx="792">
                  <c:v>230755</c:v>
                </c:pt>
                <c:pt idx="793">
                  <c:v>234505</c:v>
                </c:pt>
                <c:pt idx="794">
                  <c:v>237005</c:v>
                </c:pt>
                <c:pt idx="795">
                  <c:v>238390</c:v>
                </c:pt>
                <c:pt idx="796">
                  <c:v>239410</c:v>
                </c:pt>
                <c:pt idx="797">
                  <c:v>241190</c:v>
                </c:pt>
                <c:pt idx="798">
                  <c:v>242825</c:v>
                </c:pt>
                <c:pt idx="799">
                  <c:v>244700</c:v>
                </c:pt>
                <c:pt idx="800">
                  <c:v>246075</c:v>
                </c:pt>
                <c:pt idx="801">
                  <c:v>247200</c:v>
                </c:pt>
                <c:pt idx="802">
                  <c:v>246450</c:v>
                </c:pt>
                <c:pt idx="803">
                  <c:v>248200</c:v>
                </c:pt>
                <c:pt idx="804">
                  <c:v>249450</c:v>
                </c:pt>
                <c:pt idx="805">
                  <c:v>250325</c:v>
                </c:pt>
                <c:pt idx="806">
                  <c:v>251575</c:v>
                </c:pt>
                <c:pt idx="807">
                  <c:v>252325</c:v>
                </c:pt>
                <c:pt idx="808">
                  <c:v>251585</c:v>
                </c:pt>
                <c:pt idx="809">
                  <c:v>250595</c:v>
                </c:pt>
                <c:pt idx="810">
                  <c:v>247765</c:v>
                </c:pt>
                <c:pt idx="811">
                  <c:v>250390</c:v>
                </c:pt>
                <c:pt idx="812">
                  <c:v>250765</c:v>
                </c:pt>
                <c:pt idx="813">
                  <c:v>252265</c:v>
                </c:pt>
                <c:pt idx="814">
                  <c:v>254140</c:v>
                </c:pt>
                <c:pt idx="815">
                  <c:v>250765</c:v>
                </c:pt>
                <c:pt idx="816">
                  <c:v>242830</c:v>
                </c:pt>
                <c:pt idx="817">
                  <c:v>242745</c:v>
                </c:pt>
                <c:pt idx="818">
                  <c:v>242025</c:v>
                </c:pt>
                <c:pt idx="819">
                  <c:v>245400</c:v>
                </c:pt>
                <c:pt idx="820">
                  <c:v>242025</c:v>
                </c:pt>
                <c:pt idx="821">
                  <c:v>240525</c:v>
                </c:pt>
                <c:pt idx="822">
                  <c:v>236180</c:v>
                </c:pt>
                <c:pt idx="823">
                  <c:v>234090</c:v>
                </c:pt>
                <c:pt idx="824">
                  <c:v>235090</c:v>
                </c:pt>
                <c:pt idx="825">
                  <c:v>236340</c:v>
                </c:pt>
                <c:pt idx="826">
                  <c:v>236465</c:v>
                </c:pt>
                <c:pt idx="827">
                  <c:v>237100</c:v>
                </c:pt>
                <c:pt idx="828">
                  <c:v>232995</c:v>
                </c:pt>
                <c:pt idx="829">
                  <c:v>231060</c:v>
                </c:pt>
                <c:pt idx="830">
                  <c:v>230810</c:v>
                </c:pt>
                <c:pt idx="831">
                  <c:v>230685</c:v>
                </c:pt>
                <c:pt idx="832">
                  <c:v>233435</c:v>
                </c:pt>
                <c:pt idx="833">
                  <c:v>233455</c:v>
                </c:pt>
                <c:pt idx="834">
                  <c:v>235455</c:v>
                </c:pt>
                <c:pt idx="835">
                  <c:v>235590</c:v>
                </c:pt>
                <c:pt idx="836">
                  <c:v>235865</c:v>
                </c:pt>
                <c:pt idx="837">
                  <c:v>235625</c:v>
                </c:pt>
                <c:pt idx="838">
                  <c:v>234500</c:v>
                </c:pt>
                <c:pt idx="839">
                  <c:v>236875</c:v>
                </c:pt>
                <c:pt idx="840">
                  <c:v>236635</c:v>
                </c:pt>
                <c:pt idx="841">
                  <c:v>235885</c:v>
                </c:pt>
                <c:pt idx="842">
                  <c:v>236510</c:v>
                </c:pt>
                <c:pt idx="843">
                  <c:v>236885</c:v>
                </c:pt>
                <c:pt idx="844">
                  <c:v>237895</c:v>
                </c:pt>
                <c:pt idx="845">
                  <c:v>237895</c:v>
                </c:pt>
                <c:pt idx="846">
                  <c:v>236300</c:v>
                </c:pt>
                <c:pt idx="847">
                  <c:v>238765</c:v>
                </c:pt>
                <c:pt idx="848">
                  <c:v>236430</c:v>
                </c:pt>
                <c:pt idx="849">
                  <c:v>240085</c:v>
                </c:pt>
                <c:pt idx="850">
                  <c:v>242100</c:v>
                </c:pt>
                <c:pt idx="851">
                  <c:v>245865</c:v>
                </c:pt>
                <c:pt idx="852">
                  <c:v>252490</c:v>
                </c:pt>
                <c:pt idx="853">
                  <c:v>253615</c:v>
                </c:pt>
                <c:pt idx="854">
                  <c:v>245490</c:v>
                </c:pt>
                <c:pt idx="855">
                  <c:v>249990</c:v>
                </c:pt>
                <c:pt idx="856">
                  <c:v>264395</c:v>
                </c:pt>
                <c:pt idx="857">
                  <c:v>262895</c:v>
                </c:pt>
                <c:pt idx="858">
                  <c:v>272440</c:v>
                </c:pt>
                <c:pt idx="859">
                  <c:v>276630</c:v>
                </c:pt>
                <c:pt idx="860">
                  <c:v>289755</c:v>
                </c:pt>
                <c:pt idx="861">
                  <c:v>313485</c:v>
                </c:pt>
                <c:pt idx="862">
                  <c:v>302560</c:v>
                </c:pt>
                <c:pt idx="863">
                  <c:v>262225</c:v>
                </c:pt>
                <c:pt idx="864">
                  <c:v>283725</c:v>
                </c:pt>
                <c:pt idx="865">
                  <c:v>277645</c:v>
                </c:pt>
                <c:pt idx="866">
                  <c:v>275645</c:v>
                </c:pt>
                <c:pt idx="867">
                  <c:v>288020</c:v>
                </c:pt>
                <c:pt idx="868">
                  <c:v>289080</c:v>
                </c:pt>
                <c:pt idx="869">
                  <c:v>285455</c:v>
                </c:pt>
                <c:pt idx="870">
                  <c:v>254755</c:v>
                </c:pt>
                <c:pt idx="871">
                  <c:v>251890</c:v>
                </c:pt>
                <c:pt idx="872">
                  <c:v>243845</c:v>
                </c:pt>
                <c:pt idx="873">
                  <c:v>242470</c:v>
                </c:pt>
                <c:pt idx="874">
                  <c:v>241970</c:v>
                </c:pt>
                <c:pt idx="875">
                  <c:v>242735</c:v>
                </c:pt>
                <c:pt idx="876">
                  <c:v>244360</c:v>
                </c:pt>
                <c:pt idx="877">
                  <c:v>243400</c:v>
                </c:pt>
                <c:pt idx="878">
                  <c:v>245665</c:v>
                </c:pt>
                <c:pt idx="879">
                  <c:v>248680</c:v>
                </c:pt>
                <c:pt idx="880">
                  <c:v>252180</c:v>
                </c:pt>
                <c:pt idx="881">
                  <c:v>253430</c:v>
                </c:pt>
                <c:pt idx="882">
                  <c:v>245630</c:v>
                </c:pt>
                <c:pt idx="883">
                  <c:v>248755</c:v>
                </c:pt>
                <c:pt idx="884">
                  <c:v>254535</c:v>
                </c:pt>
                <c:pt idx="885">
                  <c:v>261285</c:v>
                </c:pt>
                <c:pt idx="886">
                  <c:v>268785</c:v>
                </c:pt>
                <c:pt idx="887">
                  <c:v>271700</c:v>
                </c:pt>
                <c:pt idx="888">
                  <c:v>271455</c:v>
                </c:pt>
                <c:pt idx="889">
                  <c:v>273830</c:v>
                </c:pt>
                <c:pt idx="890">
                  <c:v>271105</c:v>
                </c:pt>
                <c:pt idx="891">
                  <c:v>270230</c:v>
                </c:pt>
                <c:pt idx="892">
                  <c:v>268105</c:v>
                </c:pt>
                <c:pt idx="893">
                  <c:v>277980</c:v>
                </c:pt>
                <c:pt idx="894">
                  <c:v>262110</c:v>
                </c:pt>
                <c:pt idx="895">
                  <c:v>260610</c:v>
                </c:pt>
                <c:pt idx="896">
                  <c:v>255485</c:v>
                </c:pt>
                <c:pt idx="897">
                  <c:v>264235</c:v>
                </c:pt>
                <c:pt idx="898">
                  <c:v>267985</c:v>
                </c:pt>
                <c:pt idx="899">
                  <c:v>260235</c:v>
                </c:pt>
                <c:pt idx="900">
                  <c:v>253985</c:v>
                </c:pt>
                <c:pt idx="901">
                  <c:v>257485</c:v>
                </c:pt>
                <c:pt idx="902">
                  <c:v>265485</c:v>
                </c:pt>
                <c:pt idx="903">
                  <c:v>253110</c:v>
                </c:pt>
                <c:pt idx="904">
                  <c:v>267985</c:v>
                </c:pt>
                <c:pt idx="905">
                  <c:v>294870</c:v>
                </c:pt>
                <c:pt idx="906">
                  <c:v>292215</c:v>
                </c:pt>
                <c:pt idx="907">
                  <c:v>291870</c:v>
                </c:pt>
                <c:pt idx="908">
                  <c:v>289270</c:v>
                </c:pt>
                <c:pt idx="909">
                  <c:v>291145</c:v>
                </c:pt>
                <c:pt idx="910">
                  <c:v>292520</c:v>
                </c:pt>
                <c:pt idx="911">
                  <c:v>290675</c:v>
                </c:pt>
                <c:pt idx="912">
                  <c:v>292300</c:v>
                </c:pt>
                <c:pt idx="913">
                  <c:v>294435</c:v>
                </c:pt>
                <c:pt idx="914">
                  <c:v>291435</c:v>
                </c:pt>
                <c:pt idx="915">
                  <c:v>290310</c:v>
                </c:pt>
                <c:pt idx="916">
                  <c:v>288560</c:v>
                </c:pt>
                <c:pt idx="917">
                  <c:v>285090</c:v>
                </c:pt>
                <c:pt idx="918">
                  <c:v>293715</c:v>
                </c:pt>
                <c:pt idx="919">
                  <c:v>290215</c:v>
                </c:pt>
                <c:pt idx="920">
                  <c:v>293590</c:v>
                </c:pt>
                <c:pt idx="921">
                  <c:v>301215</c:v>
                </c:pt>
                <c:pt idx="922">
                  <c:v>296465</c:v>
                </c:pt>
                <c:pt idx="923">
                  <c:v>292715</c:v>
                </c:pt>
                <c:pt idx="924">
                  <c:v>293590</c:v>
                </c:pt>
                <c:pt idx="925">
                  <c:v>287840</c:v>
                </c:pt>
                <c:pt idx="926">
                  <c:v>280715</c:v>
                </c:pt>
                <c:pt idx="927">
                  <c:v>280840</c:v>
                </c:pt>
                <c:pt idx="928">
                  <c:v>280840</c:v>
                </c:pt>
                <c:pt idx="929">
                  <c:v>280715</c:v>
                </c:pt>
                <c:pt idx="930">
                  <c:v>280590</c:v>
                </c:pt>
                <c:pt idx="931">
                  <c:v>280590</c:v>
                </c:pt>
                <c:pt idx="932">
                  <c:v>281090</c:v>
                </c:pt>
                <c:pt idx="933">
                  <c:v>280715</c:v>
                </c:pt>
                <c:pt idx="934">
                  <c:v>281340</c:v>
                </c:pt>
                <c:pt idx="935">
                  <c:v>281090</c:v>
                </c:pt>
                <c:pt idx="936">
                  <c:v>281090</c:v>
                </c:pt>
                <c:pt idx="937">
                  <c:v>281465</c:v>
                </c:pt>
                <c:pt idx="938">
                  <c:v>281465</c:v>
                </c:pt>
                <c:pt idx="939">
                  <c:v>281340</c:v>
                </c:pt>
                <c:pt idx="940">
                  <c:v>281340</c:v>
                </c:pt>
                <c:pt idx="941">
                  <c:v>281340</c:v>
                </c:pt>
                <c:pt idx="942">
                  <c:v>281465</c:v>
                </c:pt>
                <c:pt idx="943">
                  <c:v>280595</c:v>
                </c:pt>
                <c:pt idx="944">
                  <c:v>277985</c:v>
                </c:pt>
                <c:pt idx="945">
                  <c:v>277985</c:v>
                </c:pt>
                <c:pt idx="946">
                  <c:v>278360</c:v>
                </c:pt>
                <c:pt idx="947">
                  <c:v>279485</c:v>
                </c:pt>
                <c:pt idx="948">
                  <c:v>281610</c:v>
                </c:pt>
                <c:pt idx="949">
                  <c:v>280610</c:v>
                </c:pt>
                <c:pt idx="950">
                  <c:v>278485</c:v>
                </c:pt>
                <c:pt idx="951">
                  <c:v>276880</c:v>
                </c:pt>
                <c:pt idx="952">
                  <c:v>272330</c:v>
                </c:pt>
                <c:pt idx="953">
                  <c:v>276777.5</c:v>
                </c:pt>
                <c:pt idx="954">
                  <c:v>279807.5</c:v>
                </c:pt>
                <c:pt idx="955">
                  <c:v>276697.5</c:v>
                </c:pt>
                <c:pt idx="956">
                  <c:v>275197.5</c:v>
                </c:pt>
                <c:pt idx="957">
                  <c:v>273197.5</c:v>
                </c:pt>
                <c:pt idx="958">
                  <c:v>272447.5</c:v>
                </c:pt>
                <c:pt idx="959">
                  <c:v>273322.5</c:v>
                </c:pt>
                <c:pt idx="960">
                  <c:v>272447.5</c:v>
                </c:pt>
                <c:pt idx="961">
                  <c:v>273572.5</c:v>
                </c:pt>
                <c:pt idx="962">
                  <c:v>273837.5</c:v>
                </c:pt>
                <c:pt idx="963">
                  <c:v>273587.5</c:v>
                </c:pt>
                <c:pt idx="964">
                  <c:v>272712.5</c:v>
                </c:pt>
                <c:pt idx="965">
                  <c:v>276377.5</c:v>
                </c:pt>
                <c:pt idx="966">
                  <c:v>274752.5</c:v>
                </c:pt>
                <c:pt idx="967">
                  <c:v>274782.5</c:v>
                </c:pt>
                <c:pt idx="968">
                  <c:v>279797.5</c:v>
                </c:pt>
                <c:pt idx="969">
                  <c:v>279172.5</c:v>
                </c:pt>
                <c:pt idx="970">
                  <c:v>284057.5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A62-4F87-94A9-1A58479DCB78}"/>
            </c:ext>
          </c:extLst>
        </c:ser>
        <c:ser>
          <c:idx val="1"/>
          <c:order val="1"/>
          <c:tx>
            <c:strRef>
              <c:f>Data!$J$11</c:f>
              <c:strCache>
                <c:ptCount val="1"/>
                <c:pt idx="0">
                  <c:v>Long Corn Futures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[0]!dateRange</c:f>
              <c:numCache>
                <c:formatCode>m/d/yyyy</c:formatCode>
                <c:ptCount val="971"/>
                <c:pt idx="0">
                  <c:v>41275</c:v>
                </c:pt>
                <c:pt idx="1">
                  <c:v>41276</c:v>
                </c:pt>
                <c:pt idx="2">
                  <c:v>41277</c:v>
                </c:pt>
                <c:pt idx="3">
                  <c:v>41278</c:v>
                </c:pt>
                <c:pt idx="4">
                  <c:v>41281</c:v>
                </c:pt>
                <c:pt idx="5">
                  <c:v>41282</c:v>
                </c:pt>
                <c:pt idx="6">
                  <c:v>41283</c:v>
                </c:pt>
                <c:pt idx="7">
                  <c:v>41284</c:v>
                </c:pt>
                <c:pt idx="8">
                  <c:v>41285</c:v>
                </c:pt>
                <c:pt idx="9">
                  <c:v>41288</c:v>
                </c:pt>
                <c:pt idx="10">
                  <c:v>41289</c:v>
                </c:pt>
                <c:pt idx="11">
                  <c:v>41290</c:v>
                </c:pt>
                <c:pt idx="12">
                  <c:v>41291</c:v>
                </c:pt>
                <c:pt idx="13">
                  <c:v>41292</c:v>
                </c:pt>
                <c:pt idx="14">
                  <c:v>41295</c:v>
                </c:pt>
                <c:pt idx="15">
                  <c:v>41296</c:v>
                </c:pt>
                <c:pt idx="16">
                  <c:v>41297</c:v>
                </c:pt>
                <c:pt idx="17">
                  <c:v>41298</c:v>
                </c:pt>
                <c:pt idx="18">
                  <c:v>41299</c:v>
                </c:pt>
                <c:pt idx="19">
                  <c:v>41302</c:v>
                </c:pt>
                <c:pt idx="20">
                  <c:v>41303</c:v>
                </c:pt>
                <c:pt idx="21">
                  <c:v>41304</c:v>
                </c:pt>
                <c:pt idx="22">
                  <c:v>41305</c:v>
                </c:pt>
                <c:pt idx="23">
                  <c:v>41306</c:v>
                </c:pt>
                <c:pt idx="24">
                  <c:v>41309</c:v>
                </c:pt>
                <c:pt idx="25">
                  <c:v>41310</c:v>
                </c:pt>
                <c:pt idx="26">
                  <c:v>41311</c:v>
                </c:pt>
                <c:pt idx="27">
                  <c:v>41312</c:v>
                </c:pt>
                <c:pt idx="28">
                  <c:v>41313</c:v>
                </c:pt>
                <c:pt idx="29">
                  <c:v>41316</c:v>
                </c:pt>
                <c:pt idx="30">
                  <c:v>41317</c:v>
                </c:pt>
                <c:pt idx="31">
                  <c:v>41318</c:v>
                </c:pt>
                <c:pt idx="32">
                  <c:v>41319</c:v>
                </c:pt>
                <c:pt idx="33">
                  <c:v>41320</c:v>
                </c:pt>
                <c:pt idx="34">
                  <c:v>41323</c:v>
                </c:pt>
                <c:pt idx="35">
                  <c:v>41324</c:v>
                </c:pt>
                <c:pt idx="36">
                  <c:v>41325</c:v>
                </c:pt>
                <c:pt idx="37">
                  <c:v>41326</c:v>
                </c:pt>
                <c:pt idx="38">
                  <c:v>41327</c:v>
                </c:pt>
                <c:pt idx="39">
                  <c:v>41330</c:v>
                </c:pt>
                <c:pt idx="40">
                  <c:v>41331</c:v>
                </c:pt>
                <c:pt idx="41">
                  <c:v>41332</c:v>
                </c:pt>
                <c:pt idx="42">
                  <c:v>41333</c:v>
                </c:pt>
                <c:pt idx="43">
                  <c:v>41334</c:v>
                </c:pt>
                <c:pt idx="44">
                  <c:v>41337</c:v>
                </c:pt>
                <c:pt idx="45">
                  <c:v>41338</c:v>
                </c:pt>
                <c:pt idx="46">
                  <c:v>41339</c:v>
                </c:pt>
                <c:pt idx="47">
                  <c:v>41340</c:v>
                </c:pt>
                <c:pt idx="48">
                  <c:v>41341</c:v>
                </c:pt>
                <c:pt idx="49">
                  <c:v>41344</c:v>
                </c:pt>
                <c:pt idx="50">
                  <c:v>41345</c:v>
                </c:pt>
                <c:pt idx="51">
                  <c:v>41346</c:v>
                </c:pt>
                <c:pt idx="52">
                  <c:v>41347</c:v>
                </c:pt>
                <c:pt idx="53">
                  <c:v>41348</c:v>
                </c:pt>
                <c:pt idx="54">
                  <c:v>41351</c:v>
                </c:pt>
                <c:pt idx="55">
                  <c:v>41352</c:v>
                </c:pt>
                <c:pt idx="56">
                  <c:v>41353</c:v>
                </c:pt>
                <c:pt idx="57">
                  <c:v>41354</c:v>
                </c:pt>
                <c:pt idx="58">
                  <c:v>41355</c:v>
                </c:pt>
                <c:pt idx="59">
                  <c:v>41358</c:v>
                </c:pt>
                <c:pt idx="60">
                  <c:v>41359</c:v>
                </c:pt>
                <c:pt idx="61">
                  <c:v>41360</c:v>
                </c:pt>
                <c:pt idx="62">
                  <c:v>41361</c:v>
                </c:pt>
                <c:pt idx="63">
                  <c:v>41362</c:v>
                </c:pt>
                <c:pt idx="64">
                  <c:v>41365</c:v>
                </c:pt>
                <c:pt idx="65">
                  <c:v>41366</c:v>
                </c:pt>
                <c:pt idx="66">
                  <c:v>41367</c:v>
                </c:pt>
                <c:pt idx="67">
                  <c:v>41368</c:v>
                </c:pt>
                <c:pt idx="68">
                  <c:v>41369</c:v>
                </c:pt>
                <c:pt idx="69">
                  <c:v>41372</c:v>
                </c:pt>
                <c:pt idx="70">
                  <c:v>41373</c:v>
                </c:pt>
                <c:pt idx="71">
                  <c:v>41374</c:v>
                </c:pt>
                <c:pt idx="72">
                  <c:v>41375</c:v>
                </c:pt>
                <c:pt idx="73">
                  <c:v>41376</c:v>
                </c:pt>
                <c:pt idx="74">
                  <c:v>41379</c:v>
                </c:pt>
                <c:pt idx="75">
                  <c:v>41380</c:v>
                </c:pt>
                <c:pt idx="76">
                  <c:v>41381</c:v>
                </c:pt>
                <c:pt idx="77">
                  <c:v>41382</c:v>
                </c:pt>
                <c:pt idx="78">
                  <c:v>41383</c:v>
                </c:pt>
                <c:pt idx="79">
                  <c:v>41386</c:v>
                </c:pt>
                <c:pt idx="80">
                  <c:v>41387</c:v>
                </c:pt>
                <c:pt idx="81">
                  <c:v>41388</c:v>
                </c:pt>
                <c:pt idx="82">
                  <c:v>41389</c:v>
                </c:pt>
                <c:pt idx="83">
                  <c:v>41390</c:v>
                </c:pt>
                <c:pt idx="84">
                  <c:v>41393</c:v>
                </c:pt>
                <c:pt idx="85">
                  <c:v>41394</c:v>
                </c:pt>
                <c:pt idx="86">
                  <c:v>41395</c:v>
                </c:pt>
                <c:pt idx="87">
                  <c:v>41396</c:v>
                </c:pt>
                <c:pt idx="88">
                  <c:v>41397</c:v>
                </c:pt>
                <c:pt idx="89">
                  <c:v>41400</c:v>
                </c:pt>
                <c:pt idx="90">
                  <c:v>41401</c:v>
                </c:pt>
                <c:pt idx="91">
                  <c:v>41402</c:v>
                </c:pt>
                <c:pt idx="92">
                  <c:v>41403</c:v>
                </c:pt>
                <c:pt idx="93">
                  <c:v>41404</c:v>
                </c:pt>
                <c:pt idx="94">
                  <c:v>41407</c:v>
                </c:pt>
                <c:pt idx="95">
                  <c:v>41408</c:v>
                </c:pt>
                <c:pt idx="96">
                  <c:v>41409</c:v>
                </c:pt>
                <c:pt idx="97">
                  <c:v>41410</c:v>
                </c:pt>
                <c:pt idx="98">
                  <c:v>41411</c:v>
                </c:pt>
                <c:pt idx="99">
                  <c:v>41414</c:v>
                </c:pt>
                <c:pt idx="100">
                  <c:v>41415</c:v>
                </c:pt>
                <c:pt idx="101">
                  <c:v>41416</c:v>
                </c:pt>
                <c:pt idx="102">
                  <c:v>41417</c:v>
                </c:pt>
                <c:pt idx="103">
                  <c:v>41418</c:v>
                </c:pt>
                <c:pt idx="104">
                  <c:v>41421</c:v>
                </c:pt>
                <c:pt idx="105">
                  <c:v>41422</c:v>
                </c:pt>
                <c:pt idx="106">
                  <c:v>41423</c:v>
                </c:pt>
                <c:pt idx="107">
                  <c:v>41424</c:v>
                </c:pt>
                <c:pt idx="108">
                  <c:v>41425</c:v>
                </c:pt>
                <c:pt idx="109">
                  <c:v>41428</c:v>
                </c:pt>
                <c:pt idx="110">
                  <c:v>41429</c:v>
                </c:pt>
                <c:pt idx="111">
                  <c:v>41430</c:v>
                </c:pt>
                <c:pt idx="112">
                  <c:v>41431</c:v>
                </c:pt>
                <c:pt idx="113">
                  <c:v>41432</c:v>
                </c:pt>
                <c:pt idx="114">
                  <c:v>41435</c:v>
                </c:pt>
                <c:pt idx="115">
                  <c:v>41436</c:v>
                </c:pt>
                <c:pt idx="116">
                  <c:v>41437</c:v>
                </c:pt>
                <c:pt idx="117">
                  <c:v>41438</c:v>
                </c:pt>
                <c:pt idx="118">
                  <c:v>41439</c:v>
                </c:pt>
                <c:pt idx="119">
                  <c:v>41442</c:v>
                </c:pt>
                <c:pt idx="120">
                  <c:v>41443</c:v>
                </c:pt>
                <c:pt idx="121">
                  <c:v>41444</c:v>
                </c:pt>
                <c:pt idx="122">
                  <c:v>41445</c:v>
                </c:pt>
                <c:pt idx="123">
                  <c:v>41446</c:v>
                </c:pt>
                <c:pt idx="124">
                  <c:v>41449</c:v>
                </c:pt>
                <c:pt idx="125">
                  <c:v>41450</c:v>
                </c:pt>
                <c:pt idx="126">
                  <c:v>41451</c:v>
                </c:pt>
                <c:pt idx="127">
                  <c:v>41452</c:v>
                </c:pt>
                <c:pt idx="128">
                  <c:v>41453</c:v>
                </c:pt>
                <c:pt idx="129">
                  <c:v>41456</c:v>
                </c:pt>
                <c:pt idx="130">
                  <c:v>41457</c:v>
                </c:pt>
                <c:pt idx="131">
                  <c:v>41458</c:v>
                </c:pt>
                <c:pt idx="132">
                  <c:v>41459</c:v>
                </c:pt>
                <c:pt idx="133">
                  <c:v>41460</c:v>
                </c:pt>
                <c:pt idx="134">
                  <c:v>41463</c:v>
                </c:pt>
                <c:pt idx="135">
                  <c:v>41464</c:v>
                </c:pt>
                <c:pt idx="136">
                  <c:v>41465</c:v>
                </c:pt>
                <c:pt idx="137">
                  <c:v>41466</c:v>
                </c:pt>
                <c:pt idx="138">
                  <c:v>41467</c:v>
                </c:pt>
                <c:pt idx="139">
                  <c:v>41470</c:v>
                </c:pt>
                <c:pt idx="140">
                  <c:v>41471</c:v>
                </c:pt>
                <c:pt idx="141">
                  <c:v>41472</c:v>
                </c:pt>
                <c:pt idx="142">
                  <c:v>41473</c:v>
                </c:pt>
                <c:pt idx="143">
                  <c:v>41474</c:v>
                </c:pt>
                <c:pt idx="144">
                  <c:v>41477</c:v>
                </c:pt>
                <c:pt idx="145">
                  <c:v>41478</c:v>
                </c:pt>
                <c:pt idx="146">
                  <c:v>41479</c:v>
                </c:pt>
                <c:pt idx="147">
                  <c:v>41480</c:v>
                </c:pt>
                <c:pt idx="148">
                  <c:v>41481</c:v>
                </c:pt>
                <c:pt idx="149">
                  <c:v>41484</c:v>
                </c:pt>
                <c:pt idx="150">
                  <c:v>41485</c:v>
                </c:pt>
                <c:pt idx="151">
                  <c:v>41486</c:v>
                </c:pt>
                <c:pt idx="152">
                  <c:v>41487</c:v>
                </c:pt>
                <c:pt idx="153">
                  <c:v>41488</c:v>
                </c:pt>
                <c:pt idx="154">
                  <c:v>41491</c:v>
                </c:pt>
                <c:pt idx="155">
                  <c:v>41492</c:v>
                </c:pt>
                <c:pt idx="156">
                  <c:v>41493</c:v>
                </c:pt>
                <c:pt idx="157">
                  <c:v>41494</c:v>
                </c:pt>
                <c:pt idx="158">
                  <c:v>41495</c:v>
                </c:pt>
                <c:pt idx="159">
                  <c:v>41498</c:v>
                </c:pt>
                <c:pt idx="160">
                  <c:v>41499</c:v>
                </c:pt>
                <c:pt idx="161">
                  <c:v>41500</c:v>
                </c:pt>
                <c:pt idx="162">
                  <c:v>41501</c:v>
                </c:pt>
                <c:pt idx="163">
                  <c:v>41502</c:v>
                </c:pt>
                <c:pt idx="164">
                  <c:v>41505</c:v>
                </c:pt>
                <c:pt idx="165">
                  <c:v>41506</c:v>
                </c:pt>
                <c:pt idx="166">
                  <c:v>41507</c:v>
                </c:pt>
                <c:pt idx="167">
                  <c:v>41508</c:v>
                </c:pt>
                <c:pt idx="168">
                  <c:v>41509</c:v>
                </c:pt>
                <c:pt idx="169">
                  <c:v>41512</c:v>
                </c:pt>
                <c:pt idx="170">
                  <c:v>41513</c:v>
                </c:pt>
                <c:pt idx="171">
                  <c:v>41514</c:v>
                </c:pt>
                <c:pt idx="172">
                  <c:v>41515</c:v>
                </c:pt>
                <c:pt idx="173">
                  <c:v>41516</c:v>
                </c:pt>
                <c:pt idx="174">
                  <c:v>41519</c:v>
                </c:pt>
                <c:pt idx="175">
                  <c:v>41520</c:v>
                </c:pt>
                <c:pt idx="176">
                  <c:v>41521</c:v>
                </c:pt>
                <c:pt idx="177">
                  <c:v>41522</c:v>
                </c:pt>
                <c:pt idx="178">
                  <c:v>41523</c:v>
                </c:pt>
                <c:pt idx="179">
                  <c:v>41526</c:v>
                </c:pt>
                <c:pt idx="180">
                  <c:v>41527</c:v>
                </c:pt>
                <c:pt idx="181">
                  <c:v>41528</c:v>
                </c:pt>
                <c:pt idx="182">
                  <c:v>41529</c:v>
                </c:pt>
                <c:pt idx="183">
                  <c:v>41530</c:v>
                </c:pt>
                <c:pt idx="184">
                  <c:v>41533</c:v>
                </c:pt>
                <c:pt idx="185">
                  <c:v>41534</c:v>
                </c:pt>
                <c:pt idx="186">
                  <c:v>41535</c:v>
                </c:pt>
                <c:pt idx="187">
                  <c:v>41536</c:v>
                </c:pt>
                <c:pt idx="188">
                  <c:v>41537</c:v>
                </c:pt>
                <c:pt idx="189">
                  <c:v>41540</c:v>
                </c:pt>
                <c:pt idx="190">
                  <c:v>41541</c:v>
                </c:pt>
                <c:pt idx="191">
                  <c:v>41542</c:v>
                </c:pt>
                <c:pt idx="192">
                  <c:v>41543</c:v>
                </c:pt>
                <c:pt idx="193">
                  <c:v>41544</c:v>
                </c:pt>
                <c:pt idx="194">
                  <c:v>41547</c:v>
                </c:pt>
                <c:pt idx="195">
                  <c:v>41548</c:v>
                </c:pt>
                <c:pt idx="196">
                  <c:v>41549</c:v>
                </c:pt>
                <c:pt idx="197">
                  <c:v>41550</c:v>
                </c:pt>
                <c:pt idx="198">
                  <c:v>41551</c:v>
                </c:pt>
                <c:pt idx="199">
                  <c:v>41554</c:v>
                </c:pt>
                <c:pt idx="200">
                  <c:v>41555</c:v>
                </c:pt>
                <c:pt idx="201">
                  <c:v>41556</c:v>
                </c:pt>
                <c:pt idx="202">
                  <c:v>41557</c:v>
                </c:pt>
                <c:pt idx="203">
                  <c:v>41558</c:v>
                </c:pt>
                <c:pt idx="204">
                  <c:v>41561</c:v>
                </c:pt>
                <c:pt idx="205">
                  <c:v>41562</c:v>
                </c:pt>
                <c:pt idx="206">
                  <c:v>41563</c:v>
                </c:pt>
                <c:pt idx="207">
                  <c:v>41564</c:v>
                </c:pt>
                <c:pt idx="208">
                  <c:v>41565</c:v>
                </c:pt>
                <c:pt idx="209">
                  <c:v>41568</c:v>
                </c:pt>
                <c:pt idx="210">
                  <c:v>41569</c:v>
                </c:pt>
                <c:pt idx="211">
                  <c:v>41570</c:v>
                </c:pt>
                <c:pt idx="212">
                  <c:v>41571</c:v>
                </c:pt>
                <c:pt idx="213">
                  <c:v>41572</c:v>
                </c:pt>
                <c:pt idx="214">
                  <c:v>41575</c:v>
                </c:pt>
                <c:pt idx="215">
                  <c:v>41576</c:v>
                </c:pt>
                <c:pt idx="216">
                  <c:v>41577</c:v>
                </c:pt>
                <c:pt idx="217">
                  <c:v>41578</c:v>
                </c:pt>
                <c:pt idx="218">
                  <c:v>41579</c:v>
                </c:pt>
                <c:pt idx="219">
                  <c:v>41582</c:v>
                </c:pt>
                <c:pt idx="220">
                  <c:v>41583</c:v>
                </c:pt>
                <c:pt idx="221">
                  <c:v>41584</c:v>
                </c:pt>
                <c:pt idx="222">
                  <c:v>41585</c:v>
                </c:pt>
                <c:pt idx="223">
                  <c:v>41586</c:v>
                </c:pt>
                <c:pt idx="224">
                  <c:v>41589</c:v>
                </c:pt>
                <c:pt idx="225">
                  <c:v>41590</c:v>
                </c:pt>
                <c:pt idx="226">
                  <c:v>41591</c:v>
                </c:pt>
                <c:pt idx="227">
                  <c:v>41592</c:v>
                </c:pt>
                <c:pt idx="228">
                  <c:v>41593</c:v>
                </c:pt>
                <c:pt idx="229">
                  <c:v>41596</c:v>
                </c:pt>
                <c:pt idx="230">
                  <c:v>41597</c:v>
                </c:pt>
                <c:pt idx="231">
                  <c:v>41598</c:v>
                </c:pt>
                <c:pt idx="232">
                  <c:v>41599</c:v>
                </c:pt>
                <c:pt idx="233">
                  <c:v>41600</c:v>
                </c:pt>
                <c:pt idx="234">
                  <c:v>41603</c:v>
                </c:pt>
                <c:pt idx="235">
                  <c:v>41604</c:v>
                </c:pt>
                <c:pt idx="236">
                  <c:v>41605</c:v>
                </c:pt>
                <c:pt idx="237">
                  <c:v>41606</c:v>
                </c:pt>
                <c:pt idx="238">
                  <c:v>41607</c:v>
                </c:pt>
                <c:pt idx="239">
                  <c:v>41610</c:v>
                </c:pt>
                <c:pt idx="240">
                  <c:v>41611</c:v>
                </c:pt>
                <c:pt idx="241">
                  <c:v>41612</c:v>
                </c:pt>
                <c:pt idx="242">
                  <c:v>41613</c:v>
                </c:pt>
                <c:pt idx="243">
                  <c:v>41614</c:v>
                </c:pt>
                <c:pt idx="244">
                  <c:v>41617</c:v>
                </c:pt>
                <c:pt idx="245">
                  <c:v>41618</c:v>
                </c:pt>
                <c:pt idx="246">
                  <c:v>41619</c:v>
                </c:pt>
                <c:pt idx="247">
                  <c:v>41620</c:v>
                </c:pt>
                <c:pt idx="248">
                  <c:v>41621</c:v>
                </c:pt>
                <c:pt idx="249">
                  <c:v>41624</c:v>
                </c:pt>
                <c:pt idx="250">
                  <c:v>41625</c:v>
                </c:pt>
                <c:pt idx="251">
                  <c:v>41626</c:v>
                </c:pt>
                <c:pt idx="252">
                  <c:v>41627</c:v>
                </c:pt>
                <c:pt idx="253">
                  <c:v>41628</c:v>
                </c:pt>
                <c:pt idx="254">
                  <c:v>41631</c:v>
                </c:pt>
                <c:pt idx="255">
                  <c:v>41632</c:v>
                </c:pt>
                <c:pt idx="256">
                  <c:v>41633</c:v>
                </c:pt>
                <c:pt idx="257">
                  <c:v>41634</c:v>
                </c:pt>
                <c:pt idx="258">
                  <c:v>41635</c:v>
                </c:pt>
                <c:pt idx="259">
                  <c:v>41638</c:v>
                </c:pt>
                <c:pt idx="260">
                  <c:v>41639</c:v>
                </c:pt>
                <c:pt idx="261">
                  <c:v>41640</c:v>
                </c:pt>
                <c:pt idx="262">
                  <c:v>41641</c:v>
                </c:pt>
                <c:pt idx="263">
                  <c:v>41642</c:v>
                </c:pt>
                <c:pt idx="264">
                  <c:v>41645</c:v>
                </c:pt>
                <c:pt idx="265">
                  <c:v>41646</c:v>
                </c:pt>
                <c:pt idx="266">
                  <c:v>41647</c:v>
                </c:pt>
                <c:pt idx="267">
                  <c:v>41648</c:v>
                </c:pt>
                <c:pt idx="268">
                  <c:v>41649</c:v>
                </c:pt>
                <c:pt idx="269">
                  <c:v>41652</c:v>
                </c:pt>
                <c:pt idx="270">
                  <c:v>41653</c:v>
                </c:pt>
                <c:pt idx="271">
                  <c:v>41654</c:v>
                </c:pt>
                <c:pt idx="272">
                  <c:v>41655</c:v>
                </c:pt>
                <c:pt idx="273">
                  <c:v>41656</c:v>
                </c:pt>
                <c:pt idx="274">
                  <c:v>41659</c:v>
                </c:pt>
                <c:pt idx="275">
                  <c:v>41660</c:v>
                </c:pt>
                <c:pt idx="276">
                  <c:v>41661</c:v>
                </c:pt>
                <c:pt idx="277">
                  <c:v>41662</c:v>
                </c:pt>
                <c:pt idx="278">
                  <c:v>41663</c:v>
                </c:pt>
                <c:pt idx="279">
                  <c:v>41666</c:v>
                </c:pt>
                <c:pt idx="280">
                  <c:v>41667</c:v>
                </c:pt>
                <c:pt idx="281">
                  <c:v>41668</c:v>
                </c:pt>
                <c:pt idx="282">
                  <c:v>41669</c:v>
                </c:pt>
                <c:pt idx="283">
                  <c:v>41670</c:v>
                </c:pt>
                <c:pt idx="284">
                  <c:v>41673</c:v>
                </c:pt>
                <c:pt idx="285">
                  <c:v>41674</c:v>
                </c:pt>
                <c:pt idx="286">
                  <c:v>41675</c:v>
                </c:pt>
                <c:pt idx="287">
                  <c:v>41676</c:v>
                </c:pt>
                <c:pt idx="288">
                  <c:v>41677</c:v>
                </c:pt>
                <c:pt idx="289">
                  <c:v>41680</c:v>
                </c:pt>
                <c:pt idx="290">
                  <c:v>41681</c:v>
                </c:pt>
                <c:pt idx="291">
                  <c:v>41682</c:v>
                </c:pt>
                <c:pt idx="292">
                  <c:v>41683</c:v>
                </c:pt>
                <c:pt idx="293">
                  <c:v>41684</c:v>
                </c:pt>
                <c:pt idx="294">
                  <c:v>41687</c:v>
                </c:pt>
                <c:pt idx="295">
                  <c:v>41688</c:v>
                </c:pt>
                <c:pt idx="296">
                  <c:v>41689</c:v>
                </c:pt>
                <c:pt idx="297">
                  <c:v>41690</c:v>
                </c:pt>
                <c:pt idx="298">
                  <c:v>41691</c:v>
                </c:pt>
                <c:pt idx="299">
                  <c:v>41694</c:v>
                </c:pt>
                <c:pt idx="300">
                  <c:v>41695</c:v>
                </c:pt>
                <c:pt idx="301">
                  <c:v>41696</c:v>
                </c:pt>
                <c:pt idx="302">
                  <c:v>41697</c:v>
                </c:pt>
                <c:pt idx="303">
                  <c:v>41698</c:v>
                </c:pt>
                <c:pt idx="304">
                  <c:v>41701</c:v>
                </c:pt>
                <c:pt idx="305">
                  <c:v>41702</c:v>
                </c:pt>
                <c:pt idx="306">
                  <c:v>41703</c:v>
                </c:pt>
                <c:pt idx="307">
                  <c:v>41704</c:v>
                </c:pt>
                <c:pt idx="308">
                  <c:v>41705</c:v>
                </c:pt>
                <c:pt idx="309">
                  <c:v>41708</c:v>
                </c:pt>
                <c:pt idx="310">
                  <c:v>41709</c:v>
                </c:pt>
                <c:pt idx="311">
                  <c:v>41710</c:v>
                </c:pt>
                <c:pt idx="312">
                  <c:v>41711</c:v>
                </c:pt>
                <c:pt idx="313">
                  <c:v>41712</c:v>
                </c:pt>
                <c:pt idx="314">
                  <c:v>41715</c:v>
                </c:pt>
                <c:pt idx="315">
                  <c:v>41716</c:v>
                </c:pt>
                <c:pt idx="316">
                  <c:v>41717</c:v>
                </c:pt>
                <c:pt idx="317">
                  <c:v>41718</c:v>
                </c:pt>
                <c:pt idx="318">
                  <c:v>41719</c:v>
                </c:pt>
                <c:pt idx="319">
                  <c:v>41722</c:v>
                </c:pt>
                <c:pt idx="320">
                  <c:v>41723</c:v>
                </c:pt>
                <c:pt idx="321">
                  <c:v>41724</c:v>
                </c:pt>
                <c:pt idx="322">
                  <c:v>41725</c:v>
                </c:pt>
                <c:pt idx="323">
                  <c:v>41726</c:v>
                </c:pt>
                <c:pt idx="324">
                  <c:v>41729</c:v>
                </c:pt>
                <c:pt idx="325">
                  <c:v>41730</c:v>
                </c:pt>
                <c:pt idx="326">
                  <c:v>41731</c:v>
                </c:pt>
                <c:pt idx="327">
                  <c:v>41732</c:v>
                </c:pt>
                <c:pt idx="328">
                  <c:v>41733</c:v>
                </c:pt>
                <c:pt idx="329">
                  <c:v>41736</c:v>
                </c:pt>
                <c:pt idx="330">
                  <c:v>41737</c:v>
                </c:pt>
                <c:pt idx="331">
                  <c:v>41738</c:v>
                </c:pt>
                <c:pt idx="332">
                  <c:v>41739</c:v>
                </c:pt>
                <c:pt idx="333">
                  <c:v>41740</c:v>
                </c:pt>
                <c:pt idx="334">
                  <c:v>41743</c:v>
                </c:pt>
                <c:pt idx="335">
                  <c:v>41744</c:v>
                </c:pt>
                <c:pt idx="336">
                  <c:v>41745</c:v>
                </c:pt>
                <c:pt idx="337">
                  <c:v>41746</c:v>
                </c:pt>
                <c:pt idx="338">
                  <c:v>41747</c:v>
                </c:pt>
                <c:pt idx="339">
                  <c:v>41750</c:v>
                </c:pt>
                <c:pt idx="340">
                  <c:v>41751</c:v>
                </c:pt>
                <c:pt idx="341">
                  <c:v>41752</c:v>
                </c:pt>
                <c:pt idx="342">
                  <c:v>41753</c:v>
                </c:pt>
                <c:pt idx="343">
                  <c:v>41754</c:v>
                </c:pt>
                <c:pt idx="344">
                  <c:v>41757</c:v>
                </c:pt>
                <c:pt idx="345">
                  <c:v>41758</c:v>
                </c:pt>
                <c:pt idx="346">
                  <c:v>41759</c:v>
                </c:pt>
                <c:pt idx="347">
                  <c:v>41760</c:v>
                </c:pt>
                <c:pt idx="348">
                  <c:v>41761</c:v>
                </c:pt>
                <c:pt idx="349">
                  <c:v>41764</c:v>
                </c:pt>
                <c:pt idx="350">
                  <c:v>41765</c:v>
                </c:pt>
                <c:pt idx="351">
                  <c:v>41766</c:v>
                </c:pt>
                <c:pt idx="352">
                  <c:v>41767</c:v>
                </c:pt>
                <c:pt idx="353">
                  <c:v>41768</c:v>
                </c:pt>
                <c:pt idx="354">
                  <c:v>41771</c:v>
                </c:pt>
                <c:pt idx="355">
                  <c:v>41772</c:v>
                </c:pt>
                <c:pt idx="356">
                  <c:v>41773</c:v>
                </c:pt>
                <c:pt idx="357">
                  <c:v>41774</c:v>
                </c:pt>
                <c:pt idx="358">
                  <c:v>41775</c:v>
                </c:pt>
                <c:pt idx="359">
                  <c:v>41778</c:v>
                </c:pt>
                <c:pt idx="360">
                  <c:v>41779</c:v>
                </c:pt>
                <c:pt idx="361">
                  <c:v>41780</c:v>
                </c:pt>
                <c:pt idx="362">
                  <c:v>41781</c:v>
                </c:pt>
                <c:pt idx="363">
                  <c:v>41782</c:v>
                </c:pt>
                <c:pt idx="364">
                  <c:v>41785</c:v>
                </c:pt>
                <c:pt idx="365">
                  <c:v>41786</c:v>
                </c:pt>
                <c:pt idx="366">
                  <c:v>41787</c:v>
                </c:pt>
                <c:pt idx="367">
                  <c:v>41788</c:v>
                </c:pt>
                <c:pt idx="368">
                  <c:v>41789</c:v>
                </c:pt>
                <c:pt idx="369">
                  <c:v>41792</c:v>
                </c:pt>
                <c:pt idx="370">
                  <c:v>41793</c:v>
                </c:pt>
                <c:pt idx="371">
                  <c:v>41794</c:v>
                </c:pt>
                <c:pt idx="372">
                  <c:v>41795</c:v>
                </c:pt>
                <c:pt idx="373">
                  <c:v>41796</c:v>
                </c:pt>
                <c:pt idx="374">
                  <c:v>41799</c:v>
                </c:pt>
                <c:pt idx="375">
                  <c:v>41800</c:v>
                </c:pt>
                <c:pt idx="376">
                  <c:v>41801</c:v>
                </c:pt>
                <c:pt idx="377">
                  <c:v>41802</c:v>
                </c:pt>
                <c:pt idx="378">
                  <c:v>41803</c:v>
                </c:pt>
                <c:pt idx="379">
                  <c:v>41806</c:v>
                </c:pt>
                <c:pt idx="380">
                  <c:v>41807</c:v>
                </c:pt>
                <c:pt idx="381">
                  <c:v>41808</c:v>
                </c:pt>
                <c:pt idx="382">
                  <c:v>41809</c:v>
                </c:pt>
                <c:pt idx="383">
                  <c:v>41810</c:v>
                </c:pt>
                <c:pt idx="384">
                  <c:v>41813</c:v>
                </c:pt>
                <c:pt idx="385">
                  <c:v>41814</c:v>
                </c:pt>
                <c:pt idx="386">
                  <c:v>41815</c:v>
                </c:pt>
                <c:pt idx="387">
                  <c:v>41816</c:v>
                </c:pt>
                <c:pt idx="388">
                  <c:v>41817</c:v>
                </c:pt>
                <c:pt idx="389">
                  <c:v>41820</c:v>
                </c:pt>
                <c:pt idx="390">
                  <c:v>41821</c:v>
                </c:pt>
                <c:pt idx="391">
                  <c:v>41822</c:v>
                </c:pt>
                <c:pt idx="392">
                  <c:v>41823</c:v>
                </c:pt>
                <c:pt idx="393">
                  <c:v>41824</c:v>
                </c:pt>
                <c:pt idx="394">
                  <c:v>41827</c:v>
                </c:pt>
                <c:pt idx="395">
                  <c:v>41828</c:v>
                </c:pt>
                <c:pt idx="396">
                  <c:v>41829</c:v>
                </c:pt>
                <c:pt idx="397">
                  <c:v>41830</c:v>
                </c:pt>
                <c:pt idx="398">
                  <c:v>41831</c:v>
                </c:pt>
                <c:pt idx="399">
                  <c:v>41834</c:v>
                </c:pt>
                <c:pt idx="400">
                  <c:v>41835</c:v>
                </c:pt>
                <c:pt idx="401">
                  <c:v>41836</c:v>
                </c:pt>
                <c:pt idx="402">
                  <c:v>41837</c:v>
                </c:pt>
                <c:pt idx="403">
                  <c:v>41838</c:v>
                </c:pt>
                <c:pt idx="404">
                  <c:v>41841</c:v>
                </c:pt>
                <c:pt idx="405">
                  <c:v>41842</c:v>
                </c:pt>
                <c:pt idx="406">
                  <c:v>41843</c:v>
                </c:pt>
                <c:pt idx="407">
                  <c:v>41844</c:v>
                </c:pt>
                <c:pt idx="408">
                  <c:v>41845</c:v>
                </c:pt>
                <c:pt idx="409">
                  <c:v>41848</c:v>
                </c:pt>
                <c:pt idx="410">
                  <c:v>41849</c:v>
                </c:pt>
                <c:pt idx="411">
                  <c:v>41850</c:v>
                </c:pt>
                <c:pt idx="412">
                  <c:v>41851</c:v>
                </c:pt>
                <c:pt idx="413">
                  <c:v>41852</c:v>
                </c:pt>
                <c:pt idx="414">
                  <c:v>41855</c:v>
                </c:pt>
                <c:pt idx="415">
                  <c:v>41856</c:v>
                </c:pt>
                <c:pt idx="416">
                  <c:v>41857</c:v>
                </c:pt>
                <c:pt idx="417">
                  <c:v>41858</c:v>
                </c:pt>
                <c:pt idx="418">
                  <c:v>41859</c:v>
                </c:pt>
                <c:pt idx="419">
                  <c:v>41862</c:v>
                </c:pt>
                <c:pt idx="420">
                  <c:v>41863</c:v>
                </c:pt>
                <c:pt idx="421">
                  <c:v>41864</c:v>
                </c:pt>
                <c:pt idx="422">
                  <c:v>41865</c:v>
                </c:pt>
                <c:pt idx="423">
                  <c:v>41866</c:v>
                </c:pt>
                <c:pt idx="424">
                  <c:v>41869</c:v>
                </c:pt>
                <c:pt idx="425">
                  <c:v>41870</c:v>
                </c:pt>
                <c:pt idx="426">
                  <c:v>41871</c:v>
                </c:pt>
                <c:pt idx="427">
                  <c:v>41872</c:v>
                </c:pt>
                <c:pt idx="428">
                  <c:v>41873</c:v>
                </c:pt>
                <c:pt idx="429">
                  <c:v>41876</c:v>
                </c:pt>
                <c:pt idx="430">
                  <c:v>41877</c:v>
                </c:pt>
                <c:pt idx="431">
                  <c:v>41878</c:v>
                </c:pt>
                <c:pt idx="432">
                  <c:v>41879</c:v>
                </c:pt>
                <c:pt idx="433">
                  <c:v>41880</c:v>
                </c:pt>
                <c:pt idx="434">
                  <c:v>41883</c:v>
                </c:pt>
                <c:pt idx="435">
                  <c:v>41884</c:v>
                </c:pt>
                <c:pt idx="436">
                  <c:v>41885</c:v>
                </c:pt>
                <c:pt idx="437">
                  <c:v>41886</c:v>
                </c:pt>
                <c:pt idx="438">
                  <c:v>41887</c:v>
                </c:pt>
                <c:pt idx="439">
                  <c:v>41890</c:v>
                </c:pt>
                <c:pt idx="440">
                  <c:v>41891</c:v>
                </c:pt>
                <c:pt idx="441">
                  <c:v>41892</c:v>
                </c:pt>
                <c:pt idx="442">
                  <c:v>41893</c:v>
                </c:pt>
                <c:pt idx="443">
                  <c:v>41894</c:v>
                </c:pt>
                <c:pt idx="444">
                  <c:v>41897</c:v>
                </c:pt>
                <c:pt idx="445">
                  <c:v>41898</c:v>
                </c:pt>
                <c:pt idx="446">
                  <c:v>41899</c:v>
                </c:pt>
                <c:pt idx="447">
                  <c:v>41900</c:v>
                </c:pt>
                <c:pt idx="448">
                  <c:v>41901</c:v>
                </c:pt>
                <c:pt idx="449">
                  <c:v>41904</c:v>
                </c:pt>
                <c:pt idx="450">
                  <c:v>41905</c:v>
                </c:pt>
                <c:pt idx="451">
                  <c:v>41906</c:v>
                </c:pt>
                <c:pt idx="452">
                  <c:v>41907</c:v>
                </c:pt>
                <c:pt idx="453">
                  <c:v>41908</c:v>
                </c:pt>
                <c:pt idx="454">
                  <c:v>41911</c:v>
                </c:pt>
                <c:pt idx="455">
                  <c:v>41912</c:v>
                </c:pt>
                <c:pt idx="456">
                  <c:v>41913</c:v>
                </c:pt>
                <c:pt idx="457">
                  <c:v>41914</c:v>
                </c:pt>
                <c:pt idx="458">
                  <c:v>41915</c:v>
                </c:pt>
                <c:pt idx="459">
                  <c:v>41918</c:v>
                </c:pt>
                <c:pt idx="460">
                  <c:v>41919</c:v>
                </c:pt>
                <c:pt idx="461">
                  <c:v>41920</c:v>
                </c:pt>
                <c:pt idx="462">
                  <c:v>41921</c:v>
                </c:pt>
                <c:pt idx="463">
                  <c:v>41922</c:v>
                </c:pt>
                <c:pt idx="464">
                  <c:v>41925</c:v>
                </c:pt>
                <c:pt idx="465">
                  <c:v>41926</c:v>
                </c:pt>
                <c:pt idx="466">
                  <c:v>41927</c:v>
                </c:pt>
                <c:pt idx="467">
                  <c:v>41928</c:v>
                </c:pt>
                <c:pt idx="468">
                  <c:v>41929</c:v>
                </c:pt>
                <c:pt idx="469">
                  <c:v>41932</c:v>
                </c:pt>
                <c:pt idx="470">
                  <c:v>41933</c:v>
                </c:pt>
                <c:pt idx="471">
                  <c:v>41934</c:v>
                </c:pt>
                <c:pt idx="472">
                  <c:v>41935</c:v>
                </c:pt>
                <c:pt idx="473">
                  <c:v>41936</c:v>
                </c:pt>
                <c:pt idx="474">
                  <c:v>41939</c:v>
                </c:pt>
                <c:pt idx="475">
                  <c:v>41940</c:v>
                </c:pt>
                <c:pt idx="476">
                  <c:v>41941</c:v>
                </c:pt>
                <c:pt idx="477">
                  <c:v>41942</c:v>
                </c:pt>
                <c:pt idx="478">
                  <c:v>41943</c:v>
                </c:pt>
                <c:pt idx="479">
                  <c:v>41946</c:v>
                </c:pt>
                <c:pt idx="480">
                  <c:v>41947</c:v>
                </c:pt>
                <c:pt idx="481">
                  <c:v>41948</c:v>
                </c:pt>
                <c:pt idx="482">
                  <c:v>41949</c:v>
                </c:pt>
                <c:pt idx="483">
                  <c:v>41950</c:v>
                </c:pt>
                <c:pt idx="484">
                  <c:v>41953</c:v>
                </c:pt>
                <c:pt idx="485">
                  <c:v>41954</c:v>
                </c:pt>
                <c:pt idx="486">
                  <c:v>41955</c:v>
                </c:pt>
                <c:pt idx="487">
                  <c:v>41956</c:v>
                </c:pt>
                <c:pt idx="488">
                  <c:v>41957</c:v>
                </c:pt>
                <c:pt idx="489">
                  <c:v>41960</c:v>
                </c:pt>
                <c:pt idx="490">
                  <c:v>41961</c:v>
                </c:pt>
                <c:pt idx="491">
                  <c:v>41962</c:v>
                </c:pt>
                <c:pt idx="492">
                  <c:v>41963</c:v>
                </c:pt>
                <c:pt idx="493">
                  <c:v>41964</c:v>
                </c:pt>
                <c:pt idx="494">
                  <c:v>41967</c:v>
                </c:pt>
                <c:pt idx="495">
                  <c:v>41968</c:v>
                </c:pt>
                <c:pt idx="496">
                  <c:v>41969</c:v>
                </c:pt>
                <c:pt idx="497">
                  <c:v>41970</c:v>
                </c:pt>
                <c:pt idx="498">
                  <c:v>41971</c:v>
                </c:pt>
                <c:pt idx="499">
                  <c:v>41974</c:v>
                </c:pt>
                <c:pt idx="500">
                  <c:v>41975</c:v>
                </c:pt>
                <c:pt idx="501">
                  <c:v>41976</c:v>
                </c:pt>
                <c:pt idx="502">
                  <c:v>41977</c:v>
                </c:pt>
                <c:pt idx="503">
                  <c:v>41978</c:v>
                </c:pt>
                <c:pt idx="504">
                  <c:v>41981</c:v>
                </c:pt>
                <c:pt idx="505">
                  <c:v>41982</c:v>
                </c:pt>
                <c:pt idx="506">
                  <c:v>41983</c:v>
                </c:pt>
                <c:pt idx="507">
                  <c:v>41984</c:v>
                </c:pt>
                <c:pt idx="508">
                  <c:v>41985</c:v>
                </c:pt>
                <c:pt idx="509">
                  <c:v>41988</c:v>
                </c:pt>
                <c:pt idx="510">
                  <c:v>41989</c:v>
                </c:pt>
                <c:pt idx="511">
                  <c:v>41990</c:v>
                </c:pt>
                <c:pt idx="512">
                  <c:v>41991</c:v>
                </c:pt>
                <c:pt idx="513">
                  <c:v>41992</c:v>
                </c:pt>
                <c:pt idx="514">
                  <c:v>41995</c:v>
                </c:pt>
                <c:pt idx="515">
                  <c:v>41996</c:v>
                </c:pt>
                <c:pt idx="516">
                  <c:v>41997</c:v>
                </c:pt>
                <c:pt idx="517">
                  <c:v>41998</c:v>
                </c:pt>
                <c:pt idx="518">
                  <c:v>41999</c:v>
                </c:pt>
                <c:pt idx="519">
                  <c:v>42002</c:v>
                </c:pt>
                <c:pt idx="520">
                  <c:v>42003</c:v>
                </c:pt>
                <c:pt idx="521">
                  <c:v>42004</c:v>
                </c:pt>
                <c:pt idx="522">
                  <c:v>42005</c:v>
                </c:pt>
                <c:pt idx="523">
                  <c:v>42006</c:v>
                </c:pt>
                <c:pt idx="524">
                  <c:v>42009</c:v>
                </c:pt>
                <c:pt idx="525">
                  <c:v>42010</c:v>
                </c:pt>
                <c:pt idx="526">
                  <c:v>42011</c:v>
                </c:pt>
                <c:pt idx="527">
                  <c:v>42012</c:v>
                </c:pt>
                <c:pt idx="528">
                  <c:v>42013</c:v>
                </c:pt>
                <c:pt idx="529">
                  <c:v>42016</c:v>
                </c:pt>
                <c:pt idx="530">
                  <c:v>42017</c:v>
                </c:pt>
                <c:pt idx="531">
                  <c:v>42018</c:v>
                </c:pt>
                <c:pt idx="532">
                  <c:v>42019</c:v>
                </c:pt>
                <c:pt idx="533">
                  <c:v>42020</c:v>
                </c:pt>
                <c:pt idx="534">
                  <c:v>42023</c:v>
                </c:pt>
                <c:pt idx="535">
                  <c:v>42024</c:v>
                </c:pt>
                <c:pt idx="536">
                  <c:v>42025</c:v>
                </c:pt>
                <c:pt idx="537">
                  <c:v>42026</c:v>
                </c:pt>
                <c:pt idx="538">
                  <c:v>42027</c:v>
                </c:pt>
                <c:pt idx="539">
                  <c:v>42030</c:v>
                </c:pt>
                <c:pt idx="540">
                  <c:v>42031</c:v>
                </c:pt>
                <c:pt idx="541">
                  <c:v>42032</c:v>
                </c:pt>
                <c:pt idx="542">
                  <c:v>42033</c:v>
                </c:pt>
                <c:pt idx="543">
                  <c:v>42034</c:v>
                </c:pt>
                <c:pt idx="544">
                  <c:v>42037</c:v>
                </c:pt>
                <c:pt idx="545">
                  <c:v>42038</c:v>
                </c:pt>
                <c:pt idx="546">
                  <c:v>42039</c:v>
                </c:pt>
                <c:pt idx="547">
                  <c:v>42040</c:v>
                </c:pt>
                <c:pt idx="548">
                  <c:v>42041</c:v>
                </c:pt>
                <c:pt idx="549">
                  <c:v>42044</c:v>
                </c:pt>
                <c:pt idx="550">
                  <c:v>42045</c:v>
                </c:pt>
                <c:pt idx="551">
                  <c:v>42046</c:v>
                </c:pt>
                <c:pt idx="552">
                  <c:v>42047</c:v>
                </c:pt>
                <c:pt idx="553">
                  <c:v>42048</c:v>
                </c:pt>
                <c:pt idx="554">
                  <c:v>42051</c:v>
                </c:pt>
                <c:pt idx="555">
                  <c:v>42052</c:v>
                </c:pt>
                <c:pt idx="556">
                  <c:v>42053</c:v>
                </c:pt>
                <c:pt idx="557">
                  <c:v>42054</c:v>
                </c:pt>
                <c:pt idx="558">
                  <c:v>42055</c:v>
                </c:pt>
                <c:pt idx="559">
                  <c:v>42058</c:v>
                </c:pt>
                <c:pt idx="560">
                  <c:v>42059</c:v>
                </c:pt>
                <c:pt idx="561">
                  <c:v>42060</c:v>
                </c:pt>
                <c:pt idx="562">
                  <c:v>42061</c:v>
                </c:pt>
                <c:pt idx="563">
                  <c:v>42062</c:v>
                </c:pt>
                <c:pt idx="564">
                  <c:v>42065</c:v>
                </c:pt>
                <c:pt idx="565">
                  <c:v>42066</c:v>
                </c:pt>
                <c:pt idx="566">
                  <c:v>42067</c:v>
                </c:pt>
                <c:pt idx="567">
                  <c:v>42068</c:v>
                </c:pt>
                <c:pt idx="568">
                  <c:v>42069</c:v>
                </c:pt>
                <c:pt idx="569">
                  <c:v>42072</c:v>
                </c:pt>
                <c:pt idx="570">
                  <c:v>42073</c:v>
                </c:pt>
                <c:pt idx="571">
                  <c:v>42074</c:v>
                </c:pt>
                <c:pt idx="572">
                  <c:v>42075</c:v>
                </c:pt>
                <c:pt idx="573">
                  <c:v>42076</c:v>
                </c:pt>
                <c:pt idx="574">
                  <c:v>42079</c:v>
                </c:pt>
                <c:pt idx="575">
                  <c:v>42080</c:v>
                </c:pt>
                <c:pt idx="576">
                  <c:v>42081</c:v>
                </c:pt>
                <c:pt idx="577">
                  <c:v>42082</c:v>
                </c:pt>
                <c:pt idx="578">
                  <c:v>42083</c:v>
                </c:pt>
                <c:pt idx="579">
                  <c:v>42086</c:v>
                </c:pt>
                <c:pt idx="580">
                  <c:v>42087</c:v>
                </c:pt>
                <c:pt idx="581">
                  <c:v>42088</c:v>
                </c:pt>
                <c:pt idx="582">
                  <c:v>42089</c:v>
                </c:pt>
                <c:pt idx="583">
                  <c:v>42090</c:v>
                </c:pt>
                <c:pt idx="584">
                  <c:v>42093</c:v>
                </c:pt>
                <c:pt idx="585">
                  <c:v>42094</c:v>
                </c:pt>
                <c:pt idx="586">
                  <c:v>42095</c:v>
                </c:pt>
                <c:pt idx="587">
                  <c:v>42096</c:v>
                </c:pt>
                <c:pt idx="588">
                  <c:v>42097</c:v>
                </c:pt>
                <c:pt idx="589">
                  <c:v>42100</c:v>
                </c:pt>
                <c:pt idx="590">
                  <c:v>42101</c:v>
                </c:pt>
                <c:pt idx="591">
                  <c:v>42102</c:v>
                </c:pt>
                <c:pt idx="592">
                  <c:v>42103</c:v>
                </c:pt>
                <c:pt idx="593">
                  <c:v>42104</c:v>
                </c:pt>
                <c:pt idx="594">
                  <c:v>42107</c:v>
                </c:pt>
                <c:pt idx="595">
                  <c:v>42108</c:v>
                </c:pt>
                <c:pt idx="596">
                  <c:v>42109</c:v>
                </c:pt>
                <c:pt idx="597">
                  <c:v>42110</c:v>
                </c:pt>
                <c:pt idx="598">
                  <c:v>42111</c:v>
                </c:pt>
                <c:pt idx="599">
                  <c:v>42114</c:v>
                </c:pt>
                <c:pt idx="600">
                  <c:v>42115</c:v>
                </c:pt>
                <c:pt idx="601">
                  <c:v>42116</c:v>
                </c:pt>
                <c:pt idx="602">
                  <c:v>42117</c:v>
                </c:pt>
                <c:pt idx="603">
                  <c:v>42118</c:v>
                </c:pt>
                <c:pt idx="604">
                  <c:v>42121</c:v>
                </c:pt>
                <c:pt idx="605">
                  <c:v>42122</c:v>
                </c:pt>
                <c:pt idx="606">
                  <c:v>42123</c:v>
                </c:pt>
                <c:pt idx="607">
                  <c:v>42124</c:v>
                </c:pt>
                <c:pt idx="608">
                  <c:v>42125</c:v>
                </c:pt>
                <c:pt idx="609">
                  <c:v>42128</c:v>
                </c:pt>
                <c:pt idx="610">
                  <c:v>42129</c:v>
                </c:pt>
                <c:pt idx="611">
                  <c:v>42130</c:v>
                </c:pt>
                <c:pt idx="612">
                  <c:v>42131</c:v>
                </c:pt>
                <c:pt idx="613">
                  <c:v>42132</c:v>
                </c:pt>
                <c:pt idx="614">
                  <c:v>42135</c:v>
                </c:pt>
                <c:pt idx="615">
                  <c:v>42136</c:v>
                </c:pt>
                <c:pt idx="616">
                  <c:v>42137</c:v>
                </c:pt>
                <c:pt idx="617">
                  <c:v>42138</c:v>
                </c:pt>
                <c:pt idx="618">
                  <c:v>42139</c:v>
                </c:pt>
                <c:pt idx="619">
                  <c:v>42142</c:v>
                </c:pt>
                <c:pt idx="620">
                  <c:v>42143</c:v>
                </c:pt>
                <c:pt idx="621">
                  <c:v>42144</c:v>
                </c:pt>
                <c:pt idx="622">
                  <c:v>42145</c:v>
                </c:pt>
                <c:pt idx="623">
                  <c:v>42146</c:v>
                </c:pt>
                <c:pt idx="624">
                  <c:v>42149</c:v>
                </c:pt>
                <c:pt idx="625">
                  <c:v>42150</c:v>
                </c:pt>
                <c:pt idx="626">
                  <c:v>42151</c:v>
                </c:pt>
                <c:pt idx="627">
                  <c:v>42152</c:v>
                </c:pt>
                <c:pt idx="628">
                  <c:v>42153</c:v>
                </c:pt>
                <c:pt idx="629">
                  <c:v>42156</c:v>
                </c:pt>
                <c:pt idx="630">
                  <c:v>42157</c:v>
                </c:pt>
                <c:pt idx="631">
                  <c:v>42158</c:v>
                </c:pt>
                <c:pt idx="632">
                  <c:v>42159</c:v>
                </c:pt>
                <c:pt idx="633">
                  <c:v>42160</c:v>
                </c:pt>
                <c:pt idx="634">
                  <c:v>42163</c:v>
                </c:pt>
                <c:pt idx="635">
                  <c:v>42164</c:v>
                </c:pt>
                <c:pt idx="636">
                  <c:v>42165</c:v>
                </c:pt>
                <c:pt idx="637">
                  <c:v>42166</c:v>
                </c:pt>
                <c:pt idx="638">
                  <c:v>42167</c:v>
                </c:pt>
                <c:pt idx="639">
                  <c:v>42170</c:v>
                </c:pt>
                <c:pt idx="640">
                  <c:v>42171</c:v>
                </c:pt>
                <c:pt idx="641">
                  <c:v>42172</c:v>
                </c:pt>
                <c:pt idx="642">
                  <c:v>42173</c:v>
                </c:pt>
                <c:pt idx="643">
                  <c:v>42174</c:v>
                </c:pt>
                <c:pt idx="644">
                  <c:v>42177</c:v>
                </c:pt>
                <c:pt idx="645">
                  <c:v>42178</c:v>
                </c:pt>
                <c:pt idx="646">
                  <c:v>42179</c:v>
                </c:pt>
                <c:pt idx="647">
                  <c:v>42180</c:v>
                </c:pt>
                <c:pt idx="648">
                  <c:v>42181</c:v>
                </c:pt>
                <c:pt idx="649">
                  <c:v>42184</c:v>
                </c:pt>
                <c:pt idx="650">
                  <c:v>42185</c:v>
                </c:pt>
                <c:pt idx="651">
                  <c:v>42186</c:v>
                </c:pt>
                <c:pt idx="652">
                  <c:v>42187</c:v>
                </c:pt>
                <c:pt idx="653">
                  <c:v>42188</c:v>
                </c:pt>
                <c:pt idx="654">
                  <c:v>42191</c:v>
                </c:pt>
                <c:pt idx="655">
                  <c:v>42192</c:v>
                </c:pt>
                <c:pt idx="656">
                  <c:v>42193</c:v>
                </c:pt>
                <c:pt idx="657">
                  <c:v>42194</c:v>
                </c:pt>
                <c:pt idx="658">
                  <c:v>42195</c:v>
                </c:pt>
                <c:pt idx="659">
                  <c:v>42198</c:v>
                </c:pt>
                <c:pt idx="660">
                  <c:v>42199</c:v>
                </c:pt>
                <c:pt idx="661">
                  <c:v>42200</c:v>
                </c:pt>
                <c:pt idx="662">
                  <c:v>42201</c:v>
                </c:pt>
                <c:pt idx="663">
                  <c:v>42202</c:v>
                </c:pt>
                <c:pt idx="664">
                  <c:v>42205</c:v>
                </c:pt>
                <c:pt idx="665">
                  <c:v>42206</c:v>
                </c:pt>
                <c:pt idx="666">
                  <c:v>42207</c:v>
                </c:pt>
                <c:pt idx="667">
                  <c:v>42208</c:v>
                </c:pt>
                <c:pt idx="668">
                  <c:v>42209</c:v>
                </c:pt>
                <c:pt idx="669">
                  <c:v>42212</c:v>
                </c:pt>
                <c:pt idx="670">
                  <c:v>42213</c:v>
                </c:pt>
                <c:pt idx="671">
                  <c:v>42214</c:v>
                </c:pt>
                <c:pt idx="672">
                  <c:v>42215</c:v>
                </c:pt>
                <c:pt idx="673">
                  <c:v>42216</c:v>
                </c:pt>
                <c:pt idx="674">
                  <c:v>42219</c:v>
                </c:pt>
                <c:pt idx="675">
                  <c:v>42220</c:v>
                </c:pt>
                <c:pt idx="676">
                  <c:v>42221</c:v>
                </c:pt>
                <c:pt idx="677">
                  <c:v>42222</c:v>
                </c:pt>
                <c:pt idx="678">
                  <c:v>42223</c:v>
                </c:pt>
                <c:pt idx="679">
                  <c:v>42226</c:v>
                </c:pt>
                <c:pt idx="680">
                  <c:v>42227</c:v>
                </c:pt>
                <c:pt idx="681">
                  <c:v>42228</c:v>
                </c:pt>
                <c:pt idx="682">
                  <c:v>42229</c:v>
                </c:pt>
                <c:pt idx="683">
                  <c:v>42230</c:v>
                </c:pt>
                <c:pt idx="684">
                  <c:v>42233</c:v>
                </c:pt>
                <c:pt idx="685">
                  <c:v>42234</c:v>
                </c:pt>
                <c:pt idx="686">
                  <c:v>42235</c:v>
                </c:pt>
                <c:pt idx="687">
                  <c:v>42236</c:v>
                </c:pt>
                <c:pt idx="688">
                  <c:v>42237</c:v>
                </c:pt>
                <c:pt idx="689">
                  <c:v>42240</c:v>
                </c:pt>
                <c:pt idx="690">
                  <c:v>42241</c:v>
                </c:pt>
                <c:pt idx="691">
                  <c:v>42242</c:v>
                </c:pt>
                <c:pt idx="692">
                  <c:v>42243</c:v>
                </c:pt>
                <c:pt idx="693">
                  <c:v>42244</c:v>
                </c:pt>
                <c:pt idx="694">
                  <c:v>42247</c:v>
                </c:pt>
                <c:pt idx="695">
                  <c:v>42248</c:v>
                </c:pt>
                <c:pt idx="696">
                  <c:v>42249</c:v>
                </c:pt>
                <c:pt idx="697">
                  <c:v>42250</c:v>
                </c:pt>
                <c:pt idx="698">
                  <c:v>42251</c:v>
                </c:pt>
                <c:pt idx="699">
                  <c:v>42254</c:v>
                </c:pt>
                <c:pt idx="700">
                  <c:v>42255</c:v>
                </c:pt>
                <c:pt idx="701">
                  <c:v>42256</c:v>
                </c:pt>
                <c:pt idx="702">
                  <c:v>42257</c:v>
                </c:pt>
                <c:pt idx="703">
                  <c:v>42258</c:v>
                </c:pt>
                <c:pt idx="704">
                  <c:v>42261</c:v>
                </c:pt>
                <c:pt idx="705">
                  <c:v>42262</c:v>
                </c:pt>
                <c:pt idx="706">
                  <c:v>42263</c:v>
                </c:pt>
                <c:pt idx="707">
                  <c:v>42264</c:v>
                </c:pt>
                <c:pt idx="708">
                  <c:v>42265</c:v>
                </c:pt>
                <c:pt idx="709">
                  <c:v>42268</c:v>
                </c:pt>
                <c:pt idx="710">
                  <c:v>42269</c:v>
                </c:pt>
                <c:pt idx="711">
                  <c:v>42270</c:v>
                </c:pt>
                <c:pt idx="712">
                  <c:v>42271</c:v>
                </c:pt>
                <c:pt idx="713">
                  <c:v>42272</c:v>
                </c:pt>
                <c:pt idx="714">
                  <c:v>42275</c:v>
                </c:pt>
                <c:pt idx="715">
                  <c:v>42276</c:v>
                </c:pt>
                <c:pt idx="716">
                  <c:v>42277</c:v>
                </c:pt>
                <c:pt idx="717">
                  <c:v>42278</c:v>
                </c:pt>
                <c:pt idx="718">
                  <c:v>42279</c:v>
                </c:pt>
                <c:pt idx="719">
                  <c:v>42282</c:v>
                </c:pt>
                <c:pt idx="720">
                  <c:v>42283</c:v>
                </c:pt>
                <c:pt idx="721">
                  <c:v>42284</c:v>
                </c:pt>
                <c:pt idx="722">
                  <c:v>42285</c:v>
                </c:pt>
                <c:pt idx="723">
                  <c:v>42286</c:v>
                </c:pt>
                <c:pt idx="724">
                  <c:v>42289</c:v>
                </c:pt>
                <c:pt idx="725">
                  <c:v>42290</c:v>
                </c:pt>
                <c:pt idx="726">
                  <c:v>42291</c:v>
                </c:pt>
                <c:pt idx="727">
                  <c:v>42292</c:v>
                </c:pt>
                <c:pt idx="728">
                  <c:v>42293</c:v>
                </c:pt>
                <c:pt idx="729">
                  <c:v>42296</c:v>
                </c:pt>
                <c:pt idx="730">
                  <c:v>42297</c:v>
                </c:pt>
                <c:pt idx="731">
                  <c:v>42298</c:v>
                </c:pt>
                <c:pt idx="732">
                  <c:v>42299</c:v>
                </c:pt>
                <c:pt idx="733">
                  <c:v>42300</c:v>
                </c:pt>
                <c:pt idx="734">
                  <c:v>42303</c:v>
                </c:pt>
                <c:pt idx="735">
                  <c:v>42304</c:v>
                </c:pt>
                <c:pt idx="736">
                  <c:v>42305</c:v>
                </c:pt>
                <c:pt idx="737">
                  <c:v>42306</c:v>
                </c:pt>
                <c:pt idx="738">
                  <c:v>42307</c:v>
                </c:pt>
                <c:pt idx="739">
                  <c:v>42310</c:v>
                </c:pt>
                <c:pt idx="740">
                  <c:v>42311</c:v>
                </c:pt>
                <c:pt idx="741">
                  <c:v>42312</c:v>
                </c:pt>
                <c:pt idx="742">
                  <c:v>42313</c:v>
                </c:pt>
                <c:pt idx="743">
                  <c:v>42314</c:v>
                </c:pt>
                <c:pt idx="744">
                  <c:v>42317</c:v>
                </c:pt>
                <c:pt idx="745">
                  <c:v>42318</c:v>
                </c:pt>
                <c:pt idx="746">
                  <c:v>42319</c:v>
                </c:pt>
                <c:pt idx="747">
                  <c:v>42320</c:v>
                </c:pt>
                <c:pt idx="748">
                  <c:v>42321</c:v>
                </c:pt>
                <c:pt idx="749">
                  <c:v>42324</c:v>
                </c:pt>
                <c:pt idx="750">
                  <c:v>42325</c:v>
                </c:pt>
                <c:pt idx="751">
                  <c:v>42326</c:v>
                </c:pt>
                <c:pt idx="752">
                  <c:v>42327</c:v>
                </c:pt>
                <c:pt idx="753">
                  <c:v>42328</c:v>
                </c:pt>
                <c:pt idx="754">
                  <c:v>42331</c:v>
                </c:pt>
                <c:pt idx="755">
                  <c:v>42332</c:v>
                </c:pt>
                <c:pt idx="756">
                  <c:v>42333</c:v>
                </c:pt>
                <c:pt idx="757">
                  <c:v>42334</c:v>
                </c:pt>
                <c:pt idx="758">
                  <c:v>42335</c:v>
                </c:pt>
                <c:pt idx="759">
                  <c:v>42338</c:v>
                </c:pt>
                <c:pt idx="760">
                  <c:v>42339</c:v>
                </c:pt>
                <c:pt idx="761">
                  <c:v>42340</c:v>
                </c:pt>
                <c:pt idx="762">
                  <c:v>42341</c:v>
                </c:pt>
                <c:pt idx="763">
                  <c:v>42342</c:v>
                </c:pt>
                <c:pt idx="764">
                  <c:v>42345</c:v>
                </c:pt>
                <c:pt idx="765">
                  <c:v>42346</c:v>
                </c:pt>
                <c:pt idx="766">
                  <c:v>42347</c:v>
                </c:pt>
                <c:pt idx="767">
                  <c:v>42348</c:v>
                </c:pt>
                <c:pt idx="768">
                  <c:v>42349</c:v>
                </c:pt>
                <c:pt idx="769">
                  <c:v>42352</c:v>
                </c:pt>
                <c:pt idx="770">
                  <c:v>42353</c:v>
                </c:pt>
                <c:pt idx="771">
                  <c:v>42354</c:v>
                </c:pt>
                <c:pt idx="772">
                  <c:v>42355</c:v>
                </c:pt>
                <c:pt idx="773">
                  <c:v>42356</c:v>
                </c:pt>
                <c:pt idx="774">
                  <c:v>42359</c:v>
                </c:pt>
                <c:pt idx="775">
                  <c:v>42360</c:v>
                </c:pt>
                <c:pt idx="776">
                  <c:v>42361</c:v>
                </c:pt>
                <c:pt idx="777">
                  <c:v>42362</c:v>
                </c:pt>
                <c:pt idx="778">
                  <c:v>42363</c:v>
                </c:pt>
                <c:pt idx="779">
                  <c:v>42366</c:v>
                </c:pt>
                <c:pt idx="780">
                  <c:v>42367</c:v>
                </c:pt>
                <c:pt idx="781">
                  <c:v>42368</c:v>
                </c:pt>
                <c:pt idx="782">
                  <c:v>42369</c:v>
                </c:pt>
                <c:pt idx="783">
                  <c:v>42370</c:v>
                </c:pt>
                <c:pt idx="784">
                  <c:v>42373</c:v>
                </c:pt>
                <c:pt idx="785">
                  <c:v>42374</c:v>
                </c:pt>
                <c:pt idx="786">
                  <c:v>42375</c:v>
                </c:pt>
                <c:pt idx="787">
                  <c:v>42376</c:v>
                </c:pt>
                <c:pt idx="788">
                  <c:v>42377</c:v>
                </c:pt>
                <c:pt idx="789">
                  <c:v>42380</c:v>
                </c:pt>
                <c:pt idx="790">
                  <c:v>42381</c:v>
                </c:pt>
                <c:pt idx="791">
                  <c:v>42382</c:v>
                </c:pt>
                <c:pt idx="792">
                  <c:v>42383</c:v>
                </c:pt>
                <c:pt idx="793">
                  <c:v>42384</c:v>
                </c:pt>
                <c:pt idx="794">
                  <c:v>42387</c:v>
                </c:pt>
                <c:pt idx="795">
                  <c:v>42388</c:v>
                </c:pt>
                <c:pt idx="796">
                  <c:v>42389</c:v>
                </c:pt>
                <c:pt idx="797">
                  <c:v>42390</c:v>
                </c:pt>
                <c:pt idx="798">
                  <c:v>42391</c:v>
                </c:pt>
                <c:pt idx="799">
                  <c:v>42394</c:v>
                </c:pt>
                <c:pt idx="800">
                  <c:v>42395</c:v>
                </c:pt>
                <c:pt idx="801">
                  <c:v>42396</c:v>
                </c:pt>
                <c:pt idx="802">
                  <c:v>42397</c:v>
                </c:pt>
                <c:pt idx="803">
                  <c:v>42398</c:v>
                </c:pt>
                <c:pt idx="804">
                  <c:v>42401</c:v>
                </c:pt>
                <c:pt idx="805">
                  <c:v>42402</c:v>
                </c:pt>
                <c:pt idx="806">
                  <c:v>42403</c:v>
                </c:pt>
                <c:pt idx="807">
                  <c:v>42404</c:v>
                </c:pt>
                <c:pt idx="808">
                  <c:v>42405</c:v>
                </c:pt>
                <c:pt idx="809">
                  <c:v>42408</c:v>
                </c:pt>
                <c:pt idx="810">
                  <c:v>42409</c:v>
                </c:pt>
                <c:pt idx="811">
                  <c:v>42410</c:v>
                </c:pt>
                <c:pt idx="812">
                  <c:v>42411</c:v>
                </c:pt>
                <c:pt idx="813">
                  <c:v>42412</c:v>
                </c:pt>
                <c:pt idx="814">
                  <c:v>42415</c:v>
                </c:pt>
                <c:pt idx="815">
                  <c:v>42416</c:v>
                </c:pt>
                <c:pt idx="816">
                  <c:v>42417</c:v>
                </c:pt>
                <c:pt idx="817">
                  <c:v>42418</c:v>
                </c:pt>
                <c:pt idx="818">
                  <c:v>42419</c:v>
                </c:pt>
                <c:pt idx="819">
                  <c:v>42422</c:v>
                </c:pt>
                <c:pt idx="820">
                  <c:v>42423</c:v>
                </c:pt>
                <c:pt idx="821">
                  <c:v>42424</c:v>
                </c:pt>
                <c:pt idx="822">
                  <c:v>42425</c:v>
                </c:pt>
                <c:pt idx="823">
                  <c:v>42426</c:v>
                </c:pt>
                <c:pt idx="824">
                  <c:v>42429</c:v>
                </c:pt>
                <c:pt idx="825">
                  <c:v>42430</c:v>
                </c:pt>
                <c:pt idx="826">
                  <c:v>42431</c:v>
                </c:pt>
                <c:pt idx="827">
                  <c:v>42432</c:v>
                </c:pt>
                <c:pt idx="828">
                  <c:v>42433</c:v>
                </c:pt>
                <c:pt idx="829">
                  <c:v>42436</c:v>
                </c:pt>
                <c:pt idx="830">
                  <c:v>42437</c:v>
                </c:pt>
                <c:pt idx="831">
                  <c:v>42438</c:v>
                </c:pt>
                <c:pt idx="832">
                  <c:v>42439</c:v>
                </c:pt>
                <c:pt idx="833">
                  <c:v>42440</c:v>
                </c:pt>
                <c:pt idx="834">
                  <c:v>42443</c:v>
                </c:pt>
                <c:pt idx="835">
                  <c:v>42444</c:v>
                </c:pt>
                <c:pt idx="836">
                  <c:v>42445</c:v>
                </c:pt>
                <c:pt idx="837">
                  <c:v>42446</c:v>
                </c:pt>
                <c:pt idx="838">
                  <c:v>42447</c:v>
                </c:pt>
                <c:pt idx="839">
                  <c:v>42450</c:v>
                </c:pt>
                <c:pt idx="840">
                  <c:v>42451</c:v>
                </c:pt>
                <c:pt idx="841">
                  <c:v>42452</c:v>
                </c:pt>
                <c:pt idx="842">
                  <c:v>42453</c:v>
                </c:pt>
                <c:pt idx="843">
                  <c:v>42454</c:v>
                </c:pt>
                <c:pt idx="844">
                  <c:v>42457</c:v>
                </c:pt>
                <c:pt idx="845">
                  <c:v>42458</c:v>
                </c:pt>
                <c:pt idx="846">
                  <c:v>42459</c:v>
                </c:pt>
                <c:pt idx="847">
                  <c:v>42460</c:v>
                </c:pt>
                <c:pt idx="848">
                  <c:v>42461</c:v>
                </c:pt>
                <c:pt idx="849">
                  <c:v>42464</c:v>
                </c:pt>
                <c:pt idx="850">
                  <c:v>42465</c:v>
                </c:pt>
                <c:pt idx="851">
                  <c:v>42466</c:v>
                </c:pt>
                <c:pt idx="852">
                  <c:v>42467</c:v>
                </c:pt>
                <c:pt idx="853">
                  <c:v>42468</c:v>
                </c:pt>
                <c:pt idx="854">
                  <c:v>42471</c:v>
                </c:pt>
                <c:pt idx="855">
                  <c:v>42472</c:v>
                </c:pt>
                <c:pt idx="856">
                  <c:v>42473</c:v>
                </c:pt>
                <c:pt idx="857">
                  <c:v>42474</c:v>
                </c:pt>
                <c:pt idx="858">
                  <c:v>42475</c:v>
                </c:pt>
                <c:pt idx="859">
                  <c:v>42478</c:v>
                </c:pt>
                <c:pt idx="860">
                  <c:v>42479</c:v>
                </c:pt>
                <c:pt idx="861">
                  <c:v>42480</c:v>
                </c:pt>
                <c:pt idx="862">
                  <c:v>42481</c:v>
                </c:pt>
                <c:pt idx="863">
                  <c:v>42482</c:v>
                </c:pt>
                <c:pt idx="864">
                  <c:v>42485</c:v>
                </c:pt>
                <c:pt idx="865">
                  <c:v>42486</c:v>
                </c:pt>
                <c:pt idx="866">
                  <c:v>42487</c:v>
                </c:pt>
                <c:pt idx="867">
                  <c:v>42488</c:v>
                </c:pt>
                <c:pt idx="868">
                  <c:v>42489</c:v>
                </c:pt>
                <c:pt idx="869">
                  <c:v>42492</c:v>
                </c:pt>
                <c:pt idx="870">
                  <c:v>42493</c:v>
                </c:pt>
                <c:pt idx="871">
                  <c:v>42494</c:v>
                </c:pt>
                <c:pt idx="872">
                  <c:v>42495</c:v>
                </c:pt>
                <c:pt idx="873">
                  <c:v>42496</c:v>
                </c:pt>
                <c:pt idx="874">
                  <c:v>42499</c:v>
                </c:pt>
                <c:pt idx="875">
                  <c:v>42500</c:v>
                </c:pt>
                <c:pt idx="876">
                  <c:v>42501</c:v>
                </c:pt>
                <c:pt idx="877">
                  <c:v>42502</c:v>
                </c:pt>
                <c:pt idx="878">
                  <c:v>42503</c:v>
                </c:pt>
                <c:pt idx="879">
                  <c:v>42506</c:v>
                </c:pt>
                <c:pt idx="880">
                  <c:v>42507</c:v>
                </c:pt>
                <c:pt idx="881">
                  <c:v>42508</c:v>
                </c:pt>
                <c:pt idx="882">
                  <c:v>42509</c:v>
                </c:pt>
                <c:pt idx="883">
                  <c:v>42510</c:v>
                </c:pt>
                <c:pt idx="884">
                  <c:v>42513</c:v>
                </c:pt>
                <c:pt idx="885">
                  <c:v>42514</c:v>
                </c:pt>
                <c:pt idx="886">
                  <c:v>42515</c:v>
                </c:pt>
                <c:pt idx="887">
                  <c:v>42516</c:v>
                </c:pt>
                <c:pt idx="888">
                  <c:v>42517</c:v>
                </c:pt>
                <c:pt idx="889">
                  <c:v>42520</c:v>
                </c:pt>
                <c:pt idx="890">
                  <c:v>42521</c:v>
                </c:pt>
                <c:pt idx="891">
                  <c:v>42522</c:v>
                </c:pt>
                <c:pt idx="892">
                  <c:v>42523</c:v>
                </c:pt>
                <c:pt idx="893">
                  <c:v>42524</c:v>
                </c:pt>
                <c:pt idx="894">
                  <c:v>42527</c:v>
                </c:pt>
                <c:pt idx="895">
                  <c:v>42528</c:v>
                </c:pt>
                <c:pt idx="896">
                  <c:v>42529</c:v>
                </c:pt>
                <c:pt idx="897">
                  <c:v>42530</c:v>
                </c:pt>
                <c:pt idx="898">
                  <c:v>42531</c:v>
                </c:pt>
                <c:pt idx="899">
                  <c:v>42534</c:v>
                </c:pt>
                <c:pt idx="900">
                  <c:v>42535</c:v>
                </c:pt>
                <c:pt idx="901">
                  <c:v>42536</c:v>
                </c:pt>
                <c:pt idx="902">
                  <c:v>42537</c:v>
                </c:pt>
                <c:pt idx="903">
                  <c:v>42538</c:v>
                </c:pt>
                <c:pt idx="904">
                  <c:v>42541</c:v>
                </c:pt>
                <c:pt idx="905">
                  <c:v>42542</c:v>
                </c:pt>
                <c:pt idx="906">
                  <c:v>42543</c:v>
                </c:pt>
                <c:pt idx="907">
                  <c:v>42544</c:v>
                </c:pt>
                <c:pt idx="908">
                  <c:v>42545</c:v>
                </c:pt>
                <c:pt idx="909">
                  <c:v>42548</c:v>
                </c:pt>
                <c:pt idx="910">
                  <c:v>42549</c:v>
                </c:pt>
                <c:pt idx="911">
                  <c:v>42550</c:v>
                </c:pt>
                <c:pt idx="912">
                  <c:v>42551</c:v>
                </c:pt>
                <c:pt idx="913">
                  <c:v>42552</c:v>
                </c:pt>
                <c:pt idx="914">
                  <c:v>42555</c:v>
                </c:pt>
                <c:pt idx="915">
                  <c:v>42556</c:v>
                </c:pt>
                <c:pt idx="916">
                  <c:v>42557</c:v>
                </c:pt>
                <c:pt idx="917">
                  <c:v>42558</c:v>
                </c:pt>
                <c:pt idx="918">
                  <c:v>42559</c:v>
                </c:pt>
                <c:pt idx="919">
                  <c:v>42562</c:v>
                </c:pt>
                <c:pt idx="920">
                  <c:v>42563</c:v>
                </c:pt>
                <c:pt idx="921">
                  <c:v>42564</c:v>
                </c:pt>
                <c:pt idx="922">
                  <c:v>42565</c:v>
                </c:pt>
                <c:pt idx="923">
                  <c:v>42566</c:v>
                </c:pt>
                <c:pt idx="924">
                  <c:v>42569</c:v>
                </c:pt>
                <c:pt idx="925">
                  <c:v>42570</c:v>
                </c:pt>
                <c:pt idx="926">
                  <c:v>42571</c:v>
                </c:pt>
                <c:pt idx="927">
                  <c:v>42572</c:v>
                </c:pt>
                <c:pt idx="928">
                  <c:v>42573</c:v>
                </c:pt>
                <c:pt idx="929">
                  <c:v>42576</c:v>
                </c:pt>
                <c:pt idx="930">
                  <c:v>42577</c:v>
                </c:pt>
                <c:pt idx="931">
                  <c:v>42578</c:v>
                </c:pt>
                <c:pt idx="932">
                  <c:v>42579</c:v>
                </c:pt>
                <c:pt idx="933">
                  <c:v>42580</c:v>
                </c:pt>
                <c:pt idx="934">
                  <c:v>42583</c:v>
                </c:pt>
                <c:pt idx="935">
                  <c:v>42584</c:v>
                </c:pt>
                <c:pt idx="936">
                  <c:v>42585</c:v>
                </c:pt>
                <c:pt idx="937">
                  <c:v>42586</c:v>
                </c:pt>
                <c:pt idx="938">
                  <c:v>42587</c:v>
                </c:pt>
                <c:pt idx="939">
                  <c:v>42590</c:v>
                </c:pt>
                <c:pt idx="940">
                  <c:v>42591</c:v>
                </c:pt>
                <c:pt idx="941">
                  <c:v>42592</c:v>
                </c:pt>
                <c:pt idx="942">
                  <c:v>42593</c:v>
                </c:pt>
                <c:pt idx="943">
                  <c:v>42594</c:v>
                </c:pt>
                <c:pt idx="944">
                  <c:v>42597</c:v>
                </c:pt>
                <c:pt idx="945">
                  <c:v>42598</c:v>
                </c:pt>
                <c:pt idx="946">
                  <c:v>42599</c:v>
                </c:pt>
                <c:pt idx="947">
                  <c:v>42600</c:v>
                </c:pt>
                <c:pt idx="948">
                  <c:v>42601</c:v>
                </c:pt>
                <c:pt idx="949">
                  <c:v>42604</c:v>
                </c:pt>
                <c:pt idx="950">
                  <c:v>42605</c:v>
                </c:pt>
                <c:pt idx="951">
                  <c:v>42606</c:v>
                </c:pt>
                <c:pt idx="952">
                  <c:v>42607</c:v>
                </c:pt>
                <c:pt idx="953">
                  <c:v>42608</c:v>
                </c:pt>
                <c:pt idx="954">
                  <c:v>42611</c:v>
                </c:pt>
                <c:pt idx="955">
                  <c:v>42612</c:v>
                </c:pt>
                <c:pt idx="956">
                  <c:v>42613</c:v>
                </c:pt>
                <c:pt idx="957">
                  <c:v>42614</c:v>
                </c:pt>
                <c:pt idx="958">
                  <c:v>42615</c:v>
                </c:pt>
                <c:pt idx="959">
                  <c:v>42618</c:v>
                </c:pt>
                <c:pt idx="960">
                  <c:v>42619</c:v>
                </c:pt>
                <c:pt idx="961">
                  <c:v>42620</c:v>
                </c:pt>
                <c:pt idx="962">
                  <c:v>42621</c:v>
                </c:pt>
                <c:pt idx="963">
                  <c:v>42622</c:v>
                </c:pt>
                <c:pt idx="964">
                  <c:v>42625</c:v>
                </c:pt>
                <c:pt idx="965">
                  <c:v>42626</c:v>
                </c:pt>
                <c:pt idx="966">
                  <c:v>42627</c:v>
                </c:pt>
                <c:pt idx="967">
                  <c:v>42628</c:v>
                </c:pt>
                <c:pt idx="968">
                  <c:v>42629</c:v>
                </c:pt>
                <c:pt idx="969">
                  <c:v>42632</c:v>
                </c:pt>
                <c:pt idx="970">
                  <c:v>42633</c:v>
                </c:pt>
              </c:numCache>
            </c:numRef>
          </c:cat>
          <c:val>
            <c:numRef>
              <c:f>[0]!longExoRange</c:f>
              <c:numCache>
                <c:formatCode>General</c:formatCode>
                <c:ptCount val="971"/>
                <c:pt idx="0">
                  <c:v>0</c:v>
                </c:pt>
                <c:pt idx="1">
                  <c:v>-8500</c:v>
                </c:pt>
                <c:pt idx="2">
                  <c:v>-8000</c:v>
                </c:pt>
                <c:pt idx="3">
                  <c:v>-11750</c:v>
                </c:pt>
                <c:pt idx="4">
                  <c:v>-10875</c:v>
                </c:pt>
                <c:pt idx="5">
                  <c:v>-7500</c:v>
                </c:pt>
                <c:pt idx="6">
                  <c:v>-6250</c:v>
                </c:pt>
                <c:pt idx="7">
                  <c:v>-4375</c:v>
                </c:pt>
                <c:pt idx="8">
                  <c:v>4125</c:v>
                </c:pt>
                <c:pt idx="9">
                  <c:v>8000</c:v>
                </c:pt>
                <c:pt idx="10">
                  <c:v>12500</c:v>
                </c:pt>
                <c:pt idx="11">
                  <c:v>11250</c:v>
                </c:pt>
                <c:pt idx="12">
                  <c:v>10375</c:v>
                </c:pt>
                <c:pt idx="13">
                  <c:v>10875</c:v>
                </c:pt>
                <c:pt idx="14">
                  <c:v>10625</c:v>
                </c:pt>
                <c:pt idx="15">
                  <c:v>11875</c:v>
                </c:pt>
                <c:pt idx="16">
                  <c:v>8375</c:v>
                </c:pt>
                <c:pt idx="17">
                  <c:v>7375</c:v>
                </c:pt>
                <c:pt idx="18">
                  <c:v>7000</c:v>
                </c:pt>
                <c:pt idx="19">
                  <c:v>8500</c:v>
                </c:pt>
                <c:pt idx="20">
                  <c:v>12125</c:v>
                </c:pt>
                <c:pt idx="21">
                  <c:v>16875</c:v>
                </c:pt>
                <c:pt idx="22">
                  <c:v>16500</c:v>
                </c:pt>
                <c:pt idx="23">
                  <c:v>15630</c:v>
                </c:pt>
                <c:pt idx="24">
                  <c:v>13255</c:v>
                </c:pt>
                <c:pt idx="25">
                  <c:v>10130</c:v>
                </c:pt>
                <c:pt idx="26">
                  <c:v>8255</c:v>
                </c:pt>
                <c:pt idx="27">
                  <c:v>3755</c:v>
                </c:pt>
                <c:pt idx="28">
                  <c:v>2755</c:v>
                </c:pt>
                <c:pt idx="29">
                  <c:v>-2495</c:v>
                </c:pt>
                <c:pt idx="30">
                  <c:v>-6495</c:v>
                </c:pt>
                <c:pt idx="31">
                  <c:v>-6995</c:v>
                </c:pt>
                <c:pt idx="32">
                  <c:v>-7995</c:v>
                </c:pt>
                <c:pt idx="33">
                  <c:v>-4745</c:v>
                </c:pt>
                <c:pt idx="34">
                  <c:v>-3870</c:v>
                </c:pt>
                <c:pt idx="35">
                  <c:v>-6745</c:v>
                </c:pt>
                <c:pt idx="36">
                  <c:v>-3870</c:v>
                </c:pt>
                <c:pt idx="37">
                  <c:v>-7370</c:v>
                </c:pt>
                <c:pt idx="38">
                  <c:v>-7995</c:v>
                </c:pt>
                <c:pt idx="39">
                  <c:v>-7745</c:v>
                </c:pt>
                <c:pt idx="40">
                  <c:v>-4495</c:v>
                </c:pt>
                <c:pt idx="41">
                  <c:v>-2870</c:v>
                </c:pt>
                <c:pt idx="42">
                  <c:v>1255</c:v>
                </c:pt>
                <c:pt idx="43">
                  <c:v>3135</c:v>
                </c:pt>
                <c:pt idx="44">
                  <c:v>-1365</c:v>
                </c:pt>
                <c:pt idx="45">
                  <c:v>2510</c:v>
                </c:pt>
                <c:pt idx="46">
                  <c:v>-4240</c:v>
                </c:pt>
                <c:pt idx="47">
                  <c:v>-8365</c:v>
                </c:pt>
                <c:pt idx="48">
                  <c:v>-1365</c:v>
                </c:pt>
                <c:pt idx="49">
                  <c:v>5510</c:v>
                </c:pt>
                <c:pt idx="50">
                  <c:v>6760</c:v>
                </c:pt>
                <c:pt idx="51">
                  <c:v>3635</c:v>
                </c:pt>
                <c:pt idx="52">
                  <c:v>6510</c:v>
                </c:pt>
                <c:pt idx="53">
                  <c:v>7135</c:v>
                </c:pt>
                <c:pt idx="54">
                  <c:v>7260</c:v>
                </c:pt>
                <c:pt idx="55">
                  <c:v>11760</c:v>
                </c:pt>
                <c:pt idx="56">
                  <c:v>14385</c:v>
                </c:pt>
                <c:pt idx="57">
                  <c:v>15885</c:v>
                </c:pt>
                <c:pt idx="58">
                  <c:v>12385</c:v>
                </c:pt>
                <c:pt idx="59">
                  <c:v>14260</c:v>
                </c:pt>
                <c:pt idx="60">
                  <c:v>13010</c:v>
                </c:pt>
                <c:pt idx="61">
                  <c:v>17010</c:v>
                </c:pt>
                <c:pt idx="62">
                  <c:v>-3490</c:v>
                </c:pt>
                <c:pt idx="63">
                  <c:v>-13990</c:v>
                </c:pt>
                <c:pt idx="64">
                  <c:v>-27990</c:v>
                </c:pt>
                <c:pt idx="65">
                  <c:v>-33615</c:v>
                </c:pt>
                <c:pt idx="66">
                  <c:v>-31365</c:v>
                </c:pt>
                <c:pt idx="67">
                  <c:v>-34865</c:v>
                </c:pt>
                <c:pt idx="68">
                  <c:v>-36365</c:v>
                </c:pt>
                <c:pt idx="69">
                  <c:v>-34740</c:v>
                </c:pt>
                <c:pt idx="70">
                  <c:v>-29365</c:v>
                </c:pt>
                <c:pt idx="71">
                  <c:v>-28490</c:v>
                </c:pt>
                <c:pt idx="72">
                  <c:v>-24490</c:v>
                </c:pt>
                <c:pt idx="73">
                  <c:v>-22865</c:v>
                </c:pt>
                <c:pt idx="74">
                  <c:v>-26615</c:v>
                </c:pt>
                <c:pt idx="75">
                  <c:v>-20990</c:v>
                </c:pt>
                <c:pt idx="76">
                  <c:v>-21365</c:v>
                </c:pt>
                <c:pt idx="77">
                  <c:v>-28115</c:v>
                </c:pt>
                <c:pt idx="78">
                  <c:v>-25990</c:v>
                </c:pt>
                <c:pt idx="79">
                  <c:v>-28490</c:v>
                </c:pt>
                <c:pt idx="80">
                  <c:v>-30865</c:v>
                </c:pt>
                <c:pt idx="81">
                  <c:v>-32240</c:v>
                </c:pt>
                <c:pt idx="82">
                  <c:v>-29115</c:v>
                </c:pt>
                <c:pt idx="83">
                  <c:v>-30865</c:v>
                </c:pt>
                <c:pt idx="84">
                  <c:v>-11365</c:v>
                </c:pt>
                <c:pt idx="85">
                  <c:v>-13865</c:v>
                </c:pt>
                <c:pt idx="86">
                  <c:v>-16485</c:v>
                </c:pt>
                <c:pt idx="87">
                  <c:v>-10860</c:v>
                </c:pt>
                <c:pt idx="88">
                  <c:v>-10360</c:v>
                </c:pt>
                <c:pt idx="89">
                  <c:v>-22360</c:v>
                </c:pt>
                <c:pt idx="90">
                  <c:v>-19485</c:v>
                </c:pt>
                <c:pt idx="91">
                  <c:v>-25110</c:v>
                </c:pt>
                <c:pt idx="92">
                  <c:v>-15360</c:v>
                </c:pt>
                <c:pt idx="93">
                  <c:v>-23235</c:v>
                </c:pt>
                <c:pt idx="94">
                  <c:v>-13360</c:v>
                </c:pt>
                <c:pt idx="95">
                  <c:v>-15610</c:v>
                </c:pt>
                <c:pt idx="96">
                  <c:v>-16485</c:v>
                </c:pt>
                <c:pt idx="97">
                  <c:v>-19985</c:v>
                </c:pt>
                <c:pt idx="98">
                  <c:v>-14985</c:v>
                </c:pt>
                <c:pt idx="99">
                  <c:v>-17235</c:v>
                </c:pt>
                <c:pt idx="100">
                  <c:v>-22735</c:v>
                </c:pt>
                <c:pt idx="101">
                  <c:v>-13110</c:v>
                </c:pt>
                <c:pt idx="102">
                  <c:v>-9860</c:v>
                </c:pt>
                <c:pt idx="103">
                  <c:v>-11485</c:v>
                </c:pt>
                <c:pt idx="104">
                  <c:v>-12485</c:v>
                </c:pt>
                <c:pt idx="105">
                  <c:v>-8485</c:v>
                </c:pt>
                <c:pt idx="106">
                  <c:v>-8735</c:v>
                </c:pt>
                <c:pt idx="107">
                  <c:v>-14735</c:v>
                </c:pt>
                <c:pt idx="108">
                  <c:v>-9860</c:v>
                </c:pt>
                <c:pt idx="109">
                  <c:v>-11735</c:v>
                </c:pt>
                <c:pt idx="110">
                  <c:v>-13485</c:v>
                </c:pt>
                <c:pt idx="111">
                  <c:v>-10485</c:v>
                </c:pt>
                <c:pt idx="112">
                  <c:v>-10485</c:v>
                </c:pt>
                <c:pt idx="113">
                  <c:v>-8360</c:v>
                </c:pt>
                <c:pt idx="114">
                  <c:v>-16485</c:v>
                </c:pt>
                <c:pt idx="115">
                  <c:v>-13110</c:v>
                </c:pt>
                <c:pt idx="116">
                  <c:v>-16360</c:v>
                </c:pt>
                <c:pt idx="117">
                  <c:v>-18985</c:v>
                </c:pt>
                <c:pt idx="118">
                  <c:v>-13860</c:v>
                </c:pt>
                <c:pt idx="119">
                  <c:v>-8985</c:v>
                </c:pt>
                <c:pt idx="120">
                  <c:v>-5985</c:v>
                </c:pt>
                <c:pt idx="121">
                  <c:v>-485</c:v>
                </c:pt>
                <c:pt idx="122">
                  <c:v>-4235</c:v>
                </c:pt>
                <c:pt idx="123">
                  <c:v>-5735</c:v>
                </c:pt>
                <c:pt idx="124">
                  <c:v>-13360</c:v>
                </c:pt>
                <c:pt idx="125">
                  <c:v>-14735</c:v>
                </c:pt>
                <c:pt idx="126">
                  <c:v>-15985</c:v>
                </c:pt>
                <c:pt idx="127">
                  <c:v>-17860</c:v>
                </c:pt>
                <c:pt idx="128">
                  <c:v>-28485</c:v>
                </c:pt>
                <c:pt idx="129">
                  <c:v>-37230</c:v>
                </c:pt>
                <c:pt idx="130">
                  <c:v>-37605</c:v>
                </c:pt>
                <c:pt idx="131">
                  <c:v>-37480</c:v>
                </c:pt>
                <c:pt idx="132">
                  <c:v>-36105</c:v>
                </c:pt>
                <c:pt idx="133">
                  <c:v>-39980</c:v>
                </c:pt>
                <c:pt idx="134">
                  <c:v>-36230</c:v>
                </c:pt>
                <c:pt idx="135">
                  <c:v>-29855</c:v>
                </c:pt>
                <c:pt idx="136">
                  <c:v>-27980</c:v>
                </c:pt>
                <c:pt idx="137">
                  <c:v>-23480</c:v>
                </c:pt>
                <c:pt idx="138">
                  <c:v>-29355</c:v>
                </c:pt>
                <c:pt idx="139">
                  <c:v>-35230</c:v>
                </c:pt>
                <c:pt idx="140">
                  <c:v>-31480</c:v>
                </c:pt>
                <c:pt idx="141">
                  <c:v>-34230</c:v>
                </c:pt>
                <c:pt idx="142">
                  <c:v>-33355</c:v>
                </c:pt>
                <c:pt idx="143">
                  <c:v>-31605</c:v>
                </c:pt>
                <c:pt idx="144">
                  <c:v>-32980</c:v>
                </c:pt>
                <c:pt idx="145">
                  <c:v>-41730</c:v>
                </c:pt>
                <c:pt idx="146">
                  <c:v>-49355</c:v>
                </c:pt>
                <c:pt idx="147">
                  <c:v>-55730</c:v>
                </c:pt>
                <c:pt idx="148">
                  <c:v>-56605</c:v>
                </c:pt>
                <c:pt idx="149">
                  <c:v>-59355</c:v>
                </c:pt>
                <c:pt idx="150">
                  <c:v>-57355</c:v>
                </c:pt>
                <c:pt idx="151">
                  <c:v>-54230</c:v>
                </c:pt>
                <c:pt idx="152">
                  <c:v>-59980</c:v>
                </c:pt>
                <c:pt idx="153">
                  <c:v>-64605</c:v>
                </c:pt>
                <c:pt idx="154">
                  <c:v>-69355</c:v>
                </c:pt>
                <c:pt idx="155">
                  <c:v>-67855</c:v>
                </c:pt>
                <c:pt idx="156">
                  <c:v>-69355</c:v>
                </c:pt>
                <c:pt idx="157">
                  <c:v>-68105</c:v>
                </c:pt>
                <c:pt idx="158">
                  <c:v>-69855</c:v>
                </c:pt>
                <c:pt idx="159">
                  <c:v>-66730</c:v>
                </c:pt>
                <c:pt idx="160">
                  <c:v>-74355</c:v>
                </c:pt>
                <c:pt idx="161">
                  <c:v>-72480</c:v>
                </c:pt>
                <c:pt idx="162">
                  <c:v>-64355</c:v>
                </c:pt>
                <c:pt idx="163">
                  <c:v>-66980</c:v>
                </c:pt>
                <c:pt idx="164">
                  <c:v>-58980</c:v>
                </c:pt>
                <c:pt idx="165">
                  <c:v>-60480</c:v>
                </c:pt>
                <c:pt idx="166">
                  <c:v>-54355</c:v>
                </c:pt>
                <c:pt idx="167">
                  <c:v>-63105</c:v>
                </c:pt>
                <c:pt idx="168">
                  <c:v>-60855</c:v>
                </c:pt>
                <c:pt idx="169">
                  <c:v>-43230</c:v>
                </c:pt>
                <c:pt idx="170">
                  <c:v>-50605</c:v>
                </c:pt>
                <c:pt idx="171">
                  <c:v>-55980</c:v>
                </c:pt>
                <c:pt idx="172">
                  <c:v>-56105</c:v>
                </c:pt>
                <c:pt idx="173">
                  <c:v>-57105</c:v>
                </c:pt>
                <c:pt idx="174">
                  <c:v>-55475</c:v>
                </c:pt>
                <c:pt idx="175">
                  <c:v>-60100</c:v>
                </c:pt>
                <c:pt idx="176">
                  <c:v>-62350</c:v>
                </c:pt>
                <c:pt idx="177">
                  <c:v>-66850</c:v>
                </c:pt>
                <c:pt idx="178">
                  <c:v>-62850</c:v>
                </c:pt>
                <c:pt idx="179">
                  <c:v>-64725</c:v>
                </c:pt>
                <c:pt idx="180">
                  <c:v>-62225</c:v>
                </c:pt>
                <c:pt idx="181">
                  <c:v>-61725</c:v>
                </c:pt>
                <c:pt idx="182">
                  <c:v>-66225</c:v>
                </c:pt>
                <c:pt idx="183">
                  <c:v>-66350</c:v>
                </c:pt>
                <c:pt idx="184">
                  <c:v>-68225</c:v>
                </c:pt>
                <c:pt idx="185">
                  <c:v>-68600</c:v>
                </c:pt>
                <c:pt idx="186">
                  <c:v>-69350</c:v>
                </c:pt>
                <c:pt idx="187">
                  <c:v>-67850</c:v>
                </c:pt>
                <c:pt idx="188">
                  <c:v>-70850</c:v>
                </c:pt>
                <c:pt idx="189">
                  <c:v>-70350</c:v>
                </c:pt>
                <c:pt idx="190">
                  <c:v>-72225</c:v>
                </c:pt>
                <c:pt idx="191">
                  <c:v>-68225</c:v>
                </c:pt>
                <c:pt idx="192">
                  <c:v>-68850</c:v>
                </c:pt>
                <c:pt idx="193">
                  <c:v>-69225</c:v>
                </c:pt>
                <c:pt idx="194">
                  <c:v>-74100</c:v>
                </c:pt>
                <c:pt idx="195">
                  <c:v>-77725</c:v>
                </c:pt>
                <c:pt idx="196">
                  <c:v>-76725</c:v>
                </c:pt>
                <c:pt idx="197">
                  <c:v>-75725</c:v>
                </c:pt>
                <c:pt idx="198">
                  <c:v>-74600</c:v>
                </c:pt>
                <c:pt idx="199">
                  <c:v>-72475</c:v>
                </c:pt>
                <c:pt idx="200">
                  <c:v>-75600</c:v>
                </c:pt>
                <c:pt idx="201">
                  <c:v>-74600</c:v>
                </c:pt>
                <c:pt idx="202">
                  <c:v>-77475</c:v>
                </c:pt>
                <c:pt idx="203">
                  <c:v>-79225</c:v>
                </c:pt>
                <c:pt idx="204">
                  <c:v>-78350</c:v>
                </c:pt>
                <c:pt idx="205">
                  <c:v>-74975</c:v>
                </c:pt>
                <c:pt idx="206">
                  <c:v>-75225</c:v>
                </c:pt>
                <c:pt idx="207">
                  <c:v>-75225</c:v>
                </c:pt>
                <c:pt idx="208">
                  <c:v>-74850</c:v>
                </c:pt>
                <c:pt idx="209">
                  <c:v>-74725</c:v>
                </c:pt>
                <c:pt idx="210">
                  <c:v>-76225</c:v>
                </c:pt>
                <c:pt idx="211">
                  <c:v>-74725</c:v>
                </c:pt>
                <c:pt idx="212">
                  <c:v>-76475</c:v>
                </c:pt>
                <c:pt idx="213">
                  <c:v>-76100</c:v>
                </c:pt>
                <c:pt idx="214">
                  <c:v>-80725</c:v>
                </c:pt>
                <c:pt idx="215">
                  <c:v>-80975</c:v>
                </c:pt>
                <c:pt idx="216">
                  <c:v>-80975</c:v>
                </c:pt>
                <c:pt idx="217">
                  <c:v>-82725</c:v>
                </c:pt>
                <c:pt idx="218">
                  <c:v>-82475</c:v>
                </c:pt>
                <c:pt idx="219">
                  <c:v>-82975</c:v>
                </c:pt>
                <c:pt idx="220">
                  <c:v>-83975</c:v>
                </c:pt>
                <c:pt idx="221">
                  <c:v>-85725</c:v>
                </c:pt>
                <c:pt idx="222">
                  <c:v>-85725</c:v>
                </c:pt>
                <c:pt idx="223">
                  <c:v>-83975</c:v>
                </c:pt>
                <c:pt idx="224">
                  <c:v>-78225</c:v>
                </c:pt>
                <c:pt idx="225">
                  <c:v>-79350</c:v>
                </c:pt>
                <c:pt idx="226">
                  <c:v>-81225</c:v>
                </c:pt>
                <c:pt idx="227">
                  <c:v>-83350</c:v>
                </c:pt>
                <c:pt idx="228">
                  <c:v>-84225</c:v>
                </c:pt>
                <c:pt idx="229">
                  <c:v>-89725</c:v>
                </c:pt>
                <c:pt idx="230">
                  <c:v>-88600</c:v>
                </c:pt>
                <c:pt idx="231">
                  <c:v>-87600</c:v>
                </c:pt>
                <c:pt idx="232">
                  <c:v>-85975</c:v>
                </c:pt>
                <c:pt idx="233">
                  <c:v>-85600</c:v>
                </c:pt>
                <c:pt idx="234">
                  <c:v>-85475</c:v>
                </c:pt>
                <c:pt idx="235">
                  <c:v>-88100</c:v>
                </c:pt>
                <c:pt idx="236">
                  <c:v>-87100</c:v>
                </c:pt>
                <c:pt idx="237">
                  <c:v>-87725</c:v>
                </c:pt>
                <c:pt idx="238">
                  <c:v>-88225</c:v>
                </c:pt>
                <c:pt idx="239">
                  <c:v>-88720</c:v>
                </c:pt>
                <c:pt idx="240">
                  <c:v>-85345</c:v>
                </c:pt>
                <c:pt idx="241">
                  <c:v>-82595</c:v>
                </c:pt>
                <c:pt idx="242">
                  <c:v>-83220</c:v>
                </c:pt>
                <c:pt idx="243">
                  <c:v>-84595</c:v>
                </c:pt>
                <c:pt idx="244">
                  <c:v>-81845</c:v>
                </c:pt>
                <c:pt idx="245">
                  <c:v>-82720</c:v>
                </c:pt>
                <c:pt idx="246">
                  <c:v>-81220</c:v>
                </c:pt>
                <c:pt idx="247">
                  <c:v>-84095</c:v>
                </c:pt>
                <c:pt idx="248">
                  <c:v>-87470</c:v>
                </c:pt>
                <c:pt idx="249">
                  <c:v>-88095</c:v>
                </c:pt>
                <c:pt idx="250">
                  <c:v>-87095</c:v>
                </c:pt>
                <c:pt idx="251">
                  <c:v>-88095</c:v>
                </c:pt>
                <c:pt idx="252">
                  <c:v>-85970</c:v>
                </c:pt>
                <c:pt idx="253">
                  <c:v>-84345</c:v>
                </c:pt>
                <c:pt idx="254">
                  <c:v>-83470</c:v>
                </c:pt>
                <c:pt idx="255">
                  <c:v>-83345</c:v>
                </c:pt>
                <c:pt idx="256">
                  <c:v>-86220</c:v>
                </c:pt>
                <c:pt idx="257">
                  <c:v>-86970</c:v>
                </c:pt>
                <c:pt idx="258">
                  <c:v>-87095</c:v>
                </c:pt>
                <c:pt idx="259">
                  <c:v>-88845</c:v>
                </c:pt>
                <c:pt idx="260">
                  <c:v>-89345</c:v>
                </c:pt>
                <c:pt idx="261">
                  <c:v>-89590</c:v>
                </c:pt>
                <c:pt idx="262">
                  <c:v>-91465</c:v>
                </c:pt>
                <c:pt idx="263">
                  <c:v>-88965</c:v>
                </c:pt>
                <c:pt idx="264">
                  <c:v>-87465</c:v>
                </c:pt>
                <c:pt idx="265">
                  <c:v>-87340</c:v>
                </c:pt>
                <c:pt idx="266">
                  <c:v>-91340</c:v>
                </c:pt>
                <c:pt idx="267">
                  <c:v>-95090</c:v>
                </c:pt>
                <c:pt idx="268">
                  <c:v>-86465</c:v>
                </c:pt>
                <c:pt idx="269">
                  <c:v>-83590</c:v>
                </c:pt>
                <c:pt idx="270">
                  <c:v>-85340</c:v>
                </c:pt>
                <c:pt idx="271">
                  <c:v>-87465</c:v>
                </c:pt>
                <c:pt idx="272">
                  <c:v>-87465</c:v>
                </c:pt>
                <c:pt idx="273">
                  <c:v>-88840</c:v>
                </c:pt>
                <c:pt idx="274">
                  <c:v>-88715</c:v>
                </c:pt>
                <c:pt idx="275">
                  <c:v>-88965</c:v>
                </c:pt>
                <c:pt idx="276">
                  <c:v>-87715</c:v>
                </c:pt>
                <c:pt idx="277">
                  <c:v>-86090</c:v>
                </c:pt>
                <c:pt idx="278">
                  <c:v>-85965</c:v>
                </c:pt>
                <c:pt idx="279">
                  <c:v>-84840</c:v>
                </c:pt>
                <c:pt idx="280">
                  <c:v>-84465</c:v>
                </c:pt>
                <c:pt idx="281">
                  <c:v>-86840</c:v>
                </c:pt>
                <c:pt idx="282">
                  <c:v>-84215</c:v>
                </c:pt>
                <c:pt idx="283">
                  <c:v>-84840</c:v>
                </c:pt>
                <c:pt idx="284">
                  <c:v>-82835</c:v>
                </c:pt>
                <c:pt idx="285">
                  <c:v>-80460</c:v>
                </c:pt>
                <c:pt idx="286">
                  <c:v>-79085</c:v>
                </c:pt>
                <c:pt idx="287">
                  <c:v>-79460</c:v>
                </c:pt>
                <c:pt idx="288">
                  <c:v>-79085</c:v>
                </c:pt>
                <c:pt idx="289">
                  <c:v>-80335</c:v>
                </c:pt>
                <c:pt idx="290">
                  <c:v>-79960</c:v>
                </c:pt>
                <c:pt idx="291">
                  <c:v>-80835</c:v>
                </c:pt>
                <c:pt idx="292">
                  <c:v>-81210</c:v>
                </c:pt>
                <c:pt idx="293">
                  <c:v>-78835</c:v>
                </c:pt>
                <c:pt idx="294">
                  <c:v>-78210</c:v>
                </c:pt>
                <c:pt idx="295">
                  <c:v>-76710</c:v>
                </c:pt>
                <c:pt idx="296">
                  <c:v>-74210</c:v>
                </c:pt>
                <c:pt idx="297">
                  <c:v>-73210</c:v>
                </c:pt>
                <c:pt idx="298">
                  <c:v>-73710</c:v>
                </c:pt>
                <c:pt idx="299">
                  <c:v>-75835</c:v>
                </c:pt>
                <c:pt idx="300">
                  <c:v>-74710</c:v>
                </c:pt>
                <c:pt idx="301">
                  <c:v>-72335</c:v>
                </c:pt>
                <c:pt idx="302">
                  <c:v>-75585</c:v>
                </c:pt>
                <c:pt idx="303">
                  <c:v>-72335</c:v>
                </c:pt>
                <c:pt idx="304">
                  <c:v>-70830</c:v>
                </c:pt>
                <c:pt idx="305">
                  <c:v>-63955</c:v>
                </c:pt>
                <c:pt idx="306">
                  <c:v>-63580</c:v>
                </c:pt>
                <c:pt idx="307">
                  <c:v>-58205</c:v>
                </c:pt>
                <c:pt idx="308">
                  <c:v>-59080</c:v>
                </c:pt>
                <c:pt idx="309">
                  <c:v>-64705</c:v>
                </c:pt>
                <c:pt idx="310">
                  <c:v>-63080</c:v>
                </c:pt>
                <c:pt idx="311">
                  <c:v>-60705</c:v>
                </c:pt>
                <c:pt idx="312">
                  <c:v>-61080</c:v>
                </c:pt>
                <c:pt idx="313">
                  <c:v>-63080</c:v>
                </c:pt>
                <c:pt idx="314">
                  <c:v>-64080</c:v>
                </c:pt>
                <c:pt idx="315">
                  <c:v>-60955</c:v>
                </c:pt>
                <c:pt idx="316">
                  <c:v>-59330</c:v>
                </c:pt>
                <c:pt idx="317">
                  <c:v>-64830</c:v>
                </c:pt>
                <c:pt idx="318">
                  <c:v>-64080</c:v>
                </c:pt>
                <c:pt idx="319">
                  <c:v>-59830</c:v>
                </c:pt>
                <c:pt idx="320">
                  <c:v>-61330</c:v>
                </c:pt>
                <c:pt idx="321">
                  <c:v>-62455</c:v>
                </c:pt>
                <c:pt idx="322">
                  <c:v>-58455</c:v>
                </c:pt>
                <c:pt idx="323">
                  <c:v>-57455</c:v>
                </c:pt>
                <c:pt idx="324">
                  <c:v>-53705</c:v>
                </c:pt>
                <c:pt idx="325">
                  <c:v>-50330</c:v>
                </c:pt>
                <c:pt idx="326">
                  <c:v>-57080</c:v>
                </c:pt>
                <c:pt idx="327">
                  <c:v>-55705</c:v>
                </c:pt>
                <c:pt idx="328">
                  <c:v>-54580</c:v>
                </c:pt>
                <c:pt idx="329">
                  <c:v>-55205</c:v>
                </c:pt>
                <c:pt idx="330">
                  <c:v>-50830</c:v>
                </c:pt>
                <c:pt idx="331">
                  <c:v>-52080</c:v>
                </c:pt>
                <c:pt idx="332">
                  <c:v>-53080</c:v>
                </c:pt>
                <c:pt idx="333">
                  <c:v>-54705</c:v>
                </c:pt>
                <c:pt idx="334">
                  <c:v>-52205</c:v>
                </c:pt>
                <c:pt idx="335">
                  <c:v>-52830</c:v>
                </c:pt>
                <c:pt idx="336">
                  <c:v>-55955</c:v>
                </c:pt>
                <c:pt idx="337">
                  <c:v>-57455</c:v>
                </c:pt>
                <c:pt idx="338">
                  <c:v>-57830</c:v>
                </c:pt>
                <c:pt idx="339">
                  <c:v>-60580</c:v>
                </c:pt>
                <c:pt idx="340">
                  <c:v>-55205</c:v>
                </c:pt>
                <c:pt idx="341">
                  <c:v>-52955</c:v>
                </c:pt>
                <c:pt idx="342">
                  <c:v>-53830</c:v>
                </c:pt>
                <c:pt idx="343">
                  <c:v>-50830</c:v>
                </c:pt>
                <c:pt idx="344">
                  <c:v>-50205</c:v>
                </c:pt>
                <c:pt idx="345">
                  <c:v>-47205</c:v>
                </c:pt>
                <c:pt idx="346">
                  <c:v>-48330</c:v>
                </c:pt>
                <c:pt idx="347">
                  <c:v>-53825</c:v>
                </c:pt>
                <c:pt idx="348">
                  <c:v>-58450</c:v>
                </c:pt>
                <c:pt idx="349">
                  <c:v>-53075</c:v>
                </c:pt>
                <c:pt idx="350">
                  <c:v>-48700</c:v>
                </c:pt>
                <c:pt idx="351">
                  <c:v>-52075</c:v>
                </c:pt>
                <c:pt idx="352">
                  <c:v>-49450</c:v>
                </c:pt>
                <c:pt idx="353">
                  <c:v>-52325</c:v>
                </c:pt>
                <c:pt idx="354">
                  <c:v>-57825</c:v>
                </c:pt>
                <c:pt idx="355">
                  <c:v>-56825</c:v>
                </c:pt>
                <c:pt idx="356">
                  <c:v>-59450</c:v>
                </c:pt>
                <c:pt idx="357">
                  <c:v>-65450</c:v>
                </c:pt>
                <c:pt idx="358">
                  <c:v>-66450</c:v>
                </c:pt>
                <c:pt idx="359">
                  <c:v>-68950</c:v>
                </c:pt>
                <c:pt idx="360">
                  <c:v>-70450</c:v>
                </c:pt>
                <c:pt idx="361">
                  <c:v>-70325</c:v>
                </c:pt>
                <c:pt idx="362">
                  <c:v>-69700</c:v>
                </c:pt>
                <c:pt idx="363">
                  <c:v>-68825</c:v>
                </c:pt>
                <c:pt idx="364">
                  <c:v>-68450</c:v>
                </c:pt>
                <c:pt idx="365">
                  <c:v>-72325</c:v>
                </c:pt>
                <c:pt idx="366">
                  <c:v>-71575</c:v>
                </c:pt>
                <c:pt idx="367">
                  <c:v>-73200</c:v>
                </c:pt>
                <c:pt idx="368">
                  <c:v>-74075</c:v>
                </c:pt>
                <c:pt idx="369">
                  <c:v>-74075</c:v>
                </c:pt>
                <c:pt idx="370">
                  <c:v>-78825</c:v>
                </c:pt>
                <c:pt idx="371">
                  <c:v>-79325</c:v>
                </c:pt>
                <c:pt idx="372">
                  <c:v>-82325</c:v>
                </c:pt>
                <c:pt idx="373">
                  <c:v>-79075</c:v>
                </c:pt>
                <c:pt idx="374">
                  <c:v>-83825</c:v>
                </c:pt>
                <c:pt idx="375">
                  <c:v>-84325</c:v>
                </c:pt>
                <c:pt idx="376">
                  <c:v>-87450</c:v>
                </c:pt>
                <c:pt idx="377">
                  <c:v>-86325</c:v>
                </c:pt>
                <c:pt idx="378">
                  <c:v>-85075</c:v>
                </c:pt>
                <c:pt idx="379">
                  <c:v>-86825</c:v>
                </c:pt>
                <c:pt idx="380">
                  <c:v>-88075</c:v>
                </c:pt>
                <c:pt idx="381">
                  <c:v>-86325</c:v>
                </c:pt>
                <c:pt idx="382">
                  <c:v>-83075</c:v>
                </c:pt>
                <c:pt idx="383">
                  <c:v>-81075</c:v>
                </c:pt>
                <c:pt idx="384">
                  <c:v>-84700</c:v>
                </c:pt>
                <c:pt idx="385">
                  <c:v>-86575</c:v>
                </c:pt>
                <c:pt idx="386">
                  <c:v>-87075</c:v>
                </c:pt>
                <c:pt idx="387">
                  <c:v>-84325</c:v>
                </c:pt>
                <c:pt idx="388">
                  <c:v>-84075</c:v>
                </c:pt>
                <c:pt idx="389">
                  <c:v>-94825</c:v>
                </c:pt>
                <c:pt idx="390">
                  <c:v>-97195</c:v>
                </c:pt>
                <c:pt idx="391">
                  <c:v>-98695</c:v>
                </c:pt>
                <c:pt idx="392">
                  <c:v>-99945</c:v>
                </c:pt>
                <c:pt idx="393">
                  <c:v>-103570</c:v>
                </c:pt>
                <c:pt idx="394">
                  <c:v>-104320</c:v>
                </c:pt>
                <c:pt idx="395">
                  <c:v>-105945</c:v>
                </c:pt>
                <c:pt idx="396">
                  <c:v>-109695</c:v>
                </c:pt>
                <c:pt idx="397">
                  <c:v>-111695</c:v>
                </c:pt>
                <c:pt idx="398">
                  <c:v>-115195</c:v>
                </c:pt>
                <c:pt idx="399">
                  <c:v>-114195</c:v>
                </c:pt>
                <c:pt idx="400">
                  <c:v>-117320</c:v>
                </c:pt>
                <c:pt idx="401">
                  <c:v>-116695</c:v>
                </c:pt>
                <c:pt idx="402">
                  <c:v>-114945</c:v>
                </c:pt>
                <c:pt idx="403">
                  <c:v>-118695</c:v>
                </c:pt>
                <c:pt idx="404">
                  <c:v>-122195</c:v>
                </c:pt>
                <c:pt idx="405">
                  <c:v>-124195</c:v>
                </c:pt>
                <c:pt idx="406">
                  <c:v>-123695</c:v>
                </c:pt>
                <c:pt idx="407">
                  <c:v>-124445</c:v>
                </c:pt>
                <c:pt idx="408">
                  <c:v>-123570</c:v>
                </c:pt>
                <c:pt idx="409">
                  <c:v>-120695</c:v>
                </c:pt>
                <c:pt idx="410">
                  <c:v>-124195</c:v>
                </c:pt>
                <c:pt idx="411">
                  <c:v>-124445</c:v>
                </c:pt>
                <c:pt idx="412">
                  <c:v>-125820</c:v>
                </c:pt>
                <c:pt idx="413">
                  <c:v>-127695</c:v>
                </c:pt>
                <c:pt idx="414">
                  <c:v>-125070</c:v>
                </c:pt>
                <c:pt idx="415">
                  <c:v>-127320</c:v>
                </c:pt>
                <c:pt idx="416">
                  <c:v>-123820</c:v>
                </c:pt>
                <c:pt idx="417">
                  <c:v>-125820</c:v>
                </c:pt>
                <c:pt idx="418">
                  <c:v>-128695</c:v>
                </c:pt>
                <c:pt idx="419">
                  <c:v>-126945</c:v>
                </c:pt>
                <c:pt idx="420">
                  <c:v>-125195</c:v>
                </c:pt>
                <c:pt idx="421">
                  <c:v>-125570</c:v>
                </c:pt>
                <c:pt idx="422">
                  <c:v>-123695</c:v>
                </c:pt>
                <c:pt idx="423">
                  <c:v>-121820</c:v>
                </c:pt>
                <c:pt idx="424">
                  <c:v>-124070</c:v>
                </c:pt>
                <c:pt idx="425">
                  <c:v>-123945</c:v>
                </c:pt>
                <c:pt idx="426">
                  <c:v>-125445</c:v>
                </c:pt>
                <c:pt idx="427">
                  <c:v>-124070</c:v>
                </c:pt>
                <c:pt idx="428">
                  <c:v>-122695</c:v>
                </c:pt>
                <c:pt idx="429">
                  <c:v>-124945</c:v>
                </c:pt>
                <c:pt idx="430">
                  <c:v>-127070</c:v>
                </c:pt>
                <c:pt idx="431">
                  <c:v>-126695</c:v>
                </c:pt>
                <c:pt idx="432">
                  <c:v>-124195</c:v>
                </c:pt>
                <c:pt idx="433">
                  <c:v>-127320</c:v>
                </c:pt>
                <c:pt idx="434">
                  <c:v>-126565</c:v>
                </c:pt>
                <c:pt idx="435">
                  <c:v>-127065</c:v>
                </c:pt>
                <c:pt idx="436">
                  <c:v>-132440</c:v>
                </c:pt>
                <c:pt idx="437">
                  <c:v>-135940</c:v>
                </c:pt>
                <c:pt idx="438">
                  <c:v>-131565</c:v>
                </c:pt>
                <c:pt idx="439">
                  <c:v>-135190</c:v>
                </c:pt>
                <c:pt idx="440">
                  <c:v>-136690</c:v>
                </c:pt>
                <c:pt idx="441">
                  <c:v>-135690</c:v>
                </c:pt>
                <c:pt idx="442">
                  <c:v>-139440</c:v>
                </c:pt>
                <c:pt idx="443">
                  <c:v>-139815</c:v>
                </c:pt>
                <c:pt idx="444">
                  <c:v>-137565</c:v>
                </c:pt>
                <c:pt idx="445">
                  <c:v>-136690</c:v>
                </c:pt>
                <c:pt idx="446">
                  <c:v>-138315</c:v>
                </c:pt>
                <c:pt idx="447">
                  <c:v>-139690</c:v>
                </c:pt>
                <c:pt idx="448">
                  <c:v>-142690</c:v>
                </c:pt>
                <c:pt idx="449">
                  <c:v>-143815</c:v>
                </c:pt>
                <c:pt idx="450">
                  <c:v>-146190</c:v>
                </c:pt>
                <c:pt idx="451">
                  <c:v>-144315</c:v>
                </c:pt>
                <c:pt idx="452">
                  <c:v>-146065</c:v>
                </c:pt>
                <c:pt idx="453">
                  <c:v>-147315</c:v>
                </c:pt>
                <c:pt idx="454">
                  <c:v>-146315</c:v>
                </c:pt>
                <c:pt idx="455">
                  <c:v>-148190</c:v>
                </c:pt>
                <c:pt idx="456">
                  <c:v>-148440</c:v>
                </c:pt>
                <c:pt idx="457">
                  <c:v>-148315</c:v>
                </c:pt>
                <c:pt idx="458">
                  <c:v>-147565</c:v>
                </c:pt>
                <c:pt idx="459">
                  <c:v>-143065</c:v>
                </c:pt>
                <c:pt idx="460">
                  <c:v>-139315</c:v>
                </c:pt>
                <c:pt idx="461">
                  <c:v>-137940</c:v>
                </c:pt>
                <c:pt idx="462">
                  <c:v>-136315</c:v>
                </c:pt>
                <c:pt idx="463">
                  <c:v>-142690</c:v>
                </c:pt>
                <c:pt idx="464">
                  <c:v>-136565</c:v>
                </c:pt>
                <c:pt idx="465">
                  <c:v>-131690</c:v>
                </c:pt>
                <c:pt idx="466">
                  <c:v>-134815</c:v>
                </c:pt>
                <c:pt idx="467">
                  <c:v>-133440</c:v>
                </c:pt>
                <c:pt idx="468">
                  <c:v>-135190</c:v>
                </c:pt>
                <c:pt idx="469">
                  <c:v>-135440</c:v>
                </c:pt>
                <c:pt idx="470">
                  <c:v>-130690</c:v>
                </c:pt>
                <c:pt idx="471">
                  <c:v>-132315</c:v>
                </c:pt>
                <c:pt idx="472">
                  <c:v>-129440</c:v>
                </c:pt>
                <c:pt idx="473">
                  <c:v>-132440</c:v>
                </c:pt>
                <c:pt idx="474">
                  <c:v>-128690</c:v>
                </c:pt>
                <c:pt idx="475">
                  <c:v>-126940</c:v>
                </c:pt>
                <c:pt idx="476">
                  <c:v>-122690</c:v>
                </c:pt>
                <c:pt idx="477">
                  <c:v>-121190</c:v>
                </c:pt>
                <c:pt idx="478">
                  <c:v>-122690</c:v>
                </c:pt>
                <c:pt idx="479">
                  <c:v>-123315</c:v>
                </c:pt>
                <c:pt idx="480">
                  <c:v>-126190</c:v>
                </c:pt>
                <c:pt idx="481">
                  <c:v>-124440</c:v>
                </c:pt>
                <c:pt idx="482">
                  <c:v>-123190</c:v>
                </c:pt>
                <c:pt idx="483">
                  <c:v>-124940</c:v>
                </c:pt>
                <c:pt idx="484">
                  <c:v>-123690</c:v>
                </c:pt>
                <c:pt idx="485">
                  <c:v>-122815</c:v>
                </c:pt>
                <c:pt idx="486">
                  <c:v>-120065</c:v>
                </c:pt>
                <c:pt idx="487">
                  <c:v>-117440</c:v>
                </c:pt>
                <c:pt idx="488">
                  <c:v>-117440</c:v>
                </c:pt>
                <c:pt idx="489">
                  <c:v>-120440</c:v>
                </c:pt>
                <c:pt idx="490">
                  <c:v>-122315</c:v>
                </c:pt>
                <c:pt idx="491">
                  <c:v>-127190</c:v>
                </c:pt>
                <c:pt idx="492">
                  <c:v>-122440</c:v>
                </c:pt>
                <c:pt idx="493">
                  <c:v>-120565</c:v>
                </c:pt>
                <c:pt idx="494">
                  <c:v>-125565</c:v>
                </c:pt>
                <c:pt idx="495">
                  <c:v>-122815</c:v>
                </c:pt>
                <c:pt idx="496">
                  <c:v>-119815</c:v>
                </c:pt>
                <c:pt idx="497">
                  <c:v>-121065</c:v>
                </c:pt>
                <c:pt idx="498">
                  <c:v>-120940</c:v>
                </c:pt>
                <c:pt idx="499">
                  <c:v>-121560</c:v>
                </c:pt>
                <c:pt idx="500">
                  <c:v>-124310</c:v>
                </c:pt>
                <c:pt idx="501">
                  <c:v>-125310</c:v>
                </c:pt>
                <c:pt idx="502">
                  <c:v>-120685</c:v>
                </c:pt>
                <c:pt idx="503">
                  <c:v>-117935</c:v>
                </c:pt>
                <c:pt idx="504">
                  <c:v>-119185</c:v>
                </c:pt>
                <c:pt idx="505">
                  <c:v>-118185</c:v>
                </c:pt>
                <c:pt idx="506">
                  <c:v>-119435</c:v>
                </c:pt>
                <c:pt idx="507">
                  <c:v>-117060</c:v>
                </c:pt>
                <c:pt idx="508">
                  <c:v>-110685</c:v>
                </c:pt>
                <c:pt idx="509">
                  <c:v>-111435</c:v>
                </c:pt>
                <c:pt idx="510">
                  <c:v>-112185</c:v>
                </c:pt>
                <c:pt idx="511">
                  <c:v>-111560</c:v>
                </c:pt>
                <c:pt idx="512">
                  <c:v>-110060</c:v>
                </c:pt>
                <c:pt idx="513">
                  <c:v>-111060</c:v>
                </c:pt>
                <c:pt idx="514">
                  <c:v>-109435</c:v>
                </c:pt>
                <c:pt idx="515">
                  <c:v>-108685</c:v>
                </c:pt>
                <c:pt idx="516">
                  <c:v>-111560</c:v>
                </c:pt>
                <c:pt idx="517">
                  <c:v>-110185</c:v>
                </c:pt>
                <c:pt idx="518">
                  <c:v>-108935</c:v>
                </c:pt>
                <c:pt idx="519">
                  <c:v>-109310</c:v>
                </c:pt>
                <c:pt idx="520">
                  <c:v>-112185</c:v>
                </c:pt>
                <c:pt idx="521">
                  <c:v>-117185</c:v>
                </c:pt>
                <c:pt idx="522">
                  <c:v>-116430</c:v>
                </c:pt>
                <c:pt idx="523">
                  <c:v>-117805</c:v>
                </c:pt>
                <c:pt idx="524">
                  <c:v>-112805</c:v>
                </c:pt>
                <c:pt idx="525">
                  <c:v>-113180</c:v>
                </c:pt>
                <c:pt idx="526">
                  <c:v>-117305</c:v>
                </c:pt>
                <c:pt idx="527">
                  <c:v>-118305</c:v>
                </c:pt>
                <c:pt idx="528">
                  <c:v>-115180</c:v>
                </c:pt>
                <c:pt idx="529">
                  <c:v>-114180</c:v>
                </c:pt>
                <c:pt idx="530">
                  <c:v>-122430</c:v>
                </c:pt>
                <c:pt idx="531">
                  <c:v>-125680</c:v>
                </c:pt>
                <c:pt idx="532">
                  <c:v>-126430</c:v>
                </c:pt>
                <c:pt idx="533">
                  <c:v>-122055</c:v>
                </c:pt>
                <c:pt idx="534">
                  <c:v>-122055</c:v>
                </c:pt>
                <c:pt idx="535">
                  <c:v>-120805</c:v>
                </c:pt>
                <c:pt idx="536">
                  <c:v>-121680</c:v>
                </c:pt>
                <c:pt idx="537">
                  <c:v>-123680</c:v>
                </c:pt>
                <c:pt idx="538">
                  <c:v>-122805</c:v>
                </c:pt>
                <c:pt idx="539">
                  <c:v>-123305</c:v>
                </c:pt>
                <c:pt idx="540">
                  <c:v>-124180</c:v>
                </c:pt>
                <c:pt idx="541">
                  <c:v>-127430</c:v>
                </c:pt>
                <c:pt idx="542">
                  <c:v>-130430</c:v>
                </c:pt>
                <c:pt idx="543">
                  <c:v>-130555</c:v>
                </c:pt>
                <c:pt idx="544">
                  <c:v>-130425</c:v>
                </c:pt>
                <c:pt idx="545">
                  <c:v>-122675</c:v>
                </c:pt>
                <c:pt idx="546">
                  <c:v>-125300</c:v>
                </c:pt>
                <c:pt idx="547">
                  <c:v>-123800</c:v>
                </c:pt>
                <c:pt idx="548">
                  <c:v>-124425</c:v>
                </c:pt>
                <c:pt idx="549">
                  <c:v>-120425</c:v>
                </c:pt>
                <c:pt idx="550">
                  <c:v>-122175</c:v>
                </c:pt>
                <c:pt idx="551">
                  <c:v>-122175</c:v>
                </c:pt>
                <c:pt idx="552">
                  <c:v>-124300</c:v>
                </c:pt>
                <c:pt idx="553">
                  <c:v>-123050</c:v>
                </c:pt>
                <c:pt idx="554">
                  <c:v>-122050</c:v>
                </c:pt>
                <c:pt idx="555">
                  <c:v>-121300</c:v>
                </c:pt>
                <c:pt idx="556">
                  <c:v>-123925</c:v>
                </c:pt>
                <c:pt idx="557">
                  <c:v>-121425</c:v>
                </c:pt>
                <c:pt idx="558">
                  <c:v>-123925</c:v>
                </c:pt>
                <c:pt idx="559">
                  <c:v>-126050</c:v>
                </c:pt>
                <c:pt idx="560">
                  <c:v>-126550</c:v>
                </c:pt>
                <c:pt idx="561">
                  <c:v>-129300</c:v>
                </c:pt>
                <c:pt idx="562">
                  <c:v>-125550</c:v>
                </c:pt>
                <c:pt idx="563">
                  <c:v>-121925</c:v>
                </c:pt>
                <c:pt idx="564">
                  <c:v>-125920</c:v>
                </c:pt>
                <c:pt idx="565">
                  <c:v>-124920</c:v>
                </c:pt>
                <c:pt idx="566">
                  <c:v>-125170</c:v>
                </c:pt>
                <c:pt idx="567">
                  <c:v>-124545</c:v>
                </c:pt>
                <c:pt idx="568">
                  <c:v>-128170</c:v>
                </c:pt>
                <c:pt idx="569">
                  <c:v>-125295</c:v>
                </c:pt>
                <c:pt idx="570">
                  <c:v>-126670</c:v>
                </c:pt>
                <c:pt idx="571">
                  <c:v>-124295</c:v>
                </c:pt>
                <c:pt idx="572">
                  <c:v>-125295</c:v>
                </c:pt>
                <c:pt idx="573">
                  <c:v>-129420</c:v>
                </c:pt>
                <c:pt idx="574">
                  <c:v>-130670</c:v>
                </c:pt>
                <c:pt idx="575">
                  <c:v>-134670</c:v>
                </c:pt>
                <c:pt idx="576">
                  <c:v>-133670</c:v>
                </c:pt>
                <c:pt idx="577">
                  <c:v>-133670</c:v>
                </c:pt>
                <c:pt idx="578">
                  <c:v>-126920</c:v>
                </c:pt>
                <c:pt idx="579">
                  <c:v>-124545</c:v>
                </c:pt>
                <c:pt idx="580">
                  <c:v>-123545</c:v>
                </c:pt>
                <c:pt idx="581">
                  <c:v>-122295</c:v>
                </c:pt>
                <c:pt idx="582">
                  <c:v>-124420</c:v>
                </c:pt>
                <c:pt idx="583">
                  <c:v>-124545</c:v>
                </c:pt>
                <c:pt idx="584">
                  <c:v>-123045</c:v>
                </c:pt>
                <c:pt idx="585">
                  <c:v>-131545</c:v>
                </c:pt>
                <c:pt idx="586">
                  <c:v>-129295</c:v>
                </c:pt>
                <c:pt idx="587">
                  <c:v>-126420</c:v>
                </c:pt>
                <c:pt idx="588">
                  <c:v>-125295</c:v>
                </c:pt>
                <c:pt idx="589">
                  <c:v>-127295</c:v>
                </c:pt>
                <c:pt idx="590">
                  <c:v>-128545</c:v>
                </c:pt>
                <c:pt idx="591">
                  <c:v>-130920</c:v>
                </c:pt>
                <c:pt idx="592">
                  <c:v>-130670</c:v>
                </c:pt>
                <c:pt idx="593">
                  <c:v>-131920</c:v>
                </c:pt>
                <c:pt idx="594">
                  <c:v>-134045</c:v>
                </c:pt>
                <c:pt idx="595">
                  <c:v>-132795</c:v>
                </c:pt>
                <c:pt idx="596">
                  <c:v>-132295</c:v>
                </c:pt>
                <c:pt idx="597">
                  <c:v>-131170</c:v>
                </c:pt>
                <c:pt idx="598">
                  <c:v>-130670</c:v>
                </c:pt>
                <c:pt idx="599">
                  <c:v>-130545</c:v>
                </c:pt>
                <c:pt idx="600">
                  <c:v>-133420</c:v>
                </c:pt>
                <c:pt idx="601">
                  <c:v>-133670</c:v>
                </c:pt>
                <c:pt idx="602">
                  <c:v>-132420</c:v>
                </c:pt>
                <c:pt idx="603">
                  <c:v>-137920</c:v>
                </c:pt>
                <c:pt idx="604">
                  <c:v>-140670</c:v>
                </c:pt>
                <c:pt idx="605">
                  <c:v>-140295</c:v>
                </c:pt>
                <c:pt idx="606">
                  <c:v>-139545</c:v>
                </c:pt>
                <c:pt idx="607">
                  <c:v>-140545</c:v>
                </c:pt>
                <c:pt idx="608">
                  <c:v>-142165</c:v>
                </c:pt>
                <c:pt idx="609">
                  <c:v>-141790</c:v>
                </c:pt>
                <c:pt idx="610">
                  <c:v>-143415</c:v>
                </c:pt>
                <c:pt idx="611">
                  <c:v>-140790</c:v>
                </c:pt>
                <c:pt idx="612">
                  <c:v>-142540</c:v>
                </c:pt>
                <c:pt idx="613">
                  <c:v>-142415</c:v>
                </c:pt>
                <c:pt idx="614">
                  <c:v>-143790</c:v>
                </c:pt>
                <c:pt idx="615">
                  <c:v>-141915</c:v>
                </c:pt>
                <c:pt idx="616">
                  <c:v>-142790</c:v>
                </c:pt>
                <c:pt idx="617">
                  <c:v>-139540</c:v>
                </c:pt>
                <c:pt idx="618">
                  <c:v>-141040</c:v>
                </c:pt>
                <c:pt idx="619">
                  <c:v>-138290</c:v>
                </c:pt>
                <c:pt idx="620">
                  <c:v>-142415</c:v>
                </c:pt>
                <c:pt idx="621">
                  <c:v>-143415</c:v>
                </c:pt>
                <c:pt idx="622">
                  <c:v>-140915</c:v>
                </c:pt>
                <c:pt idx="623">
                  <c:v>-142915</c:v>
                </c:pt>
                <c:pt idx="624">
                  <c:v>-143290</c:v>
                </c:pt>
                <c:pt idx="625">
                  <c:v>-146290</c:v>
                </c:pt>
                <c:pt idx="626">
                  <c:v>-148290</c:v>
                </c:pt>
                <c:pt idx="627">
                  <c:v>-146415</c:v>
                </c:pt>
                <c:pt idx="628">
                  <c:v>-148040</c:v>
                </c:pt>
                <c:pt idx="629">
                  <c:v>-147290</c:v>
                </c:pt>
                <c:pt idx="630">
                  <c:v>-143665</c:v>
                </c:pt>
                <c:pt idx="631">
                  <c:v>-144540</c:v>
                </c:pt>
                <c:pt idx="632">
                  <c:v>-141540</c:v>
                </c:pt>
                <c:pt idx="633">
                  <c:v>-143165</c:v>
                </c:pt>
                <c:pt idx="634">
                  <c:v>-141040</c:v>
                </c:pt>
                <c:pt idx="635">
                  <c:v>-140665</c:v>
                </c:pt>
                <c:pt idx="636">
                  <c:v>-143665</c:v>
                </c:pt>
                <c:pt idx="637">
                  <c:v>-145665</c:v>
                </c:pt>
                <c:pt idx="638">
                  <c:v>-146665</c:v>
                </c:pt>
                <c:pt idx="639">
                  <c:v>-149415</c:v>
                </c:pt>
                <c:pt idx="640">
                  <c:v>-147540</c:v>
                </c:pt>
                <c:pt idx="641">
                  <c:v>-144290</c:v>
                </c:pt>
                <c:pt idx="642">
                  <c:v>-143790</c:v>
                </c:pt>
                <c:pt idx="643">
                  <c:v>-146040</c:v>
                </c:pt>
                <c:pt idx="644">
                  <c:v>-144165</c:v>
                </c:pt>
                <c:pt idx="645">
                  <c:v>-139915</c:v>
                </c:pt>
                <c:pt idx="646">
                  <c:v>-139540</c:v>
                </c:pt>
                <c:pt idx="647">
                  <c:v>-135290</c:v>
                </c:pt>
                <c:pt idx="648">
                  <c:v>-129665</c:v>
                </c:pt>
                <c:pt idx="649">
                  <c:v>-129040</c:v>
                </c:pt>
                <c:pt idx="650">
                  <c:v>-116790</c:v>
                </c:pt>
                <c:pt idx="651">
                  <c:v>-117910</c:v>
                </c:pt>
                <c:pt idx="652">
                  <c:v>-111660</c:v>
                </c:pt>
                <c:pt idx="653">
                  <c:v>-112160</c:v>
                </c:pt>
                <c:pt idx="654">
                  <c:v>-112785</c:v>
                </c:pt>
                <c:pt idx="655">
                  <c:v>-115160</c:v>
                </c:pt>
                <c:pt idx="656">
                  <c:v>-114035</c:v>
                </c:pt>
                <c:pt idx="657">
                  <c:v>-110410</c:v>
                </c:pt>
                <c:pt idx="658">
                  <c:v>-108410</c:v>
                </c:pt>
                <c:pt idx="659">
                  <c:v>-105160</c:v>
                </c:pt>
                <c:pt idx="660">
                  <c:v>-110035</c:v>
                </c:pt>
                <c:pt idx="661">
                  <c:v>-112035</c:v>
                </c:pt>
                <c:pt idx="662">
                  <c:v>-110410</c:v>
                </c:pt>
                <c:pt idx="663">
                  <c:v>-115785</c:v>
                </c:pt>
                <c:pt idx="664">
                  <c:v>-122660</c:v>
                </c:pt>
                <c:pt idx="665">
                  <c:v>-122035</c:v>
                </c:pt>
                <c:pt idx="666">
                  <c:v>-124660</c:v>
                </c:pt>
                <c:pt idx="667">
                  <c:v>-125285</c:v>
                </c:pt>
                <c:pt idx="668">
                  <c:v>-128410</c:v>
                </c:pt>
                <c:pt idx="669">
                  <c:v>-137285</c:v>
                </c:pt>
                <c:pt idx="670">
                  <c:v>-140285</c:v>
                </c:pt>
                <c:pt idx="671">
                  <c:v>-141285</c:v>
                </c:pt>
                <c:pt idx="672">
                  <c:v>-140285</c:v>
                </c:pt>
                <c:pt idx="673">
                  <c:v>-138535</c:v>
                </c:pt>
                <c:pt idx="674">
                  <c:v>-141535</c:v>
                </c:pt>
                <c:pt idx="675">
                  <c:v>-142285</c:v>
                </c:pt>
                <c:pt idx="676">
                  <c:v>-139785</c:v>
                </c:pt>
                <c:pt idx="677">
                  <c:v>-140160</c:v>
                </c:pt>
                <c:pt idx="678">
                  <c:v>-139410</c:v>
                </c:pt>
                <c:pt idx="679">
                  <c:v>-132535</c:v>
                </c:pt>
                <c:pt idx="680">
                  <c:v>-135660</c:v>
                </c:pt>
                <c:pt idx="681">
                  <c:v>-147160</c:v>
                </c:pt>
                <c:pt idx="682">
                  <c:v>-145035</c:v>
                </c:pt>
                <c:pt idx="683">
                  <c:v>-144410</c:v>
                </c:pt>
                <c:pt idx="684">
                  <c:v>-143910</c:v>
                </c:pt>
                <c:pt idx="685">
                  <c:v>-142785</c:v>
                </c:pt>
                <c:pt idx="686">
                  <c:v>-142160</c:v>
                </c:pt>
                <c:pt idx="687">
                  <c:v>-140535</c:v>
                </c:pt>
                <c:pt idx="688">
                  <c:v>-143285</c:v>
                </c:pt>
                <c:pt idx="689">
                  <c:v>-141660</c:v>
                </c:pt>
                <c:pt idx="690">
                  <c:v>-143535</c:v>
                </c:pt>
                <c:pt idx="691">
                  <c:v>-144785</c:v>
                </c:pt>
                <c:pt idx="692">
                  <c:v>-144910</c:v>
                </c:pt>
                <c:pt idx="693">
                  <c:v>-143910</c:v>
                </c:pt>
                <c:pt idx="694">
                  <c:v>-144785</c:v>
                </c:pt>
                <c:pt idx="695">
                  <c:v>-147405</c:v>
                </c:pt>
                <c:pt idx="696">
                  <c:v>-149030</c:v>
                </c:pt>
                <c:pt idx="697">
                  <c:v>-151030</c:v>
                </c:pt>
                <c:pt idx="698">
                  <c:v>-150280</c:v>
                </c:pt>
                <c:pt idx="699">
                  <c:v>-150530</c:v>
                </c:pt>
                <c:pt idx="700">
                  <c:v>-148780</c:v>
                </c:pt>
                <c:pt idx="701">
                  <c:v>-147280</c:v>
                </c:pt>
                <c:pt idx="702">
                  <c:v>-144780</c:v>
                </c:pt>
                <c:pt idx="703">
                  <c:v>-139905</c:v>
                </c:pt>
                <c:pt idx="704">
                  <c:v>-135280</c:v>
                </c:pt>
                <c:pt idx="705">
                  <c:v>-136280</c:v>
                </c:pt>
                <c:pt idx="706">
                  <c:v>-138780</c:v>
                </c:pt>
                <c:pt idx="707">
                  <c:v>-141030</c:v>
                </c:pt>
                <c:pt idx="708">
                  <c:v>-142780</c:v>
                </c:pt>
                <c:pt idx="709">
                  <c:v>-139780</c:v>
                </c:pt>
                <c:pt idx="710">
                  <c:v>-141905</c:v>
                </c:pt>
                <c:pt idx="711">
                  <c:v>-140655</c:v>
                </c:pt>
                <c:pt idx="712">
                  <c:v>-141530</c:v>
                </c:pt>
                <c:pt idx="713">
                  <c:v>-137780</c:v>
                </c:pt>
                <c:pt idx="714">
                  <c:v>-138780</c:v>
                </c:pt>
                <c:pt idx="715">
                  <c:v>-137530</c:v>
                </c:pt>
                <c:pt idx="716">
                  <c:v>-139155</c:v>
                </c:pt>
                <c:pt idx="717">
                  <c:v>-136780</c:v>
                </c:pt>
                <c:pt idx="718">
                  <c:v>-136780</c:v>
                </c:pt>
                <c:pt idx="719">
                  <c:v>-135405</c:v>
                </c:pt>
                <c:pt idx="720">
                  <c:v>-133030</c:v>
                </c:pt>
                <c:pt idx="721">
                  <c:v>-133905</c:v>
                </c:pt>
                <c:pt idx="722">
                  <c:v>-135905</c:v>
                </c:pt>
                <c:pt idx="723">
                  <c:v>-139155</c:v>
                </c:pt>
                <c:pt idx="724">
                  <c:v>-141280</c:v>
                </c:pt>
                <c:pt idx="725">
                  <c:v>-139780</c:v>
                </c:pt>
                <c:pt idx="726">
                  <c:v>-142280</c:v>
                </c:pt>
                <c:pt idx="727">
                  <c:v>-144030</c:v>
                </c:pt>
                <c:pt idx="728">
                  <c:v>-143780</c:v>
                </c:pt>
                <c:pt idx="729">
                  <c:v>-145030</c:v>
                </c:pt>
                <c:pt idx="730">
                  <c:v>-144280</c:v>
                </c:pt>
                <c:pt idx="731">
                  <c:v>-141655</c:v>
                </c:pt>
                <c:pt idx="732">
                  <c:v>-142280</c:v>
                </c:pt>
                <c:pt idx="733">
                  <c:v>-142780</c:v>
                </c:pt>
                <c:pt idx="734">
                  <c:v>-139780</c:v>
                </c:pt>
                <c:pt idx="735">
                  <c:v>-141155</c:v>
                </c:pt>
                <c:pt idx="736">
                  <c:v>-143780</c:v>
                </c:pt>
                <c:pt idx="737">
                  <c:v>-142155</c:v>
                </c:pt>
                <c:pt idx="738">
                  <c:v>-140780</c:v>
                </c:pt>
                <c:pt idx="739">
                  <c:v>-143530</c:v>
                </c:pt>
                <c:pt idx="740">
                  <c:v>-142030</c:v>
                </c:pt>
                <c:pt idx="741">
                  <c:v>-140155</c:v>
                </c:pt>
                <c:pt idx="742">
                  <c:v>-144030</c:v>
                </c:pt>
                <c:pt idx="743">
                  <c:v>-145155</c:v>
                </c:pt>
                <c:pt idx="744">
                  <c:v>-147405</c:v>
                </c:pt>
                <c:pt idx="745">
                  <c:v>-152655</c:v>
                </c:pt>
                <c:pt idx="746">
                  <c:v>-151030</c:v>
                </c:pt>
                <c:pt idx="747">
                  <c:v>-151155</c:v>
                </c:pt>
                <c:pt idx="748">
                  <c:v>-152280</c:v>
                </c:pt>
                <c:pt idx="749">
                  <c:v>-152405</c:v>
                </c:pt>
                <c:pt idx="750">
                  <c:v>-151780</c:v>
                </c:pt>
                <c:pt idx="751">
                  <c:v>-151030</c:v>
                </c:pt>
                <c:pt idx="752">
                  <c:v>-149905</c:v>
                </c:pt>
                <c:pt idx="753">
                  <c:v>-150030</c:v>
                </c:pt>
                <c:pt idx="754">
                  <c:v>-148780</c:v>
                </c:pt>
                <c:pt idx="755">
                  <c:v>-150155</c:v>
                </c:pt>
                <c:pt idx="756">
                  <c:v>-149280</c:v>
                </c:pt>
                <c:pt idx="757">
                  <c:v>-149030</c:v>
                </c:pt>
                <c:pt idx="758">
                  <c:v>-151405</c:v>
                </c:pt>
                <c:pt idx="759">
                  <c:v>-149280</c:v>
                </c:pt>
                <c:pt idx="760">
                  <c:v>-148400</c:v>
                </c:pt>
                <c:pt idx="761">
                  <c:v>-149775</c:v>
                </c:pt>
                <c:pt idx="762">
                  <c:v>-146650</c:v>
                </c:pt>
                <c:pt idx="763">
                  <c:v>-144900</c:v>
                </c:pt>
                <c:pt idx="764">
                  <c:v>-148400</c:v>
                </c:pt>
                <c:pt idx="765">
                  <c:v>-148275</c:v>
                </c:pt>
                <c:pt idx="766">
                  <c:v>-148525</c:v>
                </c:pt>
                <c:pt idx="767">
                  <c:v>-145900</c:v>
                </c:pt>
                <c:pt idx="768">
                  <c:v>-147650</c:v>
                </c:pt>
                <c:pt idx="769">
                  <c:v>-145900</c:v>
                </c:pt>
                <c:pt idx="770">
                  <c:v>-145775</c:v>
                </c:pt>
                <c:pt idx="771">
                  <c:v>-150150</c:v>
                </c:pt>
                <c:pt idx="772">
                  <c:v>-148525</c:v>
                </c:pt>
                <c:pt idx="773">
                  <c:v>-147900</c:v>
                </c:pt>
                <c:pt idx="774">
                  <c:v>-149400</c:v>
                </c:pt>
                <c:pt idx="775">
                  <c:v>-151900</c:v>
                </c:pt>
                <c:pt idx="776">
                  <c:v>-152400</c:v>
                </c:pt>
                <c:pt idx="777">
                  <c:v>-152900</c:v>
                </c:pt>
                <c:pt idx="778">
                  <c:v>-153400</c:v>
                </c:pt>
                <c:pt idx="779">
                  <c:v>-154775</c:v>
                </c:pt>
                <c:pt idx="780">
                  <c:v>-154275</c:v>
                </c:pt>
                <c:pt idx="781">
                  <c:v>-155525</c:v>
                </c:pt>
                <c:pt idx="782">
                  <c:v>-155900</c:v>
                </c:pt>
                <c:pt idx="783">
                  <c:v>-155395</c:v>
                </c:pt>
                <c:pt idx="784">
                  <c:v>-159395</c:v>
                </c:pt>
                <c:pt idx="785">
                  <c:v>-158645</c:v>
                </c:pt>
                <c:pt idx="786">
                  <c:v>-158145</c:v>
                </c:pt>
                <c:pt idx="787">
                  <c:v>-159020</c:v>
                </c:pt>
                <c:pt idx="788">
                  <c:v>-157020</c:v>
                </c:pt>
                <c:pt idx="789">
                  <c:v>-159770</c:v>
                </c:pt>
                <c:pt idx="790">
                  <c:v>-156270</c:v>
                </c:pt>
                <c:pt idx="791">
                  <c:v>-155895</c:v>
                </c:pt>
                <c:pt idx="792">
                  <c:v>-155895</c:v>
                </c:pt>
                <c:pt idx="793">
                  <c:v>-154145</c:v>
                </c:pt>
                <c:pt idx="794">
                  <c:v>-153645</c:v>
                </c:pt>
                <c:pt idx="795">
                  <c:v>-151020</c:v>
                </c:pt>
                <c:pt idx="796">
                  <c:v>-151270</c:v>
                </c:pt>
                <c:pt idx="797">
                  <c:v>-151520</c:v>
                </c:pt>
                <c:pt idx="798">
                  <c:v>-150395</c:v>
                </c:pt>
                <c:pt idx="799">
                  <c:v>-150520</c:v>
                </c:pt>
                <c:pt idx="800">
                  <c:v>-150770</c:v>
                </c:pt>
                <c:pt idx="801">
                  <c:v>-150270</c:v>
                </c:pt>
                <c:pt idx="802">
                  <c:v>-152270</c:v>
                </c:pt>
                <c:pt idx="803">
                  <c:v>-149895</c:v>
                </c:pt>
                <c:pt idx="804">
                  <c:v>-150265</c:v>
                </c:pt>
                <c:pt idx="805">
                  <c:v>-149515</c:v>
                </c:pt>
                <c:pt idx="806">
                  <c:v>-150140</c:v>
                </c:pt>
                <c:pt idx="807">
                  <c:v>-151015</c:v>
                </c:pt>
                <c:pt idx="808">
                  <c:v>-152265</c:v>
                </c:pt>
                <c:pt idx="809">
                  <c:v>-154640</c:v>
                </c:pt>
                <c:pt idx="810">
                  <c:v>-155140</c:v>
                </c:pt>
                <c:pt idx="811">
                  <c:v>-155265</c:v>
                </c:pt>
                <c:pt idx="812">
                  <c:v>-155515</c:v>
                </c:pt>
                <c:pt idx="813">
                  <c:v>-156140</c:v>
                </c:pt>
                <c:pt idx="814">
                  <c:v>-155890</c:v>
                </c:pt>
                <c:pt idx="815">
                  <c:v>-154890</c:v>
                </c:pt>
                <c:pt idx="816">
                  <c:v>-152015</c:v>
                </c:pt>
                <c:pt idx="817">
                  <c:v>-152515</c:v>
                </c:pt>
                <c:pt idx="818">
                  <c:v>-153015</c:v>
                </c:pt>
                <c:pt idx="819">
                  <c:v>-151640</c:v>
                </c:pt>
                <c:pt idx="820">
                  <c:v>-154390</c:v>
                </c:pt>
                <c:pt idx="821">
                  <c:v>-155015</c:v>
                </c:pt>
                <c:pt idx="822">
                  <c:v>-157265</c:v>
                </c:pt>
                <c:pt idx="823">
                  <c:v>-158390</c:v>
                </c:pt>
                <c:pt idx="824">
                  <c:v>-159140</c:v>
                </c:pt>
                <c:pt idx="825">
                  <c:v>-159510</c:v>
                </c:pt>
                <c:pt idx="826">
                  <c:v>-160010</c:v>
                </c:pt>
                <c:pt idx="827">
                  <c:v>-160010</c:v>
                </c:pt>
                <c:pt idx="828">
                  <c:v>-158885</c:v>
                </c:pt>
                <c:pt idx="829">
                  <c:v>-157885</c:v>
                </c:pt>
                <c:pt idx="830">
                  <c:v>-158010</c:v>
                </c:pt>
                <c:pt idx="831">
                  <c:v>-158135</c:v>
                </c:pt>
                <c:pt idx="832">
                  <c:v>-156510</c:v>
                </c:pt>
                <c:pt idx="833">
                  <c:v>-155385</c:v>
                </c:pt>
                <c:pt idx="834">
                  <c:v>-153385</c:v>
                </c:pt>
                <c:pt idx="835">
                  <c:v>-153510</c:v>
                </c:pt>
                <c:pt idx="836">
                  <c:v>-154010</c:v>
                </c:pt>
                <c:pt idx="837">
                  <c:v>-153760</c:v>
                </c:pt>
                <c:pt idx="838">
                  <c:v>-154510</c:v>
                </c:pt>
                <c:pt idx="839">
                  <c:v>-153135</c:v>
                </c:pt>
                <c:pt idx="840">
                  <c:v>-153010</c:v>
                </c:pt>
                <c:pt idx="841">
                  <c:v>-153760</c:v>
                </c:pt>
                <c:pt idx="842">
                  <c:v>-153010</c:v>
                </c:pt>
                <c:pt idx="843">
                  <c:v>-152510</c:v>
                </c:pt>
                <c:pt idx="844">
                  <c:v>-152135</c:v>
                </c:pt>
                <c:pt idx="845">
                  <c:v>-151760</c:v>
                </c:pt>
                <c:pt idx="846">
                  <c:v>-153135</c:v>
                </c:pt>
                <c:pt idx="847">
                  <c:v>-163635</c:v>
                </c:pt>
                <c:pt idx="848">
                  <c:v>-162135</c:v>
                </c:pt>
                <c:pt idx="849">
                  <c:v>-160510</c:v>
                </c:pt>
                <c:pt idx="850">
                  <c:v>-160010</c:v>
                </c:pt>
                <c:pt idx="851">
                  <c:v>-158760</c:v>
                </c:pt>
                <c:pt idx="852">
                  <c:v>-157135</c:v>
                </c:pt>
                <c:pt idx="853">
                  <c:v>-156885</c:v>
                </c:pt>
                <c:pt idx="854">
                  <c:v>-159510</c:v>
                </c:pt>
                <c:pt idx="855">
                  <c:v>-158135</c:v>
                </c:pt>
                <c:pt idx="856">
                  <c:v>-150885</c:v>
                </c:pt>
                <c:pt idx="857">
                  <c:v>-150885</c:v>
                </c:pt>
                <c:pt idx="858">
                  <c:v>-147885</c:v>
                </c:pt>
                <c:pt idx="859">
                  <c:v>-147260</c:v>
                </c:pt>
                <c:pt idx="860">
                  <c:v>-145510</c:v>
                </c:pt>
                <c:pt idx="861">
                  <c:v>-142260</c:v>
                </c:pt>
                <c:pt idx="862">
                  <c:v>-142760</c:v>
                </c:pt>
                <c:pt idx="863">
                  <c:v>-151510</c:v>
                </c:pt>
                <c:pt idx="864">
                  <c:v>-147885</c:v>
                </c:pt>
                <c:pt idx="865">
                  <c:v>-147885</c:v>
                </c:pt>
                <c:pt idx="866">
                  <c:v>-149010</c:v>
                </c:pt>
                <c:pt idx="867">
                  <c:v>-145135</c:v>
                </c:pt>
                <c:pt idx="868">
                  <c:v>-145010</c:v>
                </c:pt>
                <c:pt idx="869">
                  <c:v>-146130</c:v>
                </c:pt>
                <c:pt idx="870">
                  <c:v>-151380</c:v>
                </c:pt>
                <c:pt idx="871">
                  <c:v>-151505</c:v>
                </c:pt>
                <c:pt idx="872">
                  <c:v>-153630</c:v>
                </c:pt>
                <c:pt idx="873">
                  <c:v>-151880</c:v>
                </c:pt>
                <c:pt idx="874">
                  <c:v>-155380</c:v>
                </c:pt>
                <c:pt idx="875">
                  <c:v>-151505</c:v>
                </c:pt>
                <c:pt idx="876">
                  <c:v>-152630</c:v>
                </c:pt>
                <c:pt idx="877">
                  <c:v>-147005</c:v>
                </c:pt>
                <c:pt idx="878">
                  <c:v>-145505</c:v>
                </c:pt>
                <c:pt idx="879">
                  <c:v>-144630</c:v>
                </c:pt>
                <c:pt idx="880">
                  <c:v>-142255</c:v>
                </c:pt>
                <c:pt idx="881">
                  <c:v>-141005</c:v>
                </c:pt>
                <c:pt idx="882">
                  <c:v>-146130</c:v>
                </c:pt>
                <c:pt idx="883">
                  <c:v>-144255</c:v>
                </c:pt>
                <c:pt idx="884">
                  <c:v>-142130</c:v>
                </c:pt>
                <c:pt idx="885">
                  <c:v>-140505</c:v>
                </c:pt>
                <c:pt idx="886">
                  <c:v>-138630</c:v>
                </c:pt>
                <c:pt idx="887">
                  <c:v>-136755</c:v>
                </c:pt>
                <c:pt idx="888">
                  <c:v>-134630</c:v>
                </c:pt>
                <c:pt idx="889">
                  <c:v>-133880</c:v>
                </c:pt>
                <c:pt idx="890">
                  <c:v>-137755</c:v>
                </c:pt>
                <c:pt idx="891">
                  <c:v>-134380</c:v>
                </c:pt>
                <c:pt idx="892">
                  <c:v>-132255</c:v>
                </c:pt>
                <c:pt idx="893">
                  <c:v>-131880</c:v>
                </c:pt>
                <c:pt idx="894">
                  <c:v>-127005</c:v>
                </c:pt>
                <c:pt idx="895">
                  <c:v>-127130</c:v>
                </c:pt>
                <c:pt idx="896">
                  <c:v>-124380</c:v>
                </c:pt>
                <c:pt idx="897">
                  <c:v>-127630</c:v>
                </c:pt>
                <c:pt idx="898">
                  <c:v>-129380</c:v>
                </c:pt>
                <c:pt idx="899">
                  <c:v>-126005</c:v>
                </c:pt>
                <c:pt idx="900">
                  <c:v>-123755</c:v>
                </c:pt>
                <c:pt idx="901">
                  <c:v>-125130</c:v>
                </c:pt>
                <c:pt idx="902">
                  <c:v>-128255</c:v>
                </c:pt>
                <c:pt idx="903">
                  <c:v>-123505</c:v>
                </c:pt>
                <c:pt idx="904">
                  <c:v>-129130</c:v>
                </c:pt>
                <c:pt idx="905">
                  <c:v>-141880</c:v>
                </c:pt>
                <c:pt idx="906">
                  <c:v>-142005</c:v>
                </c:pt>
                <c:pt idx="907">
                  <c:v>-146755</c:v>
                </c:pt>
                <c:pt idx="908">
                  <c:v>-149880</c:v>
                </c:pt>
                <c:pt idx="909">
                  <c:v>-149005</c:v>
                </c:pt>
                <c:pt idx="910">
                  <c:v>-148505</c:v>
                </c:pt>
                <c:pt idx="911">
                  <c:v>-153880</c:v>
                </c:pt>
                <c:pt idx="912">
                  <c:v>-159380</c:v>
                </c:pt>
                <c:pt idx="913">
                  <c:v>-163125</c:v>
                </c:pt>
                <c:pt idx="914">
                  <c:v>-167375</c:v>
                </c:pt>
                <c:pt idx="915">
                  <c:v>-168250</c:v>
                </c:pt>
                <c:pt idx="916">
                  <c:v>-171250</c:v>
                </c:pt>
                <c:pt idx="917">
                  <c:v>-172625</c:v>
                </c:pt>
                <c:pt idx="918">
                  <c:v>-166375</c:v>
                </c:pt>
                <c:pt idx="919">
                  <c:v>-170000</c:v>
                </c:pt>
                <c:pt idx="920">
                  <c:v>-167125</c:v>
                </c:pt>
                <c:pt idx="921">
                  <c:v>-162250</c:v>
                </c:pt>
                <c:pt idx="922">
                  <c:v>-164125</c:v>
                </c:pt>
                <c:pt idx="923">
                  <c:v>-166750</c:v>
                </c:pt>
                <c:pt idx="924">
                  <c:v>-165625</c:v>
                </c:pt>
                <c:pt idx="925">
                  <c:v>-171500</c:v>
                </c:pt>
                <c:pt idx="926">
                  <c:v>-175500</c:v>
                </c:pt>
                <c:pt idx="927">
                  <c:v>-175750</c:v>
                </c:pt>
                <c:pt idx="928">
                  <c:v>-175625</c:v>
                </c:pt>
                <c:pt idx="929">
                  <c:v>-176375</c:v>
                </c:pt>
                <c:pt idx="930">
                  <c:v>-177500</c:v>
                </c:pt>
                <c:pt idx="931">
                  <c:v>-175250</c:v>
                </c:pt>
                <c:pt idx="932">
                  <c:v>-178375</c:v>
                </c:pt>
                <c:pt idx="933">
                  <c:v>-176500</c:v>
                </c:pt>
                <c:pt idx="934">
                  <c:v>-179125</c:v>
                </c:pt>
                <c:pt idx="935">
                  <c:v>-182500</c:v>
                </c:pt>
                <c:pt idx="936">
                  <c:v>-180750</c:v>
                </c:pt>
                <c:pt idx="937">
                  <c:v>-182000</c:v>
                </c:pt>
                <c:pt idx="938">
                  <c:v>-181875</c:v>
                </c:pt>
                <c:pt idx="939">
                  <c:v>-180875</c:v>
                </c:pt>
                <c:pt idx="940">
                  <c:v>-181125</c:v>
                </c:pt>
                <c:pt idx="941">
                  <c:v>-180875</c:v>
                </c:pt>
                <c:pt idx="942">
                  <c:v>-182500</c:v>
                </c:pt>
                <c:pt idx="943">
                  <c:v>-183875</c:v>
                </c:pt>
                <c:pt idx="944">
                  <c:v>-179625</c:v>
                </c:pt>
                <c:pt idx="945">
                  <c:v>-179250</c:v>
                </c:pt>
                <c:pt idx="946">
                  <c:v>-179000</c:v>
                </c:pt>
                <c:pt idx="947">
                  <c:v>-177875</c:v>
                </c:pt>
                <c:pt idx="948">
                  <c:v>-176000</c:v>
                </c:pt>
                <c:pt idx="949">
                  <c:v>-176625</c:v>
                </c:pt>
                <c:pt idx="950">
                  <c:v>-178625</c:v>
                </c:pt>
                <c:pt idx="951">
                  <c:v>-179750</c:v>
                </c:pt>
                <c:pt idx="952">
                  <c:v>-181750</c:v>
                </c:pt>
                <c:pt idx="953">
                  <c:v>-184375</c:v>
                </c:pt>
                <c:pt idx="954">
                  <c:v>-187625</c:v>
                </c:pt>
                <c:pt idx="955">
                  <c:v>-189125</c:v>
                </c:pt>
                <c:pt idx="956">
                  <c:v>-189375</c:v>
                </c:pt>
                <c:pt idx="957">
                  <c:v>-186745</c:v>
                </c:pt>
                <c:pt idx="958">
                  <c:v>-183495</c:v>
                </c:pt>
                <c:pt idx="959">
                  <c:v>-183495</c:v>
                </c:pt>
                <c:pt idx="960">
                  <c:v>-184120</c:v>
                </c:pt>
                <c:pt idx="961">
                  <c:v>-181745</c:v>
                </c:pt>
                <c:pt idx="962">
                  <c:v>-178620</c:v>
                </c:pt>
                <c:pt idx="963">
                  <c:v>-176995</c:v>
                </c:pt>
                <c:pt idx="964">
                  <c:v>-177870</c:v>
                </c:pt>
                <c:pt idx="965">
                  <c:v>-182620</c:v>
                </c:pt>
                <c:pt idx="966">
                  <c:v>-182370</c:v>
                </c:pt>
                <c:pt idx="967">
                  <c:v>-183245</c:v>
                </c:pt>
                <c:pt idx="968">
                  <c:v>-179245</c:v>
                </c:pt>
                <c:pt idx="969">
                  <c:v>-180370</c:v>
                </c:pt>
                <c:pt idx="970">
                  <c:v>-177620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A62-4F87-94A9-1A58479DCB78}"/>
            </c:ext>
          </c:extLst>
        </c:ser>
        <c:ser>
          <c:idx val="2"/>
          <c:order val="2"/>
          <c:tx>
            <c:strRef>
              <c:f>Data!$K$11</c:f>
              <c:strCache>
                <c:ptCount val="1"/>
                <c:pt idx="0">
                  <c:v>Short Corn Futures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[0]!dateRange</c:f>
              <c:numCache>
                <c:formatCode>m/d/yyyy</c:formatCode>
                <c:ptCount val="971"/>
                <c:pt idx="0">
                  <c:v>41275</c:v>
                </c:pt>
                <c:pt idx="1">
                  <c:v>41276</c:v>
                </c:pt>
                <c:pt idx="2">
                  <c:v>41277</c:v>
                </c:pt>
                <c:pt idx="3">
                  <c:v>41278</c:v>
                </c:pt>
                <c:pt idx="4">
                  <c:v>41281</c:v>
                </c:pt>
                <c:pt idx="5">
                  <c:v>41282</c:v>
                </c:pt>
                <c:pt idx="6">
                  <c:v>41283</c:v>
                </c:pt>
                <c:pt idx="7">
                  <c:v>41284</c:v>
                </c:pt>
                <c:pt idx="8">
                  <c:v>41285</c:v>
                </c:pt>
                <c:pt idx="9">
                  <c:v>41288</c:v>
                </c:pt>
                <c:pt idx="10">
                  <c:v>41289</c:v>
                </c:pt>
                <c:pt idx="11">
                  <c:v>41290</c:v>
                </c:pt>
                <c:pt idx="12">
                  <c:v>41291</c:v>
                </c:pt>
                <c:pt idx="13">
                  <c:v>41292</c:v>
                </c:pt>
                <c:pt idx="14">
                  <c:v>41295</c:v>
                </c:pt>
                <c:pt idx="15">
                  <c:v>41296</c:v>
                </c:pt>
                <c:pt idx="16">
                  <c:v>41297</c:v>
                </c:pt>
                <c:pt idx="17">
                  <c:v>41298</c:v>
                </c:pt>
                <c:pt idx="18">
                  <c:v>41299</c:v>
                </c:pt>
                <c:pt idx="19">
                  <c:v>41302</c:v>
                </c:pt>
                <c:pt idx="20">
                  <c:v>41303</c:v>
                </c:pt>
                <c:pt idx="21">
                  <c:v>41304</c:v>
                </c:pt>
                <c:pt idx="22">
                  <c:v>41305</c:v>
                </c:pt>
                <c:pt idx="23">
                  <c:v>41306</c:v>
                </c:pt>
                <c:pt idx="24">
                  <c:v>41309</c:v>
                </c:pt>
                <c:pt idx="25">
                  <c:v>41310</c:v>
                </c:pt>
                <c:pt idx="26">
                  <c:v>41311</c:v>
                </c:pt>
                <c:pt idx="27">
                  <c:v>41312</c:v>
                </c:pt>
                <c:pt idx="28">
                  <c:v>41313</c:v>
                </c:pt>
                <c:pt idx="29">
                  <c:v>41316</c:v>
                </c:pt>
                <c:pt idx="30">
                  <c:v>41317</c:v>
                </c:pt>
                <c:pt idx="31">
                  <c:v>41318</c:v>
                </c:pt>
                <c:pt idx="32">
                  <c:v>41319</c:v>
                </c:pt>
                <c:pt idx="33">
                  <c:v>41320</c:v>
                </c:pt>
                <c:pt idx="34">
                  <c:v>41323</c:v>
                </c:pt>
                <c:pt idx="35">
                  <c:v>41324</c:v>
                </c:pt>
                <c:pt idx="36">
                  <c:v>41325</c:v>
                </c:pt>
                <c:pt idx="37">
                  <c:v>41326</c:v>
                </c:pt>
                <c:pt idx="38">
                  <c:v>41327</c:v>
                </c:pt>
                <c:pt idx="39">
                  <c:v>41330</c:v>
                </c:pt>
                <c:pt idx="40">
                  <c:v>41331</c:v>
                </c:pt>
                <c:pt idx="41">
                  <c:v>41332</c:v>
                </c:pt>
                <c:pt idx="42">
                  <c:v>41333</c:v>
                </c:pt>
                <c:pt idx="43">
                  <c:v>41334</c:v>
                </c:pt>
                <c:pt idx="44">
                  <c:v>41337</c:v>
                </c:pt>
                <c:pt idx="45">
                  <c:v>41338</c:v>
                </c:pt>
                <c:pt idx="46">
                  <c:v>41339</c:v>
                </c:pt>
                <c:pt idx="47">
                  <c:v>41340</c:v>
                </c:pt>
                <c:pt idx="48">
                  <c:v>41341</c:v>
                </c:pt>
                <c:pt idx="49">
                  <c:v>41344</c:v>
                </c:pt>
                <c:pt idx="50">
                  <c:v>41345</c:v>
                </c:pt>
                <c:pt idx="51">
                  <c:v>41346</c:v>
                </c:pt>
                <c:pt idx="52">
                  <c:v>41347</c:v>
                </c:pt>
                <c:pt idx="53">
                  <c:v>41348</c:v>
                </c:pt>
                <c:pt idx="54">
                  <c:v>41351</c:v>
                </c:pt>
                <c:pt idx="55">
                  <c:v>41352</c:v>
                </c:pt>
                <c:pt idx="56">
                  <c:v>41353</c:v>
                </c:pt>
                <c:pt idx="57">
                  <c:v>41354</c:v>
                </c:pt>
                <c:pt idx="58">
                  <c:v>41355</c:v>
                </c:pt>
                <c:pt idx="59">
                  <c:v>41358</c:v>
                </c:pt>
                <c:pt idx="60">
                  <c:v>41359</c:v>
                </c:pt>
                <c:pt idx="61">
                  <c:v>41360</c:v>
                </c:pt>
                <c:pt idx="62">
                  <c:v>41361</c:v>
                </c:pt>
                <c:pt idx="63">
                  <c:v>41362</c:v>
                </c:pt>
                <c:pt idx="64">
                  <c:v>41365</c:v>
                </c:pt>
                <c:pt idx="65">
                  <c:v>41366</c:v>
                </c:pt>
                <c:pt idx="66">
                  <c:v>41367</c:v>
                </c:pt>
                <c:pt idx="67">
                  <c:v>41368</c:v>
                </c:pt>
                <c:pt idx="68">
                  <c:v>41369</c:v>
                </c:pt>
                <c:pt idx="69">
                  <c:v>41372</c:v>
                </c:pt>
                <c:pt idx="70">
                  <c:v>41373</c:v>
                </c:pt>
                <c:pt idx="71">
                  <c:v>41374</c:v>
                </c:pt>
                <c:pt idx="72">
                  <c:v>41375</c:v>
                </c:pt>
                <c:pt idx="73">
                  <c:v>41376</c:v>
                </c:pt>
                <c:pt idx="74">
                  <c:v>41379</c:v>
                </c:pt>
                <c:pt idx="75">
                  <c:v>41380</c:v>
                </c:pt>
                <c:pt idx="76">
                  <c:v>41381</c:v>
                </c:pt>
                <c:pt idx="77">
                  <c:v>41382</c:v>
                </c:pt>
                <c:pt idx="78">
                  <c:v>41383</c:v>
                </c:pt>
                <c:pt idx="79">
                  <c:v>41386</c:v>
                </c:pt>
                <c:pt idx="80">
                  <c:v>41387</c:v>
                </c:pt>
                <c:pt idx="81">
                  <c:v>41388</c:v>
                </c:pt>
                <c:pt idx="82">
                  <c:v>41389</c:v>
                </c:pt>
                <c:pt idx="83">
                  <c:v>41390</c:v>
                </c:pt>
                <c:pt idx="84">
                  <c:v>41393</c:v>
                </c:pt>
                <c:pt idx="85">
                  <c:v>41394</c:v>
                </c:pt>
                <c:pt idx="86">
                  <c:v>41395</c:v>
                </c:pt>
                <c:pt idx="87">
                  <c:v>41396</c:v>
                </c:pt>
                <c:pt idx="88">
                  <c:v>41397</c:v>
                </c:pt>
                <c:pt idx="89">
                  <c:v>41400</c:v>
                </c:pt>
                <c:pt idx="90">
                  <c:v>41401</c:v>
                </c:pt>
                <c:pt idx="91">
                  <c:v>41402</c:v>
                </c:pt>
                <c:pt idx="92">
                  <c:v>41403</c:v>
                </c:pt>
                <c:pt idx="93">
                  <c:v>41404</c:v>
                </c:pt>
                <c:pt idx="94">
                  <c:v>41407</c:v>
                </c:pt>
                <c:pt idx="95">
                  <c:v>41408</c:v>
                </c:pt>
                <c:pt idx="96">
                  <c:v>41409</c:v>
                </c:pt>
                <c:pt idx="97">
                  <c:v>41410</c:v>
                </c:pt>
                <c:pt idx="98">
                  <c:v>41411</c:v>
                </c:pt>
                <c:pt idx="99">
                  <c:v>41414</c:v>
                </c:pt>
                <c:pt idx="100">
                  <c:v>41415</c:v>
                </c:pt>
                <c:pt idx="101">
                  <c:v>41416</c:v>
                </c:pt>
                <c:pt idx="102">
                  <c:v>41417</c:v>
                </c:pt>
                <c:pt idx="103">
                  <c:v>41418</c:v>
                </c:pt>
                <c:pt idx="104">
                  <c:v>41421</c:v>
                </c:pt>
                <c:pt idx="105">
                  <c:v>41422</c:v>
                </c:pt>
                <c:pt idx="106">
                  <c:v>41423</c:v>
                </c:pt>
                <c:pt idx="107">
                  <c:v>41424</c:v>
                </c:pt>
                <c:pt idx="108">
                  <c:v>41425</c:v>
                </c:pt>
                <c:pt idx="109">
                  <c:v>41428</c:v>
                </c:pt>
                <c:pt idx="110">
                  <c:v>41429</c:v>
                </c:pt>
                <c:pt idx="111">
                  <c:v>41430</c:v>
                </c:pt>
                <c:pt idx="112">
                  <c:v>41431</c:v>
                </c:pt>
                <c:pt idx="113">
                  <c:v>41432</c:v>
                </c:pt>
                <c:pt idx="114">
                  <c:v>41435</c:v>
                </c:pt>
                <c:pt idx="115">
                  <c:v>41436</c:v>
                </c:pt>
                <c:pt idx="116">
                  <c:v>41437</c:v>
                </c:pt>
                <c:pt idx="117">
                  <c:v>41438</c:v>
                </c:pt>
                <c:pt idx="118">
                  <c:v>41439</c:v>
                </c:pt>
                <c:pt idx="119">
                  <c:v>41442</c:v>
                </c:pt>
                <c:pt idx="120">
                  <c:v>41443</c:v>
                </c:pt>
                <c:pt idx="121">
                  <c:v>41444</c:v>
                </c:pt>
                <c:pt idx="122">
                  <c:v>41445</c:v>
                </c:pt>
                <c:pt idx="123">
                  <c:v>41446</c:v>
                </c:pt>
                <c:pt idx="124">
                  <c:v>41449</c:v>
                </c:pt>
                <c:pt idx="125">
                  <c:v>41450</c:v>
                </c:pt>
                <c:pt idx="126">
                  <c:v>41451</c:v>
                </c:pt>
                <c:pt idx="127">
                  <c:v>41452</c:v>
                </c:pt>
                <c:pt idx="128">
                  <c:v>41453</c:v>
                </c:pt>
                <c:pt idx="129">
                  <c:v>41456</c:v>
                </c:pt>
                <c:pt idx="130">
                  <c:v>41457</c:v>
                </c:pt>
                <c:pt idx="131">
                  <c:v>41458</c:v>
                </c:pt>
                <c:pt idx="132">
                  <c:v>41459</c:v>
                </c:pt>
                <c:pt idx="133">
                  <c:v>41460</c:v>
                </c:pt>
                <c:pt idx="134">
                  <c:v>41463</c:v>
                </c:pt>
                <c:pt idx="135">
                  <c:v>41464</c:v>
                </c:pt>
                <c:pt idx="136">
                  <c:v>41465</c:v>
                </c:pt>
                <c:pt idx="137">
                  <c:v>41466</c:v>
                </c:pt>
                <c:pt idx="138">
                  <c:v>41467</c:v>
                </c:pt>
                <c:pt idx="139">
                  <c:v>41470</c:v>
                </c:pt>
                <c:pt idx="140">
                  <c:v>41471</c:v>
                </c:pt>
                <c:pt idx="141">
                  <c:v>41472</c:v>
                </c:pt>
                <c:pt idx="142">
                  <c:v>41473</c:v>
                </c:pt>
                <c:pt idx="143">
                  <c:v>41474</c:v>
                </c:pt>
                <c:pt idx="144">
                  <c:v>41477</c:v>
                </c:pt>
                <c:pt idx="145">
                  <c:v>41478</c:v>
                </c:pt>
                <c:pt idx="146">
                  <c:v>41479</c:v>
                </c:pt>
                <c:pt idx="147">
                  <c:v>41480</c:v>
                </c:pt>
                <c:pt idx="148">
                  <c:v>41481</c:v>
                </c:pt>
                <c:pt idx="149">
                  <c:v>41484</c:v>
                </c:pt>
                <c:pt idx="150">
                  <c:v>41485</c:v>
                </c:pt>
                <c:pt idx="151">
                  <c:v>41486</c:v>
                </c:pt>
                <c:pt idx="152">
                  <c:v>41487</c:v>
                </c:pt>
                <c:pt idx="153">
                  <c:v>41488</c:v>
                </c:pt>
                <c:pt idx="154">
                  <c:v>41491</c:v>
                </c:pt>
                <c:pt idx="155">
                  <c:v>41492</c:v>
                </c:pt>
                <c:pt idx="156">
                  <c:v>41493</c:v>
                </c:pt>
                <c:pt idx="157">
                  <c:v>41494</c:v>
                </c:pt>
                <c:pt idx="158">
                  <c:v>41495</c:v>
                </c:pt>
                <c:pt idx="159">
                  <c:v>41498</c:v>
                </c:pt>
                <c:pt idx="160">
                  <c:v>41499</c:v>
                </c:pt>
                <c:pt idx="161">
                  <c:v>41500</c:v>
                </c:pt>
                <c:pt idx="162">
                  <c:v>41501</c:v>
                </c:pt>
                <c:pt idx="163">
                  <c:v>41502</c:v>
                </c:pt>
                <c:pt idx="164">
                  <c:v>41505</c:v>
                </c:pt>
                <c:pt idx="165">
                  <c:v>41506</c:v>
                </c:pt>
                <c:pt idx="166">
                  <c:v>41507</c:v>
                </c:pt>
                <c:pt idx="167">
                  <c:v>41508</c:v>
                </c:pt>
                <c:pt idx="168">
                  <c:v>41509</c:v>
                </c:pt>
                <c:pt idx="169">
                  <c:v>41512</c:v>
                </c:pt>
                <c:pt idx="170">
                  <c:v>41513</c:v>
                </c:pt>
                <c:pt idx="171">
                  <c:v>41514</c:v>
                </c:pt>
                <c:pt idx="172">
                  <c:v>41515</c:v>
                </c:pt>
                <c:pt idx="173">
                  <c:v>41516</c:v>
                </c:pt>
                <c:pt idx="174">
                  <c:v>41519</c:v>
                </c:pt>
                <c:pt idx="175">
                  <c:v>41520</c:v>
                </c:pt>
                <c:pt idx="176">
                  <c:v>41521</c:v>
                </c:pt>
                <c:pt idx="177">
                  <c:v>41522</c:v>
                </c:pt>
                <c:pt idx="178">
                  <c:v>41523</c:v>
                </c:pt>
                <c:pt idx="179">
                  <c:v>41526</c:v>
                </c:pt>
                <c:pt idx="180">
                  <c:v>41527</c:v>
                </c:pt>
                <c:pt idx="181">
                  <c:v>41528</c:v>
                </c:pt>
                <c:pt idx="182">
                  <c:v>41529</c:v>
                </c:pt>
                <c:pt idx="183">
                  <c:v>41530</c:v>
                </c:pt>
                <c:pt idx="184">
                  <c:v>41533</c:v>
                </c:pt>
                <c:pt idx="185">
                  <c:v>41534</c:v>
                </c:pt>
                <c:pt idx="186">
                  <c:v>41535</c:v>
                </c:pt>
                <c:pt idx="187">
                  <c:v>41536</c:v>
                </c:pt>
                <c:pt idx="188">
                  <c:v>41537</c:v>
                </c:pt>
                <c:pt idx="189">
                  <c:v>41540</c:v>
                </c:pt>
                <c:pt idx="190">
                  <c:v>41541</c:v>
                </c:pt>
                <c:pt idx="191">
                  <c:v>41542</c:v>
                </c:pt>
                <c:pt idx="192">
                  <c:v>41543</c:v>
                </c:pt>
                <c:pt idx="193">
                  <c:v>41544</c:v>
                </c:pt>
                <c:pt idx="194">
                  <c:v>41547</c:v>
                </c:pt>
                <c:pt idx="195">
                  <c:v>41548</c:v>
                </c:pt>
                <c:pt idx="196">
                  <c:v>41549</c:v>
                </c:pt>
                <c:pt idx="197">
                  <c:v>41550</c:v>
                </c:pt>
                <c:pt idx="198">
                  <c:v>41551</c:v>
                </c:pt>
                <c:pt idx="199">
                  <c:v>41554</c:v>
                </c:pt>
                <c:pt idx="200">
                  <c:v>41555</c:v>
                </c:pt>
                <c:pt idx="201">
                  <c:v>41556</c:v>
                </c:pt>
                <c:pt idx="202">
                  <c:v>41557</c:v>
                </c:pt>
                <c:pt idx="203">
                  <c:v>41558</c:v>
                </c:pt>
                <c:pt idx="204">
                  <c:v>41561</c:v>
                </c:pt>
                <c:pt idx="205">
                  <c:v>41562</c:v>
                </c:pt>
                <c:pt idx="206">
                  <c:v>41563</c:v>
                </c:pt>
                <c:pt idx="207">
                  <c:v>41564</c:v>
                </c:pt>
                <c:pt idx="208">
                  <c:v>41565</c:v>
                </c:pt>
                <c:pt idx="209">
                  <c:v>41568</c:v>
                </c:pt>
                <c:pt idx="210">
                  <c:v>41569</c:v>
                </c:pt>
                <c:pt idx="211">
                  <c:v>41570</c:v>
                </c:pt>
                <c:pt idx="212">
                  <c:v>41571</c:v>
                </c:pt>
                <c:pt idx="213">
                  <c:v>41572</c:v>
                </c:pt>
                <c:pt idx="214">
                  <c:v>41575</c:v>
                </c:pt>
                <c:pt idx="215">
                  <c:v>41576</c:v>
                </c:pt>
                <c:pt idx="216">
                  <c:v>41577</c:v>
                </c:pt>
                <c:pt idx="217">
                  <c:v>41578</c:v>
                </c:pt>
                <c:pt idx="218">
                  <c:v>41579</c:v>
                </c:pt>
                <c:pt idx="219">
                  <c:v>41582</c:v>
                </c:pt>
                <c:pt idx="220">
                  <c:v>41583</c:v>
                </c:pt>
                <c:pt idx="221">
                  <c:v>41584</c:v>
                </c:pt>
                <c:pt idx="222">
                  <c:v>41585</c:v>
                </c:pt>
                <c:pt idx="223">
                  <c:v>41586</c:v>
                </c:pt>
                <c:pt idx="224">
                  <c:v>41589</c:v>
                </c:pt>
                <c:pt idx="225">
                  <c:v>41590</c:v>
                </c:pt>
                <c:pt idx="226">
                  <c:v>41591</c:v>
                </c:pt>
                <c:pt idx="227">
                  <c:v>41592</c:v>
                </c:pt>
                <c:pt idx="228">
                  <c:v>41593</c:v>
                </c:pt>
                <c:pt idx="229">
                  <c:v>41596</c:v>
                </c:pt>
                <c:pt idx="230">
                  <c:v>41597</c:v>
                </c:pt>
                <c:pt idx="231">
                  <c:v>41598</c:v>
                </c:pt>
                <c:pt idx="232">
                  <c:v>41599</c:v>
                </c:pt>
                <c:pt idx="233">
                  <c:v>41600</c:v>
                </c:pt>
                <c:pt idx="234">
                  <c:v>41603</c:v>
                </c:pt>
                <c:pt idx="235">
                  <c:v>41604</c:v>
                </c:pt>
                <c:pt idx="236">
                  <c:v>41605</c:v>
                </c:pt>
                <c:pt idx="237">
                  <c:v>41606</c:v>
                </c:pt>
                <c:pt idx="238">
                  <c:v>41607</c:v>
                </c:pt>
                <c:pt idx="239">
                  <c:v>41610</c:v>
                </c:pt>
                <c:pt idx="240">
                  <c:v>41611</c:v>
                </c:pt>
                <c:pt idx="241">
                  <c:v>41612</c:v>
                </c:pt>
                <c:pt idx="242">
                  <c:v>41613</c:v>
                </c:pt>
                <c:pt idx="243">
                  <c:v>41614</c:v>
                </c:pt>
                <c:pt idx="244">
                  <c:v>41617</c:v>
                </c:pt>
                <c:pt idx="245">
                  <c:v>41618</c:v>
                </c:pt>
                <c:pt idx="246">
                  <c:v>41619</c:v>
                </c:pt>
                <c:pt idx="247">
                  <c:v>41620</c:v>
                </c:pt>
                <c:pt idx="248">
                  <c:v>41621</c:v>
                </c:pt>
                <c:pt idx="249">
                  <c:v>41624</c:v>
                </c:pt>
                <c:pt idx="250">
                  <c:v>41625</c:v>
                </c:pt>
                <c:pt idx="251">
                  <c:v>41626</c:v>
                </c:pt>
                <c:pt idx="252">
                  <c:v>41627</c:v>
                </c:pt>
                <c:pt idx="253">
                  <c:v>41628</c:v>
                </c:pt>
                <c:pt idx="254">
                  <c:v>41631</c:v>
                </c:pt>
                <c:pt idx="255">
                  <c:v>41632</c:v>
                </c:pt>
                <c:pt idx="256">
                  <c:v>41633</c:v>
                </c:pt>
                <c:pt idx="257">
                  <c:v>41634</c:v>
                </c:pt>
                <c:pt idx="258">
                  <c:v>41635</c:v>
                </c:pt>
                <c:pt idx="259">
                  <c:v>41638</c:v>
                </c:pt>
                <c:pt idx="260">
                  <c:v>41639</c:v>
                </c:pt>
                <c:pt idx="261">
                  <c:v>41640</c:v>
                </c:pt>
                <c:pt idx="262">
                  <c:v>41641</c:v>
                </c:pt>
                <c:pt idx="263">
                  <c:v>41642</c:v>
                </c:pt>
                <c:pt idx="264">
                  <c:v>41645</c:v>
                </c:pt>
                <c:pt idx="265">
                  <c:v>41646</c:v>
                </c:pt>
                <c:pt idx="266">
                  <c:v>41647</c:v>
                </c:pt>
                <c:pt idx="267">
                  <c:v>41648</c:v>
                </c:pt>
                <c:pt idx="268">
                  <c:v>41649</c:v>
                </c:pt>
                <c:pt idx="269">
                  <c:v>41652</c:v>
                </c:pt>
                <c:pt idx="270">
                  <c:v>41653</c:v>
                </c:pt>
                <c:pt idx="271">
                  <c:v>41654</c:v>
                </c:pt>
                <c:pt idx="272">
                  <c:v>41655</c:v>
                </c:pt>
                <c:pt idx="273">
                  <c:v>41656</c:v>
                </c:pt>
                <c:pt idx="274">
                  <c:v>41659</c:v>
                </c:pt>
                <c:pt idx="275">
                  <c:v>41660</c:v>
                </c:pt>
                <c:pt idx="276">
                  <c:v>41661</c:v>
                </c:pt>
                <c:pt idx="277">
                  <c:v>41662</c:v>
                </c:pt>
                <c:pt idx="278">
                  <c:v>41663</c:v>
                </c:pt>
                <c:pt idx="279">
                  <c:v>41666</c:v>
                </c:pt>
                <c:pt idx="280">
                  <c:v>41667</c:v>
                </c:pt>
                <c:pt idx="281">
                  <c:v>41668</c:v>
                </c:pt>
                <c:pt idx="282">
                  <c:v>41669</c:v>
                </c:pt>
                <c:pt idx="283">
                  <c:v>41670</c:v>
                </c:pt>
                <c:pt idx="284">
                  <c:v>41673</c:v>
                </c:pt>
                <c:pt idx="285">
                  <c:v>41674</c:v>
                </c:pt>
                <c:pt idx="286">
                  <c:v>41675</c:v>
                </c:pt>
                <c:pt idx="287">
                  <c:v>41676</c:v>
                </c:pt>
                <c:pt idx="288">
                  <c:v>41677</c:v>
                </c:pt>
                <c:pt idx="289">
                  <c:v>41680</c:v>
                </c:pt>
                <c:pt idx="290">
                  <c:v>41681</c:v>
                </c:pt>
                <c:pt idx="291">
                  <c:v>41682</c:v>
                </c:pt>
                <c:pt idx="292">
                  <c:v>41683</c:v>
                </c:pt>
                <c:pt idx="293">
                  <c:v>41684</c:v>
                </c:pt>
                <c:pt idx="294">
                  <c:v>41687</c:v>
                </c:pt>
                <c:pt idx="295">
                  <c:v>41688</c:v>
                </c:pt>
                <c:pt idx="296">
                  <c:v>41689</c:v>
                </c:pt>
                <c:pt idx="297">
                  <c:v>41690</c:v>
                </c:pt>
                <c:pt idx="298">
                  <c:v>41691</c:v>
                </c:pt>
                <c:pt idx="299">
                  <c:v>41694</c:v>
                </c:pt>
                <c:pt idx="300">
                  <c:v>41695</c:v>
                </c:pt>
                <c:pt idx="301">
                  <c:v>41696</c:v>
                </c:pt>
                <c:pt idx="302">
                  <c:v>41697</c:v>
                </c:pt>
                <c:pt idx="303">
                  <c:v>41698</c:v>
                </c:pt>
                <c:pt idx="304">
                  <c:v>41701</c:v>
                </c:pt>
                <c:pt idx="305">
                  <c:v>41702</c:v>
                </c:pt>
                <c:pt idx="306">
                  <c:v>41703</c:v>
                </c:pt>
                <c:pt idx="307">
                  <c:v>41704</c:v>
                </c:pt>
                <c:pt idx="308">
                  <c:v>41705</c:v>
                </c:pt>
                <c:pt idx="309">
                  <c:v>41708</c:v>
                </c:pt>
                <c:pt idx="310">
                  <c:v>41709</c:v>
                </c:pt>
                <c:pt idx="311">
                  <c:v>41710</c:v>
                </c:pt>
                <c:pt idx="312">
                  <c:v>41711</c:v>
                </c:pt>
                <c:pt idx="313">
                  <c:v>41712</c:v>
                </c:pt>
                <c:pt idx="314">
                  <c:v>41715</c:v>
                </c:pt>
                <c:pt idx="315">
                  <c:v>41716</c:v>
                </c:pt>
                <c:pt idx="316">
                  <c:v>41717</c:v>
                </c:pt>
                <c:pt idx="317">
                  <c:v>41718</c:v>
                </c:pt>
                <c:pt idx="318">
                  <c:v>41719</c:v>
                </c:pt>
                <c:pt idx="319">
                  <c:v>41722</c:v>
                </c:pt>
                <c:pt idx="320">
                  <c:v>41723</c:v>
                </c:pt>
                <c:pt idx="321">
                  <c:v>41724</c:v>
                </c:pt>
                <c:pt idx="322">
                  <c:v>41725</c:v>
                </c:pt>
                <c:pt idx="323">
                  <c:v>41726</c:v>
                </c:pt>
                <c:pt idx="324">
                  <c:v>41729</c:v>
                </c:pt>
                <c:pt idx="325">
                  <c:v>41730</c:v>
                </c:pt>
                <c:pt idx="326">
                  <c:v>41731</c:v>
                </c:pt>
                <c:pt idx="327">
                  <c:v>41732</c:v>
                </c:pt>
                <c:pt idx="328">
                  <c:v>41733</c:v>
                </c:pt>
                <c:pt idx="329">
                  <c:v>41736</c:v>
                </c:pt>
                <c:pt idx="330">
                  <c:v>41737</c:v>
                </c:pt>
                <c:pt idx="331">
                  <c:v>41738</c:v>
                </c:pt>
                <c:pt idx="332">
                  <c:v>41739</c:v>
                </c:pt>
                <c:pt idx="333">
                  <c:v>41740</c:v>
                </c:pt>
                <c:pt idx="334">
                  <c:v>41743</c:v>
                </c:pt>
                <c:pt idx="335">
                  <c:v>41744</c:v>
                </c:pt>
                <c:pt idx="336">
                  <c:v>41745</c:v>
                </c:pt>
                <c:pt idx="337">
                  <c:v>41746</c:v>
                </c:pt>
                <c:pt idx="338">
                  <c:v>41747</c:v>
                </c:pt>
                <c:pt idx="339">
                  <c:v>41750</c:v>
                </c:pt>
                <c:pt idx="340">
                  <c:v>41751</c:v>
                </c:pt>
                <c:pt idx="341">
                  <c:v>41752</c:v>
                </c:pt>
                <c:pt idx="342">
                  <c:v>41753</c:v>
                </c:pt>
                <c:pt idx="343">
                  <c:v>41754</c:v>
                </c:pt>
                <c:pt idx="344">
                  <c:v>41757</c:v>
                </c:pt>
                <c:pt idx="345">
                  <c:v>41758</c:v>
                </c:pt>
                <c:pt idx="346">
                  <c:v>41759</c:v>
                </c:pt>
                <c:pt idx="347">
                  <c:v>41760</c:v>
                </c:pt>
                <c:pt idx="348">
                  <c:v>41761</c:v>
                </c:pt>
                <c:pt idx="349">
                  <c:v>41764</c:v>
                </c:pt>
                <c:pt idx="350">
                  <c:v>41765</c:v>
                </c:pt>
                <c:pt idx="351">
                  <c:v>41766</c:v>
                </c:pt>
                <c:pt idx="352">
                  <c:v>41767</c:v>
                </c:pt>
                <c:pt idx="353">
                  <c:v>41768</c:v>
                </c:pt>
                <c:pt idx="354">
                  <c:v>41771</c:v>
                </c:pt>
                <c:pt idx="355">
                  <c:v>41772</c:v>
                </c:pt>
                <c:pt idx="356">
                  <c:v>41773</c:v>
                </c:pt>
                <c:pt idx="357">
                  <c:v>41774</c:v>
                </c:pt>
                <c:pt idx="358">
                  <c:v>41775</c:v>
                </c:pt>
                <c:pt idx="359">
                  <c:v>41778</c:v>
                </c:pt>
                <c:pt idx="360">
                  <c:v>41779</c:v>
                </c:pt>
                <c:pt idx="361">
                  <c:v>41780</c:v>
                </c:pt>
                <c:pt idx="362">
                  <c:v>41781</c:v>
                </c:pt>
                <c:pt idx="363">
                  <c:v>41782</c:v>
                </c:pt>
                <c:pt idx="364">
                  <c:v>41785</c:v>
                </c:pt>
                <c:pt idx="365">
                  <c:v>41786</c:v>
                </c:pt>
                <c:pt idx="366">
                  <c:v>41787</c:v>
                </c:pt>
                <c:pt idx="367">
                  <c:v>41788</c:v>
                </c:pt>
                <c:pt idx="368">
                  <c:v>41789</c:v>
                </c:pt>
                <c:pt idx="369">
                  <c:v>41792</c:v>
                </c:pt>
                <c:pt idx="370">
                  <c:v>41793</c:v>
                </c:pt>
                <c:pt idx="371">
                  <c:v>41794</c:v>
                </c:pt>
                <c:pt idx="372">
                  <c:v>41795</c:v>
                </c:pt>
                <c:pt idx="373">
                  <c:v>41796</c:v>
                </c:pt>
                <c:pt idx="374">
                  <c:v>41799</c:v>
                </c:pt>
                <c:pt idx="375">
                  <c:v>41800</c:v>
                </c:pt>
                <c:pt idx="376">
                  <c:v>41801</c:v>
                </c:pt>
                <c:pt idx="377">
                  <c:v>41802</c:v>
                </c:pt>
                <c:pt idx="378">
                  <c:v>41803</c:v>
                </c:pt>
                <c:pt idx="379">
                  <c:v>41806</c:v>
                </c:pt>
                <c:pt idx="380">
                  <c:v>41807</c:v>
                </c:pt>
                <c:pt idx="381">
                  <c:v>41808</c:v>
                </c:pt>
                <c:pt idx="382">
                  <c:v>41809</c:v>
                </c:pt>
                <c:pt idx="383">
                  <c:v>41810</c:v>
                </c:pt>
                <c:pt idx="384">
                  <c:v>41813</c:v>
                </c:pt>
                <c:pt idx="385">
                  <c:v>41814</c:v>
                </c:pt>
                <c:pt idx="386">
                  <c:v>41815</c:v>
                </c:pt>
                <c:pt idx="387">
                  <c:v>41816</c:v>
                </c:pt>
                <c:pt idx="388">
                  <c:v>41817</c:v>
                </c:pt>
                <c:pt idx="389">
                  <c:v>41820</c:v>
                </c:pt>
                <c:pt idx="390">
                  <c:v>41821</c:v>
                </c:pt>
                <c:pt idx="391">
                  <c:v>41822</c:v>
                </c:pt>
                <c:pt idx="392">
                  <c:v>41823</c:v>
                </c:pt>
                <c:pt idx="393">
                  <c:v>41824</c:v>
                </c:pt>
                <c:pt idx="394">
                  <c:v>41827</c:v>
                </c:pt>
                <c:pt idx="395">
                  <c:v>41828</c:v>
                </c:pt>
                <c:pt idx="396">
                  <c:v>41829</c:v>
                </c:pt>
                <c:pt idx="397">
                  <c:v>41830</c:v>
                </c:pt>
                <c:pt idx="398">
                  <c:v>41831</c:v>
                </c:pt>
                <c:pt idx="399">
                  <c:v>41834</c:v>
                </c:pt>
                <c:pt idx="400">
                  <c:v>41835</c:v>
                </c:pt>
                <c:pt idx="401">
                  <c:v>41836</c:v>
                </c:pt>
                <c:pt idx="402">
                  <c:v>41837</c:v>
                </c:pt>
                <c:pt idx="403">
                  <c:v>41838</c:v>
                </c:pt>
                <c:pt idx="404">
                  <c:v>41841</c:v>
                </c:pt>
                <c:pt idx="405">
                  <c:v>41842</c:v>
                </c:pt>
                <c:pt idx="406">
                  <c:v>41843</c:v>
                </c:pt>
                <c:pt idx="407">
                  <c:v>41844</c:v>
                </c:pt>
                <c:pt idx="408">
                  <c:v>41845</c:v>
                </c:pt>
                <c:pt idx="409">
                  <c:v>41848</c:v>
                </c:pt>
                <c:pt idx="410">
                  <c:v>41849</c:v>
                </c:pt>
                <c:pt idx="411">
                  <c:v>41850</c:v>
                </c:pt>
                <c:pt idx="412">
                  <c:v>41851</c:v>
                </c:pt>
                <c:pt idx="413">
                  <c:v>41852</c:v>
                </c:pt>
                <c:pt idx="414">
                  <c:v>41855</c:v>
                </c:pt>
                <c:pt idx="415">
                  <c:v>41856</c:v>
                </c:pt>
                <c:pt idx="416">
                  <c:v>41857</c:v>
                </c:pt>
                <c:pt idx="417">
                  <c:v>41858</c:v>
                </c:pt>
                <c:pt idx="418">
                  <c:v>41859</c:v>
                </c:pt>
                <c:pt idx="419">
                  <c:v>41862</c:v>
                </c:pt>
                <c:pt idx="420">
                  <c:v>41863</c:v>
                </c:pt>
                <c:pt idx="421">
                  <c:v>41864</c:v>
                </c:pt>
                <c:pt idx="422">
                  <c:v>41865</c:v>
                </c:pt>
                <c:pt idx="423">
                  <c:v>41866</c:v>
                </c:pt>
                <c:pt idx="424">
                  <c:v>41869</c:v>
                </c:pt>
                <c:pt idx="425">
                  <c:v>41870</c:v>
                </c:pt>
                <c:pt idx="426">
                  <c:v>41871</c:v>
                </c:pt>
                <c:pt idx="427">
                  <c:v>41872</c:v>
                </c:pt>
                <c:pt idx="428">
                  <c:v>41873</c:v>
                </c:pt>
                <c:pt idx="429">
                  <c:v>41876</c:v>
                </c:pt>
                <c:pt idx="430">
                  <c:v>41877</c:v>
                </c:pt>
                <c:pt idx="431">
                  <c:v>41878</c:v>
                </c:pt>
                <c:pt idx="432">
                  <c:v>41879</c:v>
                </c:pt>
                <c:pt idx="433">
                  <c:v>41880</c:v>
                </c:pt>
                <c:pt idx="434">
                  <c:v>41883</c:v>
                </c:pt>
                <c:pt idx="435">
                  <c:v>41884</c:v>
                </c:pt>
                <c:pt idx="436">
                  <c:v>41885</c:v>
                </c:pt>
                <c:pt idx="437">
                  <c:v>41886</c:v>
                </c:pt>
                <c:pt idx="438">
                  <c:v>41887</c:v>
                </c:pt>
                <c:pt idx="439">
                  <c:v>41890</c:v>
                </c:pt>
                <c:pt idx="440">
                  <c:v>41891</c:v>
                </c:pt>
                <c:pt idx="441">
                  <c:v>41892</c:v>
                </c:pt>
                <c:pt idx="442">
                  <c:v>41893</c:v>
                </c:pt>
                <c:pt idx="443">
                  <c:v>41894</c:v>
                </c:pt>
                <c:pt idx="444">
                  <c:v>41897</c:v>
                </c:pt>
                <c:pt idx="445">
                  <c:v>41898</c:v>
                </c:pt>
                <c:pt idx="446">
                  <c:v>41899</c:v>
                </c:pt>
                <c:pt idx="447">
                  <c:v>41900</c:v>
                </c:pt>
                <c:pt idx="448">
                  <c:v>41901</c:v>
                </c:pt>
                <c:pt idx="449">
                  <c:v>41904</c:v>
                </c:pt>
                <c:pt idx="450">
                  <c:v>41905</c:v>
                </c:pt>
                <c:pt idx="451">
                  <c:v>41906</c:v>
                </c:pt>
                <c:pt idx="452">
                  <c:v>41907</c:v>
                </c:pt>
                <c:pt idx="453">
                  <c:v>41908</c:v>
                </c:pt>
                <c:pt idx="454">
                  <c:v>41911</c:v>
                </c:pt>
                <c:pt idx="455">
                  <c:v>41912</c:v>
                </c:pt>
                <c:pt idx="456">
                  <c:v>41913</c:v>
                </c:pt>
                <c:pt idx="457">
                  <c:v>41914</c:v>
                </c:pt>
                <c:pt idx="458">
                  <c:v>41915</c:v>
                </c:pt>
                <c:pt idx="459">
                  <c:v>41918</c:v>
                </c:pt>
                <c:pt idx="460">
                  <c:v>41919</c:v>
                </c:pt>
                <c:pt idx="461">
                  <c:v>41920</c:v>
                </c:pt>
                <c:pt idx="462">
                  <c:v>41921</c:v>
                </c:pt>
                <c:pt idx="463">
                  <c:v>41922</c:v>
                </c:pt>
                <c:pt idx="464">
                  <c:v>41925</c:v>
                </c:pt>
                <c:pt idx="465">
                  <c:v>41926</c:v>
                </c:pt>
                <c:pt idx="466">
                  <c:v>41927</c:v>
                </c:pt>
                <c:pt idx="467">
                  <c:v>41928</c:v>
                </c:pt>
                <c:pt idx="468">
                  <c:v>41929</c:v>
                </c:pt>
                <c:pt idx="469">
                  <c:v>41932</c:v>
                </c:pt>
                <c:pt idx="470">
                  <c:v>41933</c:v>
                </c:pt>
                <c:pt idx="471">
                  <c:v>41934</c:v>
                </c:pt>
                <c:pt idx="472">
                  <c:v>41935</c:v>
                </c:pt>
                <c:pt idx="473">
                  <c:v>41936</c:v>
                </c:pt>
                <c:pt idx="474">
                  <c:v>41939</c:v>
                </c:pt>
                <c:pt idx="475">
                  <c:v>41940</c:v>
                </c:pt>
                <c:pt idx="476">
                  <c:v>41941</c:v>
                </c:pt>
                <c:pt idx="477">
                  <c:v>41942</c:v>
                </c:pt>
                <c:pt idx="478">
                  <c:v>41943</c:v>
                </c:pt>
                <c:pt idx="479">
                  <c:v>41946</c:v>
                </c:pt>
                <c:pt idx="480">
                  <c:v>41947</c:v>
                </c:pt>
                <c:pt idx="481">
                  <c:v>41948</c:v>
                </c:pt>
                <c:pt idx="482">
                  <c:v>41949</c:v>
                </c:pt>
                <c:pt idx="483">
                  <c:v>41950</c:v>
                </c:pt>
                <c:pt idx="484">
                  <c:v>41953</c:v>
                </c:pt>
                <c:pt idx="485">
                  <c:v>41954</c:v>
                </c:pt>
                <c:pt idx="486">
                  <c:v>41955</c:v>
                </c:pt>
                <c:pt idx="487">
                  <c:v>41956</c:v>
                </c:pt>
                <c:pt idx="488">
                  <c:v>41957</c:v>
                </c:pt>
                <c:pt idx="489">
                  <c:v>41960</c:v>
                </c:pt>
                <c:pt idx="490">
                  <c:v>41961</c:v>
                </c:pt>
                <c:pt idx="491">
                  <c:v>41962</c:v>
                </c:pt>
                <c:pt idx="492">
                  <c:v>41963</c:v>
                </c:pt>
                <c:pt idx="493">
                  <c:v>41964</c:v>
                </c:pt>
                <c:pt idx="494">
                  <c:v>41967</c:v>
                </c:pt>
                <c:pt idx="495">
                  <c:v>41968</c:v>
                </c:pt>
                <c:pt idx="496">
                  <c:v>41969</c:v>
                </c:pt>
                <c:pt idx="497">
                  <c:v>41970</c:v>
                </c:pt>
                <c:pt idx="498">
                  <c:v>41971</c:v>
                </c:pt>
                <c:pt idx="499">
                  <c:v>41974</c:v>
                </c:pt>
                <c:pt idx="500">
                  <c:v>41975</c:v>
                </c:pt>
                <c:pt idx="501">
                  <c:v>41976</c:v>
                </c:pt>
                <c:pt idx="502">
                  <c:v>41977</c:v>
                </c:pt>
                <c:pt idx="503">
                  <c:v>41978</c:v>
                </c:pt>
                <c:pt idx="504">
                  <c:v>41981</c:v>
                </c:pt>
                <c:pt idx="505">
                  <c:v>41982</c:v>
                </c:pt>
                <c:pt idx="506">
                  <c:v>41983</c:v>
                </c:pt>
                <c:pt idx="507">
                  <c:v>41984</c:v>
                </c:pt>
                <c:pt idx="508">
                  <c:v>41985</c:v>
                </c:pt>
                <c:pt idx="509">
                  <c:v>41988</c:v>
                </c:pt>
                <c:pt idx="510">
                  <c:v>41989</c:v>
                </c:pt>
                <c:pt idx="511">
                  <c:v>41990</c:v>
                </c:pt>
                <c:pt idx="512">
                  <c:v>41991</c:v>
                </c:pt>
                <c:pt idx="513">
                  <c:v>41992</c:v>
                </c:pt>
                <c:pt idx="514">
                  <c:v>41995</c:v>
                </c:pt>
                <c:pt idx="515">
                  <c:v>41996</c:v>
                </c:pt>
                <c:pt idx="516">
                  <c:v>41997</c:v>
                </c:pt>
                <c:pt idx="517">
                  <c:v>41998</c:v>
                </c:pt>
                <c:pt idx="518">
                  <c:v>41999</c:v>
                </c:pt>
                <c:pt idx="519">
                  <c:v>42002</c:v>
                </c:pt>
                <c:pt idx="520">
                  <c:v>42003</c:v>
                </c:pt>
                <c:pt idx="521">
                  <c:v>42004</c:v>
                </c:pt>
                <c:pt idx="522">
                  <c:v>42005</c:v>
                </c:pt>
                <c:pt idx="523">
                  <c:v>42006</c:v>
                </c:pt>
                <c:pt idx="524">
                  <c:v>42009</c:v>
                </c:pt>
                <c:pt idx="525">
                  <c:v>42010</c:v>
                </c:pt>
                <c:pt idx="526">
                  <c:v>42011</c:v>
                </c:pt>
                <c:pt idx="527">
                  <c:v>42012</c:v>
                </c:pt>
                <c:pt idx="528">
                  <c:v>42013</c:v>
                </c:pt>
                <c:pt idx="529">
                  <c:v>42016</c:v>
                </c:pt>
                <c:pt idx="530">
                  <c:v>42017</c:v>
                </c:pt>
                <c:pt idx="531">
                  <c:v>42018</c:v>
                </c:pt>
                <c:pt idx="532">
                  <c:v>42019</c:v>
                </c:pt>
                <c:pt idx="533">
                  <c:v>42020</c:v>
                </c:pt>
                <c:pt idx="534">
                  <c:v>42023</c:v>
                </c:pt>
                <c:pt idx="535">
                  <c:v>42024</c:v>
                </c:pt>
                <c:pt idx="536">
                  <c:v>42025</c:v>
                </c:pt>
                <c:pt idx="537">
                  <c:v>42026</c:v>
                </c:pt>
                <c:pt idx="538">
                  <c:v>42027</c:v>
                </c:pt>
                <c:pt idx="539">
                  <c:v>42030</c:v>
                </c:pt>
                <c:pt idx="540">
                  <c:v>42031</c:v>
                </c:pt>
                <c:pt idx="541">
                  <c:v>42032</c:v>
                </c:pt>
                <c:pt idx="542">
                  <c:v>42033</c:v>
                </c:pt>
                <c:pt idx="543">
                  <c:v>42034</c:v>
                </c:pt>
                <c:pt idx="544">
                  <c:v>42037</c:v>
                </c:pt>
                <c:pt idx="545">
                  <c:v>42038</c:v>
                </c:pt>
                <c:pt idx="546">
                  <c:v>42039</c:v>
                </c:pt>
                <c:pt idx="547">
                  <c:v>42040</c:v>
                </c:pt>
                <c:pt idx="548">
                  <c:v>42041</c:v>
                </c:pt>
                <c:pt idx="549">
                  <c:v>42044</c:v>
                </c:pt>
                <c:pt idx="550">
                  <c:v>42045</c:v>
                </c:pt>
                <c:pt idx="551">
                  <c:v>42046</c:v>
                </c:pt>
                <c:pt idx="552">
                  <c:v>42047</c:v>
                </c:pt>
                <c:pt idx="553">
                  <c:v>42048</c:v>
                </c:pt>
                <c:pt idx="554">
                  <c:v>42051</c:v>
                </c:pt>
                <c:pt idx="555">
                  <c:v>42052</c:v>
                </c:pt>
                <c:pt idx="556">
                  <c:v>42053</c:v>
                </c:pt>
                <c:pt idx="557">
                  <c:v>42054</c:v>
                </c:pt>
                <c:pt idx="558">
                  <c:v>42055</c:v>
                </c:pt>
                <c:pt idx="559">
                  <c:v>42058</c:v>
                </c:pt>
                <c:pt idx="560">
                  <c:v>42059</c:v>
                </c:pt>
                <c:pt idx="561">
                  <c:v>42060</c:v>
                </c:pt>
                <c:pt idx="562">
                  <c:v>42061</c:v>
                </c:pt>
                <c:pt idx="563">
                  <c:v>42062</c:v>
                </c:pt>
                <c:pt idx="564">
                  <c:v>42065</c:v>
                </c:pt>
                <c:pt idx="565">
                  <c:v>42066</c:v>
                </c:pt>
                <c:pt idx="566">
                  <c:v>42067</c:v>
                </c:pt>
                <c:pt idx="567">
                  <c:v>42068</c:v>
                </c:pt>
                <c:pt idx="568">
                  <c:v>42069</c:v>
                </c:pt>
                <c:pt idx="569">
                  <c:v>42072</c:v>
                </c:pt>
                <c:pt idx="570">
                  <c:v>42073</c:v>
                </c:pt>
                <c:pt idx="571">
                  <c:v>42074</c:v>
                </c:pt>
                <c:pt idx="572">
                  <c:v>42075</c:v>
                </c:pt>
                <c:pt idx="573">
                  <c:v>42076</c:v>
                </c:pt>
                <c:pt idx="574">
                  <c:v>42079</c:v>
                </c:pt>
                <c:pt idx="575">
                  <c:v>42080</c:v>
                </c:pt>
                <c:pt idx="576">
                  <c:v>42081</c:v>
                </c:pt>
                <c:pt idx="577">
                  <c:v>42082</c:v>
                </c:pt>
                <c:pt idx="578">
                  <c:v>42083</c:v>
                </c:pt>
                <c:pt idx="579">
                  <c:v>42086</c:v>
                </c:pt>
                <c:pt idx="580">
                  <c:v>42087</c:v>
                </c:pt>
                <c:pt idx="581">
                  <c:v>42088</c:v>
                </c:pt>
                <c:pt idx="582">
                  <c:v>42089</c:v>
                </c:pt>
                <c:pt idx="583">
                  <c:v>42090</c:v>
                </c:pt>
                <c:pt idx="584">
                  <c:v>42093</c:v>
                </c:pt>
                <c:pt idx="585">
                  <c:v>42094</c:v>
                </c:pt>
                <c:pt idx="586">
                  <c:v>42095</c:v>
                </c:pt>
                <c:pt idx="587">
                  <c:v>42096</c:v>
                </c:pt>
                <c:pt idx="588">
                  <c:v>42097</c:v>
                </c:pt>
                <c:pt idx="589">
                  <c:v>42100</c:v>
                </c:pt>
                <c:pt idx="590">
                  <c:v>42101</c:v>
                </c:pt>
                <c:pt idx="591">
                  <c:v>42102</c:v>
                </c:pt>
                <c:pt idx="592">
                  <c:v>42103</c:v>
                </c:pt>
                <c:pt idx="593">
                  <c:v>42104</c:v>
                </c:pt>
                <c:pt idx="594">
                  <c:v>42107</c:v>
                </c:pt>
                <c:pt idx="595">
                  <c:v>42108</c:v>
                </c:pt>
                <c:pt idx="596">
                  <c:v>42109</c:v>
                </c:pt>
                <c:pt idx="597">
                  <c:v>42110</c:v>
                </c:pt>
                <c:pt idx="598">
                  <c:v>42111</c:v>
                </c:pt>
                <c:pt idx="599">
                  <c:v>42114</c:v>
                </c:pt>
                <c:pt idx="600">
                  <c:v>42115</c:v>
                </c:pt>
                <c:pt idx="601">
                  <c:v>42116</c:v>
                </c:pt>
                <c:pt idx="602">
                  <c:v>42117</c:v>
                </c:pt>
                <c:pt idx="603">
                  <c:v>42118</c:v>
                </c:pt>
                <c:pt idx="604">
                  <c:v>42121</c:v>
                </c:pt>
                <c:pt idx="605">
                  <c:v>42122</c:v>
                </c:pt>
                <c:pt idx="606">
                  <c:v>42123</c:v>
                </c:pt>
                <c:pt idx="607">
                  <c:v>42124</c:v>
                </c:pt>
                <c:pt idx="608">
                  <c:v>42125</c:v>
                </c:pt>
                <c:pt idx="609">
                  <c:v>42128</c:v>
                </c:pt>
                <c:pt idx="610">
                  <c:v>42129</c:v>
                </c:pt>
                <c:pt idx="611">
                  <c:v>42130</c:v>
                </c:pt>
                <c:pt idx="612">
                  <c:v>42131</c:v>
                </c:pt>
                <c:pt idx="613">
                  <c:v>42132</c:v>
                </c:pt>
                <c:pt idx="614">
                  <c:v>42135</c:v>
                </c:pt>
                <c:pt idx="615">
                  <c:v>42136</c:v>
                </c:pt>
                <c:pt idx="616">
                  <c:v>42137</c:v>
                </c:pt>
                <c:pt idx="617">
                  <c:v>42138</c:v>
                </c:pt>
                <c:pt idx="618">
                  <c:v>42139</c:v>
                </c:pt>
                <c:pt idx="619">
                  <c:v>42142</c:v>
                </c:pt>
                <c:pt idx="620">
                  <c:v>42143</c:v>
                </c:pt>
                <c:pt idx="621">
                  <c:v>42144</c:v>
                </c:pt>
                <c:pt idx="622">
                  <c:v>42145</c:v>
                </c:pt>
                <c:pt idx="623">
                  <c:v>42146</c:v>
                </c:pt>
                <c:pt idx="624">
                  <c:v>42149</c:v>
                </c:pt>
                <c:pt idx="625">
                  <c:v>42150</c:v>
                </c:pt>
                <c:pt idx="626">
                  <c:v>42151</c:v>
                </c:pt>
                <c:pt idx="627">
                  <c:v>42152</c:v>
                </c:pt>
                <c:pt idx="628">
                  <c:v>42153</c:v>
                </c:pt>
                <c:pt idx="629">
                  <c:v>42156</c:v>
                </c:pt>
                <c:pt idx="630">
                  <c:v>42157</c:v>
                </c:pt>
                <c:pt idx="631">
                  <c:v>42158</c:v>
                </c:pt>
                <c:pt idx="632">
                  <c:v>42159</c:v>
                </c:pt>
                <c:pt idx="633">
                  <c:v>42160</c:v>
                </c:pt>
                <c:pt idx="634">
                  <c:v>42163</c:v>
                </c:pt>
                <c:pt idx="635">
                  <c:v>42164</c:v>
                </c:pt>
                <c:pt idx="636">
                  <c:v>42165</c:v>
                </c:pt>
                <c:pt idx="637">
                  <c:v>42166</c:v>
                </c:pt>
                <c:pt idx="638">
                  <c:v>42167</c:v>
                </c:pt>
                <c:pt idx="639">
                  <c:v>42170</c:v>
                </c:pt>
                <c:pt idx="640">
                  <c:v>42171</c:v>
                </c:pt>
                <c:pt idx="641">
                  <c:v>42172</c:v>
                </c:pt>
                <c:pt idx="642">
                  <c:v>42173</c:v>
                </c:pt>
                <c:pt idx="643">
                  <c:v>42174</c:v>
                </c:pt>
                <c:pt idx="644">
                  <c:v>42177</c:v>
                </c:pt>
                <c:pt idx="645">
                  <c:v>42178</c:v>
                </c:pt>
                <c:pt idx="646">
                  <c:v>42179</c:v>
                </c:pt>
                <c:pt idx="647">
                  <c:v>42180</c:v>
                </c:pt>
                <c:pt idx="648">
                  <c:v>42181</c:v>
                </c:pt>
                <c:pt idx="649">
                  <c:v>42184</c:v>
                </c:pt>
                <c:pt idx="650">
                  <c:v>42185</c:v>
                </c:pt>
                <c:pt idx="651">
                  <c:v>42186</c:v>
                </c:pt>
                <c:pt idx="652">
                  <c:v>42187</c:v>
                </c:pt>
                <c:pt idx="653">
                  <c:v>42188</c:v>
                </c:pt>
                <c:pt idx="654">
                  <c:v>42191</c:v>
                </c:pt>
                <c:pt idx="655">
                  <c:v>42192</c:v>
                </c:pt>
                <c:pt idx="656">
                  <c:v>42193</c:v>
                </c:pt>
                <c:pt idx="657">
                  <c:v>42194</c:v>
                </c:pt>
                <c:pt idx="658">
                  <c:v>42195</c:v>
                </c:pt>
                <c:pt idx="659">
                  <c:v>42198</c:v>
                </c:pt>
                <c:pt idx="660">
                  <c:v>42199</c:v>
                </c:pt>
                <c:pt idx="661">
                  <c:v>42200</c:v>
                </c:pt>
                <c:pt idx="662">
                  <c:v>42201</c:v>
                </c:pt>
                <c:pt idx="663">
                  <c:v>42202</c:v>
                </c:pt>
                <c:pt idx="664">
                  <c:v>42205</c:v>
                </c:pt>
                <c:pt idx="665">
                  <c:v>42206</c:v>
                </c:pt>
                <c:pt idx="666">
                  <c:v>42207</c:v>
                </c:pt>
                <c:pt idx="667">
                  <c:v>42208</c:v>
                </c:pt>
                <c:pt idx="668">
                  <c:v>42209</c:v>
                </c:pt>
                <c:pt idx="669">
                  <c:v>42212</c:v>
                </c:pt>
                <c:pt idx="670">
                  <c:v>42213</c:v>
                </c:pt>
                <c:pt idx="671">
                  <c:v>42214</c:v>
                </c:pt>
                <c:pt idx="672">
                  <c:v>42215</c:v>
                </c:pt>
                <c:pt idx="673">
                  <c:v>42216</c:v>
                </c:pt>
                <c:pt idx="674">
                  <c:v>42219</c:v>
                </c:pt>
                <c:pt idx="675">
                  <c:v>42220</c:v>
                </c:pt>
                <c:pt idx="676">
                  <c:v>42221</c:v>
                </c:pt>
                <c:pt idx="677">
                  <c:v>42222</c:v>
                </c:pt>
                <c:pt idx="678">
                  <c:v>42223</c:v>
                </c:pt>
                <c:pt idx="679">
                  <c:v>42226</c:v>
                </c:pt>
                <c:pt idx="680">
                  <c:v>42227</c:v>
                </c:pt>
                <c:pt idx="681">
                  <c:v>42228</c:v>
                </c:pt>
                <c:pt idx="682">
                  <c:v>42229</c:v>
                </c:pt>
                <c:pt idx="683">
                  <c:v>42230</c:v>
                </c:pt>
                <c:pt idx="684">
                  <c:v>42233</c:v>
                </c:pt>
                <c:pt idx="685">
                  <c:v>42234</c:v>
                </c:pt>
                <c:pt idx="686">
                  <c:v>42235</c:v>
                </c:pt>
                <c:pt idx="687">
                  <c:v>42236</c:v>
                </c:pt>
                <c:pt idx="688">
                  <c:v>42237</c:v>
                </c:pt>
                <c:pt idx="689">
                  <c:v>42240</c:v>
                </c:pt>
                <c:pt idx="690">
                  <c:v>42241</c:v>
                </c:pt>
                <c:pt idx="691">
                  <c:v>42242</c:v>
                </c:pt>
                <c:pt idx="692">
                  <c:v>42243</c:v>
                </c:pt>
                <c:pt idx="693">
                  <c:v>42244</c:v>
                </c:pt>
                <c:pt idx="694">
                  <c:v>42247</c:v>
                </c:pt>
                <c:pt idx="695">
                  <c:v>42248</c:v>
                </c:pt>
                <c:pt idx="696">
                  <c:v>42249</c:v>
                </c:pt>
                <c:pt idx="697">
                  <c:v>42250</c:v>
                </c:pt>
                <c:pt idx="698">
                  <c:v>42251</c:v>
                </c:pt>
                <c:pt idx="699">
                  <c:v>42254</c:v>
                </c:pt>
                <c:pt idx="700">
                  <c:v>42255</c:v>
                </c:pt>
                <c:pt idx="701">
                  <c:v>42256</c:v>
                </c:pt>
                <c:pt idx="702">
                  <c:v>42257</c:v>
                </c:pt>
                <c:pt idx="703">
                  <c:v>42258</c:v>
                </c:pt>
                <c:pt idx="704">
                  <c:v>42261</c:v>
                </c:pt>
                <c:pt idx="705">
                  <c:v>42262</c:v>
                </c:pt>
                <c:pt idx="706">
                  <c:v>42263</c:v>
                </c:pt>
                <c:pt idx="707">
                  <c:v>42264</c:v>
                </c:pt>
                <c:pt idx="708">
                  <c:v>42265</c:v>
                </c:pt>
                <c:pt idx="709">
                  <c:v>42268</c:v>
                </c:pt>
                <c:pt idx="710">
                  <c:v>42269</c:v>
                </c:pt>
                <c:pt idx="711">
                  <c:v>42270</c:v>
                </c:pt>
                <c:pt idx="712">
                  <c:v>42271</c:v>
                </c:pt>
                <c:pt idx="713">
                  <c:v>42272</c:v>
                </c:pt>
                <c:pt idx="714">
                  <c:v>42275</c:v>
                </c:pt>
                <c:pt idx="715">
                  <c:v>42276</c:v>
                </c:pt>
                <c:pt idx="716">
                  <c:v>42277</c:v>
                </c:pt>
                <c:pt idx="717">
                  <c:v>42278</c:v>
                </c:pt>
                <c:pt idx="718">
                  <c:v>42279</c:v>
                </c:pt>
                <c:pt idx="719">
                  <c:v>42282</c:v>
                </c:pt>
                <c:pt idx="720">
                  <c:v>42283</c:v>
                </c:pt>
                <c:pt idx="721">
                  <c:v>42284</c:v>
                </c:pt>
                <c:pt idx="722">
                  <c:v>42285</c:v>
                </c:pt>
                <c:pt idx="723">
                  <c:v>42286</c:v>
                </c:pt>
                <c:pt idx="724">
                  <c:v>42289</c:v>
                </c:pt>
                <c:pt idx="725">
                  <c:v>42290</c:v>
                </c:pt>
                <c:pt idx="726">
                  <c:v>42291</c:v>
                </c:pt>
                <c:pt idx="727">
                  <c:v>42292</c:v>
                </c:pt>
                <c:pt idx="728">
                  <c:v>42293</c:v>
                </c:pt>
                <c:pt idx="729">
                  <c:v>42296</c:v>
                </c:pt>
                <c:pt idx="730">
                  <c:v>42297</c:v>
                </c:pt>
                <c:pt idx="731">
                  <c:v>42298</c:v>
                </c:pt>
                <c:pt idx="732">
                  <c:v>42299</c:v>
                </c:pt>
                <c:pt idx="733">
                  <c:v>42300</c:v>
                </c:pt>
                <c:pt idx="734">
                  <c:v>42303</c:v>
                </c:pt>
                <c:pt idx="735">
                  <c:v>42304</c:v>
                </c:pt>
                <c:pt idx="736">
                  <c:v>42305</c:v>
                </c:pt>
                <c:pt idx="737">
                  <c:v>42306</c:v>
                </c:pt>
                <c:pt idx="738">
                  <c:v>42307</c:v>
                </c:pt>
                <c:pt idx="739">
                  <c:v>42310</c:v>
                </c:pt>
                <c:pt idx="740">
                  <c:v>42311</c:v>
                </c:pt>
                <c:pt idx="741">
                  <c:v>42312</c:v>
                </c:pt>
                <c:pt idx="742">
                  <c:v>42313</c:v>
                </c:pt>
                <c:pt idx="743">
                  <c:v>42314</c:v>
                </c:pt>
                <c:pt idx="744">
                  <c:v>42317</c:v>
                </c:pt>
                <c:pt idx="745">
                  <c:v>42318</c:v>
                </c:pt>
                <c:pt idx="746">
                  <c:v>42319</c:v>
                </c:pt>
                <c:pt idx="747">
                  <c:v>42320</c:v>
                </c:pt>
                <c:pt idx="748">
                  <c:v>42321</c:v>
                </c:pt>
                <c:pt idx="749">
                  <c:v>42324</c:v>
                </c:pt>
                <c:pt idx="750">
                  <c:v>42325</c:v>
                </c:pt>
                <c:pt idx="751">
                  <c:v>42326</c:v>
                </c:pt>
                <c:pt idx="752">
                  <c:v>42327</c:v>
                </c:pt>
                <c:pt idx="753">
                  <c:v>42328</c:v>
                </c:pt>
                <c:pt idx="754">
                  <c:v>42331</c:v>
                </c:pt>
                <c:pt idx="755">
                  <c:v>42332</c:v>
                </c:pt>
                <c:pt idx="756">
                  <c:v>42333</c:v>
                </c:pt>
                <c:pt idx="757">
                  <c:v>42334</c:v>
                </c:pt>
                <c:pt idx="758">
                  <c:v>42335</c:v>
                </c:pt>
                <c:pt idx="759">
                  <c:v>42338</c:v>
                </c:pt>
                <c:pt idx="760">
                  <c:v>42339</c:v>
                </c:pt>
                <c:pt idx="761">
                  <c:v>42340</c:v>
                </c:pt>
                <c:pt idx="762">
                  <c:v>42341</c:v>
                </c:pt>
                <c:pt idx="763">
                  <c:v>42342</c:v>
                </c:pt>
                <c:pt idx="764">
                  <c:v>42345</c:v>
                </c:pt>
                <c:pt idx="765">
                  <c:v>42346</c:v>
                </c:pt>
                <c:pt idx="766">
                  <c:v>42347</c:v>
                </c:pt>
                <c:pt idx="767">
                  <c:v>42348</c:v>
                </c:pt>
                <c:pt idx="768">
                  <c:v>42349</c:v>
                </c:pt>
                <c:pt idx="769">
                  <c:v>42352</c:v>
                </c:pt>
                <c:pt idx="770">
                  <c:v>42353</c:v>
                </c:pt>
                <c:pt idx="771">
                  <c:v>42354</c:v>
                </c:pt>
                <c:pt idx="772">
                  <c:v>42355</c:v>
                </c:pt>
                <c:pt idx="773">
                  <c:v>42356</c:v>
                </c:pt>
                <c:pt idx="774">
                  <c:v>42359</c:v>
                </c:pt>
                <c:pt idx="775">
                  <c:v>42360</c:v>
                </c:pt>
                <c:pt idx="776">
                  <c:v>42361</c:v>
                </c:pt>
                <c:pt idx="777">
                  <c:v>42362</c:v>
                </c:pt>
                <c:pt idx="778">
                  <c:v>42363</c:v>
                </c:pt>
                <c:pt idx="779">
                  <c:v>42366</c:v>
                </c:pt>
                <c:pt idx="780">
                  <c:v>42367</c:v>
                </c:pt>
                <c:pt idx="781">
                  <c:v>42368</c:v>
                </c:pt>
                <c:pt idx="782">
                  <c:v>42369</c:v>
                </c:pt>
                <c:pt idx="783">
                  <c:v>42370</c:v>
                </c:pt>
                <c:pt idx="784">
                  <c:v>42373</c:v>
                </c:pt>
                <c:pt idx="785">
                  <c:v>42374</c:v>
                </c:pt>
                <c:pt idx="786">
                  <c:v>42375</c:v>
                </c:pt>
                <c:pt idx="787">
                  <c:v>42376</c:v>
                </c:pt>
                <c:pt idx="788">
                  <c:v>42377</c:v>
                </c:pt>
                <c:pt idx="789">
                  <c:v>42380</c:v>
                </c:pt>
                <c:pt idx="790">
                  <c:v>42381</c:v>
                </c:pt>
                <c:pt idx="791">
                  <c:v>42382</c:v>
                </c:pt>
                <c:pt idx="792">
                  <c:v>42383</c:v>
                </c:pt>
                <c:pt idx="793">
                  <c:v>42384</c:v>
                </c:pt>
                <c:pt idx="794">
                  <c:v>42387</c:v>
                </c:pt>
                <c:pt idx="795">
                  <c:v>42388</c:v>
                </c:pt>
                <c:pt idx="796">
                  <c:v>42389</c:v>
                </c:pt>
                <c:pt idx="797">
                  <c:v>42390</c:v>
                </c:pt>
                <c:pt idx="798">
                  <c:v>42391</c:v>
                </c:pt>
                <c:pt idx="799">
                  <c:v>42394</c:v>
                </c:pt>
                <c:pt idx="800">
                  <c:v>42395</c:v>
                </c:pt>
                <c:pt idx="801">
                  <c:v>42396</c:v>
                </c:pt>
                <c:pt idx="802">
                  <c:v>42397</c:v>
                </c:pt>
                <c:pt idx="803">
                  <c:v>42398</c:v>
                </c:pt>
                <c:pt idx="804">
                  <c:v>42401</c:v>
                </c:pt>
                <c:pt idx="805">
                  <c:v>42402</c:v>
                </c:pt>
                <c:pt idx="806">
                  <c:v>42403</c:v>
                </c:pt>
                <c:pt idx="807">
                  <c:v>42404</c:v>
                </c:pt>
                <c:pt idx="808">
                  <c:v>42405</c:v>
                </c:pt>
                <c:pt idx="809">
                  <c:v>42408</c:v>
                </c:pt>
                <c:pt idx="810">
                  <c:v>42409</c:v>
                </c:pt>
                <c:pt idx="811">
                  <c:v>42410</c:v>
                </c:pt>
                <c:pt idx="812">
                  <c:v>42411</c:v>
                </c:pt>
                <c:pt idx="813">
                  <c:v>42412</c:v>
                </c:pt>
                <c:pt idx="814">
                  <c:v>42415</c:v>
                </c:pt>
                <c:pt idx="815">
                  <c:v>42416</c:v>
                </c:pt>
                <c:pt idx="816">
                  <c:v>42417</c:v>
                </c:pt>
                <c:pt idx="817">
                  <c:v>42418</c:v>
                </c:pt>
                <c:pt idx="818">
                  <c:v>42419</c:v>
                </c:pt>
                <c:pt idx="819">
                  <c:v>42422</c:v>
                </c:pt>
                <c:pt idx="820">
                  <c:v>42423</c:v>
                </c:pt>
                <c:pt idx="821">
                  <c:v>42424</c:v>
                </c:pt>
                <c:pt idx="822">
                  <c:v>42425</c:v>
                </c:pt>
                <c:pt idx="823">
                  <c:v>42426</c:v>
                </c:pt>
                <c:pt idx="824">
                  <c:v>42429</c:v>
                </c:pt>
                <c:pt idx="825">
                  <c:v>42430</c:v>
                </c:pt>
                <c:pt idx="826">
                  <c:v>42431</c:v>
                </c:pt>
                <c:pt idx="827">
                  <c:v>42432</c:v>
                </c:pt>
                <c:pt idx="828">
                  <c:v>42433</c:v>
                </c:pt>
                <c:pt idx="829">
                  <c:v>42436</c:v>
                </c:pt>
                <c:pt idx="830">
                  <c:v>42437</c:v>
                </c:pt>
                <c:pt idx="831">
                  <c:v>42438</c:v>
                </c:pt>
                <c:pt idx="832">
                  <c:v>42439</c:v>
                </c:pt>
                <c:pt idx="833">
                  <c:v>42440</c:v>
                </c:pt>
                <c:pt idx="834">
                  <c:v>42443</c:v>
                </c:pt>
                <c:pt idx="835">
                  <c:v>42444</c:v>
                </c:pt>
                <c:pt idx="836">
                  <c:v>42445</c:v>
                </c:pt>
                <c:pt idx="837">
                  <c:v>42446</c:v>
                </c:pt>
                <c:pt idx="838">
                  <c:v>42447</c:v>
                </c:pt>
                <c:pt idx="839">
                  <c:v>42450</c:v>
                </c:pt>
                <c:pt idx="840">
                  <c:v>42451</c:v>
                </c:pt>
                <c:pt idx="841">
                  <c:v>42452</c:v>
                </c:pt>
                <c:pt idx="842">
                  <c:v>42453</c:v>
                </c:pt>
                <c:pt idx="843">
                  <c:v>42454</c:v>
                </c:pt>
                <c:pt idx="844">
                  <c:v>42457</c:v>
                </c:pt>
                <c:pt idx="845">
                  <c:v>42458</c:v>
                </c:pt>
                <c:pt idx="846">
                  <c:v>42459</c:v>
                </c:pt>
                <c:pt idx="847">
                  <c:v>42460</c:v>
                </c:pt>
                <c:pt idx="848">
                  <c:v>42461</c:v>
                </c:pt>
                <c:pt idx="849">
                  <c:v>42464</c:v>
                </c:pt>
                <c:pt idx="850">
                  <c:v>42465</c:v>
                </c:pt>
                <c:pt idx="851">
                  <c:v>42466</c:v>
                </c:pt>
                <c:pt idx="852">
                  <c:v>42467</c:v>
                </c:pt>
                <c:pt idx="853">
                  <c:v>42468</c:v>
                </c:pt>
                <c:pt idx="854">
                  <c:v>42471</c:v>
                </c:pt>
                <c:pt idx="855">
                  <c:v>42472</c:v>
                </c:pt>
                <c:pt idx="856">
                  <c:v>42473</c:v>
                </c:pt>
                <c:pt idx="857">
                  <c:v>42474</c:v>
                </c:pt>
                <c:pt idx="858">
                  <c:v>42475</c:v>
                </c:pt>
                <c:pt idx="859">
                  <c:v>42478</c:v>
                </c:pt>
                <c:pt idx="860">
                  <c:v>42479</c:v>
                </c:pt>
                <c:pt idx="861">
                  <c:v>42480</c:v>
                </c:pt>
                <c:pt idx="862">
                  <c:v>42481</c:v>
                </c:pt>
                <c:pt idx="863">
                  <c:v>42482</c:v>
                </c:pt>
                <c:pt idx="864">
                  <c:v>42485</c:v>
                </c:pt>
                <c:pt idx="865">
                  <c:v>42486</c:v>
                </c:pt>
                <c:pt idx="866">
                  <c:v>42487</c:v>
                </c:pt>
                <c:pt idx="867">
                  <c:v>42488</c:v>
                </c:pt>
                <c:pt idx="868">
                  <c:v>42489</c:v>
                </c:pt>
                <c:pt idx="869">
                  <c:v>42492</c:v>
                </c:pt>
                <c:pt idx="870">
                  <c:v>42493</c:v>
                </c:pt>
                <c:pt idx="871">
                  <c:v>42494</c:v>
                </c:pt>
                <c:pt idx="872">
                  <c:v>42495</c:v>
                </c:pt>
                <c:pt idx="873">
                  <c:v>42496</c:v>
                </c:pt>
                <c:pt idx="874">
                  <c:v>42499</c:v>
                </c:pt>
                <c:pt idx="875">
                  <c:v>42500</c:v>
                </c:pt>
                <c:pt idx="876">
                  <c:v>42501</c:v>
                </c:pt>
                <c:pt idx="877">
                  <c:v>42502</c:v>
                </c:pt>
                <c:pt idx="878">
                  <c:v>42503</c:v>
                </c:pt>
                <c:pt idx="879">
                  <c:v>42506</c:v>
                </c:pt>
                <c:pt idx="880">
                  <c:v>42507</c:v>
                </c:pt>
                <c:pt idx="881">
                  <c:v>42508</c:v>
                </c:pt>
                <c:pt idx="882">
                  <c:v>42509</c:v>
                </c:pt>
                <c:pt idx="883">
                  <c:v>42510</c:v>
                </c:pt>
                <c:pt idx="884">
                  <c:v>42513</c:v>
                </c:pt>
                <c:pt idx="885">
                  <c:v>42514</c:v>
                </c:pt>
                <c:pt idx="886">
                  <c:v>42515</c:v>
                </c:pt>
                <c:pt idx="887">
                  <c:v>42516</c:v>
                </c:pt>
                <c:pt idx="888">
                  <c:v>42517</c:v>
                </c:pt>
                <c:pt idx="889">
                  <c:v>42520</c:v>
                </c:pt>
                <c:pt idx="890">
                  <c:v>42521</c:v>
                </c:pt>
                <c:pt idx="891">
                  <c:v>42522</c:v>
                </c:pt>
                <c:pt idx="892">
                  <c:v>42523</c:v>
                </c:pt>
                <c:pt idx="893">
                  <c:v>42524</c:v>
                </c:pt>
                <c:pt idx="894">
                  <c:v>42527</c:v>
                </c:pt>
                <c:pt idx="895">
                  <c:v>42528</c:v>
                </c:pt>
                <c:pt idx="896">
                  <c:v>42529</c:v>
                </c:pt>
                <c:pt idx="897">
                  <c:v>42530</c:v>
                </c:pt>
                <c:pt idx="898">
                  <c:v>42531</c:v>
                </c:pt>
                <c:pt idx="899">
                  <c:v>42534</c:v>
                </c:pt>
                <c:pt idx="900">
                  <c:v>42535</c:v>
                </c:pt>
                <c:pt idx="901">
                  <c:v>42536</c:v>
                </c:pt>
                <c:pt idx="902">
                  <c:v>42537</c:v>
                </c:pt>
                <c:pt idx="903">
                  <c:v>42538</c:v>
                </c:pt>
                <c:pt idx="904">
                  <c:v>42541</c:v>
                </c:pt>
                <c:pt idx="905">
                  <c:v>42542</c:v>
                </c:pt>
                <c:pt idx="906">
                  <c:v>42543</c:v>
                </c:pt>
                <c:pt idx="907">
                  <c:v>42544</c:v>
                </c:pt>
                <c:pt idx="908">
                  <c:v>42545</c:v>
                </c:pt>
                <c:pt idx="909">
                  <c:v>42548</c:v>
                </c:pt>
                <c:pt idx="910">
                  <c:v>42549</c:v>
                </c:pt>
                <c:pt idx="911">
                  <c:v>42550</c:v>
                </c:pt>
                <c:pt idx="912">
                  <c:v>42551</c:v>
                </c:pt>
                <c:pt idx="913">
                  <c:v>42552</c:v>
                </c:pt>
                <c:pt idx="914">
                  <c:v>42555</c:v>
                </c:pt>
                <c:pt idx="915">
                  <c:v>42556</c:v>
                </c:pt>
                <c:pt idx="916">
                  <c:v>42557</c:v>
                </c:pt>
                <c:pt idx="917">
                  <c:v>42558</c:v>
                </c:pt>
                <c:pt idx="918">
                  <c:v>42559</c:v>
                </c:pt>
                <c:pt idx="919">
                  <c:v>42562</c:v>
                </c:pt>
                <c:pt idx="920">
                  <c:v>42563</c:v>
                </c:pt>
                <c:pt idx="921">
                  <c:v>42564</c:v>
                </c:pt>
                <c:pt idx="922">
                  <c:v>42565</c:v>
                </c:pt>
                <c:pt idx="923">
                  <c:v>42566</c:v>
                </c:pt>
                <c:pt idx="924">
                  <c:v>42569</c:v>
                </c:pt>
                <c:pt idx="925">
                  <c:v>42570</c:v>
                </c:pt>
                <c:pt idx="926">
                  <c:v>42571</c:v>
                </c:pt>
                <c:pt idx="927">
                  <c:v>42572</c:v>
                </c:pt>
                <c:pt idx="928">
                  <c:v>42573</c:v>
                </c:pt>
                <c:pt idx="929">
                  <c:v>42576</c:v>
                </c:pt>
                <c:pt idx="930">
                  <c:v>42577</c:v>
                </c:pt>
                <c:pt idx="931">
                  <c:v>42578</c:v>
                </c:pt>
                <c:pt idx="932">
                  <c:v>42579</c:v>
                </c:pt>
                <c:pt idx="933">
                  <c:v>42580</c:v>
                </c:pt>
                <c:pt idx="934">
                  <c:v>42583</c:v>
                </c:pt>
                <c:pt idx="935">
                  <c:v>42584</c:v>
                </c:pt>
                <c:pt idx="936">
                  <c:v>42585</c:v>
                </c:pt>
                <c:pt idx="937">
                  <c:v>42586</c:v>
                </c:pt>
                <c:pt idx="938">
                  <c:v>42587</c:v>
                </c:pt>
                <c:pt idx="939">
                  <c:v>42590</c:v>
                </c:pt>
                <c:pt idx="940">
                  <c:v>42591</c:v>
                </c:pt>
                <c:pt idx="941">
                  <c:v>42592</c:v>
                </c:pt>
                <c:pt idx="942">
                  <c:v>42593</c:v>
                </c:pt>
                <c:pt idx="943">
                  <c:v>42594</c:v>
                </c:pt>
                <c:pt idx="944">
                  <c:v>42597</c:v>
                </c:pt>
                <c:pt idx="945">
                  <c:v>42598</c:v>
                </c:pt>
                <c:pt idx="946">
                  <c:v>42599</c:v>
                </c:pt>
                <c:pt idx="947">
                  <c:v>42600</c:v>
                </c:pt>
                <c:pt idx="948">
                  <c:v>42601</c:v>
                </c:pt>
                <c:pt idx="949">
                  <c:v>42604</c:v>
                </c:pt>
                <c:pt idx="950">
                  <c:v>42605</c:v>
                </c:pt>
                <c:pt idx="951">
                  <c:v>42606</c:v>
                </c:pt>
                <c:pt idx="952">
                  <c:v>42607</c:v>
                </c:pt>
                <c:pt idx="953">
                  <c:v>42608</c:v>
                </c:pt>
                <c:pt idx="954">
                  <c:v>42611</c:v>
                </c:pt>
                <c:pt idx="955">
                  <c:v>42612</c:v>
                </c:pt>
                <c:pt idx="956">
                  <c:v>42613</c:v>
                </c:pt>
                <c:pt idx="957">
                  <c:v>42614</c:v>
                </c:pt>
                <c:pt idx="958">
                  <c:v>42615</c:v>
                </c:pt>
                <c:pt idx="959">
                  <c:v>42618</c:v>
                </c:pt>
                <c:pt idx="960">
                  <c:v>42619</c:v>
                </c:pt>
                <c:pt idx="961">
                  <c:v>42620</c:v>
                </c:pt>
                <c:pt idx="962">
                  <c:v>42621</c:v>
                </c:pt>
                <c:pt idx="963">
                  <c:v>42622</c:v>
                </c:pt>
                <c:pt idx="964">
                  <c:v>42625</c:v>
                </c:pt>
                <c:pt idx="965">
                  <c:v>42626</c:v>
                </c:pt>
                <c:pt idx="966">
                  <c:v>42627</c:v>
                </c:pt>
                <c:pt idx="967">
                  <c:v>42628</c:v>
                </c:pt>
                <c:pt idx="968">
                  <c:v>42629</c:v>
                </c:pt>
                <c:pt idx="969">
                  <c:v>42632</c:v>
                </c:pt>
                <c:pt idx="970">
                  <c:v>42633</c:v>
                </c:pt>
              </c:numCache>
            </c:numRef>
          </c:cat>
          <c:val>
            <c:numRef>
              <c:f>[0]!shortExoRange</c:f>
              <c:numCache>
                <c:formatCode>General</c:formatCode>
                <c:ptCount val="971"/>
                <c:pt idx="0">
                  <c:v>0</c:v>
                </c:pt>
                <c:pt idx="1">
                  <c:v>8500</c:v>
                </c:pt>
                <c:pt idx="2">
                  <c:v>8000</c:v>
                </c:pt>
                <c:pt idx="3">
                  <c:v>11750</c:v>
                </c:pt>
                <c:pt idx="4">
                  <c:v>10875</c:v>
                </c:pt>
                <c:pt idx="5">
                  <c:v>7500</c:v>
                </c:pt>
                <c:pt idx="6">
                  <c:v>6250</c:v>
                </c:pt>
                <c:pt idx="7">
                  <c:v>4375</c:v>
                </c:pt>
                <c:pt idx="8">
                  <c:v>-4125</c:v>
                </c:pt>
                <c:pt idx="9">
                  <c:v>-8000</c:v>
                </c:pt>
                <c:pt idx="10">
                  <c:v>-12500</c:v>
                </c:pt>
                <c:pt idx="11">
                  <c:v>-11250</c:v>
                </c:pt>
                <c:pt idx="12">
                  <c:v>-10375</c:v>
                </c:pt>
                <c:pt idx="13">
                  <c:v>-10875</c:v>
                </c:pt>
                <c:pt idx="14">
                  <c:v>-10625</c:v>
                </c:pt>
                <c:pt idx="15">
                  <c:v>-11875</c:v>
                </c:pt>
                <c:pt idx="16">
                  <c:v>-8375</c:v>
                </c:pt>
                <c:pt idx="17">
                  <c:v>-7375</c:v>
                </c:pt>
                <c:pt idx="18">
                  <c:v>-7000</c:v>
                </c:pt>
                <c:pt idx="19">
                  <c:v>-8500</c:v>
                </c:pt>
                <c:pt idx="20">
                  <c:v>-12125</c:v>
                </c:pt>
                <c:pt idx="21">
                  <c:v>-16875</c:v>
                </c:pt>
                <c:pt idx="22">
                  <c:v>-16500</c:v>
                </c:pt>
                <c:pt idx="23">
                  <c:v>-15630</c:v>
                </c:pt>
                <c:pt idx="24">
                  <c:v>-13255</c:v>
                </c:pt>
                <c:pt idx="25">
                  <c:v>-10130</c:v>
                </c:pt>
                <c:pt idx="26">
                  <c:v>-8255</c:v>
                </c:pt>
                <c:pt idx="27">
                  <c:v>-3755</c:v>
                </c:pt>
                <c:pt idx="28">
                  <c:v>-2755</c:v>
                </c:pt>
                <c:pt idx="29">
                  <c:v>2495</c:v>
                </c:pt>
                <c:pt idx="30">
                  <c:v>6495</c:v>
                </c:pt>
                <c:pt idx="31">
                  <c:v>6995</c:v>
                </c:pt>
                <c:pt idx="32">
                  <c:v>7995</c:v>
                </c:pt>
                <c:pt idx="33">
                  <c:v>4745</c:v>
                </c:pt>
                <c:pt idx="34">
                  <c:v>3870</c:v>
                </c:pt>
                <c:pt idx="35">
                  <c:v>6745</c:v>
                </c:pt>
                <c:pt idx="36">
                  <c:v>3870</c:v>
                </c:pt>
                <c:pt idx="37">
                  <c:v>7370</c:v>
                </c:pt>
                <c:pt idx="38">
                  <c:v>7995</c:v>
                </c:pt>
                <c:pt idx="39">
                  <c:v>7745</c:v>
                </c:pt>
                <c:pt idx="40">
                  <c:v>4495</c:v>
                </c:pt>
                <c:pt idx="41">
                  <c:v>2870</c:v>
                </c:pt>
                <c:pt idx="42">
                  <c:v>-1255</c:v>
                </c:pt>
                <c:pt idx="43">
                  <c:v>-3135</c:v>
                </c:pt>
                <c:pt idx="44">
                  <c:v>1365</c:v>
                </c:pt>
                <c:pt idx="45">
                  <c:v>-2510</c:v>
                </c:pt>
                <c:pt idx="46">
                  <c:v>4240</c:v>
                </c:pt>
                <c:pt idx="47">
                  <c:v>8365</c:v>
                </c:pt>
                <c:pt idx="48">
                  <c:v>1365</c:v>
                </c:pt>
                <c:pt idx="49">
                  <c:v>-5510</c:v>
                </c:pt>
                <c:pt idx="50">
                  <c:v>-6760</c:v>
                </c:pt>
                <c:pt idx="51">
                  <c:v>-3635</c:v>
                </c:pt>
                <c:pt idx="52">
                  <c:v>-6510</c:v>
                </c:pt>
                <c:pt idx="53">
                  <c:v>-7135</c:v>
                </c:pt>
                <c:pt idx="54">
                  <c:v>-7260</c:v>
                </c:pt>
                <c:pt idx="55">
                  <c:v>-11760</c:v>
                </c:pt>
                <c:pt idx="56">
                  <c:v>-14385</c:v>
                </c:pt>
                <c:pt idx="57">
                  <c:v>-15885</c:v>
                </c:pt>
                <c:pt idx="58">
                  <c:v>-12385</c:v>
                </c:pt>
                <c:pt idx="59">
                  <c:v>-14260</c:v>
                </c:pt>
                <c:pt idx="60">
                  <c:v>-13010</c:v>
                </c:pt>
                <c:pt idx="61">
                  <c:v>-17010</c:v>
                </c:pt>
                <c:pt idx="62">
                  <c:v>3490</c:v>
                </c:pt>
                <c:pt idx="63">
                  <c:v>13990</c:v>
                </c:pt>
                <c:pt idx="64">
                  <c:v>27990</c:v>
                </c:pt>
                <c:pt idx="65">
                  <c:v>33615</c:v>
                </c:pt>
                <c:pt idx="66">
                  <c:v>31365</c:v>
                </c:pt>
                <c:pt idx="67">
                  <c:v>34865</c:v>
                </c:pt>
                <c:pt idx="68">
                  <c:v>36365</c:v>
                </c:pt>
                <c:pt idx="69">
                  <c:v>34740</c:v>
                </c:pt>
                <c:pt idx="70">
                  <c:v>29365</c:v>
                </c:pt>
                <c:pt idx="71">
                  <c:v>28490</c:v>
                </c:pt>
                <c:pt idx="72">
                  <c:v>24490</c:v>
                </c:pt>
                <c:pt idx="73">
                  <c:v>22865</c:v>
                </c:pt>
                <c:pt idx="74">
                  <c:v>26615</c:v>
                </c:pt>
                <c:pt idx="75">
                  <c:v>20990</c:v>
                </c:pt>
                <c:pt idx="76">
                  <c:v>21365</c:v>
                </c:pt>
                <c:pt idx="77">
                  <c:v>28115</c:v>
                </c:pt>
                <c:pt idx="78">
                  <c:v>25990</c:v>
                </c:pt>
                <c:pt idx="79">
                  <c:v>28490</c:v>
                </c:pt>
                <c:pt idx="80">
                  <c:v>30865</c:v>
                </c:pt>
                <c:pt idx="81">
                  <c:v>32240</c:v>
                </c:pt>
                <c:pt idx="82">
                  <c:v>29115</c:v>
                </c:pt>
                <c:pt idx="83">
                  <c:v>30865</c:v>
                </c:pt>
                <c:pt idx="84">
                  <c:v>11365</c:v>
                </c:pt>
                <c:pt idx="85">
                  <c:v>13865</c:v>
                </c:pt>
                <c:pt idx="86">
                  <c:v>16485</c:v>
                </c:pt>
                <c:pt idx="87">
                  <c:v>10860</c:v>
                </c:pt>
                <c:pt idx="88">
                  <c:v>10360</c:v>
                </c:pt>
                <c:pt idx="89">
                  <c:v>22360</c:v>
                </c:pt>
                <c:pt idx="90">
                  <c:v>19485</c:v>
                </c:pt>
                <c:pt idx="91">
                  <c:v>25110</c:v>
                </c:pt>
                <c:pt idx="92">
                  <c:v>15360</c:v>
                </c:pt>
                <c:pt idx="93">
                  <c:v>23235</c:v>
                </c:pt>
                <c:pt idx="94">
                  <c:v>13360</c:v>
                </c:pt>
                <c:pt idx="95">
                  <c:v>15610</c:v>
                </c:pt>
                <c:pt idx="96">
                  <c:v>16485</c:v>
                </c:pt>
                <c:pt idx="97">
                  <c:v>19985</c:v>
                </c:pt>
                <c:pt idx="98">
                  <c:v>14985</c:v>
                </c:pt>
                <c:pt idx="99">
                  <c:v>17235</c:v>
                </c:pt>
                <c:pt idx="100">
                  <c:v>22735</c:v>
                </c:pt>
                <c:pt idx="101">
                  <c:v>13110</c:v>
                </c:pt>
                <c:pt idx="102">
                  <c:v>9860</c:v>
                </c:pt>
                <c:pt idx="103">
                  <c:v>11485</c:v>
                </c:pt>
                <c:pt idx="104">
                  <c:v>12485</c:v>
                </c:pt>
                <c:pt idx="105">
                  <c:v>8485</c:v>
                </c:pt>
                <c:pt idx="106">
                  <c:v>8735</c:v>
                </c:pt>
                <c:pt idx="107">
                  <c:v>14735</c:v>
                </c:pt>
                <c:pt idx="108">
                  <c:v>9860</c:v>
                </c:pt>
                <c:pt idx="109">
                  <c:v>11735</c:v>
                </c:pt>
                <c:pt idx="110">
                  <c:v>13485</c:v>
                </c:pt>
                <c:pt idx="111">
                  <c:v>10485</c:v>
                </c:pt>
                <c:pt idx="112">
                  <c:v>10485</c:v>
                </c:pt>
                <c:pt idx="113">
                  <c:v>8360</c:v>
                </c:pt>
                <c:pt idx="114">
                  <c:v>16485</c:v>
                </c:pt>
                <c:pt idx="115">
                  <c:v>13110</c:v>
                </c:pt>
                <c:pt idx="116">
                  <c:v>16360</c:v>
                </c:pt>
                <c:pt idx="117">
                  <c:v>18985</c:v>
                </c:pt>
                <c:pt idx="118">
                  <c:v>13860</c:v>
                </c:pt>
                <c:pt idx="119">
                  <c:v>8985</c:v>
                </c:pt>
                <c:pt idx="120">
                  <c:v>5985</c:v>
                </c:pt>
                <c:pt idx="121">
                  <c:v>485</c:v>
                </c:pt>
                <c:pt idx="122">
                  <c:v>4235</c:v>
                </c:pt>
                <c:pt idx="123">
                  <c:v>5735</c:v>
                </c:pt>
                <c:pt idx="124">
                  <c:v>13360</c:v>
                </c:pt>
                <c:pt idx="125">
                  <c:v>14735</c:v>
                </c:pt>
                <c:pt idx="126">
                  <c:v>15985</c:v>
                </c:pt>
                <c:pt idx="127">
                  <c:v>17860</c:v>
                </c:pt>
                <c:pt idx="128">
                  <c:v>28485</c:v>
                </c:pt>
                <c:pt idx="129">
                  <c:v>37230</c:v>
                </c:pt>
                <c:pt idx="130">
                  <c:v>37605</c:v>
                </c:pt>
                <c:pt idx="131">
                  <c:v>37480</c:v>
                </c:pt>
                <c:pt idx="132">
                  <c:v>36105</c:v>
                </c:pt>
                <c:pt idx="133">
                  <c:v>39980</c:v>
                </c:pt>
                <c:pt idx="134">
                  <c:v>36230</c:v>
                </c:pt>
                <c:pt idx="135">
                  <c:v>29855</c:v>
                </c:pt>
                <c:pt idx="136">
                  <c:v>27980</c:v>
                </c:pt>
                <c:pt idx="137">
                  <c:v>23480</c:v>
                </c:pt>
                <c:pt idx="138">
                  <c:v>29355</c:v>
                </c:pt>
                <c:pt idx="139">
                  <c:v>35230</c:v>
                </c:pt>
                <c:pt idx="140">
                  <c:v>31480</c:v>
                </c:pt>
                <c:pt idx="141">
                  <c:v>34230</c:v>
                </c:pt>
                <c:pt idx="142">
                  <c:v>33355</c:v>
                </c:pt>
                <c:pt idx="143">
                  <c:v>31605</c:v>
                </c:pt>
                <c:pt idx="144">
                  <c:v>32980</c:v>
                </c:pt>
                <c:pt idx="145">
                  <c:v>41730</c:v>
                </c:pt>
                <c:pt idx="146">
                  <c:v>49355</c:v>
                </c:pt>
                <c:pt idx="147">
                  <c:v>55730</c:v>
                </c:pt>
                <c:pt idx="148">
                  <c:v>56605</c:v>
                </c:pt>
                <c:pt idx="149">
                  <c:v>59355</c:v>
                </c:pt>
                <c:pt idx="150">
                  <c:v>57355</c:v>
                </c:pt>
                <c:pt idx="151">
                  <c:v>54230</c:v>
                </c:pt>
                <c:pt idx="152">
                  <c:v>59980</c:v>
                </c:pt>
                <c:pt idx="153">
                  <c:v>64605</c:v>
                </c:pt>
                <c:pt idx="154">
                  <c:v>69355</c:v>
                </c:pt>
                <c:pt idx="155">
                  <c:v>67855</c:v>
                </c:pt>
                <c:pt idx="156">
                  <c:v>69355</c:v>
                </c:pt>
                <c:pt idx="157">
                  <c:v>68105</c:v>
                </c:pt>
                <c:pt idx="158">
                  <c:v>69855</c:v>
                </c:pt>
                <c:pt idx="159">
                  <c:v>66730</c:v>
                </c:pt>
                <c:pt idx="160">
                  <c:v>74355</c:v>
                </c:pt>
                <c:pt idx="161">
                  <c:v>72480</c:v>
                </c:pt>
                <c:pt idx="162">
                  <c:v>64355</c:v>
                </c:pt>
                <c:pt idx="163">
                  <c:v>66980</c:v>
                </c:pt>
                <c:pt idx="164">
                  <c:v>58980</c:v>
                </c:pt>
                <c:pt idx="165">
                  <c:v>60480</c:v>
                </c:pt>
                <c:pt idx="166">
                  <c:v>54355</c:v>
                </c:pt>
                <c:pt idx="167">
                  <c:v>63105</c:v>
                </c:pt>
                <c:pt idx="168">
                  <c:v>60855</c:v>
                </c:pt>
                <c:pt idx="169">
                  <c:v>43230</c:v>
                </c:pt>
                <c:pt idx="170">
                  <c:v>50605</c:v>
                </c:pt>
                <c:pt idx="171">
                  <c:v>55980</c:v>
                </c:pt>
                <c:pt idx="172">
                  <c:v>56105</c:v>
                </c:pt>
                <c:pt idx="173">
                  <c:v>57105</c:v>
                </c:pt>
                <c:pt idx="174">
                  <c:v>55475</c:v>
                </c:pt>
                <c:pt idx="175">
                  <c:v>60100</c:v>
                </c:pt>
                <c:pt idx="176">
                  <c:v>62350</c:v>
                </c:pt>
                <c:pt idx="177">
                  <c:v>66850</c:v>
                </c:pt>
                <c:pt idx="178">
                  <c:v>62850</c:v>
                </c:pt>
                <c:pt idx="179">
                  <c:v>64725</c:v>
                </c:pt>
                <c:pt idx="180">
                  <c:v>62225</c:v>
                </c:pt>
                <c:pt idx="181">
                  <c:v>61725</c:v>
                </c:pt>
                <c:pt idx="182">
                  <c:v>66225</c:v>
                </c:pt>
                <c:pt idx="183">
                  <c:v>66350</c:v>
                </c:pt>
                <c:pt idx="184">
                  <c:v>68225</c:v>
                </c:pt>
                <c:pt idx="185">
                  <c:v>68600</c:v>
                </c:pt>
                <c:pt idx="186">
                  <c:v>69350</c:v>
                </c:pt>
                <c:pt idx="187">
                  <c:v>67850</c:v>
                </c:pt>
                <c:pt idx="188">
                  <c:v>70850</c:v>
                </c:pt>
                <c:pt idx="189">
                  <c:v>70350</c:v>
                </c:pt>
                <c:pt idx="190">
                  <c:v>72225</c:v>
                </c:pt>
                <c:pt idx="191">
                  <c:v>68225</c:v>
                </c:pt>
                <c:pt idx="192">
                  <c:v>68850</c:v>
                </c:pt>
                <c:pt idx="193">
                  <c:v>69225</c:v>
                </c:pt>
                <c:pt idx="194">
                  <c:v>74100</c:v>
                </c:pt>
                <c:pt idx="195">
                  <c:v>77725</c:v>
                </c:pt>
                <c:pt idx="196">
                  <c:v>76725</c:v>
                </c:pt>
                <c:pt idx="197">
                  <c:v>75725</c:v>
                </c:pt>
                <c:pt idx="198">
                  <c:v>74600</c:v>
                </c:pt>
                <c:pt idx="199">
                  <c:v>72475</c:v>
                </c:pt>
                <c:pt idx="200">
                  <c:v>75600</c:v>
                </c:pt>
                <c:pt idx="201">
                  <c:v>74600</c:v>
                </c:pt>
                <c:pt idx="202">
                  <c:v>77475</c:v>
                </c:pt>
                <c:pt idx="203">
                  <c:v>79225</c:v>
                </c:pt>
                <c:pt idx="204">
                  <c:v>78350</c:v>
                </c:pt>
                <c:pt idx="205">
                  <c:v>74975</c:v>
                </c:pt>
                <c:pt idx="206">
                  <c:v>75225</c:v>
                </c:pt>
                <c:pt idx="207">
                  <c:v>75225</c:v>
                </c:pt>
                <c:pt idx="208">
                  <c:v>74850</c:v>
                </c:pt>
                <c:pt idx="209">
                  <c:v>74725</c:v>
                </c:pt>
                <c:pt idx="210">
                  <c:v>76225</c:v>
                </c:pt>
                <c:pt idx="211">
                  <c:v>74725</c:v>
                </c:pt>
                <c:pt idx="212">
                  <c:v>76475</c:v>
                </c:pt>
                <c:pt idx="213">
                  <c:v>76100</c:v>
                </c:pt>
                <c:pt idx="214">
                  <c:v>80725</c:v>
                </c:pt>
                <c:pt idx="215">
                  <c:v>80975</c:v>
                </c:pt>
                <c:pt idx="216">
                  <c:v>80975</c:v>
                </c:pt>
                <c:pt idx="217">
                  <c:v>82725</c:v>
                </c:pt>
                <c:pt idx="218">
                  <c:v>82475</c:v>
                </c:pt>
                <c:pt idx="219">
                  <c:v>82975</c:v>
                </c:pt>
                <c:pt idx="220">
                  <c:v>83975</c:v>
                </c:pt>
                <c:pt idx="221">
                  <c:v>85725</c:v>
                </c:pt>
                <c:pt idx="222">
                  <c:v>85725</c:v>
                </c:pt>
                <c:pt idx="223">
                  <c:v>83975</c:v>
                </c:pt>
                <c:pt idx="224">
                  <c:v>78225</c:v>
                </c:pt>
                <c:pt idx="225">
                  <c:v>79350</c:v>
                </c:pt>
                <c:pt idx="226">
                  <c:v>81225</c:v>
                </c:pt>
                <c:pt idx="227">
                  <c:v>83350</c:v>
                </c:pt>
                <c:pt idx="228">
                  <c:v>84225</c:v>
                </c:pt>
                <c:pt idx="229">
                  <c:v>89725</c:v>
                </c:pt>
                <c:pt idx="230">
                  <c:v>88600</c:v>
                </c:pt>
                <c:pt idx="231">
                  <c:v>87600</c:v>
                </c:pt>
                <c:pt idx="232">
                  <c:v>85975</c:v>
                </c:pt>
                <c:pt idx="233">
                  <c:v>85600</c:v>
                </c:pt>
                <c:pt idx="234">
                  <c:v>85475</c:v>
                </c:pt>
                <c:pt idx="235">
                  <c:v>88100</c:v>
                </c:pt>
                <c:pt idx="236">
                  <c:v>87100</c:v>
                </c:pt>
                <c:pt idx="237">
                  <c:v>87725</c:v>
                </c:pt>
                <c:pt idx="238">
                  <c:v>88225</c:v>
                </c:pt>
                <c:pt idx="239">
                  <c:v>88720</c:v>
                </c:pt>
                <c:pt idx="240">
                  <c:v>85345</c:v>
                </c:pt>
                <c:pt idx="241">
                  <c:v>82595</c:v>
                </c:pt>
                <c:pt idx="242">
                  <c:v>83220</c:v>
                </c:pt>
                <c:pt idx="243">
                  <c:v>84595</c:v>
                </c:pt>
                <c:pt idx="244">
                  <c:v>81845</c:v>
                </c:pt>
                <c:pt idx="245">
                  <c:v>82720</c:v>
                </c:pt>
                <c:pt idx="246">
                  <c:v>81220</c:v>
                </c:pt>
                <c:pt idx="247">
                  <c:v>84095</c:v>
                </c:pt>
                <c:pt idx="248">
                  <c:v>87470</c:v>
                </c:pt>
                <c:pt idx="249">
                  <c:v>88095</c:v>
                </c:pt>
                <c:pt idx="250">
                  <c:v>87095</c:v>
                </c:pt>
                <c:pt idx="251">
                  <c:v>88095</c:v>
                </c:pt>
                <c:pt idx="252">
                  <c:v>85970</c:v>
                </c:pt>
                <c:pt idx="253">
                  <c:v>84345</c:v>
                </c:pt>
                <c:pt idx="254">
                  <c:v>83470</c:v>
                </c:pt>
                <c:pt idx="255">
                  <c:v>83345</c:v>
                </c:pt>
                <c:pt idx="256">
                  <c:v>86220</c:v>
                </c:pt>
                <c:pt idx="257">
                  <c:v>86970</c:v>
                </c:pt>
                <c:pt idx="258">
                  <c:v>87095</c:v>
                </c:pt>
                <c:pt idx="259">
                  <c:v>88845</c:v>
                </c:pt>
                <c:pt idx="260">
                  <c:v>89345</c:v>
                </c:pt>
                <c:pt idx="261">
                  <c:v>89590</c:v>
                </c:pt>
                <c:pt idx="262">
                  <c:v>91465</c:v>
                </c:pt>
                <c:pt idx="263">
                  <c:v>88965</c:v>
                </c:pt>
                <c:pt idx="264">
                  <c:v>87465</c:v>
                </c:pt>
                <c:pt idx="265">
                  <c:v>87340</c:v>
                </c:pt>
                <c:pt idx="266">
                  <c:v>91340</c:v>
                </c:pt>
                <c:pt idx="267">
                  <c:v>95090</c:v>
                </c:pt>
                <c:pt idx="268">
                  <c:v>86465</c:v>
                </c:pt>
                <c:pt idx="269">
                  <c:v>83590</c:v>
                </c:pt>
                <c:pt idx="270">
                  <c:v>85340</c:v>
                </c:pt>
                <c:pt idx="271">
                  <c:v>87465</c:v>
                </c:pt>
                <c:pt idx="272">
                  <c:v>87465</c:v>
                </c:pt>
                <c:pt idx="273">
                  <c:v>88840</c:v>
                </c:pt>
                <c:pt idx="274">
                  <c:v>88715</c:v>
                </c:pt>
                <c:pt idx="275">
                  <c:v>88965</c:v>
                </c:pt>
                <c:pt idx="276">
                  <c:v>87715</c:v>
                </c:pt>
                <c:pt idx="277">
                  <c:v>86090</c:v>
                </c:pt>
                <c:pt idx="278">
                  <c:v>85965</c:v>
                </c:pt>
                <c:pt idx="279">
                  <c:v>84840</c:v>
                </c:pt>
                <c:pt idx="280">
                  <c:v>84465</c:v>
                </c:pt>
                <c:pt idx="281">
                  <c:v>86840</c:v>
                </c:pt>
                <c:pt idx="282">
                  <c:v>84215</c:v>
                </c:pt>
                <c:pt idx="283">
                  <c:v>84840</c:v>
                </c:pt>
                <c:pt idx="284">
                  <c:v>82835</c:v>
                </c:pt>
                <c:pt idx="285">
                  <c:v>80460</c:v>
                </c:pt>
                <c:pt idx="286">
                  <c:v>79085</c:v>
                </c:pt>
                <c:pt idx="287">
                  <c:v>79460</c:v>
                </c:pt>
                <c:pt idx="288">
                  <c:v>79085</c:v>
                </c:pt>
                <c:pt idx="289">
                  <c:v>80335</c:v>
                </c:pt>
                <c:pt idx="290">
                  <c:v>79960</c:v>
                </c:pt>
                <c:pt idx="291">
                  <c:v>80835</c:v>
                </c:pt>
                <c:pt idx="292">
                  <c:v>81210</c:v>
                </c:pt>
                <c:pt idx="293">
                  <c:v>78835</c:v>
                </c:pt>
                <c:pt idx="294">
                  <c:v>78210</c:v>
                </c:pt>
                <c:pt idx="295">
                  <c:v>76710</c:v>
                </c:pt>
                <c:pt idx="296">
                  <c:v>74210</c:v>
                </c:pt>
                <c:pt idx="297">
                  <c:v>73210</c:v>
                </c:pt>
                <c:pt idx="298">
                  <c:v>73710</c:v>
                </c:pt>
                <c:pt idx="299">
                  <c:v>75835</c:v>
                </c:pt>
                <c:pt idx="300">
                  <c:v>74710</c:v>
                </c:pt>
                <c:pt idx="301">
                  <c:v>72335</c:v>
                </c:pt>
                <c:pt idx="302">
                  <c:v>75585</c:v>
                </c:pt>
                <c:pt idx="303">
                  <c:v>72335</c:v>
                </c:pt>
                <c:pt idx="304">
                  <c:v>70830</c:v>
                </c:pt>
                <c:pt idx="305">
                  <c:v>63955</c:v>
                </c:pt>
                <c:pt idx="306">
                  <c:v>63580</c:v>
                </c:pt>
                <c:pt idx="307">
                  <c:v>58205</c:v>
                </c:pt>
                <c:pt idx="308">
                  <c:v>59080</c:v>
                </c:pt>
                <c:pt idx="309">
                  <c:v>64705</c:v>
                </c:pt>
                <c:pt idx="310">
                  <c:v>63080</c:v>
                </c:pt>
                <c:pt idx="311">
                  <c:v>60705</c:v>
                </c:pt>
                <c:pt idx="312">
                  <c:v>61080</c:v>
                </c:pt>
                <c:pt idx="313">
                  <c:v>63080</c:v>
                </c:pt>
                <c:pt idx="314">
                  <c:v>64080</c:v>
                </c:pt>
                <c:pt idx="315">
                  <c:v>60955</c:v>
                </c:pt>
                <c:pt idx="316">
                  <c:v>59330</c:v>
                </c:pt>
                <c:pt idx="317">
                  <c:v>64830</c:v>
                </c:pt>
                <c:pt idx="318">
                  <c:v>64080</c:v>
                </c:pt>
                <c:pt idx="319">
                  <c:v>59830</c:v>
                </c:pt>
                <c:pt idx="320">
                  <c:v>61330</c:v>
                </c:pt>
                <c:pt idx="321">
                  <c:v>62455</c:v>
                </c:pt>
                <c:pt idx="322">
                  <c:v>58455</c:v>
                </c:pt>
                <c:pt idx="323">
                  <c:v>57455</c:v>
                </c:pt>
                <c:pt idx="324">
                  <c:v>53705</c:v>
                </c:pt>
                <c:pt idx="325">
                  <c:v>50330</c:v>
                </c:pt>
                <c:pt idx="326">
                  <c:v>57080</c:v>
                </c:pt>
                <c:pt idx="327">
                  <c:v>55705</c:v>
                </c:pt>
                <c:pt idx="328">
                  <c:v>54580</c:v>
                </c:pt>
                <c:pt idx="329">
                  <c:v>55205</c:v>
                </c:pt>
                <c:pt idx="330">
                  <c:v>50830</c:v>
                </c:pt>
                <c:pt idx="331">
                  <c:v>52080</c:v>
                </c:pt>
                <c:pt idx="332">
                  <c:v>53080</c:v>
                </c:pt>
                <c:pt idx="333">
                  <c:v>54705</c:v>
                </c:pt>
                <c:pt idx="334">
                  <c:v>52205</c:v>
                </c:pt>
                <c:pt idx="335">
                  <c:v>52830</c:v>
                </c:pt>
                <c:pt idx="336">
                  <c:v>55955</c:v>
                </c:pt>
                <c:pt idx="337">
                  <c:v>57455</c:v>
                </c:pt>
                <c:pt idx="338">
                  <c:v>57830</c:v>
                </c:pt>
                <c:pt idx="339">
                  <c:v>60580</c:v>
                </c:pt>
                <c:pt idx="340">
                  <c:v>55205</c:v>
                </c:pt>
                <c:pt idx="341">
                  <c:v>52955</c:v>
                </c:pt>
                <c:pt idx="342">
                  <c:v>53830</c:v>
                </c:pt>
                <c:pt idx="343">
                  <c:v>50830</c:v>
                </c:pt>
                <c:pt idx="344">
                  <c:v>50205</c:v>
                </c:pt>
                <c:pt idx="345">
                  <c:v>47205</c:v>
                </c:pt>
                <c:pt idx="346">
                  <c:v>48330</c:v>
                </c:pt>
                <c:pt idx="347">
                  <c:v>53825</c:v>
                </c:pt>
                <c:pt idx="348">
                  <c:v>58450</c:v>
                </c:pt>
                <c:pt idx="349">
                  <c:v>53075</c:v>
                </c:pt>
                <c:pt idx="350">
                  <c:v>48700</c:v>
                </c:pt>
                <c:pt idx="351">
                  <c:v>52075</c:v>
                </c:pt>
                <c:pt idx="352">
                  <c:v>49450</c:v>
                </c:pt>
                <c:pt idx="353">
                  <c:v>52325</c:v>
                </c:pt>
                <c:pt idx="354">
                  <c:v>57825</c:v>
                </c:pt>
                <c:pt idx="355">
                  <c:v>56825</c:v>
                </c:pt>
                <c:pt idx="356">
                  <c:v>59450</c:v>
                </c:pt>
                <c:pt idx="357">
                  <c:v>65450</c:v>
                </c:pt>
                <c:pt idx="358">
                  <c:v>66450</c:v>
                </c:pt>
                <c:pt idx="359">
                  <c:v>68950</c:v>
                </c:pt>
                <c:pt idx="360">
                  <c:v>70450</c:v>
                </c:pt>
                <c:pt idx="361">
                  <c:v>70325</c:v>
                </c:pt>
                <c:pt idx="362">
                  <c:v>69700</c:v>
                </c:pt>
                <c:pt idx="363">
                  <c:v>68825</c:v>
                </c:pt>
                <c:pt idx="364">
                  <c:v>68450</c:v>
                </c:pt>
                <c:pt idx="365">
                  <c:v>72325</c:v>
                </c:pt>
                <c:pt idx="366">
                  <c:v>71575</c:v>
                </c:pt>
                <c:pt idx="367">
                  <c:v>73200</c:v>
                </c:pt>
                <c:pt idx="368">
                  <c:v>74075</c:v>
                </c:pt>
                <c:pt idx="369">
                  <c:v>74075</c:v>
                </c:pt>
                <c:pt idx="370">
                  <c:v>78825</c:v>
                </c:pt>
                <c:pt idx="371">
                  <c:v>79325</c:v>
                </c:pt>
                <c:pt idx="372">
                  <c:v>82325</c:v>
                </c:pt>
                <c:pt idx="373">
                  <c:v>79075</c:v>
                </c:pt>
                <c:pt idx="374">
                  <c:v>83825</c:v>
                </c:pt>
                <c:pt idx="375">
                  <c:v>84325</c:v>
                </c:pt>
                <c:pt idx="376">
                  <c:v>87450</c:v>
                </c:pt>
                <c:pt idx="377">
                  <c:v>86325</c:v>
                </c:pt>
                <c:pt idx="378">
                  <c:v>85075</c:v>
                </c:pt>
                <c:pt idx="379">
                  <c:v>86825</c:v>
                </c:pt>
                <c:pt idx="380">
                  <c:v>88075</c:v>
                </c:pt>
                <c:pt idx="381">
                  <c:v>86325</c:v>
                </c:pt>
                <c:pt idx="382">
                  <c:v>83075</c:v>
                </c:pt>
                <c:pt idx="383">
                  <c:v>81075</c:v>
                </c:pt>
                <c:pt idx="384">
                  <c:v>84700</c:v>
                </c:pt>
                <c:pt idx="385">
                  <c:v>86575</c:v>
                </c:pt>
                <c:pt idx="386">
                  <c:v>87075</c:v>
                </c:pt>
                <c:pt idx="387">
                  <c:v>84325</c:v>
                </c:pt>
                <c:pt idx="388">
                  <c:v>84075</c:v>
                </c:pt>
                <c:pt idx="389">
                  <c:v>94825</c:v>
                </c:pt>
                <c:pt idx="390">
                  <c:v>97195</c:v>
                </c:pt>
                <c:pt idx="391">
                  <c:v>98695</c:v>
                </c:pt>
                <c:pt idx="392">
                  <c:v>99945</c:v>
                </c:pt>
                <c:pt idx="393">
                  <c:v>103570</c:v>
                </c:pt>
                <c:pt idx="394">
                  <c:v>104320</c:v>
                </c:pt>
                <c:pt idx="395">
                  <c:v>105945</c:v>
                </c:pt>
                <c:pt idx="396">
                  <c:v>109695</c:v>
                </c:pt>
                <c:pt idx="397">
                  <c:v>111695</c:v>
                </c:pt>
                <c:pt idx="398">
                  <c:v>115195</c:v>
                </c:pt>
                <c:pt idx="399">
                  <c:v>114195</c:v>
                </c:pt>
                <c:pt idx="400">
                  <c:v>117320</c:v>
                </c:pt>
                <c:pt idx="401">
                  <c:v>116695</c:v>
                </c:pt>
                <c:pt idx="402">
                  <c:v>114945</c:v>
                </c:pt>
                <c:pt idx="403">
                  <c:v>118695</c:v>
                </c:pt>
                <c:pt idx="404">
                  <c:v>122195</c:v>
                </c:pt>
                <c:pt idx="405">
                  <c:v>124195</c:v>
                </c:pt>
                <c:pt idx="406">
                  <c:v>123695</c:v>
                </c:pt>
                <c:pt idx="407">
                  <c:v>124445</c:v>
                </c:pt>
                <c:pt idx="408">
                  <c:v>123570</c:v>
                </c:pt>
                <c:pt idx="409">
                  <c:v>120695</c:v>
                </c:pt>
                <c:pt idx="410">
                  <c:v>124195</c:v>
                </c:pt>
                <c:pt idx="411">
                  <c:v>124445</c:v>
                </c:pt>
                <c:pt idx="412">
                  <c:v>125820</c:v>
                </c:pt>
                <c:pt idx="413">
                  <c:v>127695</c:v>
                </c:pt>
                <c:pt idx="414">
                  <c:v>125070</c:v>
                </c:pt>
                <c:pt idx="415">
                  <c:v>127320</c:v>
                </c:pt>
                <c:pt idx="416">
                  <c:v>123820</c:v>
                </c:pt>
                <c:pt idx="417">
                  <c:v>125820</c:v>
                </c:pt>
                <c:pt idx="418">
                  <c:v>128695</c:v>
                </c:pt>
                <c:pt idx="419">
                  <c:v>126945</c:v>
                </c:pt>
                <c:pt idx="420">
                  <c:v>125195</c:v>
                </c:pt>
                <c:pt idx="421">
                  <c:v>125570</c:v>
                </c:pt>
                <c:pt idx="422">
                  <c:v>123695</c:v>
                </c:pt>
                <c:pt idx="423">
                  <c:v>121820</c:v>
                </c:pt>
                <c:pt idx="424">
                  <c:v>124070</c:v>
                </c:pt>
                <c:pt idx="425">
                  <c:v>123945</c:v>
                </c:pt>
                <c:pt idx="426">
                  <c:v>125445</c:v>
                </c:pt>
                <c:pt idx="427">
                  <c:v>124070</c:v>
                </c:pt>
                <c:pt idx="428">
                  <c:v>122695</c:v>
                </c:pt>
                <c:pt idx="429">
                  <c:v>124945</c:v>
                </c:pt>
                <c:pt idx="430">
                  <c:v>127070</c:v>
                </c:pt>
                <c:pt idx="431">
                  <c:v>126695</c:v>
                </c:pt>
                <c:pt idx="432">
                  <c:v>124195</c:v>
                </c:pt>
                <c:pt idx="433">
                  <c:v>127320</c:v>
                </c:pt>
                <c:pt idx="434">
                  <c:v>126565</c:v>
                </c:pt>
                <c:pt idx="435">
                  <c:v>127065</c:v>
                </c:pt>
                <c:pt idx="436">
                  <c:v>132440</c:v>
                </c:pt>
                <c:pt idx="437">
                  <c:v>135940</c:v>
                </c:pt>
                <c:pt idx="438">
                  <c:v>131565</c:v>
                </c:pt>
                <c:pt idx="439">
                  <c:v>135190</c:v>
                </c:pt>
                <c:pt idx="440">
                  <c:v>136690</c:v>
                </c:pt>
                <c:pt idx="441">
                  <c:v>135690</c:v>
                </c:pt>
                <c:pt idx="442">
                  <c:v>139440</c:v>
                </c:pt>
                <c:pt idx="443">
                  <c:v>139815</c:v>
                </c:pt>
                <c:pt idx="444">
                  <c:v>137565</c:v>
                </c:pt>
                <c:pt idx="445">
                  <c:v>136690</c:v>
                </c:pt>
                <c:pt idx="446">
                  <c:v>138315</c:v>
                </c:pt>
                <c:pt idx="447">
                  <c:v>139690</c:v>
                </c:pt>
                <c:pt idx="448">
                  <c:v>142690</c:v>
                </c:pt>
                <c:pt idx="449">
                  <c:v>143815</c:v>
                </c:pt>
                <c:pt idx="450">
                  <c:v>146190</c:v>
                </c:pt>
                <c:pt idx="451">
                  <c:v>144315</c:v>
                </c:pt>
                <c:pt idx="452">
                  <c:v>146065</c:v>
                </c:pt>
                <c:pt idx="453">
                  <c:v>147315</c:v>
                </c:pt>
                <c:pt idx="454">
                  <c:v>146315</c:v>
                </c:pt>
                <c:pt idx="455">
                  <c:v>148190</c:v>
                </c:pt>
                <c:pt idx="456">
                  <c:v>148440</c:v>
                </c:pt>
                <c:pt idx="457">
                  <c:v>148315</c:v>
                </c:pt>
                <c:pt idx="458">
                  <c:v>147565</c:v>
                </c:pt>
                <c:pt idx="459">
                  <c:v>143065</c:v>
                </c:pt>
                <c:pt idx="460">
                  <c:v>139315</c:v>
                </c:pt>
                <c:pt idx="461">
                  <c:v>137940</c:v>
                </c:pt>
                <c:pt idx="462">
                  <c:v>136315</c:v>
                </c:pt>
                <c:pt idx="463">
                  <c:v>142690</c:v>
                </c:pt>
                <c:pt idx="464">
                  <c:v>136565</c:v>
                </c:pt>
                <c:pt idx="465">
                  <c:v>131690</c:v>
                </c:pt>
                <c:pt idx="466">
                  <c:v>134815</c:v>
                </c:pt>
                <c:pt idx="467">
                  <c:v>133440</c:v>
                </c:pt>
                <c:pt idx="468">
                  <c:v>135190</c:v>
                </c:pt>
                <c:pt idx="469">
                  <c:v>135440</c:v>
                </c:pt>
                <c:pt idx="470">
                  <c:v>130690</c:v>
                </c:pt>
                <c:pt idx="471">
                  <c:v>132315</c:v>
                </c:pt>
                <c:pt idx="472">
                  <c:v>129440</c:v>
                </c:pt>
                <c:pt idx="473">
                  <c:v>132440</c:v>
                </c:pt>
                <c:pt idx="474">
                  <c:v>128690</c:v>
                </c:pt>
                <c:pt idx="475">
                  <c:v>126940</c:v>
                </c:pt>
                <c:pt idx="476">
                  <c:v>122690</c:v>
                </c:pt>
                <c:pt idx="477">
                  <c:v>121190</c:v>
                </c:pt>
                <c:pt idx="478">
                  <c:v>122690</c:v>
                </c:pt>
                <c:pt idx="479">
                  <c:v>123315</c:v>
                </c:pt>
                <c:pt idx="480">
                  <c:v>126190</c:v>
                </c:pt>
                <c:pt idx="481">
                  <c:v>124440</c:v>
                </c:pt>
                <c:pt idx="482">
                  <c:v>123190</c:v>
                </c:pt>
                <c:pt idx="483">
                  <c:v>124940</c:v>
                </c:pt>
                <c:pt idx="484">
                  <c:v>123690</c:v>
                </c:pt>
                <c:pt idx="485">
                  <c:v>122815</c:v>
                </c:pt>
                <c:pt idx="486">
                  <c:v>120065</c:v>
                </c:pt>
                <c:pt idx="487">
                  <c:v>117440</c:v>
                </c:pt>
                <c:pt idx="488">
                  <c:v>117440</c:v>
                </c:pt>
                <c:pt idx="489">
                  <c:v>120440</c:v>
                </c:pt>
                <c:pt idx="490">
                  <c:v>122315</c:v>
                </c:pt>
                <c:pt idx="491">
                  <c:v>127190</c:v>
                </c:pt>
                <c:pt idx="492">
                  <c:v>122440</c:v>
                </c:pt>
                <c:pt idx="493">
                  <c:v>120565</c:v>
                </c:pt>
                <c:pt idx="494">
                  <c:v>125565</c:v>
                </c:pt>
                <c:pt idx="495">
                  <c:v>122815</c:v>
                </c:pt>
                <c:pt idx="496">
                  <c:v>119815</c:v>
                </c:pt>
                <c:pt idx="497">
                  <c:v>121065</c:v>
                </c:pt>
                <c:pt idx="498">
                  <c:v>120940</c:v>
                </c:pt>
                <c:pt idx="499">
                  <c:v>121560</c:v>
                </c:pt>
                <c:pt idx="500">
                  <c:v>124310</c:v>
                </c:pt>
                <c:pt idx="501">
                  <c:v>125310</c:v>
                </c:pt>
                <c:pt idx="502">
                  <c:v>120685</c:v>
                </c:pt>
                <c:pt idx="503">
                  <c:v>117935</c:v>
                </c:pt>
                <c:pt idx="504">
                  <c:v>119185</c:v>
                </c:pt>
                <c:pt idx="505">
                  <c:v>118185</c:v>
                </c:pt>
                <c:pt idx="506">
                  <c:v>119435</c:v>
                </c:pt>
                <c:pt idx="507">
                  <c:v>117060</c:v>
                </c:pt>
                <c:pt idx="508">
                  <c:v>110685</c:v>
                </c:pt>
                <c:pt idx="509">
                  <c:v>111435</c:v>
                </c:pt>
                <c:pt idx="510">
                  <c:v>112185</c:v>
                </c:pt>
                <c:pt idx="511">
                  <c:v>111560</c:v>
                </c:pt>
                <c:pt idx="512">
                  <c:v>110060</c:v>
                </c:pt>
                <c:pt idx="513">
                  <c:v>111060</c:v>
                </c:pt>
                <c:pt idx="514">
                  <c:v>109435</c:v>
                </c:pt>
                <c:pt idx="515">
                  <c:v>108685</c:v>
                </c:pt>
                <c:pt idx="516">
                  <c:v>111560</c:v>
                </c:pt>
                <c:pt idx="517">
                  <c:v>110185</c:v>
                </c:pt>
                <c:pt idx="518">
                  <c:v>108935</c:v>
                </c:pt>
                <c:pt idx="519">
                  <c:v>109310</c:v>
                </c:pt>
                <c:pt idx="520">
                  <c:v>112185</c:v>
                </c:pt>
                <c:pt idx="521">
                  <c:v>117185</c:v>
                </c:pt>
                <c:pt idx="522">
                  <c:v>116430</c:v>
                </c:pt>
                <c:pt idx="523">
                  <c:v>117805</c:v>
                </c:pt>
                <c:pt idx="524">
                  <c:v>112805</c:v>
                </c:pt>
                <c:pt idx="525">
                  <c:v>113180</c:v>
                </c:pt>
                <c:pt idx="526">
                  <c:v>117305</c:v>
                </c:pt>
                <c:pt idx="527">
                  <c:v>118305</c:v>
                </c:pt>
                <c:pt idx="528">
                  <c:v>115180</c:v>
                </c:pt>
                <c:pt idx="529">
                  <c:v>114180</c:v>
                </c:pt>
                <c:pt idx="530">
                  <c:v>122430</c:v>
                </c:pt>
                <c:pt idx="531">
                  <c:v>125680</c:v>
                </c:pt>
                <c:pt idx="532">
                  <c:v>126430</c:v>
                </c:pt>
                <c:pt idx="533">
                  <c:v>122055</c:v>
                </c:pt>
                <c:pt idx="534">
                  <c:v>122055</c:v>
                </c:pt>
                <c:pt idx="535">
                  <c:v>120805</c:v>
                </c:pt>
                <c:pt idx="536">
                  <c:v>121680</c:v>
                </c:pt>
                <c:pt idx="537">
                  <c:v>123680</c:v>
                </c:pt>
                <c:pt idx="538">
                  <c:v>122805</c:v>
                </c:pt>
                <c:pt idx="539">
                  <c:v>123305</c:v>
                </c:pt>
                <c:pt idx="540">
                  <c:v>124180</c:v>
                </c:pt>
                <c:pt idx="541">
                  <c:v>127430</c:v>
                </c:pt>
                <c:pt idx="542">
                  <c:v>130430</c:v>
                </c:pt>
                <c:pt idx="543">
                  <c:v>130555</c:v>
                </c:pt>
                <c:pt idx="544">
                  <c:v>130425</c:v>
                </c:pt>
                <c:pt idx="545">
                  <c:v>122675</c:v>
                </c:pt>
                <c:pt idx="546">
                  <c:v>125300</c:v>
                </c:pt>
                <c:pt idx="547">
                  <c:v>123800</c:v>
                </c:pt>
                <c:pt idx="548">
                  <c:v>124425</c:v>
                </c:pt>
                <c:pt idx="549">
                  <c:v>120425</c:v>
                </c:pt>
                <c:pt idx="550">
                  <c:v>122175</c:v>
                </c:pt>
                <c:pt idx="551">
                  <c:v>122175</c:v>
                </c:pt>
                <c:pt idx="552">
                  <c:v>124300</c:v>
                </c:pt>
                <c:pt idx="553">
                  <c:v>123050</c:v>
                </c:pt>
                <c:pt idx="554">
                  <c:v>122050</c:v>
                </c:pt>
                <c:pt idx="555">
                  <c:v>121300</c:v>
                </c:pt>
                <c:pt idx="556">
                  <c:v>123925</c:v>
                </c:pt>
                <c:pt idx="557">
                  <c:v>121425</c:v>
                </c:pt>
                <c:pt idx="558">
                  <c:v>123925</c:v>
                </c:pt>
                <c:pt idx="559">
                  <c:v>126050</c:v>
                </c:pt>
                <c:pt idx="560">
                  <c:v>126550</c:v>
                </c:pt>
                <c:pt idx="561">
                  <c:v>129300</c:v>
                </c:pt>
                <c:pt idx="562">
                  <c:v>125550</c:v>
                </c:pt>
                <c:pt idx="563">
                  <c:v>121925</c:v>
                </c:pt>
                <c:pt idx="564">
                  <c:v>125920</c:v>
                </c:pt>
                <c:pt idx="565">
                  <c:v>124920</c:v>
                </c:pt>
                <c:pt idx="566">
                  <c:v>125170</c:v>
                </c:pt>
                <c:pt idx="567">
                  <c:v>124545</c:v>
                </c:pt>
                <c:pt idx="568">
                  <c:v>128170</c:v>
                </c:pt>
                <c:pt idx="569">
                  <c:v>125295</c:v>
                </c:pt>
                <c:pt idx="570">
                  <c:v>126670</c:v>
                </c:pt>
                <c:pt idx="571">
                  <c:v>124295</c:v>
                </c:pt>
                <c:pt idx="572">
                  <c:v>125295</c:v>
                </c:pt>
                <c:pt idx="573">
                  <c:v>129420</c:v>
                </c:pt>
                <c:pt idx="574">
                  <c:v>130670</c:v>
                </c:pt>
                <c:pt idx="575">
                  <c:v>134670</c:v>
                </c:pt>
                <c:pt idx="576">
                  <c:v>133670</c:v>
                </c:pt>
                <c:pt idx="577">
                  <c:v>133670</c:v>
                </c:pt>
                <c:pt idx="578">
                  <c:v>126920</c:v>
                </c:pt>
                <c:pt idx="579">
                  <c:v>124545</c:v>
                </c:pt>
                <c:pt idx="580">
                  <c:v>123545</c:v>
                </c:pt>
                <c:pt idx="581">
                  <c:v>122295</c:v>
                </c:pt>
                <c:pt idx="582">
                  <c:v>124420</c:v>
                </c:pt>
                <c:pt idx="583">
                  <c:v>124545</c:v>
                </c:pt>
                <c:pt idx="584">
                  <c:v>123045</c:v>
                </c:pt>
                <c:pt idx="585">
                  <c:v>131545</c:v>
                </c:pt>
                <c:pt idx="586">
                  <c:v>129295</c:v>
                </c:pt>
                <c:pt idx="587">
                  <c:v>126420</c:v>
                </c:pt>
                <c:pt idx="588">
                  <c:v>125295</c:v>
                </c:pt>
                <c:pt idx="589">
                  <c:v>127295</c:v>
                </c:pt>
                <c:pt idx="590">
                  <c:v>128545</c:v>
                </c:pt>
                <c:pt idx="591">
                  <c:v>130920</c:v>
                </c:pt>
                <c:pt idx="592">
                  <c:v>130670</c:v>
                </c:pt>
                <c:pt idx="593">
                  <c:v>131920</c:v>
                </c:pt>
                <c:pt idx="594">
                  <c:v>134045</c:v>
                </c:pt>
                <c:pt idx="595">
                  <c:v>132795</c:v>
                </c:pt>
                <c:pt idx="596">
                  <c:v>132295</c:v>
                </c:pt>
                <c:pt idx="597">
                  <c:v>131170</c:v>
                </c:pt>
                <c:pt idx="598">
                  <c:v>130670</c:v>
                </c:pt>
                <c:pt idx="599">
                  <c:v>130545</c:v>
                </c:pt>
                <c:pt idx="600">
                  <c:v>133420</c:v>
                </c:pt>
                <c:pt idx="601">
                  <c:v>133670</c:v>
                </c:pt>
                <c:pt idx="602">
                  <c:v>132420</c:v>
                </c:pt>
                <c:pt idx="603">
                  <c:v>137920</c:v>
                </c:pt>
                <c:pt idx="604">
                  <c:v>140670</c:v>
                </c:pt>
                <c:pt idx="605">
                  <c:v>140295</c:v>
                </c:pt>
                <c:pt idx="606">
                  <c:v>139545</c:v>
                </c:pt>
                <c:pt idx="607">
                  <c:v>140545</c:v>
                </c:pt>
                <c:pt idx="608">
                  <c:v>142165</c:v>
                </c:pt>
                <c:pt idx="609">
                  <c:v>141790</c:v>
                </c:pt>
                <c:pt idx="610">
                  <c:v>143415</c:v>
                </c:pt>
                <c:pt idx="611">
                  <c:v>140790</c:v>
                </c:pt>
                <c:pt idx="612">
                  <c:v>142540</c:v>
                </c:pt>
                <c:pt idx="613">
                  <c:v>142415</c:v>
                </c:pt>
                <c:pt idx="614">
                  <c:v>143790</c:v>
                </c:pt>
                <c:pt idx="615">
                  <c:v>141915</c:v>
                </c:pt>
                <c:pt idx="616">
                  <c:v>142790</c:v>
                </c:pt>
                <c:pt idx="617">
                  <c:v>139540</c:v>
                </c:pt>
                <c:pt idx="618">
                  <c:v>141040</c:v>
                </c:pt>
                <c:pt idx="619">
                  <c:v>138290</c:v>
                </c:pt>
                <c:pt idx="620">
                  <c:v>142415</c:v>
                </c:pt>
                <c:pt idx="621">
                  <c:v>143415</c:v>
                </c:pt>
                <c:pt idx="622">
                  <c:v>140915</c:v>
                </c:pt>
                <c:pt idx="623">
                  <c:v>142915</c:v>
                </c:pt>
                <c:pt idx="624">
                  <c:v>143290</c:v>
                </c:pt>
                <c:pt idx="625">
                  <c:v>146290</c:v>
                </c:pt>
                <c:pt idx="626">
                  <c:v>148290</c:v>
                </c:pt>
                <c:pt idx="627">
                  <c:v>146415</c:v>
                </c:pt>
                <c:pt idx="628">
                  <c:v>148040</c:v>
                </c:pt>
                <c:pt idx="629">
                  <c:v>147290</c:v>
                </c:pt>
                <c:pt idx="630">
                  <c:v>143665</c:v>
                </c:pt>
                <c:pt idx="631">
                  <c:v>144540</c:v>
                </c:pt>
                <c:pt idx="632">
                  <c:v>141540</c:v>
                </c:pt>
                <c:pt idx="633">
                  <c:v>143165</c:v>
                </c:pt>
                <c:pt idx="634">
                  <c:v>141040</c:v>
                </c:pt>
                <c:pt idx="635">
                  <c:v>140665</c:v>
                </c:pt>
                <c:pt idx="636">
                  <c:v>143665</c:v>
                </c:pt>
                <c:pt idx="637">
                  <c:v>145665</c:v>
                </c:pt>
                <c:pt idx="638">
                  <c:v>146665</c:v>
                </c:pt>
                <c:pt idx="639">
                  <c:v>149415</c:v>
                </c:pt>
                <c:pt idx="640">
                  <c:v>147540</c:v>
                </c:pt>
                <c:pt idx="641">
                  <c:v>144290</c:v>
                </c:pt>
                <c:pt idx="642">
                  <c:v>143790</c:v>
                </c:pt>
                <c:pt idx="643">
                  <c:v>146040</c:v>
                </c:pt>
                <c:pt idx="644">
                  <c:v>144165</c:v>
                </c:pt>
                <c:pt idx="645">
                  <c:v>139915</c:v>
                </c:pt>
                <c:pt idx="646">
                  <c:v>139540</c:v>
                </c:pt>
                <c:pt idx="647">
                  <c:v>135290</c:v>
                </c:pt>
                <c:pt idx="648">
                  <c:v>129665</c:v>
                </c:pt>
                <c:pt idx="649">
                  <c:v>129040</c:v>
                </c:pt>
                <c:pt idx="650">
                  <c:v>116790</c:v>
                </c:pt>
                <c:pt idx="651">
                  <c:v>117910</c:v>
                </c:pt>
                <c:pt idx="652">
                  <c:v>111660</c:v>
                </c:pt>
                <c:pt idx="653">
                  <c:v>112160</c:v>
                </c:pt>
                <c:pt idx="654">
                  <c:v>112785</c:v>
                </c:pt>
                <c:pt idx="655">
                  <c:v>115160</c:v>
                </c:pt>
                <c:pt idx="656">
                  <c:v>114035</c:v>
                </c:pt>
                <c:pt idx="657">
                  <c:v>110410</c:v>
                </c:pt>
                <c:pt idx="658">
                  <c:v>108410</c:v>
                </c:pt>
                <c:pt idx="659">
                  <c:v>105160</c:v>
                </c:pt>
                <c:pt idx="660">
                  <c:v>110035</c:v>
                </c:pt>
                <c:pt idx="661">
                  <c:v>112035</c:v>
                </c:pt>
                <c:pt idx="662">
                  <c:v>110410</c:v>
                </c:pt>
                <c:pt idx="663">
                  <c:v>115785</c:v>
                </c:pt>
                <c:pt idx="664">
                  <c:v>122660</c:v>
                </c:pt>
                <c:pt idx="665">
                  <c:v>122035</c:v>
                </c:pt>
                <c:pt idx="666">
                  <c:v>124660</c:v>
                </c:pt>
                <c:pt idx="667">
                  <c:v>125285</c:v>
                </c:pt>
                <c:pt idx="668">
                  <c:v>128410</c:v>
                </c:pt>
                <c:pt idx="669">
                  <c:v>137285</c:v>
                </c:pt>
                <c:pt idx="670">
                  <c:v>140285</c:v>
                </c:pt>
                <c:pt idx="671">
                  <c:v>141285</c:v>
                </c:pt>
                <c:pt idx="672">
                  <c:v>140285</c:v>
                </c:pt>
                <c:pt idx="673">
                  <c:v>138535</c:v>
                </c:pt>
                <c:pt idx="674">
                  <c:v>141535</c:v>
                </c:pt>
                <c:pt idx="675">
                  <c:v>142285</c:v>
                </c:pt>
                <c:pt idx="676">
                  <c:v>139785</c:v>
                </c:pt>
                <c:pt idx="677">
                  <c:v>140160</c:v>
                </c:pt>
                <c:pt idx="678">
                  <c:v>139410</c:v>
                </c:pt>
                <c:pt idx="679">
                  <c:v>132535</c:v>
                </c:pt>
                <c:pt idx="680">
                  <c:v>135660</c:v>
                </c:pt>
                <c:pt idx="681">
                  <c:v>147160</c:v>
                </c:pt>
                <c:pt idx="682">
                  <c:v>145035</c:v>
                </c:pt>
                <c:pt idx="683">
                  <c:v>144410</c:v>
                </c:pt>
                <c:pt idx="684">
                  <c:v>143910</c:v>
                </c:pt>
                <c:pt idx="685">
                  <c:v>142785</c:v>
                </c:pt>
                <c:pt idx="686">
                  <c:v>142160</c:v>
                </c:pt>
                <c:pt idx="687">
                  <c:v>140535</c:v>
                </c:pt>
                <c:pt idx="688">
                  <c:v>143285</c:v>
                </c:pt>
                <c:pt idx="689">
                  <c:v>141660</c:v>
                </c:pt>
                <c:pt idx="690">
                  <c:v>143535</c:v>
                </c:pt>
                <c:pt idx="691">
                  <c:v>144785</c:v>
                </c:pt>
                <c:pt idx="692">
                  <c:v>144910</c:v>
                </c:pt>
                <c:pt idx="693">
                  <c:v>143910</c:v>
                </c:pt>
                <c:pt idx="694">
                  <c:v>144785</c:v>
                </c:pt>
                <c:pt idx="695">
                  <c:v>147405</c:v>
                </c:pt>
                <c:pt idx="696">
                  <c:v>149030</c:v>
                </c:pt>
                <c:pt idx="697">
                  <c:v>151030</c:v>
                </c:pt>
                <c:pt idx="698">
                  <c:v>150280</c:v>
                </c:pt>
                <c:pt idx="699">
                  <c:v>150530</c:v>
                </c:pt>
                <c:pt idx="700">
                  <c:v>148780</c:v>
                </c:pt>
                <c:pt idx="701">
                  <c:v>147280</c:v>
                </c:pt>
                <c:pt idx="702">
                  <c:v>144780</c:v>
                </c:pt>
                <c:pt idx="703">
                  <c:v>139905</c:v>
                </c:pt>
                <c:pt idx="704">
                  <c:v>135280</c:v>
                </c:pt>
                <c:pt idx="705">
                  <c:v>136280</c:v>
                </c:pt>
                <c:pt idx="706">
                  <c:v>138780</c:v>
                </c:pt>
                <c:pt idx="707">
                  <c:v>141030</c:v>
                </c:pt>
                <c:pt idx="708">
                  <c:v>142780</c:v>
                </c:pt>
                <c:pt idx="709">
                  <c:v>139780</c:v>
                </c:pt>
                <c:pt idx="710">
                  <c:v>141905</c:v>
                </c:pt>
                <c:pt idx="711">
                  <c:v>140655</c:v>
                </c:pt>
                <c:pt idx="712">
                  <c:v>141530</c:v>
                </c:pt>
                <c:pt idx="713">
                  <c:v>137780</c:v>
                </c:pt>
                <c:pt idx="714">
                  <c:v>138780</c:v>
                </c:pt>
                <c:pt idx="715">
                  <c:v>137530</c:v>
                </c:pt>
                <c:pt idx="716">
                  <c:v>139155</c:v>
                </c:pt>
                <c:pt idx="717">
                  <c:v>136780</c:v>
                </c:pt>
                <c:pt idx="718">
                  <c:v>136780</c:v>
                </c:pt>
                <c:pt idx="719">
                  <c:v>135405</c:v>
                </c:pt>
                <c:pt idx="720">
                  <c:v>133030</c:v>
                </c:pt>
                <c:pt idx="721">
                  <c:v>133905</c:v>
                </c:pt>
                <c:pt idx="722">
                  <c:v>135905</c:v>
                </c:pt>
                <c:pt idx="723">
                  <c:v>139155</c:v>
                </c:pt>
                <c:pt idx="724">
                  <c:v>141280</c:v>
                </c:pt>
                <c:pt idx="725">
                  <c:v>139780</c:v>
                </c:pt>
                <c:pt idx="726">
                  <c:v>142280</c:v>
                </c:pt>
                <c:pt idx="727">
                  <c:v>144030</c:v>
                </c:pt>
                <c:pt idx="728">
                  <c:v>143780</c:v>
                </c:pt>
                <c:pt idx="729">
                  <c:v>145030</c:v>
                </c:pt>
                <c:pt idx="730">
                  <c:v>144280</c:v>
                </c:pt>
                <c:pt idx="731">
                  <c:v>141655</c:v>
                </c:pt>
                <c:pt idx="732">
                  <c:v>142280</c:v>
                </c:pt>
                <c:pt idx="733">
                  <c:v>142780</c:v>
                </c:pt>
                <c:pt idx="734">
                  <c:v>139780</c:v>
                </c:pt>
                <c:pt idx="735">
                  <c:v>141155</c:v>
                </c:pt>
                <c:pt idx="736">
                  <c:v>143780</c:v>
                </c:pt>
                <c:pt idx="737">
                  <c:v>142155</c:v>
                </c:pt>
                <c:pt idx="738">
                  <c:v>140780</c:v>
                </c:pt>
                <c:pt idx="739">
                  <c:v>143530</c:v>
                </c:pt>
                <c:pt idx="740">
                  <c:v>142030</c:v>
                </c:pt>
                <c:pt idx="741">
                  <c:v>140155</c:v>
                </c:pt>
                <c:pt idx="742">
                  <c:v>144030</c:v>
                </c:pt>
                <c:pt idx="743">
                  <c:v>145155</c:v>
                </c:pt>
                <c:pt idx="744">
                  <c:v>147405</c:v>
                </c:pt>
                <c:pt idx="745">
                  <c:v>152655</c:v>
                </c:pt>
                <c:pt idx="746">
                  <c:v>151030</c:v>
                </c:pt>
                <c:pt idx="747">
                  <c:v>151155</c:v>
                </c:pt>
                <c:pt idx="748">
                  <c:v>152280</c:v>
                </c:pt>
                <c:pt idx="749">
                  <c:v>152405</c:v>
                </c:pt>
                <c:pt idx="750">
                  <c:v>151780</c:v>
                </c:pt>
                <c:pt idx="751">
                  <c:v>151030</c:v>
                </c:pt>
                <c:pt idx="752">
                  <c:v>149905</c:v>
                </c:pt>
                <c:pt idx="753">
                  <c:v>150030</c:v>
                </c:pt>
                <c:pt idx="754">
                  <c:v>148780</c:v>
                </c:pt>
                <c:pt idx="755">
                  <c:v>150155</c:v>
                </c:pt>
                <c:pt idx="756">
                  <c:v>149280</c:v>
                </c:pt>
                <c:pt idx="757">
                  <c:v>149030</c:v>
                </c:pt>
                <c:pt idx="758">
                  <c:v>151405</c:v>
                </c:pt>
                <c:pt idx="759">
                  <c:v>149280</c:v>
                </c:pt>
                <c:pt idx="760">
                  <c:v>148400</c:v>
                </c:pt>
                <c:pt idx="761">
                  <c:v>149775</c:v>
                </c:pt>
                <c:pt idx="762">
                  <c:v>146650</c:v>
                </c:pt>
                <c:pt idx="763">
                  <c:v>144900</c:v>
                </c:pt>
                <c:pt idx="764">
                  <c:v>148400</c:v>
                </c:pt>
                <c:pt idx="765">
                  <c:v>148275</c:v>
                </c:pt>
                <c:pt idx="766">
                  <c:v>148525</c:v>
                </c:pt>
                <c:pt idx="767">
                  <c:v>145900</c:v>
                </c:pt>
                <c:pt idx="768">
                  <c:v>147650</c:v>
                </c:pt>
                <c:pt idx="769">
                  <c:v>145900</c:v>
                </c:pt>
                <c:pt idx="770">
                  <c:v>145775</c:v>
                </c:pt>
                <c:pt idx="771">
                  <c:v>150150</c:v>
                </c:pt>
                <c:pt idx="772">
                  <c:v>148525</c:v>
                </c:pt>
                <c:pt idx="773">
                  <c:v>147900</c:v>
                </c:pt>
                <c:pt idx="774">
                  <c:v>149400</c:v>
                </c:pt>
                <c:pt idx="775">
                  <c:v>151900</c:v>
                </c:pt>
                <c:pt idx="776">
                  <c:v>152400</c:v>
                </c:pt>
                <c:pt idx="777">
                  <c:v>152900</c:v>
                </c:pt>
                <c:pt idx="778">
                  <c:v>153400</c:v>
                </c:pt>
                <c:pt idx="779">
                  <c:v>154775</c:v>
                </c:pt>
                <c:pt idx="780">
                  <c:v>154275</c:v>
                </c:pt>
                <c:pt idx="781">
                  <c:v>155525</c:v>
                </c:pt>
                <c:pt idx="782">
                  <c:v>155900</c:v>
                </c:pt>
                <c:pt idx="783">
                  <c:v>155395</c:v>
                </c:pt>
                <c:pt idx="784">
                  <c:v>159395</c:v>
                </c:pt>
                <c:pt idx="785">
                  <c:v>158645</c:v>
                </c:pt>
                <c:pt idx="786">
                  <c:v>158145</c:v>
                </c:pt>
                <c:pt idx="787">
                  <c:v>159020</c:v>
                </c:pt>
                <c:pt idx="788">
                  <c:v>157020</c:v>
                </c:pt>
                <c:pt idx="789">
                  <c:v>159770</c:v>
                </c:pt>
                <c:pt idx="790">
                  <c:v>156270</c:v>
                </c:pt>
                <c:pt idx="791">
                  <c:v>155895</c:v>
                </c:pt>
                <c:pt idx="792">
                  <c:v>155895</c:v>
                </c:pt>
                <c:pt idx="793">
                  <c:v>154145</c:v>
                </c:pt>
                <c:pt idx="794">
                  <c:v>153645</c:v>
                </c:pt>
                <c:pt idx="795">
                  <c:v>151020</c:v>
                </c:pt>
                <c:pt idx="796">
                  <c:v>151270</c:v>
                </c:pt>
                <c:pt idx="797">
                  <c:v>151520</c:v>
                </c:pt>
                <c:pt idx="798">
                  <c:v>150395</c:v>
                </c:pt>
                <c:pt idx="799">
                  <c:v>150520</c:v>
                </c:pt>
                <c:pt idx="800">
                  <c:v>150770</c:v>
                </c:pt>
                <c:pt idx="801">
                  <c:v>150270</c:v>
                </c:pt>
                <c:pt idx="802">
                  <c:v>152270</c:v>
                </c:pt>
                <c:pt idx="803">
                  <c:v>149895</c:v>
                </c:pt>
                <c:pt idx="804">
                  <c:v>150265</c:v>
                </c:pt>
                <c:pt idx="805">
                  <c:v>149515</c:v>
                </c:pt>
                <c:pt idx="806">
                  <c:v>150140</c:v>
                </c:pt>
                <c:pt idx="807">
                  <c:v>151015</c:v>
                </c:pt>
                <c:pt idx="808">
                  <c:v>152265</c:v>
                </c:pt>
                <c:pt idx="809">
                  <c:v>154640</c:v>
                </c:pt>
                <c:pt idx="810">
                  <c:v>155140</c:v>
                </c:pt>
                <c:pt idx="811">
                  <c:v>155265</c:v>
                </c:pt>
                <c:pt idx="812">
                  <c:v>155515</c:v>
                </c:pt>
                <c:pt idx="813">
                  <c:v>156140</c:v>
                </c:pt>
                <c:pt idx="814">
                  <c:v>155890</c:v>
                </c:pt>
                <c:pt idx="815">
                  <c:v>154890</c:v>
                </c:pt>
                <c:pt idx="816">
                  <c:v>152015</c:v>
                </c:pt>
                <c:pt idx="817">
                  <c:v>152515</c:v>
                </c:pt>
                <c:pt idx="818">
                  <c:v>153015</c:v>
                </c:pt>
                <c:pt idx="819">
                  <c:v>151640</c:v>
                </c:pt>
                <c:pt idx="820">
                  <c:v>154390</c:v>
                </c:pt>
                <c:pt idx="821">
                  <c:v>155015</c:v>
                </c:pt>
                <c:pt idx="822">
                  <c:v>157265</c:v>
                </c:pt>
                <c:pt idx="823">
                  <c:v>158390</c:v>
                </c:pt>
                <c:pt idx="824">
                  <c:v>159140</c:v>
                </c:pt>
                <c:pt idx="825">
                  <c:v>159510</c:v>
                </c:pt>
                <c:pt idx="826">
                  <c:v>160010</c:v>
                </c:pt>
                <c:pt idx="827">
                  <c:v>160010</c:v>
                </c:pt>
                <c:pt idx="828">
                  <c:v>158885</c:v>
                </c:pt>
                <c:pt idx="829">
                  <c:v>157885</c:v>
                </c:pt>
                <c:pt idx="830">
                  <c:v>158010</c:v>
                </c:pt>
                <c:pt idx="831">
                  <c:v>158135</c:v>
                </c:pt>
                <c:pt idx="832">
                  <c:v>156510</c:v>
                </c:pt>
                <c:pt idx="833">
                  <c:v>155385</c:v>
                </c:pt>
                <c:pt idx="834">
                  <c:v>153385</c:v>
                </c:pt>
                <c:pt idx="835">
                  <c:v>153510</c:v>
                </c:pt>
                <c:pt idx="836">
                  <c:v>154010</c:v>
                </c:pt>
                <c:pt idx="837">
                  <c:v>153760</c:v>
                </c:pt>
                <c:pt idx="838">
                  <c:v>154510</c:v>
                </c:pt>
                <c:pt idx="839">
                  <c:v>153135</c:v>
                </c:pt>
                <c:pt idx="840">
                  <c:v>153010</c:v>
                </c:pt>
                <c:pt idx="841">
                  <c:v>153760</c:v>
                </c:pt>
                <c:pt idx="842">
                  <c:v>153010</c:v>
                </c:pt>
                <c:pt idx="843">
                  <c:v>152510</c:v>
                </c:pt>
                <c:pt idx="844">
                  <c:v>152135</c:v>
                </c:pt>
                <c:pt idx="845">
                  <c:v>151760</c:v>
                </c:pt>
                <c:pt idx="846">
                  <c:v>153135</c:v>
                </c:pt>
                <c:pt idx="847">
                  <c:v>163635</c:v>
                </c:pt>
                <c:pt idx="848">
                  <c:v>162135</c:v>
                </c:pt>
                <c:pt idx="849">
                  <c:v>160510</c:v>
                </c:pt>
                <c:pt idx="850">
                  <c:v>160010</c:v>
                </c:pt>
                <c:pt idx="851">
                  <c:v>158760</c:v>
                </c:pt>
                <c:pt idx="852">
                  <c:v>157135</c:v>
                </c:pt>
                <c:pt idx="853">
                  <c:v>156885</c:v>
                </c:pt>
                <c:pt idx="854">
                  <c:v>159510</c:v>
                </c:pt>
                <c:pt idx="855">
                  <c:v>158135</c:v>
                </c:pt>
                <c:pt idx="856">
                  <c:v>150885</c:v>
                </c:pt>
                <c:pt idx="857">
                  <c:v>150885</c:v>
                </c:pt>
                <c:pt idx="858">
                  <c:v>147885</c:v>
                </c:pt>
                <c:pt idx="859">
                  <c:v>147260</c:v>
                </c:pt>
                <c:pt idx="860">
                  <c:v>145510</c:v>
                </c:pt>
                <c:pt idx="861">
                  <c:v>142260</c:v>
                </c:pt>
                <c:pt idx="862">
                  <c:v>142760</c:v>
                </c:pt>
                <c:pt idx="863">
                  <c:v>151510</c:v>
                </c:pt>
                <c:pt idx="864">
                  <c:v>147885</c:v>
                </c:pt>
                <c:pt idx="865">
                  <c:v>147885</c:v>
                </c:pt>
                <c:pt idx="866">
                  <c:v>149010</c:v>
                </c:pt>
                <c:pt idx="867">
                  <c:v>145135</c:v>
                </c:pt>
                <c:pt idx="868">
                  <c:v>145010</c:v>
                </c:pt>
                <c:pt idx="869">
                  <c:v>146130</c:v>
                </c:pt>
                <c:pt idx="870">
                  <c:v>151380</c:v>
                </c:pt>
                <c:pt idx="871">
                  <c:v>151505</c:v>
                </c:pt>
                <c:pt idx="872">
                  <c:v>153630</c:v>
                </c:pt>
                <c:pt idx="873">
                  <c:v>151880</c:v>
                </c:pt>
                <c:pt idx="874">
                  <c:v>155380</c:v>
                </c:pt>
                <c:pt idx="875">
                  <c:v>151505</c:v>
                </c:pt>
                <c:pt idx="876">
                  <c:v>152630</c:v>
                </c:pt>
                <c:pt idx="877">
                  <c:v>147005</c:v>
                </c:pt>
                <c:pt idx="878">
                  <c:v>145505</c:v>
                </c:pt>
                <c:pt idx="879">
                  <c:v>144630</c:v>
                </c:pt>
                <c:pt idx="880">
                  <c:v>142255</c:v>
                </c:pt>
                <c:pt idx="881">
                  <c:v>141005</c:v>
                </c:pt>
                <c:pt idx="882">
                  <c:v>146130</c:v>
                </c:pt>
                <c:pt idx="883">
                  <c:v>144255</c:v>
                </c:pt>
                <c:pt idx="884">
                  <c:v>142130</c:v>
                </c:pt>
                <c:pt idx="885">
                  <c:v>140505</c:v>
                </c:pt>
                <c:pt idx="886">
                  <c:v>138630</c:v>
                </c:pt>
                <c:pt idx="887">
                  <c:v>136755</c:v>
                </c:pt>
                <c:pt idx="888">
                  <c:v>134630</c:v>
                </c:pt>
                <c:pt idx="889">
                  <c:v>133880</c:v>
                </c:pt>
                <c:pt idx="890">
                  <c:v>137755</c:v>
                </c:pt>
                <c:pt idx="891">
                  <c:v>134380</c:v>
                </c:pt>
                <c:pt idx="892">
                  <c:v>132255</c:v>
                </c:pt>
                <c:pt idx="893">
                  <c:v>131880</c:v>
                </c:pt>
                <c:pt idx="894">
                  <c:v>127005</c:v>
                </c:pt>
                <c:pt idx="895">
                  <c:v>127130</c:v>
                </c:pt>
                <c:pt idx="896">
                  <c:v>124380</c:v>
                </c:pt>
                <c:pt idx="897">
                  <c:v>127630</c:v>
                </c:pt>
                <c:pt idx="898">
                  <c:v>129380</c:v>
                </c:pt>
                <c:pt idx="899">
                  <c:v>126005</c:v>
                </c:pt>
                <c:pt idx="900">
                  <c:v>123755</c:v>
                </c:pt>
                <c:pt idx="901">
                  <c:v>125130</c:v>
                </c:pt>
                <c:pt idx="902">
                  <c:v>128255</c:v>
                </c:pt>
                <c:pt idx="903">
                  <c:v>123505</c:v>
                </c:pt>
                <c:pt idx="904">
                  <c:v>129130</c:v>
                </c:pt>
                <c:pt idx="905">
                  <c:v>141880</c:v>
                </c:pt>
                <c:pt idx="906">
                  <c:v>142005</c:v>
                </c:pt>
                <c:pt idx="907">
                  <c:v>146755</c:v>
                </c:pt>
                <c:pt idx="908">
                  <c:v>149880</c:v>
                </c:pt>
                <c:pt idx="909">
                  <c:v>149005</c:v>
                </c:pt>
                <c:pt idx="910">
                  <c:v>148505</c:v>
                </c:pt>
                <c:pt idx="911">
                  <c:v>153880</c:v>
                </c:pt>
                <c:pt idx="912">
                  <c:v>159380</c:v>
                </c:pt>
                <c:pt idx="913">
                  <c:v>163125</c:v>
                </c:pt>
                <c:pt idx="914">
                  <c:v>167375</c:v>
                </c:pt>
                <c:pt idx="915">
                  <c:v>168250</c:v>
                </c:pt>
                <c:pt idx="916">
                  <c:v>171250</c:v>
                </c:pt>
                <c:pt idx="917">
                  <c:v>172625</c:v>
                </c:pt>
                <c:pt idx="918">
                  <c:v>166375</c:v>
                </c:pt>
                <c:pt idx="919">
                  <c:v>170000</c:v>
                </c:pt>
                <c:pt idx="920">
                  <c:v>167125</c:v>
                </c:pt>
                <c:pt idx="921">
                  <c:v>162250</c:v>
                </c:pt>
                <c:pt idx="922">
                  <c:v>164125</c:v>
                </c:pt>
                <c:pt idx="923">
                  <c:v>166750</c:v>
                </c:pt>
                <c:pt idx="924">
                  <c:v>165625</c:v>
                </c:pt>
                <c:pt idx="925">
                  <c:v>171500</c:v>
                </c:pt>
                <c:pt idx="926">
                  <c:v>175500</c:v>
                </c:pt>
                <c:pt idx="927">
                  <c:v>175750</c:v>
                </c:pt>
                <c:pt idx="928">
                  <c:v>175625</c:v>
                </c:pt>
                <c:pt idx="929">
                  <c:v>176375</c:v>
                </c:pt>
                <c:pt idx="930">
                  <c:v>177500</c:v>
                </c:pt>
                <c:pt idx="931">
                  <c:v>175250</c:v>
                </c:pt>
                <c:pt idx="932">
                  <c:v>178375</c:v>
                </c:pt>
                <c:pt idx="933">
                  <c:v>176500</c:v>
                </c:pt>
                <c:pt idx="934">
                  <c:v>179125</c:v>
                </c:pt>
                <c:pt idx="935">
                  <c:v>182500</c:v>
                </c:pt>
                <c:pt idx="936">
                  <c:v>180750</c:v>
                </c:pt>
                <c:pt idx="937">
                  <c:v>182000</c:v>
                </c:pt>
                <c:pt idx="938">
                  <c:v>181875</c:v>
                </c:pt>
                <c:pt idx="939">
                  <c:v>180875</c:v>
                </c:pt>
                <c:pt idx="940">
                  <c:v>181125</c:v>
                </c:pt>
                <c:pt idx="941">
                  <c:v>180875</c:v>
                </c:pt>
                <c:pt idx="942">
                  <c:v>182500</c:v>
                </c:pt>
                <c:pt idx="943">
                  <c:v>183875</c:v>
                </c:pt>
                <c:pt idx="944">
                  <c:v>179625</c:v>
                </c:pt>
                <c:pt idx="945">
                  <c:v>179250</c:v>
                </c:pt>
                <c:pt idx="946">
                  <c:v>179000</c:v>
                </c:pt>
                <c:pt idx="947">
                  <c:v>177875</c:v>
                </c:pt>
                <c:pt idx="948">
                  <c:v>176000</c:v>
                </c:pt>
                <c:pt idx="949">
                  <c:v>176625</c:v>
                </c:pt>
                <c:pt idx="950">
                  <c:v>178625</c:v>
                </c:pt>
                <c:pt idx="951">
                  <c:v>179750</c:v>
                </c:pt>
                <c:pt idx="952">
                  <c:v>181750</c:v>
                </c:pt>
                <c:pt idx="953">
                  <c:v>184375</c:v>
                </c:pt>
                <c:pt idx="954">
                  <c:v>187625</c:v>
                </c:pt>
                <c:pt idx="955">
                  <c:v>189125</c:v>
                </c:pt>
                <c:pt idx="956">
                  <c:v>189375</c:v>
                </c:pt>
                <c:pt idx="957">
                  <c:v>186745</c:v>
                </c:pt>
                <c:pt idx="958">
                  <c:v>183495</c:v>
                </c:pt>
                <c:pt idx="959">
                  <c:v>183495</c:v>
                </c:pt>
                <c:pt idx="960">
                  <c:v>184120</c:v>
                </c:pt>
                <c:pt idx="961">
                  <c:v>181745</c:v>
                </c:pt>
                <c:pt idx="962">
                  <c:v>178620</c:v>
                </c:pt>
                <c:pt idx="963">
                  <c:v>176995</c:v>
                </c:pt>
                <c:pt idx="964">
                  <c:v>177870</c:v>
                </c:pt>
                <c:pt idx="965">
                  <c:v>182620</c:v>
                </c:pt>
                <c:pt idx="966">
                  <c:v>182370</c:v>
                </c:pt>
                <c:pt idx="967">
                  <c:v>183245</c:v>
                </c:pt>
                <c:pt idx="968">
                  <c:v>179245</c:v>
                </c:pt>
                <c:pt idx="969">
                  <c:v>180370</c:v>
                </c:pt>
                <c:pt idx="970">
                  <c:v>177620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3A62-4F87-94A9-1A58479DCB78}"/>
            </c:ext>
          </c:extLst>
        </c:ser>
        <c:ser>
          <c:idx val="3"/>
          <c:order val="3"/>
          <c:tx>
            <c:strRef>
              <c:f>Data!$L$11</c:f>
              <c:strCache>
                <c:ptCount val="1"/>
                <c:pt idx="0">
                  <c:v>DHP + Long Futures After Profit Fees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[0]!dateRange</c:f>
              <c:numCache>
                <c:formatCode>m/d/yyyy</c:formatCode>
                <c:ptCount val="971"/>
                <c:pt idx="0">
                  <c:v>41275</c:v>
                </c:pt>
                <c:pt idx="1">
                  <c:v>41276</c:v>
                </c:pt>
                <c:pt idx="2">
                  <c:v>41277</c:v>
                </c:pt>
                <c:pt idx="3">
                  <c:v>41278</c:v>
                </c:pt>
                <c:pt idx="4">
                  <c:v>41281</c:v>
                </c:pt>
                <c:pt idx="5">
                  <c:v>41282</c:v>
                </c:pt>
                <c:pt idx="6">
                  <c:v>41283</c:v>
                </c:pt>
                <c:pt idx="7">
                  <c:v>41284</c:v>
                </c:pt>
                <c:pt idx="8">
                  <c:v>41285</c:v>
                </c:pt>
                <c:pt idx="9">
                  <c:v>41288</c:v>
                </c:pt>
                <c:pt idx="10">
                  <c:v>41289</c:v>
                </c:pt>
                <c:pt idx="11">
                  <c:v>41290</c:v>
                </c:pt>
                <c:pt idx="12">
                  <c:v>41291</c:v>
                </c:pt>
                <c:pt idx="13">
                  <c:v>41292</c:v>
                </c:pt>
                <c:pt idx="14">
                  <c:v>41295</c:v>
                </c:pt>
                <c:pt idx="15">
                  <c:v>41296</c:v>
                </c:pt>
                <c:pt idx="16">
                  <c:v>41297</c:v>
                </c:pt>
                <c:pt idx="17">
                  <c:v>41298</c:v>
                </c:pt>
                <c:pt idx="18">
                  <c:v>41299</c:v>
                </c:pt>
                <c:pt idx="19">
                  <c:v>41302</c:v>
                </c:pt>
                <c:pt idx="20">
                  <c:v>41303</c:v>
                </c:pt>
                <c:pt idx="21">
                  <c:v>41304</c:v>
                </c:pt>
                <c:pt idx="22">
                  <c:v>41305</c:v>
                </c:pt>
                <c:pt idx="23">
                  <c:v>41306</c:v>
                </c:pt>
                <c:pt idx="24">
                  <c:v>41309</c:v>
                </c:pt>
                <c:pt idx="25">
                  <c:v>41310</c:v>
                </c:pt>
                <c:pt idx="26">
                  <c:v>41311</c:v>
                </c:pt>
                <c:pt idx="27">
                  <c:v>41312</c:v>
                </c:pt>
                <c:pt idx="28">
                  <c:v>41313</c:v>
                </c:pt>
                <c:pt idx="29">
                  <c:v>41316</c:v>
                </c:pt>
                <c:pt idx="30">
                  <c:v>41317</c:v>
                </c:pt>
                <c:pt idx="31">
                  <c:v>41318</c:v>
                </c:pt>
                <c:pt idx="32">
                  <c:v>41319</c:v>
                </c:pt>
                <c:pt idx="33">
                  <c:v>41320</c:v>
                </c:pt>
                <c:pt idx="34">
                  <c:v>41323</c:v>
                </c:pt>
                <c:pt idx="35">
                  <c:v>41324</c:v>
                </c:pt>
                <c:pt idx="36">
                  <c:v>41325</c:v>
                </c:pt>
                <c:pt idx="37">
                  <c:v>41326</c:v>
                </c:pt>
                <c:pt idx="38">
                  <c:v>41327</c:v>
                </c:pt>
                <c:pt idx="39">
                  <c:v>41330</c:v>
                </c:pt>
                <c:pt idx="40">
                  <c:v>41331</c:v>
                </c:pt>
                <c:pt idx="41">
                  <c:v>41332</c:v>
                </c:pt>
                <c:pt idx="42">
                  <c:v>41333</c:v>
                </c:pt>
                <c:pt idx="43">
                  <c:v>41334</c:v>
                </c:pt>
                <c:pt idx="44">
                  <c:v>41337</c:v>
                </c:pt>
                <c:pt idx="45">
                  <c:v>41338</c:v>
                </c:pt>
                <c:pt idx="46">
                  <c:v>41339</c:v>
                </c:pt>
                <c:pt idx="47">
                  <c:v>41340</c:v>
                </c:pt>
                <c:pt idx="48">
                  <c:v>41341</c:v>
                </c:pt>
                <c:pt idx="49">
                  <c:v>41344</c:v>
                </c:pt>
                <c:pt idx="50">
                  <c:v>41345</c:v>
                </c:pt>
                <c:pt idx="51">
                  <c:v>41346</c:v>
                </c:pt>
                <c:pt idx="52">
                  <c:v>41347</c:v>
                </c:pt>
                <c:pt idx="53">
                  <c:v>41348</c:v>
                </c:pt>
                <c:pt idx="54">
                  <c:v>41351</c:v>
                </c:pt>
                <c:pt idx="55">
                  <c:v>41352</c:v>
                </c:pt>
                <c:pt idx="56">
                  <c:v>41353</c:v>
                </c:pt>
                <c:pt idx="57">
                  <c:v>41354</c:v>
                </c:pt>
                <c:pt idx="58">
                  <c:v>41355</c:v>
                </c:pt>
                <c:pt idx="59">
                  <c:v>41358</c:v>
                </c:pt>
                <c:pt idx="60">
                  <c:v>41359</c:v>
                </c:pt>
                <c:pt idx="61">
                  <c:v>41360</c:v>
                </c:pt>
                <c:pt idx="62">
                  <c:v>41361</c:v>
                </c:pt>
                <c:pt idx="63">
                  <c:v>41362</c:v>
                </c:pt>
                <c:pt idx="64">
                  <c:v>41365</c:v>
                </c:pt>
                <c:pt idx="65">
                  <c:v>41366</c:v>
                </c:pt>
                <c:pt idx="66">
                  <c:v>41367</c:v>
                </c:pt>
                <c:pt idx="67">
                  <c:v>41368</c:v>
                </c:pt>
                <c:pt idx="68">
                  <c:v>41369</c:v>
                </c:pt>
                <c:pt idx="69">
                  <c:v>41372</c:v>
                </c:pt>
                <c:pt idx="70">
                  <c:v>41373</c:v>
                </c:pt>
                <c:pt idx="71">
                  <c:v>41374</c:v>
                </c:pt>
                <c:pt idx="72">
                  <c:v>41375</c:v>
                </c:pt>
                <c:pt idx="73">
                  <c:v>41376</c:v>
                </c:pt>
                <c:pt idx="74">
                  <c:v>41379</c:v>
                </c:pt>
                <c:pt idx="75">
                  <c:v>41380</c:v>
                </c:pt>
                <c:pt idx="76">
                  <c:v>41381</c:v>
                </c:pt>
                <c:pt idx="77">
                  <c:v>41382</c:v>
                </c:pt>
                <c:pt idx="78">
                  <c:v>41383</c:v>
                </c:pt>
                <c:pt idx="79">
                  <c:v>41386</c:v>
                </c:pt>
                <c:pt idx="80">
                  <c:v>41387</c:v>
                </c:pt>
                <c:pt idx="81">
                  <c:v>41388</c:v>
                </c:pt>
                <c:pt idx="82">
                  <c:v>41389</c:v>
                </c:pt>
                <c:pt idx="83">
                  <c:v>41390</c:v>
                </c:pt>
                <c:pt idx="84">
                  <c:v>41393</c:v>
                </c:pt>
                <c:pt idx="85">
                  <c:v>41394</c:v>
                </c:pt>
                <c:pt idx="86">
                  <c:v>41395</c:v>
                </c:pt>
                <c:pt idx="87">
                  <c:v>41396</c:v>
                </c:pt>
                <c:pt idx="88">
                  <c:v>41397</c:v>
                </c:pt>
                <c:pt idx="89">
                  <c:v>41400</c:v>
                </c:pt>
                <c:pt idx="90">
                  <c:v>41401</c:v>
                </c:pt>
                <c:pt idx="91">
                  <c:v>41402</c:v>
                </c:pt>
                <c:pt idx="92">
                  <c:v>41403</c:v>
                </c:pt>
                <c:pt idx="93">
                  <c:v>41404</c:v>
                </c:pt>
                <c:pt idx="94">
                  <c:v>41407</c:v>
                </c:pt>
                <c:pt idx="95">
                  <c:v>41408</c:v>
                </c:pt>
                <c:pt idx="96">
                  <c:v>41409</c:v>
                </c:pt>
                <c:pt idx="97">
                  <c:v>41410</c:v>
                </c:pt>
                <c:pt idx="98">
                  <c:v>41411</c:v>
                </c:pt>
                <c:pt idx="99">
                  <c:v>41414</c:v>
                </c:pt>
                <c:pt idx="100">
                  <c:v>41415</c:v>
                </c:pt>
                <c:pt idx="101">
                  <c:v>41416</c:v>
                </c:pt>
                <c:pt idx="102">
                  <c:v>41417</c:v>
                </c:pt>
                <c:pt idx="103">
                  <c:v>41418</c:v>
                </c:pt>
                <c:pt idx="104">
                  <c:v>41421</c:v>
                </c:pt>
                <c:pt idx="105">
                  <c:v>41422</c:v>
                </c:pt>
                <c:pt idx="106">
                  <c:v>41423</c:v>
                </c:pt>
                <c:pt idx="107">
                  <c:v>41424</c:v>
                </c:pt>
                <c:pt idx="108">
                  <c:v>41425</c:v>
                </c:pt>
                <c:pt idx="109">
                  <c:v>41428</c:v>
                </c:pt>
                <c:pt idx="110">
                  <c:v>41429</c:v>
                </c:pt>
                <c:pt idx="111">
                  <c:v>41430</c:v>
                </c:pt>
                <c:pt idx="112">
                  <c:v>41431</c:v>
                </c:pt>
                <c:pt idx="113">
                  <c:v>41432</c:v>
                </c:pt>
                <c:pt idx="114">
                  <c:v>41435</c:v>
                </c:pt>
                <c:pt idx="115">
                  <c:v>41436</c:v>
                </c:pt>
                <c:pt idx="116">
                  <c:v>41437</c:v>
                </c:pt>
                <c:pt idx="117">
                  <c:v>41438</c:v>
                </c:pt>
                <c:pt idx="118">
                  <c:v>41439</c:v>
                </c:pt>
                <c:pt idx="119">
                  <c:v>41442</c:v>
                </c:pt>
                <c:pt idx="120">
                  <c:v>41443</c:v>
                </c:pt>
                <c:pt idx="121">
                  <c:v>41444</c:v>
                </c:pt>
                <c:pt idx="122">
                  <c:v>41445</c:v>
                </c:pt>
                <c:pt idx="123">
                  <c:v>41446</c:v>
                </c:pt>
                <c:pt idx="124">
                  <c:v>41449</c:v>
                </c:pt>
                <c:pt idx="125">
                  <c:v>41450</c:v>
                </c:pt>
                <c:pt idx="126">
                  <c:v>41451</c:v>
                </c:pt>
                <c:pt idx="127">
                  <c:v>41452</c:v>
                </c:pt>
                <c:pt idx="128">
                  <c:v>41453</c:v>
                </c:pt>
                <c:pt idx="129">
                  <c:v>41456</c:v>
                </c:pt>
                <c:pt idx="130">
                  <c:v>41457</c:v>
                </c:pt>
                <c:pt idx="131">
                  <c:v>41458</c:v>
                </c:pt>
                <c:pt idx="132">
                  <c:v>41459</c:v>
                </c:pt>
                <c:pt idx="133">
                  <c:v>41460</c:v>
                </c:pt>
                <c:pt idx="134">
                  <c:v>41463</c:v>
                </c:pt>
                <c:pt idx="135">
                  <c:v>41464</c:v>
                </c:pt>
                <c:pt idx="136">
                  <c:v>41465</c:v>
                </c:pt>
                <c:pt idx="137">
                  <c:v>41466</c:v>
                </c:pt>
                <c:pt idx="138">
                  <c:v>41467</c:v>
                </c:pt>
                <c:pt idx="139">
                  <c:v>41470</c:v>
                </c:pt>
                <c:pt idx="140">
                  <c:v>41471</c:v>
                </c:pt>
                <c:pt idx="141">
                  <c:v>41472</c:v>
                </c:pt>
                <c:pt idx="142">
                  <c:v>41473</c:v>
                </c:pt>
                <c:pt idx="143">
                  <c:v>41474</c:v>
                </c:pt>
                <c:pt idx="144">
                  <c:v>41477</c:v>
                </c:pt>
                <c:pt idx="145">
                  <c:v>41478</c:v>
                </c:pt>
                <c:pt idx="146">
                  <c:v>41479</c:v>
                </c:pt>
                <c:pt idx="147">
                  <c:v>41480</c:v>
                </c:pt>
                <c:pt idx="148">
                  <c:v>41481</c:v>
                </c:pt>
                <c:pt idx="149">
                  <c:v>41484</c:v>
                </c:pt>
                <c:pt idx="150">
                  <c:v>41485</c:v>
                </c:pt>
                <c:pt idx="151">
                  <c:v>41486</c:v>
                </c:pt>
                <c:pt idx="152">
                  <c:v>41487</c:v>
                </c:pt>
                <c:pt idx="153">
                  <c:v>41488</c:v>
                </c:pt>
                <c:pt idx="154">
                  <c:v>41491</c:v>
                </c:pt>
                <c:pt idx="155">
                  <c:v>41492</c:v>
                </c:pt>
                <c:pt idx="156">
                  <c:v>41493</c:v>
                </c:pt>
                <c:pt idx="157">
                  <c:v>41494</c:v>
                </c:pt>
                <c:pt idx="158">
                  <c:v>41495</c:v>
                </c:pt>
                <c:pt idx="159">
                  <c:v>41498</c:v>
                </c:pt>
                <c:pt idx="160">
                  <c:v>41499</c:v>
                </c:pt>
                <c:pt idx="161">
                  <c:v>41500</c:v>
                </c:pt>
                <c:pt idx="162">
                  <c:v>41501</c:v>
                </c:pt>
                <c:pt idx="163">
                  <c:v>41502</c:v>
                </c:pt>
                <c:pt idx="164">
                  <c:v>41505</c:v>
                </c:pt>
                <c:pt idx="165">
                  <c:v>41506</c:v>
                </c:pt>
                <c:pt idx="166">
                  <c:v>41507</c:v>
                </c:pt>
                <c:pt idx="167">
                  <c:v>41508</c:v>
                </c:pt>
                <c:pt idx="168">
                  <c:v>41509</c:v>
                </c:pt>
                <c:pt idx="169">
                  <c:v>41512</c:v>
                </c:pt>
                <c:pt idx="170">
                  <c:v>41513</c:v>
                </c:pt>
                <c:pt idx="171">
                  <c:v>41514</c:v>
                </c:pt>
                <c:pt idx="172">
                  <c:v>41515</c:v>
                </c:pt>
                <c:pt idx="173">
                  <c:v>41516</c:v>
                </c:pt>
                <c:pt idx="174">
                  <c:v>41519</c:v>
                </c:pt>
                <c:pt idx="175">
                  <c:v>41520</c:v>
                </c:pt>
                <c:pt idx="176">
                  <c:v>41521</c:v>
                </c:pt>
                <c:pt idx="177">
                  <c:v>41522</c:v>
                </c:pt>
                <c:pt idx="178">
                  <c:v>41523</c:v>
                </c:pt>
                <c:pt idx="179">
                  <c:v>41526</c:v>
                </c:pt>
                <c:pt idx="180">
                  <c:v>41527</c:v>
                </c:pt>
                <c:pt idx="181">
                  <c:v>41528</c:v>
                </c:pt>
                <c:pt idx="182">
                  <c:v>41529</c:v>
                </c:pt>
                <c:pt idx="183">
                  <c:v>41530</c:v>
                </c:pt>
                <c:pt idx="184">
                  <c:v>41533</c:v>
                </c:pt>
                <c:pt idx="185">
                  <c:v>41534</c:v>
                </c:pt>
                <c:pt idx="186">
                  <c:v>41535</c:v>
                </c:pt>
                <c:pt idx="187">
                  <c:v>41536</c:v>
                </c:pt>
                <c:pt idx="188">
                  <c:v>41537</c:v>
                </c:pt>
                <c:pt idx="189">
                  <c:v>41540</c:v>
                </c:pt>
                <c:pt idx="190">
                  <c:v>41541</c:v>
                </c:pt>
                <c:pt idx="191">
                  <c:v>41542</c:v>
                </c:pt>
                <c:pt idx="192">
                  <c:v>41543</c:v>
                </c:pt>
                <c:pt idx="193">
                  <c:v>41544</c:v>
                </c:pt>
                <c:pt idx="194">
                  <c:v>41547</c:v>
                </c:pt>
                <c:pt idx="195">
                  <c:v>41548</c:v>
                </c:pt>
                <c:pt idx="196">
                  <c:v>41549</c:v>
                </c:pt>
                <c:pt idx="197">
                  <c:v>41550</c:v>
                </c:pt>
                <c:pt idx="198">
                  <c:v>41551</c:v>
                </c:pt>
                <c:pt idx="199">
                  <c:v>41554</c:v>
                </c:pt>
                <c:pt idx="200">
                  <c:v>41555</c:v>
                </c:pt>
                <c:pt idx="201">
                  <c:v>41556</c:v>
                </c:pt>
                <c:pt idx="202">
                  <c:v>41557</c:v>
                </c:pt>
                <c:pt idx="203">
                  <c:v>41558</c:v>
                </c:pt>
                <c:pt idx="204">
                  <c:v>41561</c:v>
                </c:pt>
                <c:pt idx="205">
                  <c:v>41562</c:v>
                </c:pt>
                <c:pt idx="206">
                  <c:v>41563</c:v>
                </c:pt>
                <c:pt idx="207">
                  <c:v>41564</c:v>
                </c:pt>
                <c:pt idx="208">
                  <c:v>41565</c:v>
                </c:pt>
                <c:pt idx="209">
                  <c:v>41568</c:v>
                </c:pt>
                <c:pt idx="210">
                  <c:v>41569</c:v>
                </c:pt>
                <c:pt idx="211">
                  <c:v>41570</c:v>
                </c:pt>
                <c:pt idx="212">
                  <c:v>41571</c:v>
                </c:pt>
                <c:pt idx="213">
                  <c:v>41572</c:v>
                </c:pt>
                <c:pt idx="214">
                  <c:v>41575</c:v>
                </c:pt>
                <c:pt idx="215">
                  <c:v>41576</c:v>
                </c:pt>
                <c:pt idx="216">
                  <c:v>41577</c:v>
                </c:pt>
                <c:pt idx="217">
                  <c:v>41578</c:v>
                </c:pt>
                <c:pt idx="218">
                  <c:v>41579</c:v>
                </c:pt>
                <c:pt idx="219">
                  <c:v>41582</c:v>
                </c:pt>
                <c:pt idx="220">
                  <c:v>41583</c:v>
                </c:pt>
                <c:pt idx="221">
                  <c:v>41584</c:v>
                </c:pt>
                <c:pt idx="222">
                  <c:v>41585</c:v>
                </c:pt>
                <c:pt idx="223">
                  <c:v>41586</c:v>
                </c:pt>
                <c:pt idx="224">
                  <c:v>41589</c:v>
                </c:pt>
                <c:pt idx="225">
                  <c:v>41590</c:v>
                </c:pt>
                <c:pt idx="226">
                  <c:v>41591</c:v>
                </c:pt>
                <c:pt idx="227">
                  <c:v>41592</c:v>
                </c:pt>
                <c:pt idx="228">
                  <c:v>41593</c:v>
                </c:pt>
                <c:pt idx="229">
                  <c:v>41596</c:v>
                </c:pt>
                <c:pt idx="230">
                  <c:v>41597</c:v>
                </c:pt>
                <c:pt idx="231">
                  <c:v>41598</c:v>
                </c:pt>
                <c:pt idx="232">
                  <c:v>41599</c:v>
                </c:pt>
                <c:pt idx="233">
                  <c:v>41600</c:v>
                </c:pt>
                <c:pt idx="234">
                  <c:v>41603</c:v>
                </c:pt>
                <c:pt idx="235">
                  <c:v>41604</c:v>
                </c:pt>
                <c:pt idx="236">
                  <c:v>41605</c:v>
                </c:pt>
                <c:pt idx="237">
                  <c:v>41606</c:v>
                </c:pt>
                <c:pt idx="238">
                  <c:v>41607</c:v>
                </c:pt>
                <c:pt idx="239">
                  <c:v>41610</c:v>
                </c:pt>
                <c:pt idx="240">
                  <c:v>41611</c:v>
                </c:pt>
                <c:pt idx="241">
                  <c:v>41612</c:v>
                </c:pt>
                <c:pt idx="242">
                  <c:v>41613</c:v>
                </c:pt>
                <c:pt idx="243">
                  <c:v>41614</c:v>
                </c:pt>
                <c:pt idx="244">
                  <c:v>41617</c:v>
                </c:pt>
                <c:pt idx="245">
                  <c:v>41618</c:v>
                </c:pt>
                <c:pt idx="246">
                  <c:v>41619</c:v>
                </c:pt>
                <c:pt idx="247">
                  <c:v>41620</c:v>
                </c:pt>
                <c:pt idx="248">
                  <c:v>41621</c:v>
                </c:pt>
                <c:pt idx="249">
                  <c:v>41624</c:v>
                </c:pt>
                <c:pt idx="250">
                  <c:v>41625</c:v>
                </c:pt>
                <c:pt idx="251">
                  <c:v>41626</c:v>
                </c:pt>
                <c:pt idx="252">
                  <c:v>41627</c:v>
                </c:pt>
                <c:pt idx="253">
                  <c:v>41628</c:v>
                </c:pt>
                <c:pt idx="254">
                  <c:v>41631</c:v>
                </c:pt>
                <c:pt idx="255">
                  <c:v>41632</c:v>
                </c:pt>
                <c:pt idx="256">
                  <c:v>41633</c:v>
                </c:pt>
                <c:pt idx="257">
                  <c:v>41634</c:v>
                </c:pt>
                <c:pt idx="258">
                  <c:v>41635</c:v>
                </c:pt>
                <c:pt idx="259">
                  <c:v>41638</c:v>
                </c:pt>
                <c:pt idx="260">
                  <c:v>41639</c:v>
                </c:pt>
                <c:pt idx="261">
                  <c:v>41640</c:v>
                </c:pt>
                <c:pt idx="262">
                  <c:v>41641</c:v>
                </c:pt>
                <c:pt idx="263">
                  <c:v>41642</c:v>
                </c:pt>
                <c:pt idx="264">
                  <c:v>41645</c:v>
                </c:pt>
                <c:pt idx="265">
                  <c:v>41646</c:v>
                </c:pt>
                <c:pt idx="266">
                  <c:v>41647</c:v>
                </c:pt>
                <c:pt idx="267">
                  <c:v>41648</c:v>
                </c:pt>
                <c:pt idx="268">
                  <c:v>41649</c:v>
                </c:pt>
                <c:pt idx="269">
                  <c:v>41652</c:v>
                </c:pt>
                <c:pt idx="270">
                  <c:v>41653</c:v>
                </c:pt>
                <c:pt idx="271">
                  <c:v>41654</c:v>
                </c:pt>
                <c:pt idx="272">
                  <c:v>41655</c:v>
                </c:pt>
                <c:pt idx="273">
                  <c:v>41656</c:v>
                </c:pt>
                <c:pt idx="274">
                  <c:v>41659</c:v>
                </c:pt>
                <c:pt idx="275">
                  <c:v>41660</c:v>
                </c:pt>
                <c:pt idx="276">
                  <c:v>41661</c:v>
                </c:pt>
                <c:pt idx="277">
                  <c:v>41662</c:v>
                </c:pt>
                <c:pt idx="278">
                  <c:v>41663</c:v>
                </c:pt>
                <c:pt idx="279">
                  <c:v>41666</c:v>
                </c:pt>
                <c:pt idx="280">
                  <c:v>41667</c:v>
                </c:pt>
                <c:pt idx="281">
                  <c:v>41668</c:v>
                </c:pt>
                <c:pt idx="282">
                  <c:v>41669</c:v>
                </c:pt>
                <c:pt idx="283">
                  <c:v>41670</c:v>
                </c:pt>
                <c:pt idx="284">
                  <c:v>41673</c:v>
                </c:pt>
                <c:pt idx="285">
                  <c:v>41674</c:v>
                </c:pt>
                <c:pt idx="286">
                  <c:v>41675</c:v>
                </c:pt>
                <c:pt idx="287">
                  <c:v>41676</c:v>
                </c:pt>
                <c:pt idx="288">
                  <c:v>41677</c:v>
                </c:pt>
                <c:pt idx="289">
                  <c:v>41680</c:v>
                </c:pt>
                <c:pt idx="290">
                  <c:v>41681</c:v>
                </c:pt>
                <c:pt idx="291">
                  <c:v>41682</c:v>
                </c:pt>
                <c:pt idx="292">
                  <c:v>41683</c:v>
                </c:pt>
                <c:pt idx="293">
                  <c:v>41684</c:v>
                </c:pt>
                <c:pt idx="294">
                  <c:v>41687</c:v>
                </c:pt>
                <c:pt idx="295">
                  <c:v>41688</c:v>
                </c:pt>
                <c:pt idx="296">
                  <c:v>41689</c:v>
                </c:pt>
                <c:pt idx="297">
                  <c:v>41690</c:v>
                </c:pt>
                <c:pt idx="298">
                  <c:v>41691</c:v>
                </c:pt>
                <c:pt idx="299">
                  <c:v>41694</c:v>
                </c:pt>
                <c:pt idx="300">
                  <c:v>41695</c:v>
                </c:pt>
                <c:pt idx="301">
                  <c:v>41696</c:v>
                </c:pt>
                <c:pt idx="302">
                  <c:v>41697</c:v>
                </c:pt>
                <c:pt idx="303">
                  <c:v>41698</c:v>
                </c:pt>
                <c:pt idx="304">
                  <c:v>41701</c:v>
                </c:pt>
                <c:pt idx="305">
                  <c:v>41702</c:v>
                </c:pt>
                <c:pt idx="306">
                  <c:v>41703</c:v>
                </c:pt>
                <c:pt idx="307">
                  <c:v>41704</c:v>
                </c:pt>
                <c:pt idx="308">
                  <c:v>41705</c:v>
                </c:pt>
                <c:pt idx="309">
                  <c:v>41708</c:v>
                </c:pt>
                <c:pt idx="310">
                  <c:v>41709</c:v>
                </c:pt>
                <c:pt idx="311">
                  <c:v>41710</c:v>
                </c:pt>
                <c:pt idx="312">
                  <c:v>41711</c:v>
                </c:pt>
                <c:pt idx="313">
                  <c:v>41712</c:v>
                </c:pt>
                <c:pt idx="314">
                  <c:v>41715</c:v>
                </c:pt>
                <c:pt idx="315">
                  <c:v>41716</c:v>
                </c:pt>
                <c:pt idx="316">
                  <c:v>41717</c:v>
                </c:pt>
                <c:pt idx="317">
                  <c:v>41718</c:v>
                </c:pt>
                <c:pt idx="318">
                  <c:v>41719</c:v>
                </c:pt>
                <c:pt idx="319">
                  <c:v>41722</c:v>
                </c:pt>
                <c:pt idx="320">
                  <c:v>41723</c:v>
                </c:pt>
                <c:pt idx="321">
                  <c:v>41724</c:v>
                </c:pt>
                <c:pt idx="322">
                  <c:v>41725</c:v>
                </c:pt>
                <c:pt idx="323">
                  <c:v>41726</c:v>
                </c:pt>
                <c:pt idx="324">
                  <c:v>41729</c:v>
                </c:pt>
                <c:pt idx="325">
                  <c:v>41730</c:v>
                </c:pt>
                <c:pt idx="326">
                  <c:v>41731</c:v>
                </c:pt>
                <c:pt idx="327">
                  <c:v>41732</c:v>
                </c:pt>
                <c:pt idx="328">
                  <c:v>41733</c:v>
                </c:pt>
                <c:pt idx="329">
                  <c:v>41736</c:v>
                </c:pt>
                <c:pt idx="330">
                  <c:v>41737</c:v>
                </c:pt>
                <c:pt idx="331">
                  <c:v>41738</c:v>
                </c:pt>
                <c:pt idx="332">
                  <c:v>41739</c:v>
                </c:pt>
                <c:pt idx="333">
                  <c:v>41740</c:v>
                </c:pt>
                <c:pt idx="334">
                  <c:v>41743</c:v>
                </c:pt>
                <c:pt idx="335">
                  <c:v>41744</c:v>
                </c:pt>
                <c:pt idx="336">
                  <c:v>41745</c:v>
                </c:pt>
                <c:pt idx="337">
                  <c:v>41746</c:v>
                </c:pt>
                <c:pt idx="338">
                  <c:v>41747</c:v>
                </c:pt>
                <c:pt idx="339">
                  <c:v>41750</c:v>
                </c:pt>
                <c:pt idx="340">
                  <c:v>41751</c:v>
                </c:pt>
                <c:pt idx="341">
                  <c:v>41752</c:v>
                </c:pt>
                <c:pt idx="342">
                  <c:v>41753</c:v>
                </c:pt>
                <c:pt idx="343">
                  <c:v>41754</c:v>
                </c:pt>
                <c:pt idx="344">
                  <c:v>41757</c:v>
                </c:pt>
                <c:pt idx="345">
                  <c:v>41758</c:v>
                </c:pt>
                <c:pt idx="346">
                  <c:v>41759</c:v>
                </c:pt>
                <c:pt idx="347">
                  <c:v>41760</c:v>
                </c:pt>
                <c:pt idx="348">
                  <c:v>41761</c:v>
                </c:pt>
                <c:pt idx="349">
                  <c:v>41764</c:v>
                </c:pt>
                <c:pt idx="350">
                  <c:v>41765</c:v>
                </c:pt>
                <c:pt idx="351">
                  <c:v>41766</c:v>
                </c:pt>
                <c:pt idx="352">
                  <c:v>41767</c:v>
                </c:pt>
                <c:pt idx="353">
                  <c:v>41768</c:v>
                </c:pt>
                <c:pt idx="354">
                  <c:v>41771</c:v>
                </c:pt>
                <c:pt idx="355">
                  <c:v>41772</c:v>
                </c:pt>
                <c:pt idx="356">
                  <c:v>41773</c:v>
                </c:pt>
                <c:pt idx="357">
                  <c:v>41774</c:v>
                </c:pt>
                <c:pt idx="358">
                  <c:v>41775</c:v>
                </c:pt>
                <c:pt idx="359">
                  <c:v>41778</c:v>
                </c:pt>
                <c:pt idx="360">
                  <c:v>41779</c:v>
                </c:pt>
                <c:pt idx="361">
                  <c:v>41780</c:v>
                </c:pt>
                <c:pt idx="362">
                  <c:v>41781</c:v>
                </c:pt>
                <c:pt idx="363">
                  <c:v>41782</c:v>
                </c:pt>
                <c:pt idx="364">
                  <c:v>41785</c:v>
                </c:pt>
                <c:pt idx="365">
                  <c:v>41786</c:v>
                </c:pt>
                <c:pt idx="366">
                  <c:v>41787</c:v>
                </c:pt>
                <c:pt idx="367">
                  <c:v>41788</c:v>
                </c:pt>
                <c:pt idx="368">
                  <c:v>41789</c:v>
                </c:pt>
                <c:pt idx="369">
                  <c:v>41792</c:v>
                </c:pt>
                <c:pt idx="370">
                  <c:v>41793</c:v>
                </c:pt>
                <c:pt idx="371">
                  <c:v>41794</c:v>
                </c:pt>
                <c:pt idx="372">
                  <c:v>41795</c:v>
                </c:pt>
                <c:pt idx="373">
                  <c:v>41796</c:v>
                </c:pt>
                <c:pt idx="374">
                  <c:v>41799</c:v>
                </c:pt>
                <c:pt idx="375">
                  <c:v>41800</c:v>
                </c:pt>
                <c:pt idx="376">
                  <c:v>41801</c:v>
                </c:pt>
                <c:pt idx="377">
                  <c:v>41802</c:v>
                </c:pt>
                <c:pt idx="378">
                  <c:v>41803</c:v>
                </c:pt>
                <c:pt idx="379">
                  <c:v>41806</c:v>
                </c:pt>
                <c:pt idx="380">
                  <c:v>41807</c:v>
                </c:pt>
                <c:pt idx="381">
                  <c:v>41808</c:v>
                </c:pt>
                <c:pt idx="382">
                  <c:v>41809</c:v>
                </c:pt>
                <c:pt idx="383">
                  <c:v>41810</c:v>
                </c:pt>
                <c:pt idx="384">
                  <c:v>41813</c:v>
                </c:pt>
                <c:pt idx="385">
                  <c:v>41814</c:v>
                </c:pt>
                <c:pt idx="386">
                  <c:v>41815</c:v>
                </c:pt>
                <c:pt idx="387">
                  <c:v>41816</c:v>
                </c:pt>
                <c:pt idx="388">
                  <c:v>41817</c:v>
                </c:pt>
                <c:pt idx="389">
                  <c:v>41820</c:v>
                </c:pt>
                <c:pt idx="390">
                  <c:v>41821</c:v>
                </c:pt>
                <c:pt idx="391">
                  <c:v>41822</c:v>
                </c:pt>
                <c:pt idx="392">
                  <c:v>41823</c:v>
                </c:pt>
                <c:pt idx="393">
                  <c:v>41824</c:v>
                </c:pt>
                <c:pt idx="394">
                  <c:v>41827</c:v>
                </c:pt>
                <c:pt idx="395">
                  <c:v>41828</c:v>
                </c:pt>
                <c:pt idx="396">
                  <c:v>41829</c:v>
                </c:pt>
                <c:pt idx="397">
                  <c:v>41830</c:v>
                </c:pt>
                <c:pt idx="398">
                  <c:v>41831</c:v>
                </c:pt>
                <c:pt idx="399">
                  <c:v>41834</c:v>
                </c:pt>
                <c:pt idx="400">
                  <c:v>41835</c:v>
                </c:pt>
                <c:pt idx="401">
                  <c:v>41836</c:v>
                </c:pt>
                <c:pt idx="402">
                  <c:v>41837</c:v>
                </c:pt>
                <c:pt idx="403">
                  <c:v>41838</c:v>
                </c:pt>
                <c:pt idx="404">
                  <c:v>41841</c:v>
                </c:pt>
                <c:pt idx="405">
                  <c:v>41842</c:v>
                </c:pt>
                <c:pt idx="406">
                  <c:v>41843</c:v>
                </c:pt>
                <c:pt idx="407">
                  <c:v>41844</c:v>
                </c:pt>
                <c:pt idx="408">
                  <c:v>41845</c:v>
                </c:pt>
                <c:pt idx="409">
                  <c:v>41848</c:v>
                </c:pt>
                <c:pt idx="410">
                  <c:v>41849</c:v>
                </c:pt>
                <c:pt idx="411">
                  <c:v>41850</c:v>
                </c:pt>
                <c:pt idx="412">
                  <c:v>41851</c:v>
                </c:pt>
                <c:pt idx="413">
                  <c:v>41852</c:v>
                </c:pt>
                <c:pt idx="414">
                  <c:v>41855</c:v>
                </c:pt>
                <c:pt idx="415">
                  <c:v>41856</c:v>
                </c:pt>
                <c:pt idx="416">
                  <c:v>41857</c:v>
                </c:pt>
                <c:pt idx="417">
                  <c:v>41858</c:v>
                </c:pt>
                <c:pt idx="418">
                  <c:v>41859</c:v>
                </c:pt>
                <c:pt idx="419">
                  <c:v>41862</c:v>
                </c:pt>
                <c:pt idx="420">
                  <c:v>41863</c:v>
                </c:pt>
                <c:pt idx="421">
                  <c:v>41864</c:v>
                </c:pt>
                <c:pt idx="422">
                  <c:v>41865</c:v>
                </c:pt>
                <c:pt idx="423">
                  <c:v>41866</c:v>
                </c:pt>
                <c:pt idx="424">
                  <c:v>41869</c:v>
                </c:pt>
                <c:pt idx="425">
                  <c:v>41870</c:v>
                </c:pt>
                <c:pt idx="426">
                  <c:v>41871</c:v>
                </c:pt>
                <c:pt idx="427">
                  <c:v>41872</c:v>
                </c:pt>
                <c:pt idx="428">
                  <c:v>41873</c:v>
                </c:pt>
                <c:pt idx="429">
                  <c:v>41876</c:v>
                </c:pt>
                <c:pt idx="430">
                  <c:v>41877</c:v>
                </c:pt>
                <c:pt idx="431">
                  <c:v>41878</c:v>
                </c:pt>
                <c:pt idx="432">
                  <c:v>41879</c:v>
                </c:pt>
                <c:pt idx="433">
                  <c:v>41880</c:v>
                </c:pt>
                <c:pt idx="434">
                  <c:v>41883</c:v>
                </c:pt>
                <c:pt idx="435">
                  <c:v>41884</c:v>
                </c:pt>
                <c:pt idx="436">
                  <c:v>41885</c:v>
                </c:pt>
                <c:pt idx="437">
                  <c:v>41886</c:v>
                </c:pt>
                <c:pt idx="438">
                  <c:v>41887</c:v>
                </c:pt>
                <c:pt idx="439">
                  <c:v>41890</c:v>
                </c:pt>
                <c:pt idx="440">
                  <c:v>41891</c:v>
                </c:pt>
                <c:pt idx="441">
                  <c:v>41892</c:v>
                </c:pt>
                <c:pt idx="442">
                  <c:v>41893</c:v>
                </c:pt>
                <c:pt idx="443">
                  <c:v>41894</c:v>
                </c:pt>
                <c:pt idx="444">
                  <c:v>41897</c:v>
                </c:pt>
                <c:pt idx="445">
                  <c:v>41898</c:v>
                </c:pt>
                <c:pt idx="446">
                  <c:v>41899</c:v>
                </c:pt>
                <c:pt idx="447">
                  <c:v>41900</c:v>
                </c:pt>
                <c:pt idx="448">
                  <c:v>41901</c:v>
                </c:pt>
                <c:pt idx="449">
                  <c:v>41904</c:v>
                </c:pt>
                <c:pt idx="450">
                  <c:v>41905</c:v>
                </c:pt>
                <c:pt idx="451">
                  <c:v>41906</c:v>
                </c:pt>
                <c:pt idx="452">
                  <c:v>41907</c:v>
                </c:pt>
                <c:pt idx="453">
                  <c:v>41908</c:v>
                </c:pt>
                <c:pt idx="454">
                  <c:v>41911</c:v>
                </c:pt>
                <c:pt idx="455">
                  <c:v>41912</c:v>
                </c:pt>
                <c:pt idx="456">
                  <c:v>41913</c:v>
                </c:pt>
                <c:pt idx="457">
                  <c:v>41914</c:v>
                </c:pt>
                <c:pt idx="458">
                  <c:v>41915</c:v>
                </c:pt>
                <c:pt idx="459">
                  <c:v>41918</c:v>
                </c:pt>
                <c:pt idx="460">
                  <c:v>41919</c:v>
                </c:pt>
                <c:pt idx="461">
                  <c:v>41920</c:v>
                </c:pt>
                <c:pt idx="462">
                  <c:v>41921</c:v>
                </c:pt>
                <c:pt idx="463">
                  <c:v>41922</c:v>
                </c:pt>
                <c:pt idx="464">
                  <c:v>41925</c:v>
                </c:pt>
                <c:pt idx="465">
                  <c:v>41926</c:v>
                </c:pt>
                <c:pt idx="466">
                  <c:v>41927</c:v>
                </c:pt>
                <c:pt idx="467">
                  <c:v>41928</c:v>
                </c:pt>
                <c:pt idx="468">
                  <c:v>41929</c:v>
                </c:pt>
                <c:pt idx="469">
                  <c:v>41932</c:v>
                </c:pt>
                <c:pt idx="470">
                  <c:v>41933</c:v>
                </c:pt>
                <c:pt idx="471">
                  <c:v>41934</c:v>
                </c:pt>
                <c:pt idx="472">
                  <c:v>41935</c:v>
                </c:pt>
                <c:pt idx="473">
                  <c:v>41936</c:v>
                </c:pt>
                <c:pt idx="474">
                  <c:v>41939</c:v>
                </c:pt>
                <c:pt idx="475">
                  <c:v>41940</c:v>
                </c:pt>
                <c:pt idx="476">
                  <c:v>41941</c:v>
                </c:pt>
                <c:pt idx="477">
                  <c:v>41942</c:v>
                </c:pt>
                <c:pt idx="478">
                  <c:v>41943</c:v>
                </c:pt>
                <c:pt idx="479">
                  <c:v>41946</c:v>
                </c:pt>
                <c:pt idx="480">
                  <c:v>41947</c:v>
                </c:pt>
                <c:pt idx="481">
                  <c:v>41948</c:v>
                </c:pt>
                <c:pt idx="482">
                  <c:v>41949</c:v>
                </c:pt>
                <c:pt idx="483">
                  <c:v>41950</c:v>
                </c:pt>
                <c:pt idx="484">
                  <c:v>41953</c:v>
                </c:pt>
                <c:pt idx="485">
                  <c:v>41954</c:v>
                </c:pt>
                <c:pt idx="486">
                  <c:v>41955</c:v>
                </c:pt>
                <c:pt idx="487">
                  <c:v>41956</c:v>
                </c:pt>
                <c:pt idx="488">
                  <c:v>41957</c:v>
                </c:pt>
                <c:pt idx="489">
                  <c:v>41960</c:v>
                </c:pt>
                <c:pt idx="490">
                  <c:v>41961</c:v>
                </c:pt>
                <c:pt idx="491">
                  <c:v>41962</c:v>
                </c:pt>
                <c:pt idx="492">
                  <c:v>41963</c:v>
                </c:pt>
                <c:pt idx="493">
                  <c:v>41964</c:v>
                </c:pt>
                <c:pt idx="494">
                  <c:v>41967</c:v>
                </c:pt>
                <c:pt idx="495">
                  <c:v>41968</c:v>
                </c:pt>
                <c:pt idx="496">
                  <c:v>41969</c:v>
                </c:pt>
                <c:pt idx="497">
                  <c:v>41970</c:v>
                </c:pt>
                <c:pt idx="498">
                  <c:v>41971</c:v>
                </c:pt>
                <c:pt idx="499">
                  <c:v>41974</c:v>
                </c:pt>
                <c:pt idx="500">
                  <c:v>41975</c:v>
                </c:pt>
                <c:pt idx="501">
                  <c:v>41976</c:v>
                </c:pt>
                <c:pt idx="502">
                  <c:v>41977</c:v>
                </c:pt>
                <c:pt idx="503">
                  <c:v>41978</c:v>
                </c:pt>
                <c:pt idx="504">
                  <c:v>41981</c:v>
                </c:pt>
                <c:pt idx="505">
                  <c:v>41982</c:v>
                </c:pt>
                <c:pt idx="506">
                  <c:v>41983</c:v>
                </c:pt>
                <c:pt idx="507">
                  <c:v>41984</c:v>
                </c:pt>
                <c:pt idx="508">
                  <c:v>41985</c:v>
                </c:pt>
                <c:pt idx="509">
                  <c:v>41988</c:v>
                </c:pt>
                <c:pt idx="510">
                  <c:v>41989</c:v>
                </c:pt>
                <c:pt idx="511">
                  <c:v>41990</c:v>
                </c:pt>
                <c:pt idx="512">
                  <c:v>41991</c:v>
                </c:pt>
                <c:pt idx="513">
                  <c:v>41992</c:v>
                </c:pt>
                <c:pt idx="514">
                  <c:v>41995</c:v>
                </c:pt>
                <c:pt idx="515">
                  <c:v>41996</c:v>
                </c:pt>
                <c:pt idx="516">
                  <c:v>41997</c:v>
                </c:pt>
                <c:pt idx="517">
                  <c:v>41998</c:v>
                </c:pt>
                <c:pt idx="518">
                  <c:v>41999</c:v>
                </c:pt>
                <c:pt idx="519">
                  <c:v>42002</c:v>
                </c:pt>
                <c:pt idx="520">
                  <c:v>42003</c:v>
                </c:pt>
                <c:pt idx="521">
                  <c:v>42004</c:v>
                </c:pt>
                <c:pt idx="522">
                  <c:v>42005</c:v>
                </c:pt>
                <c:pt idx="523">
                  <c:v>42006</c:v>
                </c:pt>
                <c:pt idx="524">
                  <c:v>42009</c:v>
                </c:pt>
                <c:pt idx="525">
                  <c:v>42010</c:v>
                </c:pt>
                <c:pt idx="526">
                  <c:v>42011</c:v>
                </c:pt>
                <c:pt idx="527">
                  <c:v>42012</c:v>
                </c:pt>
                <c:pt idx="528">
                  <c:v>42013</c:v>
                </c:pt>
                <c:pt idx="529">
                  <c:v>42016</c:v>
                </c:pt>
                <c:pt idx="530">
                  <c:v>42017</c:v>
                </c:pt>
                <c:pt idx="531">
                  <c:v>42018</c:v>
                </c:pt>
                <c:pt idx="532">
                  <c:v>42019</c:v>
                </c:pt>
                <c:pt idx="533">
                  <c:v>42020</c:v>
                </c:pt>
                <c:pt idx="534">
                  <c:v>42023</c:v>
                </c:pt>
                <c:pt idx="535">
                  <c:v>42024</c:v>
                </c:pt>
                <c:pt idx="536">
                  <c:v>42025</c:v>
                </c:pt>
                <c:pt idx="537">
                  <c:v>42026</c:v>
                </c:pt>
                <c:pt idx="538">
                  <c:v>42027</c:v>
                </c:pt>
                <c:pt idx="539">
                  <c:v>42030</c:v>
                </c:pt>
                <c:pt idx="540">
                  <c:v>42031</c:v>
                </c:pt>
                <c:pt idx="541">
                  <c:v>42032</c:v>
                </c:pt>
                <c:pt idx="542">
                  <c:v>42033</c:v>
                </c:pt>
                <c:pt idx="543">
                  <c:v>42034</c:v>
                </c:pt>
                <c:pt idx="544">
                  <c:v>42037</c:v>
                </c:pt>
                <c:pt idx="545">
                  <c:v>42038</c:v>
                </c:pt>
                <c:pt idx="546">
                  <c:v>42039</c:v>
                </c:pt>
                <c:pt idx="547">
                  <c:v>42040</c:v>
                </c:pt>
                <c:pt idx="548">
                  <c:v>42041</c:v>
                </c:pt>
                <c:pt idx="549">
                  <c:v>42044</c:v>
                </c:pt>
                <c:pt idx="550">
                  <c:v>42045</c:v>
                </c:pt>
                <c:pt idx="551">
                  <c:v>42046</c:v>
                </c:pt>
                <c:pt idx="552">
                  <c:v>42047</c:v>
                </c:pt>
                <c:pt idx="553">
                  <c:v>42048</c:v>
                </c:pt>
                <c:pt idx="554">
                  <c:v>42051</c:v>
                </c:pt>
                <c:pt idx="555">
                  <c:v>42052</c:v>
                </c:pt>
                <c:pt idx="556">
                  <c:v>42053</c:v>
                </c:pt>
                <c:pt idx="557">
                  <c:v>42054</c:v>
                </c:pt>
                <c:pt idx="558">
                  <c:v>42055</c:v>
                </c:pt>
                <c:pt idx="559">
                  <c:v>42058</c:v>
                </c:pt>
                <c:pt idx="560">
                  <c:v>42059</c:v>
                </c:pt>
                <c:pt idx="561">
                  <c:v>42060</c:v>
                </c:pt>
                <c:pt idx="562">
                  <c:v>42061</c:v>
                </c:pt>
                <c:pt idx="563">
                  <c:v>42062</c:v>
                </c:pt>
                <c:pt idx="564">
                  <c:v>42065</c:v>
                </c:pt>
                <c:pt idx="565">
                  <c:v>42066</c:v>
                </c:pt>
                <c:pt idx="566">
                  <c:v>42067</c:v>
                </c:pt>
                <c:pt idx="567">
                  <c:v>42068</c:v>
                </c:pt>
                <c:pt idx="568">
                  <c:v>42069</c:v>
                </c:pt>
                <c:pt idx="569">
                  <c:v>42072</c:v>
                </c:pt>
                <c:pt idx="570">
                  <c:v>42073</c:v>
                </c:pt>
                <c:pt idx="571">
                  <c:v>42074</c:v>
                </c:pt>
                <c:pt idx="572">
                  <c:v>42075</c:v>
                </c:pt>
                <c:pt idx="573">
                  <c:v>42076</c:v>
                </c:pt>
                <c:pt idx="574">
                  <c:v>42079</c:v>
                </c:pt>
                <c:pt idx="575">
                  <c:v>42080</c:v>
                </c:pt>
                <c:pt idx="576">
                  <c:v>42081</c:v>
                </c:pt>
                <c:pt idx="577">
                  <c:v>42082</c:v>
                </c:pt>
                <c:pt idx="578">
                  <c:v>42083</c:v>
                </c:pt>
                <c:pt idx="579">
                  <c:v>42086</c:v>
                </c:pt>
                <c:pt idx="580">
                  <c:v>42087</c:v>
                </c:pt>
                <c:pt idx="581">
                  <c:v>42088</c:v>
                </c:pt>
                <c:pt idx="582">
                  <c:v>42089</c:v>
                </c:pt>
                <c:pt idx="583">
                  <c:v>42090</c:v>
                </c:pt>
                <c:pt idx="584">
                  <c:v>42093</c:v>
                </c:pt>
                <c:pt idx="585">
                  <c:v>42094</c:v>
                </c:pt>
                <c:pt idx="586">
                  <c:v>42095</c:v>
                </c:pt>
                <c:pt idx="587">
                  <c:v>42096</c:v>
                </c:pt>
                <c:pt idx="588">
                  <c:v>42097</c:v>
                </c:pt>
                <c:pt idx="589">
                  <c:v>42100</c:v>
                </c:pt>
                <c:pt idx="590">
                  <c:v>42101</c:v>
                </c:pt>
                <c:pt idx="591">
                  <c:v>42102</c:v>
                </c:pt>
                <c:pt idx="592">
                  <c:v>42103</c:v>
                </c:pt>
                <c:pt idx="593">
                  <c:v>42104</c:v>
                </c:pt>
                <c:pt idx="594">
                  <c:v>42107</c:v>
                </c:pt>
                <c:pt idx="595">
                  <c:v>42108</c:v>
                </c:pt>
                <c:pt idx="596">
                  <c:v>42109</c:v>
                </c:pt>
                <c:pt idx="597">
                  <c:v>42110</c:v>
                </c:pt>
                <c:pt idx="598">
                  <c:v>42111</c:v>
                </c:pt>
                <c:pt idx="599">
                  <c:v>42114</c:v>
                </c:pt>
                <c:pt idx="600">
                  <c:v>42115</c:v>
                </c:pt>
                <c:pt idx="601">
                  <c:v>42116</c:v>
                </c:pt>
                <c:pt idx="602">
                  <c:v>42117</c:v>
                </c:pt>
                <c:pt idx="603">
                  <c:v>42118</c:v>
                </c:pt>
                <c:pt idx="604">
                  <c:v>42121</c:v>
                </c:pt>
                <c:pt idx="605">
                  <c:v>42122</c:v>
                </c:pt>
                <c:pt idx="606">
                  <c:v>42123</c:v>
                </c:pt>
                <c:pt idx="607">
                  <c:v>42124</c:v>
                </c:pt>
                <c:pt idx="608">
                  <c:v>42125</c:v>
                </c:pt>
                <c:pt idx="609">
                  <c:v>42128</c:v>
                </c:pt>
                <c:pt idx="610">
                  <c:v>42129</c:v>
                </c:pt>
                <c:pt idx="611">
                  <c:v>42130</c:v>
                </c:pt>
                <c:pt idx="612">
                  <c:v>42131</c:v>
                </c:pt>
                <c:pt idx="613">
                  <c:v>42132</c:v>
                </c:pt>
                <c:pt idx="614">
                  <c:v>42135</c:v>
                </c:pt>
                <c:pt idx="615">
                  <c:v>42136</c:v>
                </c:pt>
                <c:pt idx="616">
                  <c:v>42137</c:v>
                </c:pt>
                <c:pt idx="617">
                  <c:v>42138</c:v>
                </c:pt>
                <c:pt idx="618">
                  <c:v>42139</c:v>
                </c:pt>
                <c:pt idx="619">
                  <c:v>42142</c:v>
                </c:pt>
                <c:pt idx="620">
                  <c:v>42143</c:v>
                </c:pt>
                <c:pt idx="621">
                  <c:v>42144</c:v>
                </c:pt>
                <c:pt idx="622">
                  <c:v>42145</c:v>
                </c:pt>
                <c:pt idx="623">
                  <c:v>42146</c:v>
                </c:pt>
                <c:pt idx="624">
                  <c:v>42149</c:v>
                </c:pt>
                <c:pt idx="625">
                  <c:v>42150</c:v>
                </c:pt>
                <c:pt idx="626">
                  <c:v>42151</c:v>
                </c:pt>
                <c:pt idx="627">
                  <c:v>42152</c:v>
                </c:pt>
                <c:pt idx="628">
                  <c:v>42153</c:v>
                </c:pt>
                <c:pt idx="629">
                  <c:v>42156</c:v>
                </c:pt>
                <c:pt idx="630">
                  <c:v>42157</c:v>
                </c:pt>
                <c:pt idx="631">
                  <c:v>42158</c:v>
                </c:pt>
                <c:pt idx="632">
                  <c:v>42159</c:v>
                </c:pt>
                <c:pt idx="633">
                  <c:v>42160</c:v>
                </c:pt>
                <c:pt idx="634">
                  <c:v>42163</c:v>
                </c:pt>
                <c:pt idx="635">
                  <c:v>42164</c:v>
                </c:pt>
                <c:pt idx="636">
                  <c:v>42165</c:v>
                </c:pt>
                <c:pt idx="637">
                  <c:v>42166</c:v>
                </c:pt>
                <c:pt idx="638">
                  <c:v>42167</c:v>
                </c:pt>
                <c:pt idx="639">
                  <c:v>42170</c:v>
                </c:pt>
                <c:pt idx="640">
                  <c:v>42171</c:v>
                </c:pt>
                <c:pt idx="641">
                  <c:v>42172</c:v>
                </c:pt>
                <c:pt idx="642">
                  <c:v>42173</c:v>
                </c:pt>
                <c:pt idx="643">
                  <c:v>42174</c:v>
                </c:pt>
                <c:pt idx="644">
                  <c:v>42177</c:v>
                </c:pt>
                <c:pt idx="645">
                  <c:v>42178</c:v>
                </c:pt>
                <c:pt idx="646">
                  <c:v>42179</c:v>
                </c:pt>
                <c:pt idx="647">
                  <c:v>42180</c:v>
                </c:pt>
                <c:pt idx="648">
                  <c:v>42181</c:v>
                </c:pt>
                <c:pt idx="649">
                  <c:v>42184</c:v>
                </c:pt>
                <c:pt idx="650">
                  <c:v>42185</c:v>
                </c:pt>
                <c:pt idx="651">
                  <c:v>42186</c:v>
                </c:pt>
                <c:pt idx="652">
                  <c:v>42187</c:v>
                </c:pt>
                <c:pt idx="653">
                  <c:v>42188</c:v>
                </c:pt>
                <c:pt idx="654">
                  <c:v>42191</c:v>
                </c:pt>
                <c:pt idx="655">
                  <c:v>42192</c:v>
                </c:pt>
                <c:pt idx="656">
                  <c:v>42193</c:v>
                </c:pt>
                <c:pt idx="657">
                  <c:v>42194</c:v>
                </c:pt>
                <c:pt idx="658">
                  <c:v>42195</c:v>
                </c:pt>
                <c:pt idx="659">
                  <c:v>42198</c:v>
                </c:pt>
                <c:pt idx="660">
                  <c:v>42199</c:v>
                </c:pt>
                <c:pt idx="661">
                  <c:v>42200</c:v>
                </c:pt>
                <c:pt idx="662">
                  <c:v>42201</c:v>
                </c:pt>
                <c:pt idx="663">
                  <c:v>42202</c:v>
                </c:pt>
                <c:pt idx="664">
                  <c:v>42205</c:v>
                </c:pt>
                <c:pt idx="665">
                  <c:v>42206</c:v>
                </c:pt>
                <c:pt idx="666">
                  <c:v>42207</c:v>
                </c:pt>
                <c:pt idx="667">
                  <c:v>42208</c:v>
                </c:pt>
                <c:pt idx="668">
                  <c:v>42209</c:v>
                </c:pt>
                <c:pt idx="669">
                  <c:v>42212</c:v>
                </c:pt>
                <c:pt idx="670">
                  <c:v>42213</c:v>
                </c:pt>
                <c:pt idx="671">
                  <c:v>42214</c:v>
                </c:pt>
                <c:pt idx="672">
                  <c:v>42215</c:v>
                </c:pt>
                <c:pt idx="673">
                  <c:v>42216</c:v>
                </c:pt>
                <c:pt idx="674">
                  <c:v>42219</c:v>
                </c:pt>
                <c:pt idx="675">
                  <c:v>42220</c:v>
                </c:pt>
                <c:pt idx="676">
                  <c:v>42221</c:v>
                </c:pt>
                <c:pt idx="677">
                  <c:v>42222</c:v>
                </c:pt>
                <c:pt idx="678">
                  <c:v>42223</c:v>
                </c:pt>
                <c:pt idx="679">
                  <c:v>42226</c:v>
                </c:pt>
                <c:pt idx="680">
                  <c:v>42227</c:v>
                </c:pt>
                <c:pt idx="681">
                  <c:v>42228</c:v>
                </c:pt>
                <c:pt idx="682">
                  <c:v>42229</c:v>
                </c:pt>
                <c:pt idx="683">
                  <c:v>42230</c:v>
                </c:pt>
                <c:pt idx="684">
                  <c:v>42233</c:v>
                </c:pt>
                <c:pt idx="685">
                  <c:v>42234</c:v>
                </c:pt>
                <c:pt idx="686">
                  <c:v>42235</c:v>
                </c:pt>
                <c:pt idx="687">
                  <c:v>42236</c:v>
                </c:pt>
                <c:pt idx="688">
                  <c:v>42237</c:v>
                </c:pt>
                <c:pt idx="689">
                  <c:v>42240</c:v>
                </c:pt>
                <c:pt idx="690">
                  <c:v>42241</c:v>
                </c:pt>
                <c:pt idx="691">
                  <c:v>42242</c:v>
                </c:pt>
                <c:pt idx="692">
                  <c:v>42243</c:v>
                </c:pt>
                <c:pt idx="693">
                  <c:v>42244</c:v>
                </c:pt>
                <c:pt idx="694">
                  <c:v>42247</c:v>
                </c:pt>
                <c:pt idx="695">
                  <c:v>42248</c:v>
                </c:pt>
                <c:pt idx="696">
                  <c:v>42249</c:v>
                </c:pt>
                <c:pt idx="697">
                  <c:v>42250</c:v>
                </c:pt>
                <c:pt idx="698">
                  <c:v>42251</c:v>
                </c:pt>
                <c:pt idx="699">
                  <c:v>42254</c:v>
                </c:pt>
                <c:pt idx="700">
                  <c:v>42255</c:v>
                </c:pt>
                <c:pt idx="701">
                  <c:v>42256</c:v>
                </c:pt>
                <c:pt idx="702">
                  <c:v>42257</c:v>
                </c:pt>
                <c:pt idx="703">
                  <c:v>42258</c:v>
                </c:pt>
                <c:pt idx="704">
                  <c:v>42261</c:v>
                </c:pt>
                <c:pt idx="705">
                  <c:v>42262</c:v>
                </c:pt>
                <c:pt idx="706">
                  <c:v>42263</c:v>
                </c:pt>
                <c:pt idx="707">
                  <c:v>42264</c:v>
                </c:pt>
                <c:pt idx="708">
                  <c:v>42265</c:v>
                </c:pt>
                <c:pt idx="709">
                  <c:v>42268</c:v>
                </c:pt>
                <c:pt idx="710">
                  <c:v>42269</c:v>
                </c:pt>
                <c:pt idx="711">
                  <c:v>42270</c:v>
                </c:pt>
                <c:pt idx="712">
                  <c:v>42271</c:v>
                </c:pt>
                <c:pt idx="713">
                  <c:v>42272</c:v>
                </c:pt>
                <c:pt idx="714">
                  <c:v>42275</c:v>
                </c:pt>
                <c:pt idx="715">
                  <c:v>42276</c:v>
                </c:pt>
                <c:pt idx="716">
                  <c:v>42277</c:v>
                </c:pt>
                <c:pt idx="717">
                  <c:v>42278</c:v>
                </c:pt>
                <c:pt idx="718">
                  <c:v>42279</c:v>
                </c:pt>
                <c:pt idx="719">
                  <c:v>42282</c:v>
                </c:pt>
                <c:pt idx="720">
                  <c:v>42283</c:v>
                </c:pt>
                <c:pt idx="721">
                  <c:v>42284</c:v>
                </c:pt>
                <c:pt idx="722">
                  <c:v>42285</c:v>
                </c:pt>
                <c:pt idx="723">
                  <c:v>42286</c:v>
                </c:pt>
                <c:pt idx="724">
                  <c:v>42289</c:v>
                </c:pt>
                <c:pt idx="725">
                  <c:v>42290</c:v>
                </c:pt>
                <c:pt idx="726">
                  <c:v>42291</c:v>
                </c:pt>
                <c:pt idx="727">
                  <c:v>42292</c:v>
                </c:pt>
                <c:pt idx="728">
                  <c:v>42293</c:v>
                </c:pt>
                <c:pt idx="729">
                  <c:v>42296</c:v>
                </c:pt>
                <c:pt idx="730">
                  <c:v>42297</c:v>
                </c:pt>
                <c:pt idx="731">
                  <c:v>42298</c:v>
                </c:pt>
                <c:pt idx="732">
                  <c:v>42299</c:v>
                </c:pt>
                <c:pt idx="733">
                  <c:v>42300</c:v>
                </c:pt>
                <c:pt idx="734">
                  <c:v>42303</c:v>
                </c:pt>
                <c:pt idx="735">
                  <c:v>42304</c:v>
                </c:pt>
                <c:pt idx="736">
                  <c:v>42305</c:v>
                </c:pt>
                <c:pt idx="737">
                  <c:v>42306</c:v>
                </c:pt>
                <c:pt idx="738">
                  <c:v>42307</c:v>
                </c:pt>
                <c:pt idx="739">
                  <c:v>42310</c:v>
                </c:pt>
                <c:pt idx="740">
                  <c:v>42311</c:v>
                </c:pt>
                <c:pt idx="741">
                  <c:v>42312</c:v>
                </c:pt>
                <c:pt idx="742">
                  <c:v>42313</c:v>
                </c:pt>
                <c:pt idx="743">
                  <c:v>42314</c:v>
                </c:pt>
                <c:pt idx="744">
                  <c:v>42317</c:v>
                </c:pt>
                <c:pt idx="745">
                  <c:v>42318</c:v>
                </c:pt>
                <c:pt idx="746">
                  <c:v>42319</c:v>
                </c:pt>
                <c:pt idx="747">
                  <c:v>42320</c:v>
                </c:pt>
                <c:pt idx="748">
                  <c:v>42321</c:v>
                </c:pt>
                <c:pt idx="749">
                  <c:v>42324</c:v>
                </c:pt>
                <c:pt idx="750">
                  <c:v>42325</c:v>
                </c:pt>
                <c:pt idx="751">
                  <c:v>42326</c:v>
                </c:pt>
                <c:pt idx="752">
                  <c:v>42327</c:v>
                </c:pt>
                <c:pt idx="753">
                  <c:v>42328</c:v>
                </c:pt>
                <c:pt idx="754">
                  <c:v>42331</c:v>
                </c:pt>
                <c:pt idx="755">
                  <c:v>42332</c:v>
                </c:pt>
                <c:pt idx="756">
                  <c:v>42333</c:v>
                </c:pt>
                <c:pt idx="757">
                  <c:v>42334</c:v>
                </c:pt>
                <c:pt idx="758">
                  <c:v>42335</c:v>
                </c:pt>
                <c:pt idx="759">
                  <c:v>42338</c:v>
                </c:pt>
                <c:pt idx="760">
                  <c:v>42339</c:v>
                </c:pt>
                <c:pt idx="761">
                  <c:v>42340</c:v>
                </c:pt>
                <c:pt idx="762">
                  <c:v>42341</c:v>
                </c:pt>
                <c:pt idx="763">
                  <c:v>42342</c:v>
                </c:pt>
                <c:pt idx="764">
                  <c:v>42345</c:v>
                </c:pt>
                <c:pt idx="765">
                  <c:v>42346</c:v>
                </c:pt>
                <c:pt idx="766">
                  <c:v>42347</c:v>
                </c:pt>
                <c:pt idx="767">
                  <c:v>42348</c:v>
                </c:pt>
                <c:pt idx="768">
                  <c:v>42349</c:v>
                </c:pt>
                <c:pt idx="769">
                  <c:v>42352</c:v>
                </c:pt>
                <c:pt idx="770">
                  <c:v>42353</c:v>
                </c:pt>
                <c:pt idx="771">
                  <c:v>42354</c:v>
                </c:pt>
                <c:pt idx="772">
                  <c:v>42355</c:v>
                </c:pt>
                <c:pt idx="773">
                  <c:v>42356</c:v>
                </c:pt>
                <c:pt idx="774">
                  <c:v>42359</c:v>
                </c:pt>
                <c:pt idx="775">
                  <c:v>42360</c:v>
                </c:pt>
                <c:pt idx="776">
                  <c:v>42361</c:v>
                </c:pt>
                <c:pt idx="777">
                  <c:v>42362</c:v>
                </c:pt>
                <c:pt idx="778">
                  <c:v>42363</c:v>
                </c:pt>
                <c:pt idx="779">
                  <c:v>42366</c:v>
                </c:pt>
                <c:pt idx="780">
                  <c:v>42367</c:v>
                </c:pt>
                <c:pt idx="781">
                  <c:v>42368</c:v>
                </c:pt>
                <c:pt idx="782">
                  <c:v>42369</c:v>
                </c:pt>
                <c:pt idx="783">
                  <c:v>42370</c:v>
                </c:pt>
                <c:pt idx="784">
                  <c:v>42373</c:v>
                </c:pt>
                <c:pt idx="785">
                  <c:v>42374</c:v>
                </c:pt>
                <c:pt idx="786">
                  <c:v>42375</c:v>
                </c:pt>
                <c:pt idx="787">
                  <c:v>42376</c:v>
                </c:pt>
                <c:pt idx="788">
                  <c:v>42377</c:v>
                </c:pt>
                <c:pt idx="789">
                  <c:v>42380</c:v>
                </c:pt>
                <c:pt idx="790">
                  <c:v>42381</c:v>
                </c:pt>
                <c:pt idx="791">
                  <c:v>42382</c:v>
                </c:pt>
                <c:pt idx="792">
                  <c:v>42383</c:v>
                </c:pt>
                <c:pt idx="793">
                  <c:v>42384</c:v>
                </c:pt>
                <c:pt idx="794">
                  <c:v>42387</c:v>
                </c:pt>
                <c:pt idx="795">
                  <c:v>42388</c:v>
                </c:pt>
                <c:pt idx="796">
                  <c:v>42389</c:v>
                </c:pt>
                <c:pt idx="797">
                  <c:v>42390</c:v>
                </c:pt>
                <c:pt idx="798">
                  <c:v>42391</c:v>
                </c:pt>
                <c:pt idx="799">
                  <c:v>42394</c:v>
                </c:pt>
                <c:pt idx="800">
                  <c:v>42395</c:v>
                </c:pt>
                <c:pt idx="801">
                  <c:v>42396</c:v>
                </c:pt>
                <c:pt idx="802">
                  <c:v>42397</c:v>
                </c:pt>
                <c:pt idx="803">
                  <c:v>42398</c:v>
                </c:pt>
                <c:pt idx="804">
                  <c:v>42401</c:v>
                </c:pt>
                <c:pt idx="805">
                  <c:v>42402</c:v>
                </c:pt>
                <c:pt idx="806">
                  <c:v>42403</c:v>
                </c:pt>
                <c:pt idx="807">
                  <c:v>42404</c:v>
                </c:pt>
                <c:pt idx="808">
                  <c:v>42405</c:v>
                </c:pt>
                <c:pt idx="809">
                  <c:v>42408</c:v>
                </c:pt>
                <c:pt idx="810">
                  <c:v>42409</c:v>
                </c:pt>
                <c:pt idx="811">
                  <c:v>42410</c:v>
                </c:pt>
                <c:pt idx="812">
                  <c:v>42411</c:v>
                </c:pt>
                <c:pt idx="813">
                  <c:v>42412</c:v>
                </c:pt>
                <c:pt idx="814">
                  <c:v>42415</c:v>
                </c:pt>
                <c:pt idx="815">
                  <c:v>42416</c:v>
                </c:pt>
                <c:pt idx="816">
                  <c:v>42417</c:v>
                </c:pt>
                <c:pt idx="817">
                  <c:v>42418</c:v>
                </c:pt>
                <c:pt idx="818">
                  <c:v>42419</c:v>
                </c:pt>
                <c:pt idx="819">
                  <c:v>42422</c:v>
                </c:pt>
                <c:pt idx="820">
                  <c:v>42423</c:v>
                </c:pt>
                <c:pt idx="821">
                  <c:v>42424</c:v>
                </c:pt>
                <c:pt idx="822">
                  <c:v>42425</c:v>
                </c:pt>
                <c:pt idx="823">
                  <c:v>42426</c:v>
                </c:pt>
                <c:pt idx="824">
                  <c:v>42429</c:v>
                </c:pt>
                <c:pt idx="825">
                  <c:v>42430</c:v>
                </c:pt>
                <c:pt idx="826">
                  <c:v>42431</c:v>
                </c:pt>
                <c:pt idx="827">
                  <c:v>42432</c:v>
                </c:pt>
                <c:pt idx="828">
                  <c:v>42433</c:v>
                </c:pt>
                <c:pt idx="829">
                  <c:v>42436</c:v>
                </c:pt>
                <c:pt idx="830">
                  <c:v>42437</c:v>
                </c:pt>
                <c:pt idx="831">
                  <c:v>42438</c:v>
                </c:pt>
                <c:pt idx="832">
                  <c:v>42439</c:v>
                </c:pt>
                <c:pt idx="833">
                  <c:v>42440</c:v>
                </c:pt>
                <c:pt idx="834">
                  <c:v>42443</c:v>
                </c:pt>
                <c:pt idx="835">
                  <c:v>42444</c:v>
                </c:pt>
                <c:pt idx="836">
                  <c:v>42445</c:v>
                </c:pt>
                <c:pt idx="837">
                  <c:v>42446</c:v>
                </c:pt>
                <c:pt idx="838">
                  <c:v>42447</c:v>
                </c:pt>
                <c:pt idx="839">
                  <c:v>42450</c:v>
                </c:pt>
                <c:pt idx="840">
                  <c:v>42451</c:v>
                </c:pt>
                <c:pt idx="841">
                  <c:v>42452</c:v>
                </c:pt>
                <c:pt idx="842">
                  <c:v>42453</c:v>
                </c:pt>
                <c:pt idx="843">
                  <c:v>42454</c:v>
                </c:pt>
                <c:pt idx="844">
                  <c:v>42457</c:v>
                </c:pt>
                <c:pt idx="845">
                  <c:v>42458</c:v>
                </c:pt>
                <c:pt idx="846">
                  <c:v>42459</c:v>
                </c:pt>
                <c:pt idx="847">
                  <c:v>42460</c:v>
                </c:pt>
                <c:pt idx="848">
                  <c:v>42461</c:v>
                </c:pt>
                <c:pt idx="849">
                  <c:v>42464</c:v>
                </c:pt>
                <c:pt idx="850">
                  <c:v>42465</c:v>
                </c:pt>
                <c:pt idx="851">
                  <c:v>42466</c:v>
                </c:pt>
                <c:pt idx="852">
                  <c:v>42467</c:v>
                </c:pt>
                <c:pt idx="853">
                  <c:v>42468</c:v>
                </c:pt>
                <c:pt idx="854">
                  <c:v>42471</c:v>
                </c:pt>
                <c:pt idx="855">
                  <c:v>42472</c:v>
                </c:pt>
                <c:pt idx="856">
                  <c:v>42473</c:v>
                </c:pt>
                <c:pt idx="857">
                  <c:v>42474</c:v>
                </c:pt>
                <c:pt idx="858">
                  <c:v>42475</c:v>
                </c:pt>
                <c:pt idx="859">
                  <c:v>42478</c:v>
                </c:pt>
                <c:pt idx="860">
                  <c:v>42479</c:v>
                </c:pt>
                <c:pt idx="861">
                  <c:v>42480</c:v>
                </c:pt>
                <c:pt idx="862">
                  <c:v>42481</c:v>
                </c:pt>
                <c:pt idx="863">
                  <c:v>42482</c:v>
                </c:pt>
                <c:pt idx="864">
                  <c:v>42485</c:v>
                </c:pt>
                <c:pt idx="865">
                  <c:v>42486</c:v>
                </c:pt>
                <c:pt idx="866">
                  <c:v>42487</c:v>
                </c:pt>
                <c:pt idx="867">
                  <c:v>42488</c:v>
                </c:pt>
                <c:pt idx="868">
                  <c:v>42489</c:v>
                </c:pt>
                <c:pt idx="869">
                  <c:v>42492</c:v>
                </c:pt>
                <c:pt idx="870">
                  <c:v>42493</c:v>
                </c:pt>
                <c:pt idx="871">
                  <c:v>42494</c:v>
                </c:pt>
                <c:pt idx="872">
                  <c:v>42495</c:v>
                </c:pt>
                <c:pt idx="873">
                  <c:v>42496</c:v>
                </c:pt>
                <c:pt idx="874">
                  <c:v>42499</c:v>
                </c:pt>
                <c:pt idx="875">
                  <c:v>42500</c:v>
                </c:pt>
                <c:pt idx="876">
                  <c:v>42501</c:v>
                </c:pt>
                <c:pt idx="877">
                  <c:v>42502</c:v>
                </c:pt>
                <c:pt idx="878">
                  <c:v>42503</c:v>
                </c:pt>
                <c:pt idx="879">
                  <c:v>42506</c:v>
                </c:pt>
                <c:pt idx="880">
                  <c:v>42507</c:v>
                </c:pt>
                <c:pt idx="881">
                  <c:v>42508</c:v>
                </c:pt>
                <c:pt idx="882">
                  <c:v>42509</c:v>
                </c:pt>
                <c:pt idx="883">
                  <c:v>42510</c:v>
                </c:pt>
                <c:pt idx="884">
                  <c:v>42513</c:v>
                </c:pt>
                <c:pt idx="885">
                  <c:v>42514</c:v>
                </c:pt>
                <c:pt idx="886">
                  <c:v>42515</c:v>
                </c:pt>
                <c:pt idx="887">
                  <c:v>42516</c:v>
                </c:pt>
                <c:pt idx="888">
                  <c:v>42517</c:v>
                </c:pt>
                <c:pt idx="889">
                  <c:v>42520</c:v>
                </c:pt>
                <c:pt idx="890">
                  <c:v>42521</c:v>
                </c:pt>
                <c:pt idx="891">
                  <c:v>42522</c:v>
                </c:pt>
                <c:pt idx="892">
                  <c:v>42523</c:v>
                </c:pt>
                <c:pt idx="893">
                  <c:v>42524</c:v>
                </c:pt>
                <c:pt idx="894">
                  <c:v>42527</c:v>
                </c:pt>
                <c:pt idx="895">
                  <c:v>42528</c:v>
                </c:pt>
                <c:pt idx="896">
                  <c:v>42529</c:v>
                </c:pt>
                <c:pt idx="897">
                  <c:v>42530</c:v>
                </c:pt>
                <c:pt idx="898">
                  <c:v>42531</c:v>
                </c:pt>
                <c:pt idx="899">
                  <c:v>42534</c:v>
                </c:pt>
                <c:pt idx="900">
                  <c:v>42535</c:v>
                </c:pt>
                <c:pt idx="901">
                  <c:v>42536</c:v>
                </c:pt>
                <c:pt idx="902">
                  <c:v>42537</c:v>
                </c:pt>
                <c:pt idx="903">
                  <c:v>42538</c:v>
                </c:pt>
                <c:pt idx="904">
                  <c:v>42541</c:v>
                </c:pt>
                <c:pt idx="905">
                  <c:v>42542</c:v>
                </c:pt>
                <c:pt idx="906">
                  <c:v>42543</c:v>
                </c:pt>
                <c:pt idx="907">
                  <c:v>42544</c:v>
                </c:pt>
                <c:pt idx="908">
                  <c:v>42545</c:v>
                </c:pt>
                <c:pt idx="909">
                  <c:v>42548</c:v>
                </c:pt>
                <c:pt idx="910">
                  <c:v>42549</c:v>
                </c:pt>
                <c:pt idx="911">
                  <c:v>42550</c:v>
                </c:pt>
                <c:pt idx="912">
                  <c:v>42551</c:v>
                </c:pt>
                <c:pt idx="913">
                  <c:v>42552</c:v>
                </c:pt>
                <c:pt idx="914">
                  <c:v>42555</c:v>
                </c:pt>
                <c:pt idx="915">
                  <c:v>42556</c:v>
                </c:pt>
                <c:pt idx="916">
                  <c:v>42557</c:v>
                </c:pt>
                <c:pt idx="917">
                  <c:v>42558</c:v>
                </c:pt>
                <c:pt idx="918">
                  <c:v>42559</c:v>
                </c:pt>
                <c:pt idx="919">
                  <c:v>42562</c:v>
                </c:pt>
                <c:pt idx="920">
                  <c:v>42563</c:v>
                </c:pt>
                <c:pt idx="921">
                  <c:v>42564</c:v>
                </c:pt>
                <c:pt idx="922">
                  <c:v>42565</c:v>
                </c:pt>
                <c:pt idx="923">
                  <c:v>42566</c:v>
                </c:pt>
                <c:pt idx="924">
                  <c:v>42569</c:v>
                </c:pt>
                <c:pt idx="925">
                  <c:v>42570</c:v>
                </c:pt>
                <c:pt idx="926">
                  <c:v>42571</c:v>
                </c:pt>
                <c:pt idx="927">
                  <c:v>42572</c:v>
                </c:pt>
                <c:pt idx="928">
                  <c:v>42573</c:v>
                </c:pt>
                <c:pt idx="929">
                  <c:v>42576</c:v>
                </c:pt>
                <c:pt idx="930">
                  <c:v>42577</c:v>
                </c:pt>
                <c:pt idx="931">
                  <c:v>42578</c:v>
                </c:pt>
                <c:pt idx="932">
                  <c:v>42579</c:v>
                </c:pt>
                <c:pt idx="933">
                  <c:v>42580</c:v>
                </c:pt>
                <c:pt idx="934">
                  <c:v>42583</c:v>
                </c:pt>
                <c:pt idx="935">
                  <c:v>42584</c:v>
                </c:pt>
                <c:pt idx="936">
                  <c:v>42585</c:v>
                </c:pt>
                <c:pt idx="937">
                  <c:v>42586</c:v>
                </c:pt>
                <c:pt idx="938">
                  <c:v>42587</c:v>
                </c:pt>
                <c:pt idx="939">
                  <c:v>42590</c:v>
                </c:pt>
                <c:pt idx="940">
                  <c:v>42591</c:v>
                </c:pt>
                <c:pt idx="941">
                  <c:v>42592</c:v>
                </c:pt>
                <c:pt idx="942">
                  <c:v>42593</c:v>
                </c:pt>
                <c:pt idx="943">
                  <c:v>42594</c:v>
                </c:pt>
                <c:pt idx="944">
                  <c:v>42597</c:v>
                </c:pt>
                <c:pt idx="945">
                  <c:v>42598</c:v>
                </c:pt>
                <c:pt idx="946">
                  <c:v>42599</c:v>
                </c:pt>
                <c:pt idx="947">
                  <c:v>42600</c:v>
                </c:pt>
                <c:pt idx="948">
                  <c:v>42601</c:v>
                </c:pt>
                <c:pt idx="949">
                  <c:v>42604</c:v>
                </c:pt>
                <c:pt idx="950">
                  <c:v>42605</c:v>
                </c:pt>
                <c:pt idx="951">
                  <c:v>42606</c:v>
                </c:pt>
                <c:pt idx="952">
                  <c:v>42607</c:v>
                </c:pt>
                <c:pt idx="953">
                  <c:v>42608</c:v>
                </c:pt>
                <c:pt idx="954">
                  <c:v>42611</c:v>
                </c:pt>
                <c:pt idx="955">
                  <c:v>42612</c:v>
                </c:pt>
                <c:pt idx="956">
                  <c:v>42613</c:v>
                </c:pt>
                <c:pt idx="957">
                  <c:v>42614</c:v>
                </c:pt>
                <c:pt idx="958">
                  <c:v>42615</c:v>
                </c:pt>
                <c:pt idx="959">
                  <c:v>42618</c:v>
                </c:pt>
                <c:pt idx="960">
                  <c:v>42619</c:v>
                </c:pt>
                <c:pt idx="961">
                  <c:v>42620</c:v>
                </c:pt>
                <c:pt idx="962">
                  <c:v>42621</c:v>
                </c:pt>
                <c:pt idx="963">
                  <c:v>42622</c:v>
                </c:pt>
                <c:pt idx="964">
                  <c:v>42625</c:v>
                </c:pt>
                <c:pt idx="965">
                  <c:v>42626</c:v>
                </c:pt>
                <c:pt idx="966">
                  <c:v>42627</c:v>
                </c:pt>
                <c:pt idx="967">
                  <c:v>42628</c:v>
                </c:pt>
                <c:pt idx="968">
                  <c:v>42629</c:v>
                </c:pt>
                <c:pt idx="969">
                  <c:v>42632</c:v>
                </c:pt>
                <c:pt idx="970">
                  <c:v>42633</c:v>
                </c:pt>
              </c:numCache>
            </c:numRef>
          </c:cat>
          <c:val>
            <c:numRef>
              <c:f>[0]!dhpLongFuturesExoRange</c:f>
              <c:numCache>
                <c:formatCode>General</c:formatCode>
                <c:ptCount val="971"/>
                <c:pt idx="0">
                  <c:v>0</c:v>
                </c:pt>
                <c:pt idx="1">
                  <c:v>2125</c:v>
                </c:pt>
                <c:pt idx="2">
                  <c:v>-3562.5</c:v>
                </c:pt>
                <c:pt idx="3">
                  <c:v>-1562.5</c:v>
                </c:pt>
                <c:pt idx="4">
                  <c:v>-843.75</c:v>
                </c:pt>
                <c:pt idx="5">
                  <c:v>-3718.75</c:v>
                </c:pt>
                <c:pt idx="6">
                  <c:v>-4593.75</c:v>
                </c:pt>
                <c:pt idx="7">
                  <c:v>-7433.75</c:v>
                </c:pt>
                <c:pt idx="8">
                  <c:v>-7893.75</c:v>
                </c:pt>
                <c:pt idx="9">
                  <c:v>12856.25</c:v>
                </c:pt>
                <c:pt idx="10">
                  <c:v>14481.25</c:v>
                </c:pt>
                <c:pt idx="11">
                  <c:v>15731.25</c:v>
                </c:pt>
                <c:pt idx="12">
                  <c:v>16606.25</c:v>
                </c:pt>
                <c:pt idx="13">
                  <c:v>17731.25</c:v>
                </c:pt>
                <c:pt idx="14">
                  <c:v>19731.25</c:v>
                </c:pt>
                <c:pt idx="15">
                  <c:v>19481.25</c:v>
                </c:pt>
                <c:pt idx="16">
                  <c:v>21016.25</c:v>
                </c:pt>
                <c:pt idx="17">
                  <c:v>22556.25</c:v>
                </c:pt>
                <c:pt idx="18">
                  <c:v>18806.25</c:v>
                </c:pt>
                <c:pt idx="19">
                  <c:v>24556.25</c:v>
                </c:pt>
                <c:pt idx="20">
                  <c:v>28681.25</c:v>
                </c:pt>
                <c:pt idx="21">
                  <c:v>34056.25</c:v>
                </c:pt>
                <c:pt idx="22">
                  <c:v>33556.25</c:v>
                </c:pt>
                <c:pt idx="23">
                  <c:v>34686.25</c:v>
                </c:pt>
                <c:pt idx="24">
                  <c:v>35436.25</c:v>
                </c:pt>
                <c:pt idx="25">
                  <c:v>33311.25</c:v>
                </c:pt>
                <c:pt idx="26">
                  <c:v>31826.25</c:v>
                </c:pt>
                <c:pt idx="27">
                  <c:v>22266.25</c:v>
                </c:pt>
                <c:pt idx="28">
                  <c:v>22266.25</c:v>
                </c:pt>
                <c:pt idx="29">
                  <c:v>19286.25</c:v>
                </c:pt>
                <c:pt idx="30">
                  <c:v>18866.875</c:v>
                </c:pt>
                <c:pt idx="31">
                  <c:v>14201.5625</c:v>
                </c:pt>
                <c:pt idx="32">
                  <c:v>12966.5625</c:v>
                </c:pt>
                <c:pt idx="33">
                  <c:v>14341.5625</c:v>
                </c:pt>
                <c:pt idx="34">
                  <c:v>17216.5625</c:v>
                </c:pt>
                <c:pt idx="35">
                  <c:v>18591.5625</c:v>
                </c:pt>
                <c:pt idx="36">
                  <c:v>18249.21875</c:v>
                </c:pt>
                <c:pt idx="37">
                  <c:v>15569.21875</c:v>
                </c:pt>
                <c:pt idx="38">
                  <c:v>14069.21875</c:v>
                </c:pt>
                <c:pt idx="39">
                  <c:v>13219.21875</c:v>
                </c:pt>
                <c:pt idx="40">
                  <c:v>11469.21875</c:v>
                </c:pt>
                <c:pt idx="41">
                  <c:v>7039.21875</c:v>
                </c:pt>
                <c:pt idx="42">
                  <c:v>11929.21875</c:v>
                </c:pt>
                <c:pt idx="43">
                  <c:v>15559.21875</c:v>
                </c:pt>
                <c:pt idx="44">
                  <c:v>10449.21875</c:v>
                </c:pt>
                <c:pt idx="45">
                  <c:v>10584.21875</c:v>
                </c:pt>
                <c:pt idx="46">
                  <c:v>9959.21875</c:v>
                </c:pt>
                <c:pt idx="47">
                  <c:v>5029.21875</c:v>
                </c:pt>
                <c:pt idx="48">
                  <c:v>-3120.78125</c:v>
                </c:pt>
                <c:pt idx="49">
                  <c:v>-15480.78125</c:v>
                </c:pt>
                <c:pt idx="50">
                  <c:v>-16855.78125</c:v>
                </c:pt>
                <c:pt idx="51">
                  <c:v>-14855.78125</c:v>
                </c:pt>
                <c:pt idx="52">
                  <c:v>-16970.78125</c:v>
                </c:pt>
                <c:pt idx="53">
                  <c:v>-17455.78125</c:v>
                </c:pt>
                <c:pt idx="54">
                  <c:v>-17705.78125</c:v>
                </c:pt>
                <c:pt idx="55">
                  <c:v>-21550.78125</c:v>
                </c:pt>
                <c:pt idx="56">
                  <c:v>-21785.78125</c:v>
                </c:pt>
                <c:pt idx="57">
                  <c:v>-22035.78125</c:v>
                </c:pt>
                <c:pt idx="58">
                  <c:v>-25535.78125</c:v>
                </c:pt>
                <c:pt idx="59">
                  <c:v>-23660.78125</c:v>
                </c:pt>
                <c:pt idx="60">
                  <c:v>-24910.78125</c:v>
                </c:pt>
                <c:pt idx="61">
                  <c:v>-20910.78125</c:v>
                </c:pt>
                <c:pt idx="62">
                  <c:v>-41410.78125</c:v>
                </c:pt>
                <c:pt idx="63">
                  <c:v>-51910.78125</c:v>
                </c:pt>
                <c:pt idx="64">
                  <c:v>-39995.78125</c:v>
                </c:pt>
                <c:pt idx="65">
                  <c:v>-48560.78125</c:v>
                </c:pt>
                <c:pt idx="66">
                  <c:v>-41060.78125</c:v>
                </c:pt>
                <c:pt idx="67">
                  <c:v>-55570.78125</c:v>
                </c:pt>
                <c:pt idx="68">
                  <c:v>-59820.78125</c:v>
                </c:pt>
                <c:pt idx="69">
                  <c:v>-55820.78125</c:v>
                </c:pt>
                <c:pt idx="70">
                  <c:v>-41445.78125</c:v>
                </c:pt>
                <c:pt idx="71">
                  <c:v>-39195.78125</c:v>
                </c:pt>
                <c:pt idx="72">
                  <c:v>-29405.78125</c:v>
                </c:pt>
                <c:pt idx="73">
                  <c:v>-21405.78125</c:v>
                </c:pt>
                <c:pt idx="74">
                  <c:v>-37375.78125</c:v>
                </c:pt>
                <c:pt idx="75">
                  <c:v>-20000.78125</c:v>
                </c:pt>
                <c:pt idx="76">
                  <c:v>-19750.78125</c:v>
                </c:pt>
                <c:pt idx="77">
                  <c:v>-42625.78125</c:v>
                </c:pt>
                <c:pt idx="78">
                  <c:v>-36610.78125</c:v>
                </c:pt>
                <c:pt idx="79">
                  <c:v>-44235.78125</c:v>
                </c:pt>
                <c:pt idx="80">
                  <c:v>-52850.78125</c:v>
                </c:pt>
                <c:pt idx="81">
                  <c:v>-57830.78125</c:v>
                </c:pt>
                <c:pt idx="82">
                  <c:v>-50228.28125</c:v>
                </c:pt>
                <c:pt idx="83">
                  <c:v>-50353.28125</c:v>
                </c:pt>
                <c:pt idx="84">
                  <c:v>-42618.28125</c:v>
                </c:pt>
                <c:pt idx="85">
                  <c:v>-41868.28125</c:v>
                </c:pt>
                <c:pt idx="86">
                  <c:v>-39848.28125</c:v>
                </c:pt>
                <c:pt idx="87">
                  <c:v>-48828.28125</c:v>
                </c:pt>
                <c:pt idx="88">
                  <c:v>-51033.28125</c:v>
                </c:pt>
                <c:pt idx="89">
                  <c:v>-48033.28125</c:v>
                </c:pt>
                <c:pt idx="90">
                  <c:v>-46283.28125</c:v>
                </c:pt>
                <c:pt idx="91">
                  <c:v>-41408.28125</c:v>
                </c:pt>
                <c:pt idx="92">
                  <c:v>-45783.28125</c:v>
                </c:pt>
                <c:pt idx="93">
                  <c:v>-41908.28125</c:v>
                </c:pt>
                <c:pt idx="94">
                  <c:v>-45983.28125</c:v>
                </c:pt>
                <c:pt idx="95">
                  <c:v>-49723.28125</c:v>
                </c:pt>
                <c:pt idx="96">
                  <c:v>-49848.28125</c:v>
                </c:pt>
                <c:pt idx="97">
                  <c:v>-50473.28125</c:v>
                </c:pt>
                <c:pt idx="98">
                  <c:v>-47473.28125</c:v>
                </c:pt>
                <c:pt idx="99">
                  <c:v>-46223.28125</c:v>
                </c:pt>
                <c:pt idx="100">
                  <c:v>-46848.28125</c:v>
                </c:pt>
                <c:pt idx="101">
                  <c:v>-43583.28125</c:v>
                </c:pt>
                <c:pt idx="102">
                  <c:v>-42708.28125</c:v>
                </c:pt>
                <c:pt idx="103">
                  <c:v>-43458.28125</c:v>
                </c:pt>
                <c:pt idx="104">
                  <c:v>-41708.28125</c:v>
                </c:pt>
                <c:pt idx="105">
                  <c:v>-41083.28125</c:v>
                </c:pt>
                <c:pt idx="106">
                  <c:v>-41208.28125</c:v>
                </c:pt>
                <c:pt idx="107">
                  <c:v>-41958.28125</c:v>
                </c:pt>
                <c:pt idx="108">
                  <c:v>-38698.28125</c:v>
                </c:pt>
                <c:pt idx="109">
                  <c:v>-37573.28125</c:v>
                </c:pt>
                <c:pt idx="110">
                  <c:v>-36808.28125</c:v>
                </c:pt>
                <c:pt idx="111">
                  <c:v>-37808.28125</c:v>
                </c:pt>
                <c:pt idx="112">
                  <c:v>-38173.28125</c:v>
                </c:pt>
                <c:pt idx="113">
                  <c:v>-40163.28125</c:v>
                </c:pt>
                <c:pt idx="114">
                  <c:v>-33288.28125</c:v>
                </c:pt>
                <c:pt idx="115">
                  <c:v>-31288.28125</c:v>
                </c:pt>
                <c:pt idx="116">
                  <c:v>-31903.28125</c:v>
                </c:pt>
                <c:pt idx="117">
                  <c:v>-32153.28125</c:v>
                </c:pt>
                <c:pt idx="118">
                  <c:v>-29398.28125</c:v>
                </c:pt>
                <c:pt idx="119">
                  <c:v>-30773.28125</c:v>
                </c:pt>
                <c:pt idx="120">
                  <c:v>-33773.28125</c:v>
                </c:pt>
                <c:pt idx="121">
                  <c:v>-28248.28125</c:v>
                </c:pt>
                <c:pt idx="122">
                  <c:v>-36083.28125</c:v>
                </c:pt>
                <c:pt idx="123">
                  <c:v>-39703.28125</c:v>
                </c:pt>
                <c:pt idx="124">
                  <c:v>-53323.28125</c:v>
                </c:pt>
                <c:pt idx="125">
                  <c:v>-56948.28125</c:v>
                </c:pt>
                <c:pt idx="126">
                  <c:v>-58198.28125</c:v>
                </c:pt>
                <c:pt idx="127">
                  <c:v>-60073.28125</c:v>
                </c:pt>
                <c:pt idx="128">
                  <c:v>-70698.28125</c:v>
                </c:pt>
                <c:pt idx="129">
                  <c:v>-79443.28125</c:v>
                </c:pt>
                <c:pt idx="130">
                  <c:v>-79818.28125</c:v>
                </c:pt>
                <c:pt idx="131">
                  <c:v>-80068.28125</c:v>
                </c:pt>
                <c:pt idx="132">
                  <c:v>-79818.28125</c:v>
                </c:pt>
                <c:pt idx="133">
                  <c:v>-79568.28125</c:v>
                </c:pt>
                <c:pt idx="134">
                  <c:v>-79568.28125</c:v>
                </c:pt>
                <c:pt idx="135">
                  <c:v>-81513.28125</c:v>
                </c:pt>
                <c:pt idx="136">
                  <c:v>-80013.28125</c:v>
                </c:pt>
                <c:pt idx="137">
                  <c:v>-68328.28125</c:v>
                </c:pt>
                <c:pt idx="138">
                  <c:v>-75913.28125</c:v>
                </c:pt>
                <c:pt idx="139">
                  <c:v>-91133.28125</c:v>
                </c:pt>
                <c:pt idx="140">
                  <c:v>-83258.28125</c:v>
                </c:pt>
                <c:pt idx="141">
                  <c:v>-87258.28125</c:v>
                </c:pt>
                <c:pt idx="142">
                  <c:v>-85258.28125</c:v>
                </c:pt>
                <c:pt idx="143">
                  <c:v>-80633.28125</c:v>
                </c:pt>
                <c:pt idx="144">
                  <c:v>-83998.28125</c:v>
                </c:pt>
                <c:pt idx="145">
                  <c:v>-102578.28125</c:v>
                </c:pt>
                <c:pt idx="146">
                  <c:v>-116798.28125</c:v>
                </c:pt>
                <c:pt idx="147">
                  <c:v>-129673.28125</c:v>
                </c:pt>
                <c:pt idx="148">
                  <c:v>-131673.28125</c:v>
                </c:pt>
                <c:pt idx="149">
                  <c:v>-137798.28125</c:v>
                </c:pt>
                <c:pt idx="150">
                  <c:v>-135423.28125</c:v>
                </c:pt>
                <c:pt idx="151">
                  <c:v>-128798.28125</c:v>
                </c:pt>
                <c:pt idx="152">
                  <c:v>-139673.28125</c:v>
                </c:pt>
                <c:pt idx="153">
                  <c:v>-147423.28125</c:v>
                </c:pt>
                <c:pt idx="154">
                  <c:v>-153423.28125</c:v>
                </c:pt>
                <c:pt idx="155">
                  <c:v>-151673.28125</c:v>
                </c:pt>
                <c:pt idx="156">
                  <c:v>-153298.28125</c:v>
                </c:pt>
                <c:pt idx="157">
                  <c:v>-152048.28125</c:v>
                </c:pt>
                <c:pt idx="158">
                  <c:v>-153923.28125</c:v>
                </c:pt>
                <c:pt idx="159">
                  <c:v>-150298.28125</c:v>
                </c:pt>
                <c:pt idx="160">
                  <c:v>-159798.28125</c:v>
                </c:pt>
                <c:pt idx="161">
                  <c:v>-158283.28125</c:v>
                </c:pt>
                <c:pt idx="162">
                  <c:v>-148408.28125</c:v>
                </c:pt>
                <c:pt idx="163">
                  <c:v>-151783.28125</c:v>
                </c:pt>
                <c:pt idx="164">
                  <c:v>-142033.28125</c:v>
                </c:pt>
                <c:pt idx="165">
                  <c:v>-144283.28125</c:v>
                </c:pt>
                <c:pt idx="166">
                  <c:v>-132263.28125</c:v>
                </c:pt>
                <c:pt idx="167">
                  <c:v>-141785.78125</c:v>
                </c:pt>
                <c:pt idx="168">
                  <c:v>-143130.78125</c:v>
                </c:pt>
                <c:pt idx="169">
                  <c:v>-132840.78125</c:v>
                </c:pt>
                <c:pt idx="170">
                  <c:v>-142590.78125</c:v>
                </c:pt>
                <c:pt idx="171">
                  <c:v>-147575.78125</c:v>
                </c:pt>
                <c:pt idx="172">
                  <c:v>-147200.78125</c:v>
                </c:pt>
                <c:pt idx="173">
                  <c:v>-145435.78125</c:v>
                </c:pt>
                <c:pt idx="174">
                  <c:v>-148055.78125</c:v>
                </c:pt>
                <c:pt idx="175">
                  <c:v>-140680.78125</c:v>
                </c:pt>
                <c:pt idx="176">
                  <c:v>-137360.78125</c:v>
                </c:pt>
                <c:pt idx="177">
                  <c:v>-139485.78125</c:v>
                </c:pt>
                <c:pt idx="178">
                  <c:v>-145110.78125</c:v>
                </c:pt>
                <c:pt idx="179">
                  <c:v>-140930.78125</c:v>
                </c:pt>
                <c:pt idx="180">
                  <c:v>-147295.78125</c:v>
                </c:pt>
                <c:pt idx="181">
                  <c:v>-148265.78125</c:v>
                </c:pt>
                <c:pt idx="182">
                  <c:v>-142850.78125</c:v>
                </c:pt>
                <c:pt idx="183">
                  <c:v>-132725.78125</c:v>
                </c:pt>
                <c:pt idx="184">
                  <c:v>-126200.78125</c:v>
                </c:pt>
                <c:pt idx="185">
                  <c:v>-125695.78125</c:v>
                </c:pt>
                <c:pt idx="186">
                  <c:v>-118820.78125</c:v>
                </c:pt>
                <c:pt idx="187">
                  <c:v>-125320.78125</c:v>
                </c:pt>
                <c:pt idx="188">
                  <c:v>-112320.78125</c:v>
                </c:pt>
                <c:pt idx="189">
                  <c:v>-113790.78125</c:v>
                </c:pt>
                <c:pt idx="190">
                  <c:v>-106165.78125</c:v>
                </c:pt>
                <c:pt idx="191">
                  <c:v>-118747.109375</c:v>
                </c:pt>
                <c:pt idx="192">
                  <c:v>-121367.109375</c:v>
                </c:pt>
                <c:pt idx="193">
                  <c:v>-116852.109375</c:v>
                </c:pt>
                <c:pt idx="194">
                  <c:v>-98727.109375</c:v>
                </c:pt>
                <c:pt idx="195">
                  <c:v>-97071.4453125</c:v>
                </c:pt>
                <c:pt idx="196">
                  <c:v>-101084.27734375</c:v>
                </c:pt>
                <c:pt idx="197">
                  <c:v>-98459.27734375</c:v>
                </c:pt>
                <c:pt idx="198">
                  <c:v>-96459.27734375</c:v>
                </c:pt>
                <c:pt idx="199">
                  <c:v>-98959.27734375</c:v>
                </c:pt>
                <c:pt idx="200">
                  <c:v>-98084.27734375</c:v>
                </c:pt>
                <c:pt idx="201">
                  <c:v>-96834.27734375</c:v>
                </c:pt>
                <c:pt idx="202">
                  <c:v>-97084.27734375</c:v>
                </c:pt>
                <c:pt idx="203">
                  <c:v>-98459.27734375</c:v>
                </c:pt>
                <c:pt idx="204">
                  <c:v>-98515.361328125</c:v>
                </c:pt>
                <c:pt idx="205">
                  <c:v>-97640.361328125</c:v>
                </c:pt>
                <c:pt idx="206">
                  <c:v>-97140.361328125</c:v>
                </c:pt>
                <c:pt idx="207">
                  <c:v>-97015.361328125</c:v>
                </c:pt>
                <c:pt idx="208">
                  <c:v>-97265.361328125</c:v>
                </c:pt>
                <c:pt idx="209">
                  <c:v>-95890.361328125</c:v>
                </c:pt>
                <c:pt idx="210">
                  <c:v>-91765.361328125</c:v>
                </c:pt>
                <c:pt idx="211">
                  <c:v>-93487.3193359375</c:v>
                </c:pt>
                <c:pt idx="212">
                  <c:v>-94737.3193359375</c:v>
                </c:pt>
                <c:pt idx="213">
                  <c:v>-93612.3193359375</c:v>
                </c:pt>
                <c:pt idx="214">
                  <c:v>-97612.3193359375</c:v>
                </c:pt>
                <c:pt idx="215">
                  <c:v>-99188.84033203125</c:v>
                </c:pt>
                <c:pt idx="216">
                  <c:v>-97938.84033203125</c:v>
                </c:pt>
                <c:pt idx="217">
                  <c:v>-100025.57983398438</c:v>
                </c:pt>
                <c:pt idx="218">
                  <c:v>-99982.210083007813</c:v>
                </c:pt>
                <c:pt idx="219">
                  <c:v>-98607.210083007813</c:v>
                </c:pt>
                <c:pt idx="220">
                  <c:v>-102191.39495849609</c:v>
                </c:pt>
                <c:pt idx="221">
                  <c:v>-104941.39495849609</c:v>
                </c:pt>
                <c:pt idx="222">
                  <c:v>-105316.39495849609</c:v>
                </c:pt>
                <c:pt idx="223">
                  <c:v>-98941.394958496094</c:v>
                </c:pt>
                <c:pt idx="224">
                  <c:v>-86484.302520751953</c:v>
                </c:pt>
                <c:pt idx="225">
                  <c:v>-90212.848739624023</c:v>
                </c:pt>
                <c:pt idx="226">
                  <c:v>-96587.848739624023</c:v>
                </c:pt>
                <c:pt idx="227">
                  <c:v>-103712.84873962402</c:v>
                </c:pt>
                <c:pt idx="228">
                  <c:v>-106712.84873962402</c:v>
                </c:pt>
                <c:pt idx="229">
                  <c:v>-124337.84873962402</c:v>
                </c:pt>
                <c:pt idx="230">
                  <c:v>-120337.84873962402</c:v>
                </c:pt>
                <c:pt idx="231">
                  <c:v>-118317.84873962402</c:v>
                </c:pt>
                <c:pt idx="232">
                  <c:v>-117310.34873962402</c:v>
                </c:pt>
                <c:pt idx="233">
                  <c:v>-116060.34873962402</c:v>
                </c:pt>
                <c:pt idx="234">
                  <c:v>-114435.34873962402</c:v>
                </c:pt>
                <c:pt idx="235">
                  <c:v>-114170.34873962402</c:v>
                </c:pt>
                <c:pt idx="236">
                  <c:v>-114905.34873962402</c:v>
                </c:pt>
                <c:pt idx="237">
                  <c:v>-115530.34873962402</c:v>
                </c:pt>
                <c:pt idx="238">
                  <c:v>-116030.34873962402</c:v>
                </c:pt>
                <c:pt idx="239">
                  <c:v>-116150.34873962402</c:v>
                </c:pt>
                <c:pt idx="240">
                  <c:v>-112775.34873962402</c:v>
                </c:pt>
                <c:pt idx="241">
                  <c:v>-113850.34873962402</c:v>
                </c:pt>
                <c:pt idx="242">
                  <c:v>-113180.34873962402</c:v>
                </c:pt>
                <c:pt idx="243">
                  <c:v>-111915.34873962402</c:v>
                </c:pt>
                <c:pt idx="244">
                  <c:v>-118665.34873962402</c:v>
                </c:pt>
                <c:pt idx="245">
                  <c:v>-117915.34873962402</c:v>
                </c:pt>
                <c:pt idx="246">
                  <c:v>-123165.34873962402</c:v>
                </c:pt>
                <c:pt idx="247">
                  <c:v>-98290.348739624023</c:v>
                </c:pt>
                <c:pt idx="248">
                  <c:v>-81165.348739624023</c:v>
                </c:pt>
                <c:pt idx="249">
                  <c:v>-92194.825630187988</c:v>
                </c:pt>
                <c:pt idx="250">
                  <c:v>-93194.825630187988</c:v>
                </c:pt>
                <c:pt idx="251">
                  <c:v>-91069.825630187988</c:v>
                </c:pt>
                <c:pt idx="252">
                  <c:v>-93444.825630187988</c:v>
                </c:pt>
                <c:pt idx="253">
                  <c:v>-93779.825630187988</c:v>
                </c:pt>
                <c:pt idx="254">
                  <c:v>-92369.825630187988</c:v>
                </c:pt>
                <c:pt idx="255">
                  <c:v>-92459.825630187988</c:v>
                </c:pt>
                <c:pt idx="256">
                  <c:v>-96039.825630187988</c:v>
                </c:pt>
                <c:pt idx="257">
                  <c:v>-98499.825630187988</c:v>
                </c:pt>
                <c:pt idx="258">
                  <c:v>-98854.825630187988</c:v>
                </c:pt>
                <c:pt idx="259">
                  <c:v>-99709.825630187988</c:v>
                </c:pt>
                <c:pt idx="260">
                  <c:v>-100334.82563018799</c:v>
                </c:pt>
                <c:pt idx="261">
                  <c:v>-100944.82563018799</c:v>
                </c:pt>
                <c:pt idx="262">
                  <c:v>-102219.82563018799</c:v>
                </c:pt>
                <c:pt idx="263">
                  <c:v>-108314.82563018799</c:v>
                </c:pt>
                <c:pt idx="264">
                  <c:v>-102994.82563018799</c:v>
                </c:pt>
                <c:pt idx="265">
                  <c:v>-100229.82563018799</c:v>
                </c:pt>
                <c:pt idx="266">
                  <c:v>-137619.82563018799</c:v>
                </c:pt>
                <c:pt idx="267">
                  <c:v>-154724.82563018799</c:v>
                </c:pt>
                <c:pt idx="268">
                  <c:v>-142139.82563018799</c:v>
                </c:pt>
                <c:pt idx="269">
                  <c:v>-142564.82563018799</c:v>
                </c:pt>
                <c:pt idx="270">
                  <c:v>-138049.82563018799</c:v>
                </c:pt>
                <c:pt idx="271">
                  <c:v>-131144.82563018799</c:v>
                </c:pt>
                <c:pt idx="272">
                  <c:v>-132144.82563018799</c:v>
                </c:pt>
                <c:pt idx="273">
                  <c:v>-125004.82563018799</c:v>
                </c:pt>
                <c:pt idx="274">
                  <c:v>-124004.82563018799</c:v>
                </c:pt>
                <c:pt idx="275">
                  <c:v>-124504.82563018799</c:v>
                </c:pt>
                <c:pt idx="276">
                  <c:v>-128234.82563018799</c:v>
                </c:pt>
                <c:pt idx="277">
                  <c:v>-138069.82563018799</c:v>
                </c:pt>
                <c:pt idx="278">
                  <c:v>-138664.82563018799</c:v>
                </c:pt>
                <c:pt idx="279">
                  <c:v>-133664.82563018799</c:v>
                </c:pt>
                <c:pt idx="280">
                  <c:v>-132664.82563018799</c:v>
                </c:pt>
                <c:pt idx="281">
                  <c:v>-137414.82563018799</c:v>
                </c:pt>
                <c:pt idx="282">
                  <c:v>-129029.82563018799</c:v>
                </c:pt>
                <c:pt idx="283">
                  <c:v>-131404.82563018799</c:v>
                </c:pt>
                <c:pt idx="284">
                  <c:v>-126994.82563018799</c:v>
                </c:pt>
                <c:pt idx="285">
                  <c:v>-119369.82563018799</c:v>
                </c:pt>
                <c:pt idx="286">
                  <c:v>-117744.82563018799</c:v>
                </c:pt>
                <c:pt idx="287">
                  <c:v>-119119.82563018799</c:v>
                </c:pt>
                <c:pt idx="288">
                  <c:v>-117234.82563018799</c:v>
                </c:pt>
                <c:pt idx="289">
                  <c:v>-117359.82563018799</c:v>
                </c:pt>
                <c:pt idx="290">
                  <c:v>-118734.82563018799</c:v>
                </c:pt>
                <c:pt idx="291">
                  <c:v>-117469.82563018799</c:v>
                </c:pt>
                <c:pt idx="292">
                  <c:v>-114844.82563018799</c:v>
                </c:pt>
                <c:pt idx="293">
                  <c:v>-108189.82563018799</c:v>
                </c:pt>
                <c:pt idx="294">
                  <c:v>-107174.82563018799</c:v>
                </c:pt>
                <c:pt idx="295">
                  <c:v>-99799.825630187988</c:v>
                </c:pt>
                <c:pt idx="296">
                  <c:v>-92384.825630187988</c:v>
                </c:pt>
                <c:pt idx="297">
                  <c:v>-91137.325630187988</c:v>
                </c:pt>
                <c:pt idx="298">
                  <c:v>-95012.325630187988</c:v>
                </c:pt>
                <c:pt idx="299">
                  <c:v>-104012.32563018799</c:v>
                </c:pt>
                <c:pt idx="300">
                  <c:v>-99137.325630187988</c:v>
                </c:pt>
                <c:pt idx="301">
                  <c:v>-85762.325630187988</c:v>
                </c:pt>
                <c:pt idx="302">
                  <c:v>-102512.32563018799</c:v>
                </c:pt>
                <c:pt idx="303">
                  <c:v>-80137.325630187988</c:v>
                </c:pt>
                <c:pt idx="304">
                  <c:v>-73757.325630187988</c:v>
                </c:pt>
                <c:pt idx="305">
                  <c:v>-52497.325630187988</c:v>
                </c:pt>
                <c:pt idx="306">
                  <c:v>-55232.325630187988</c:v>
                </c:pt>
                <c:pt idx="307">
                  <c:v>-44107.325630187988</c:v>
                </c:pt>
                <c:pt idx="308">
                  <c:v>-46827.325630187988</c:v>
                </c:pt>
                <c:pt idx="309">
                  <c:v>-53077.325630187988</c:v>
                </c:pt>
                <c:pt idx="310">
                  <c:v>-49327.325630187988</c:v>
                </c:pt>
                <c:pt idx="311">
                  <c:v>-48452.325630187988</c:v>
                </c:pt>
                <c:pt idx="312">
                  <c:v>-50077.325630187988</c:v>
                </c:pt>
                <c:pt idx="313">
                  <c:v>-51452.325630187988</c:v>
                </c:pt>
                <c:pt idx="314">
                  <c:v>-52702.325630187988</c:v>
                </c:pt>
                <c:pt idx="315">
                  <c:v>-48077.325630187988</c:v>
                </c:pt>
                <c:pt idx="316">
                  <c:v>-46577.325630187988</c:v>
                </c:pt>
                <c:pt idx="317">
                  <c:v>-52047.325630187988</c:v>
                </c:pt>
                <c:pt idx="318">
                  <c:v>-50297.325630187988</c:v>
                </c:pt>
                <c:pt idx="319">
                  <c:v>-48912.325630187988</c:v>
                </c:pt>
                <c:pt idx="320">
                  <c:v>-49787.325630187988</c:v>
                </c:pt>
                <c:pt idx="321">
                  <c:v>-50912.325630187988</c:v>
                </c:pt>
                <c:pt idx="322">
                  <c:v>-51162.325630187988</c:v>
                </c:pt>
                <c:pt idx="323">
                  <c:v>-52912.325630187988</c:v>
                </c:pt>
                <c:pt idx="324">
                  <c:v>-52347.325630187988</c:v>
                </c:pt>
                <c:pt idx="325">
                  <c:v>-56917.325630187988</c:v>
                </c:pt>
                <c:pt idx="326">
                  <c:v>-51167.325630187988</c:v>
                </c:pt>
                <c:pt idx="327">
                  <c:v>-51167.325630187988</c:v>
                </c:pt>
                <c:pt idx="328">
                  <c:v>-51542.325630187988</c:v>
                </c:pt>
                <c:pt idx="329">
                  <c:v>-50167.325630187988</c:v>
                </c:pt>
                <c:pt idx="330">
                  <c:v>-55042.325630187988</c:v>
                </c:pt>
                <c:pt idx="331">
                  <c:v>-54042.325630187988</c:v>
                </c:pt>
                <c:pt idx="332">
                  <c:v>-52167.325630187988</c:v>
                </c:pt>
                <c:pt idx="333">
                  <c:v>-49667.325630187988</c:v>
                </c:pt>
                <c:pt idx="334">
                  <c:v>-53417.325630187988</c:v>
                </c:pt>
                <c:pt idx="335">
                  <c:v>-52917.325630187988</c:v>
                </c:pt>
                <c:pt idx="336">
                  <c:v>-48042.325630187988</c:v>
                </c:pt>
                <c:pt idx="337">
                  <c:v>-45542.325630187988</c:v>
                </c:pt>
                <c:pt idx="338">
                  <c:v>-44542.325630187988</c:v>
                </c:pt>
                <c:pt idx="339">
                  <c:v>-39417.325630187988</c:v>
                </c:pt>
                <c:pt idx="340">
                  <c:v>-49542.325630187988</c:v>
                </c:pt>
                <c:pt idx="341">
                  <c:v>-54147.325630187988</c:v>
                </c:pt>
                <c:pt idx="342">
                  <c:v>-56697.325630187988</c:v>
                </c:pt>
                <c:pt idx="343">
                  <c:v>-52812.325630187988</c:v>
                </c:pt>
                <c:pt idx="344">
                  <c:v>-51437.325630187988</c:v>
                </c:pt>
                <c:pt idx="345">
                  <c:v>-47187.325630187988</c:v>
                </c:pt>
                <c:pt idx="346">
                  <c:v>-47312.325630187988</c:v>
                </c:pt>
                <c:pt idx="347">
                  <c:v>-55297.325630187988</c:v>
                </c:pt>
                <c:pt idx="348">
                  <c:v>-63252.325630187988</c:v>
                </c:pt>
                <c:pt idx="349">
                  <c:v>-60317.325630187988</c:v>
                </c:pt>
                <c:pt idx="350">
                  <c:v>-58692.325630187988</c:v>
                </c:pt>
                <c:pt idx="351">
                  <c:v>-59942.325630187988</c:v>
                </c:pt>
                <c:pt idx="352">
                  <c:v>-57317.325630187988</c:v>
                </c:pt>
                <c:pt idx="353">
                  <c:v>-60192.325630187988</c:v>
                </c:pt>
                <c:pt idx="354">
                  <c:v>-65692.325630187988</c:v>
                </c:pt>
                <c:pt idx="355">
                  <c:v>-64692.325630187988</c:v>
                </c:pt>
                <c:pt idx="356">
                  <c:v>-60432.325630187988</c:v>
                </c:pt>
                <c:pt idx="357">
                  <c:v>-50297.325630187988</c:v>
                </c:pt>
                <c:pt idx="358">
                  <c:v>-51797.325630187988</c:v>
                </c:pt>
                <c:pt idx="359">
                  <c:v>-47297.325630187988</c:v>
                </c:pt>
                <c:pt idx="360">
                  <c:v>-45672.325630187988</c:v>
                </c:pt>
                <c:pt idx="361">
                  <c:v>-47383.837184906006</c:v>
                </c:pt>
                <c:pt idx="362">
                  <c:v>-48883.837184906006</c:v>
                </c:pt>
                <c:pt idx="363">
                  <c:v>-46758.837184906006</c:v>
                </c:pt>
                <c:pt idx="364">
                  <c:v>-46588.837184906006</c:v>
                </c:pt>
                <c:pt idx="365">
                  <c:v>-49918.837184906006</c:v>
                </c:pt>
                <c:pt idx="366">
                  <c:v>-50793.837184906006</c:v>
                </c:pt>
                <c:pt idx="367">
                  <c:v>-45793.837184906006</c:v>
                </c:pt>
                <c:pt idx="368">
                  <c:v>-48098.081407546997</c:v>
                </c:pt>
                <c:pt idx="369">
                  <c:v>-44973.081407546997</c:v>
                </c:pt>
                <c:pt idx="370">
                  <c:v>-51383.459296226501</c:v>
                </c:pt>
                <c:pt idx="371">
                  <c:v>-52928.270351886749</c:v>
                </c:pt>
                <c:pt idx="372">
                  <c:v>-56928.270351886749</c:v>
                </c:pt>
                <c:pt idx="373">
                  <c:v>-52905.864824056625</c:v>
                </c:pt>
                <c:pt idx="374">
                  <c:v>-60655.864824056625</c:v>
                </c:pt>
                <c:pt idx="375">
                  <c:v>-61125.864824056625</c:v>
                </c:pt>
                <c:pt idx="376">
                  <c:v>-68375.864824056625</c:v>
                </c:pt>
                <c:pt idx="377">
                  <c:v>-65000.864824056625</c:v>
                </c:pt>
                <c:pt idx="378">
                  <c:v>-61750.864824056625</c:v>
                </c:pt>
                <c:pt idx="379">
                  <c:v>-66464.567587971687</c:v>
                </c:pt>
                <c:pt idx="380">
                  <c:v>-69839.567587971687</c:v>
                </c:pt>
                <c:pt idx="381">
                  <c:v>-64944.567587971687</c:v>
                </c:pt>
                <c:pt idx="382">
                  <c:v>-61187.067587971687</c:v>
                </c:pt>
                <c:pt idx="383">
                  <c:v>-59177.067587971687</c:v>
                </c:pt>
                <c:pt idx="384">
                  <c:v>-62802.067587971687</c:v>
                </c:pt>
                <c:pt idx="385">
                  <c:v>-64677.067587971687</c:v>
                </c:pt>
                <c:pt idx="386">
                  <c:v>-64963.966206014156</c:v>
                </c:pt>
                <c:pt idx="387">
                  <c:v>-61445.516896992922</c:v>
                </c:pt>
                <c:pt idx="388">
                  <c:v>-61445.516896992922</c:v>
                </c:pt>
                <c:pt idx="389">
                  <c:v>-78555.516896992922</c:v>
                </c:pt>
                <c:pt idx="390">
                  <c:v>-80754.741551503539</c:v>
                </c:pt>
                <c:pt idx="391">
                  <c:v>-82400.12922424823</c:v>
                </c:pt>
                <c:pt idx="392">
                  <c:v>-84577.435387875885</c:v>
                </c:pt>
                <c:pt idx="393">
                  <c:v>-91988.782306062058</c:v>
                </c:pt>
                <c:pt idx="394">
                  <c:v>-94113.782306062058</c:v>
                </c:pt>
                <c:pt idx="395">
                  <c:v>-97238.782306062058</c:v>
                </c:pt>
                <c:pt idx="396">
                  <c:v>-102113.78230606206</c:v>
                </c:pt>
                <c:pt idx="397">
                  <c:v>-106720.60884696897</c:v>
                </c:pt>
                <c:pt idx="398">
                  <c:v>-112080.60884696897</c:v>
                </c:pt>
                <c:pt idx="399">
                  <c:v>-110847.19557651551</c:v>
                </c:pt>
                <c:pt idx="400">
                  <c:v>-115847.19557651551</c:v>
                </c:pt>
                <c:pt idx="401">
                  <c:v>-115088.90221174224</c:v>
                </c:pt>
                <c:pt idx="402">
                  <c:v>-112213.90221174224</c:v>
                </c:pt>
                <c:pt idx="403">
                  <c:v>-118588.90221174224</c:v>
                </c:pt>
                <c:pt idx="404">
                  <c:v>-125093.04889412888</c:v>
                </c:pt>
                <c:pt idx="405">
                  <c:v>-128965.97555293556</c:v>
                </c:pt>
                <c:pt idx="406">
                  <c:v>-128529.51222353222</c:v>
                </c:pt>
                <c:pt idx="407">
                  <c:v>-129654.51222353222</c:v>
                </c:pt>
                <c:pt idx="408">
                  <c:v>-128029.51222353222</c:v>
                </c:pt>
                <c:pt idx="409">
                  <c:v>-123029.51222353222</c:v>
                </c:pt>
                <c:pt idx="410">
                  <c:v>-129279.51222353222</c:v>
                </c:pt>
                <c:pt idx="411">
                  <c:v>-130404.51222353222</c:v>
                </c:pt>
                <c:pt idx="412">
                  <c:v>-132904.51222353222</c:v>
                </c:pt>
                <c:pt idx="413">
                  <c:v>-136279.51222353222</c:v>
                </c:pt>
                <c:pt idx="414">
                  <c:v>-132029.51222353222</c:v>
                </c:pt>
                <c:pt idx="415">
                  <c:v>-134279.51222353222</c:v>
                </c:pt>
                <c:pt idx="416">
                  <c:v>-131247.7438882339</c:v>
                </c:pt>
                <c:pt idx="417">
                  <c:v>-133247.7438882339</c:v>
                </c:pt>
                <c:pt idx="418">
                  <c:v>-136122.7438882339</c:v>
                </c:pt>
                <c:pt idx="419">
                  <c:v>-134826.12805588305</c:v>
                </c:pt>
                <c:pt idx="420">
                  <c:v>-133076.12805588305</c:v>
                </c:pt>
                <c:pt idx="421">
                  <c:v>-133451.12805588305</c:v>
                </c:pt>
                <c:pt idx="422">
                  <c:v>-131576.12805588305</c:v>
                </c:pt>
                <c:pt idx="423">
                  <c:v>-129701.12805588305</c:v>
                </c:pt>
                <c:pt idx="424">
                  <c:v>-131951.12805588305</c:v>
                </c:pt>
                <c:pt idx="425">
                  <c:v>-131576.12805588305</c:v>
                </c:pt>
                <c:pt idx="426">
                  <c:v>-135056.12805588305</c:v>
                </c:pt>
                <c:pt idx="427">
                  <c:v>-131868.62805588305</c:v>
                </c:pt>
                <c:pt idx="428">
                  <c:v>-130493.62805588305</c:v>
                </c:pt>
                <c:pt idx="429">
                  <c:v>-132743.62805588305</c:v>
                </c:pt>
                <c:pt idx="430">
                  <c:v>-134868.62805588305</c:v>
                </c:pt>
                <c:pt idx="431">
                  <c:v>-133463.62805588305</c:v>
                </c:pt>
                <c:pt idx="432">
                  <c:v>-139688.62805588305</c:v>
                </c:pt>
                <c:pt idx="433">
                  <c:v>-133188.62805588305</c:v>
                </c:pt>
                <c:pt idx="434">
                  <c:v>-135605.68597205848</c:v>
                </c:pt>
                <c:pt idx="435">
                  <c:v>-135105.68597205848</c:v>
                </c:pt>
                <c:pt idx="436">
                  <c:v>-112980.68597205848</c:v>
                </c:pt>
                <c:pt idx="437">
                  <c:v>-120394.65701397076</c:v>
                </c:pt>
                <c:pt idx="438">
                  <c:v>-125209.65701397076</c:v>
                </c:pt>
                <c:pt idx="439">
                  <c:v>-132209.65701397078</c:v>
                </c:pt>
                <c:pt idx="440">
                  <c:v>-134709.65701397078</c:v>
                </c:pt>
                <c:pt idx="441">
                  <c:v>-132584.65701397078</c:v>
                </c:pt>
                <c:pt idx="442">
                  <c:v>-139709.65701397078</c:v>
                </c:pt>
                <c:pt idx="443">
                  <c:v>-139709.65701397078</c:v>
                </c:pt>
                <c:pt idx="444">
                  <c:v>-133834.65701397078</c:v>
                </c:pt>
                <c:pt idx="445">
                  <c:v>-131584.65701397078</c:v>
                </c:pt>
                <c:pt idx="446">
                  <c:v>-135084.65701397078</c:v>
                </c:pt>
                <c:pt idx="447">
                  <c:v>-138084.65701397078</c:v>
                </c:pt>
                <c:pt idx="448">
                  <c:v>-146084.65701397078</c:v>
                </c:pt>
                <c:pt idx="449">
                  <c:v>-149834.65701397078</c:v>
                </c:pt>
                <c:pt idx="450">
                  <c:v>-156709.65701397078</c:v>
                </c:pt>
                <c:pt idx="451">
                  <c:v>-151709.65701397078</c:v>
                </c:pt>
                <c:pt idx="452">
                  <c:v>-156584.65701397078</c:v>
                </c:pt>
                <c:pt idx="453">
                  <c:v>-160334.65701397078</c:v>
                </c:pt>
                <c:pt idx="454">
                  <c:v>-157084.65701397078</c:v>
                </c:pt>
                <c:pt idx="455">
                  <c:v>-162334.65701397078</c:v>
                </c:pt>
                <c:pt idx="456">
                  <c:v>-163584.65701397078</c:v>
                </c:pt>
                <c:pt idx="457">
                  <c:v>-163209.65701397078</c:v>
                </c:pt>
                <c:pt idx="458">
                  <c:v>-160584.65701397078</c:v>
                </c:pt>
                <c:pt idx="459">
                  <c:v>-146584.65701397078</c:v>
                </c:pt>
                <c:pt idx="460">
                  <c:v>-135709.65701397078</c:v>
                </c:pt>
                <c:pt idx="461">
                  <c:v>-132709.65701397078</c:v>
                </c:pt>
                <c:pt idx="462">
                  <c:v>-128304.65701397078</c:v>
                </c:pt>
                <c:pt idx="463">
                  <c:v>-154899.65701397078</c:v>
                </c:pt>
                <c:pt idx="464">
                  <c:v>-117149.65701397078</c:v>
                </c:pt>
                <c:pt idx="465">
                  <c:v>-95180.171493014626</c:v>
                </c:pt>
                <c:pt idx="466">
                  <c:v>-115759.91425349271</c:v>
                </c:pt>
                <c:pt idx="467">
                  <c:v>-115109.91425349271</c:v>
                </c:pt>
                <c:pt idx="468">
                  <c:v>-119594.91425349271</c:v>
                </c:pt>
                <c:pt idx="469">
                  <c:v>-118594.91425349271</c:v>
                </c:pt>
                <c:pt idx="470">
                  <c:v>-108094.91425349271</c:v>
                </c:pt>
                <c:pt idx="471">
                  <c:v>-112084.91425349271</c:v>
                </c:pt>
                <c:pt idx="472">
                  <c:v>-104459.91425349271</c:v>
                </c:pt>
                <c:pt idx="473">
                  <c:v>-111449.91425349271</c:v>
                </c:pt>
                <c:pt idx="474">
                  <c:v>-99324.914253492709</c:v>
                </c:pt>
                <c:pt idx="475">
                  <c:v>-95074.914253492709</c:v>
                </c:pt>
                <c:pt idx="476">
                  <c:v>-87324.914253492709</c:v>
                </c:pt>
                <c:pt idx="477">
                  <c:v>-84324.914253492709</c:v>
                </c:pt>
                <c:pt idx="478">
                  <c:v>-85199.914253492709</c:v>
                </c:pt>
                <c:pt idx="479">
                  <c:v>-84324.914253492709</c:v>
                </c:pt>
                <c:pt idx="480">
                  <c:v>-89949.914253492709</c:v>
                </c:pt>
                <c:pt idx="481">
                  <c:v>-83044.914253492709</c:v>
                </c:pt>
                <c:pt idx="482">
                  <c:v>-81669.914253492709</c:v>
                </c:pt>
                <c:pt idx="483">
                  <c:v>-81419.914253492709</c:v>
                </c:pt>
                <c:pt idx="484">
                  <c:v>-79050.042873253653</c:v>
                </c:pt>
                <c:pt idx="485">
                  <c:v>-75550.042873253653</c:v>
                </c:pt>
                <c:pt idx="486">
                  <c:v>-77344.978563373195</c:v>
                </c:pt>
                <c:pt idx="487">
                  <c:v>-76469.978563373195</c:v>
                </c:pt>
                <c:pt idx="488">
                  <c:v>-77719.978563373195</c:v>
                </c:pt>
                <c:pt idx="489">
                  <c:v>-73719.978563373195</c:v>
                </c:pt>
                <c:pt idx="490">
                  <c:v>-74204.978563373195</c:v>
                </c:pt>
                <c:pt idx="491">
                  <c:v>-74227.51071831341</c:v>
                </c:pt>
                <c:pt idx="492">
                  <c:v>-75051.244640843317</c:v>
                </c:pt>
                <c:pt idx="493">
                  <c:v>-73291.244640843317</c:v>
                </c:pt>
                <c:pt idx="494">
                  <c:v>-84291.244640843317</c:v>
                </c:pt>
                <c:pt idx="495">
                  <c:v>-75291.244640843317</c:v>
                </c:pt>
                <c:pt idx="496">
                  <c:v>-68291.244640843317</c:v>
                </c:pt>
                <c:pt idx="497">
                  <c:v>-70536.244640843317</c:v>
                </c:pt>
                <c:pt idx="498">
                  <c:v>-68911.244640843317</c:v>
                </c:pt>
                <c:pt idx="499">
                  <c:v>-72376.244640843317</c:v>
                </c:pt>
                <c:pt idx="500">
                  <c:v>-76866.244640843317</c:v>
                </c:pt>
                <c:pt idx="501">
                  <c:v>-77726.244640843317</c:v>
                </c:pt>
                <c:pt idx="502">
                  <c:v>-66961.244640843317</c:v>
                </c:pt>
                <c:pt idx="503">
                  <c:v>-64306.244640843317</c:v>
                </c:pt>
                <c:pt idx="504">
                  <c:v>-70521.244640843317</c:v>
                </c:pt>
                <c:pt idx="505">
                  <c:v>-62771.244640843317</c:v>
                </c:pt>
                <c:pt idx="506">
                  <c:v>-67396.244640843317</c:v>
                </c:pt>
                <c:pt idx="507">
                  <c:v>-51991.244640843317</c:v>
                </c:pt>
                <c:pt idx="508">
                  <c:v>-36449.377679578363</c:v>
                </c:pt>
                <c:pt idx="509">
                  <c:v>-38210.311160210826</c:v>
                </c:pt>
                <c:pt idx="510">
                  <c:v>-39585.311160210826</c:v>
                </c:pt>
                <c:pt idx="511">
                  <c:v>-36710.311160210826</c:v>
                </c:pt>
                <c:pt idx="512">
                  <c:v>-35079.844419894609</c:v>
                </c:pt>
                <c:pt idx="513">
                  <c:v>-35204.844419894609</c:v>
                </c:pt>
                <c:pt idx="514">
                  <c:v>-31457.577790052703</c:v>
                </c:pt>
                <c:pt idx="515">
                  <c:v>-30906.21110497367</c:v>
                </c:pt>
                <c:pt idx="516">
                  <c:v>-32553.71110497367</c:v>
                </c:pt>
                <c:pt idx="517">
                  <c:v>-31005.644447513172</c:v>
                </c:pt>
                <c:pt idx="518">
                  <c:v>-28755.644447513172</c:v>
                </c:pt>
                <c:pt idx="519">
                  <c:v>-29255.644447513172</c:v>
                </c:pt>
                <c:pt idx="520">
                  <c:v>-33130.644447513172</c:v>
                </c:pt>
                <c:pt idx="521">
                  <c:v>-46127.177776243436</c:v>
                </c:pt>
                <c:pt idx="522">
                  <c:v>-44872.177776243436</c:v>
                </c:pt>
                <c:pt idx="523">
                  <c:v>-45747.177776243436</c:v>
                </c:pt>
                <c:pt idx="524">
                  <c:v>-37572.177776243436</c:v>
                </c:pt>
                <c:pt idx="525">
                  <c:v>-38947.177776243436</c:v>
                </c:pt>
                <c:pt idx="526">
                  <c:v>-52437.177776243436</c:v>
                </c:pt>
                <c:pt idx="527">
                  <c:v>-55437.177776243436</c:v>
                </c:pt>
                <c:pt idx="528">
                  <c:v>-54797.177776243436</c:v>
                </c:pt>
                <c:pt idx="529">
                  <c:v>-53407.177776243436</c:v>
                </c:pt>
                <c:pt idx="530">
                  <c:v>-63952.177776243436</c:v>
                </c:pt>
                <c:pt idx="531">
                  <c:v>-59782.177776243436</c:v>
                </c:pt>
                <c:pt idx="532">
                  <c:v>-61576.411111878304</c:v>
                </c:pt>
                <c:pt idx="533">
                  <c:v>-58186.411111878304</c:v>
                </c:pt>
                <c:pt idx="534">
                  <c:v>-57061.411111878304</c:v>
                </c:pt>
                <c:pt idx="535">
                  <c:v>-56781.411111878304</c:v>
                </c:pt>
                <c:pt idx="536">
                  <c:v>-60376.411111878304</c:v>
                </c:pt>
                <c:pt idx="537">
                  <c:v>-66758.911111878304</c:v>
                </c:pt>
                <c:pt idx="538">
                  <c:v>-66008.911111878304</c:v>
                </c:pt>
                <c:pt idx="539">
                  <c:v>-65383.911111878304</c:v>
                </c:pt>
                <c:pt idx="540">
                  <c:v>-66508.911111878304</c:v>
                </c:pt>
                <c:pt idx="541">
                  <c:v>-70448.911111878304</c:v>
                </c:pt>
                <c:pt idx="542">
                  <c:v>-66058.911111878304</c:v>
                </c:pt>
                <c:pt idx="543">
                  <c:v>-66795.54444406087</c:v>
                </c:pt>
                <c:pt idx="544">
                  <c:v>-67415.54444406087</c:v>
                </c:pt>
                <c:pt idx="545">
                  <c:v>-80615.54444406087</c:v>
                </c:pt>
                <c:pt idx="546">
                  <c:v>-87240.54444406087</c:v>
                </c:pt>
                <c:pt idx="547">
                  <c:v>-85740.54444406087</c:v>
                </c:pt>
                <c:pt idx="548">
                  <c:v>-86365.54444406087</c:v>
                </c:pt>
                <c:pt idx="549">
                  <c:v>-82365.54444406087</c:v>
                </c:pt>
                <c:pt idx="550">
                  <c:v>-84115.54444406087</c:v>
                </c:pt>
                <c:pt idx="551">
                  <c:v>-84115.54444406087</c:v>
                </c:pt>
                <c:pt idx="552">
                  <c:v>-86240.54444406087</c:v>
                </c:pt>
                <c:pt idx="553">
                  <c:v>-84990.54444406087</c:v>
                </c:pt>
                <c:pt idx="554">
                  <c:v>-83990.54444406087</c:v>
                </c:pt>
                <c:pt idx="555">
                  <c:v>-84490.54444406087</c:v>
                </c:pt>
                <c:pt idx="556">
                  <c:v>-92220.54444406087</c:v>
                </c:pt>
                <c:pt idx="557">
                  <c:v>-82170.54444406087</c:v>
                </c:pt>
                <c:pt idx="558">
                  <c:v>-84670.54444406087</c:v>
                </c:pt>
                <c:pt idx="559">
                  <c:v>-93075.54444406087</c:v>
                </c:pt>
                <c:pt idx="560">
                  <c:v>-95000.54444406087</c:v>
                </c:pt>
                <c:pt idx="561">
                  <c:v>-85095.54444406087</c:v>
                </c:pt>
                <c:pt idx="562">
                  <c:v>-82095.54444406087</c:v>
                </c:pt>
                <c:pt idx="563">
                  <c:v>-101855.54444406087</c:v>
                </c:pt>
                <c:pt idx="564">
                  <c:v>-107350.54444406087</c:v>
                </c:pt>
                <c:pt idx="565">
                  <c:v>-106350.54444406087</c:v>
                </c:pt>
                <c:pt idx="566">
                  <c:v>-106600.54444406087</c:v>
                </c:pt>
                <c:pt idx="567">
                  <c:v>-105975.54444406087</c:v>
                </c:pt>
                <c:pt idx="568">
                  <c:v>-109600.54444406087</c:v>
                </c:pt>
                <c:pt idx="569">
                  <c:v>-106725.54444406087</c:v>
                </c:pt>
                <c:pt idx="570">
                  <c:v>-108100.54444406087</c:v>
                </c:pt>
                <c:pt idx="571">
                  <c:v>-105725.54444406087</c:v>
                </c:pt>
                <c:pt idx="572">
                  <c:v>-106725.54444406087</c:v>
                </c:pt>
                <c:pt idx="573">
                  <c:v>-110850.54444406087</c:v>
                </c:pt>
                <c:pt idx="574">
                  <c:v>-112100.54444406087</c:v>
                </c:pt>
                <c:pt idx="575">
                  <c:v>-116100.54444406087</c:v>
                </c:pt>
                <c:pt idx="576">
                  <c:v>-115100.54444406087</c:v>
                </c:pt>
                <c:pt idx="577">
                  <c:v>-115100.54444406087</c:v>
                </c:pt>
                <c:pt idx="578">
                  <c:v>-108350.54444406087</c:v>
                </c:pt>
                <c:pt idx="579">
                  <c:v>-105975.54444406087</c:v>
                </c:pt>
                <c:pt idx="580">
                  <c:v>-104975.54444406087</c:v>
                </c:pt>
                <c:pt idx="581">
                  <c:v>-103725.54444406087</c:v>
                </c:pt>
                <c:pt idx="582">
                  <c:v>-105850.54444406087</c:v>
                </c:pt>
                <c:pt idx="583">
                  <c:v>-105975.54444406087</c:v>
                </c:pt>
                <c:pt idx="584">
                  <c:v>-104475.54444406087</c:v>
                </c:pt>
                <c:pt idx="585">
                  <c:v>-112975.54444406087</c:v>
                </c:pt>
                <c:pt idx="586">
                  <c:v>-109075.54444406087</c:v>
                </c:pt>
                <c:pt idx="587">
                  <c:v>-106200.54444406087</c:v>
                </c:pt>
                <c:pt idx="588">
                  <c:v>-105075.54444406087</c:v>
                </c:pt>
                <c:pt idx="589">
                  <c:v>-107075.54444406087</c:v>
                </c:pt>
                <c:pt idx="590">
                  <c:v>-108325.54444406087</c:v>
                </c:pt>
                <c:pt idx="591">
                  <c:v>-110700.54444406087</c:v>
                </c:pt>
                <c:pt idx="592">
                  <c:v>-110450.54444406087</c:v>
                </c:pt>
                <c:pt idx="593">
                  <c:v>-111700.54444406087</c:v>
                </c:pt>
                <c:pt idx="594">
                  <c:v>-113825.54444406087</c:v>
                </c:pt>
                <c:pt idx="595">
                  <c:v>-112575.54444406087</c:v>
                </c:pt>
                <c:pt idx="596">
                  <c:v>-112075.54444406087</c:v>
                </c:pt>
                <c:pt idx="597">
                  <c:v>-110950.54444406087</c:v>
                </c:pt>
                <c:pt idx="598">
                  <c:v>-110450.54444406087</c:v>
                </c:pt>
                <c:pt idx="599">
                  <c:v>-110325.54444406087</c:v>
                </c:pt>
                <c:pt idx="600">
                  <c:v>-113200.54444406087</c:v>
                </c:pt>
                <c:pt idx="601">
                  <c:v>-113450.54444406087</c:v>
                </c:pt>
                <c:pt idx="602">
                  <c:v>-112200.54444406087</c:v>
                </c:pt>
                <c:pt idx="603">
                  <c:v>-117700.54444406087</c:v>
                </c:pt>
                <c:pt idx="604">
                  <c:v>-120450.54444406087</c:v>
                </c:pt>
                <c:pt idx="605">
                  <c:v>-119950.54444406087</c:v>
                </c:pt>
                <c:pt idx="606">
                  <c:v>-117825.54444406087</c:v>
                </c:pt>
                <c:pt idx="607">
                  <c:v>-119075.54444406087</c:v>
                </c:pt>
                <c:pt idx="608">
                  <c:v>-124195.54444406087</c:v>
                </c:pt>
                <c:pt idx="609">
                  <c:v>-122945.54444406087</c:v>
                </c:pt>
                <c:pt idx="610">
                  <c:v>-125810.54444406087</c:v>
                </c:pt>
                <c:pt idx="611">
                  <c:v>-122685.54444406087</c:v>
                </c:pt>
                <c:pt idx="612">
                  <c:v>-124310.54444406087</c:v>
                </c:pt>
                <c:pt idx="613">
                  <c:v>-123935.54444406087</c:v>
                </c:pt>
                <c:pt idx="614">
                  <c:v>-124810.54444406087</c:v>
                </c:pt>
                <c:pt idx="615">
                  <c:v>-122685.54444406087</c:v>
                </c:pt>
                <c:pt idx="616">
                  <c:v>-123310.54444406087</c:v>
                </c:pt>
                <c:pt idx="617">
                  <c:v>-119310.54444406087</c:v>
                </c:pt>
                <c:pt idx="618">
                  <c:v>-120685.54444406087</c:v>
                </c:pt>
                <c:pt idx="619">
                  <c:v>-114425.54444406087</c:v>
                </c:pt>
                <c:pt idx="620">
                  <c:v>-121300.54444406087</c:v>
                </c:pt>
                <c:pt idx="621">
                  <c:v>-123050.54444406087</c:v>
                </c:pt>
                <c:pt idx="622">
                  <c:v>-118800.54444406087</c:v>
                </c:pt>
                <c:pt idx="623">
                  <c:v>-122675.54444406087</c:v>
                </c:pt>
                <c:pt idx="624">
                  <c:v>-122050.54444406087</c:v>
                </c:pt>
                <c:pt idx="625">
                  <c:v>-129275.54444406087</c:v>
                </c:pt>
                <c:pt idx="626">
                  <c:v>-130150.54444406087</c:v>
                </c:pt>
                <c:pt idx="627">
                  <c:v>-128375.54444406087</c:v>
                </c:pt>
                <c:pt idx="628">
                  <c:v>-132250.54444406088</c:v>
                </c:pt>
                <c:pt idx="629">
                  <c:v>-130125.54444406088</c:v>
                </c:pt>
                <c:pt idx="630">
                  <c:v>-122240.54444406088</c:v>
                </c:pt>
                <c:pt idx="631">
                  <c:v>-124240.54444406088</c:v>
                </c:pt>
                <c:pt idx="632">
                  <c:v>-117550.54444406088</c:v>
                </c:pt>
                <c:pt idx="633">
                  <c:v>-118915.54444406088</c:v>
                </c:pt>
                <c:pt idx="634">
                  <c:v>-119280.54444406088</c:v>
                </c:pt>
                <c:pt idx="635">
                  <c:v>-118780.54444406088</c:v>
                </c:pt>
                <c:pt idx="636">
                  <c:v>-113905.54444406088</c:v>
                </c:pt>
                <c:pt idx="637">
                  <c:v>-113280.54444406088</c:v>
                </c:pt>
                <c:pt idx="638">
                  <c:v>-109155.54444406088</c:v>
                </c:pt>
                <c:pt idx="639">
                  <c:v>-107270.54444406088</c:v>
                </c:pt>
                <c:pt idx="640">
                  <c:v>-115020.54444406088</c:v>
                </c:pt>
                <c:pt idx="641">
                  <c:v>-118250.54444406088</c:v>
                </c:pt>
                <c:pt idx="642">
                  <c:v>-116835.54444406088</c:v>
                </c:pt>
                <c:pt idx="643">
                  <c:v>-123085.54444406088</c:v>
                </c:pt>
                <c:pt idx="644">
                  <c:v>-117085.54444406088</c:v>
                </c:pt>
                <c:pt idx="645">
                  <c:v>-106300.54444406088</c:v>
                </c:pt>
                <c:pt idx="646">
                  <c:v>-104530.54444406088</c:v>
                </c:pt>
                <c:pt idx="647">
                  <c:v>-96915.544444060884</c:v>
                </c:pt>
                <c:pt idx="648">
                  <c:v>-89825.544444060884</c:v>
                </c:pt>
                <c:pt idx="649">
                  <c:v>-94930.544444060884</c:v>
                </c:pt>
                <c:pt idx="650">
                  <c:v>-78955.544444060884</c:v>
                </c:pt>
                <c:pt idx="651">
                  <c:v>-89060.544444060884</c:v>
                </c:pt>
                <c:pt idx="652">
                  <c:v>-65810.544444060884</c:v>
                </c:pt>
                <c:pt idx="653">
                  <c:v>-68310.544444060884</c:v>
                </c:pt>
                <c:pt idx="654">
                  <c:v>-66935.544444060884</c:v>
                </c:pt>
                <c:pt idx="655">
                  <c:v>-74050.544444060884</c:v>
                </c:pt>
                <c:pt idx="656">
                  <c:v>-69175.544444060884</c:v>
                </c:pt>
                <c:pt idx="657">
                  <c:v>-55175.544444060884</c:v>
                </c:pt>
                <c:pt idx="658">
                  <c:v>-46395.544444060884</c:v>
                </c:pt>
                <c:pt idx="659">
                  <c:v>-38270.544444060884</c:v>
                </c:pt>
                <c:pt idx="660">
                  <c:v>-50510.544444060884</c:v>
                </c:pt>
                <c:pt idx="661">
                  <c:v>-51635.544444060884</c:v>
                </c:pt>
                <c:pt idx="662">
                  <c:v>-50385.544444060884</c:v>
                </c:pt>
                <c:pt idx="663">
                  <c:v>-56730.544444060884</c:v>
                </c:pt>
                <c:pt idx="664">
                  <c:v>-62470.544444060884</c:v>
                </c:pt>
                <c:pt idx="665">
                  <c:v>-62595.544444060884</c:v>
                </c:pt>
                <c:pt idx="666">
                  <c:v>-63095.544444060884</c:v>
                </c:pt>
                <c:pt idx="667">
                  <c:v>-63595.544444060884</c:v>
                </c:pt>
                <c:pt idx="668">
                  <c:v>-66210.544444060884</c:v>
                </c:pt>
                <c:pt idx="669">
                  <c:v>-74210.544444060884</c:v>
                </c:pt>
                <c:pt idx="670">
                  <c:v>-83239.727777969587</c:v>
                </c:pt>
                <c:pt idx="671">
                  <c:v>-81479.727777969587</c:v>
                </c:pt>
                <c:pt idx="672">
                  <c:v>-79220.136111015236</c:v>
                </c:pt>
                <c:pt idx="673">
                  <c:v>-77349.931944492419</c:v>
                </c:pt>
                <c:pt idx="674">
                  <c:v>-81099.931944492419</c:v>
                </c:pt>
                <c:pt idx="675">
                  <c:v>-83660.03402775382</c:v>
                </c:pt>
                <c:pt idx="676">
                  <c:v>-77785.03402775382</c:v>
                </c:pt>
                <c:pt idx="677">
                  <c:v>-77535.03402775382</c:v>
                </c:pt>
                <c:pt idx="678">
                  <c:v>-75942.482986123126</c:v>
                </c:pt>
                <c:pt idx="679">
                  <c:v>-64978.758506938466</c:v>
                </c:pt>
                <c:pt idx="680">
                  <c:v>-69478.758506938466</c:v>
                </c:pt>
                <c:pt idx="681">
                  <c:v>-100718.75850693847</c:v>
                </c:pt>
                <c:pt idx="682">
                  <c:v>-92673.758506938466</c:v>
                </c:pt>
                <c:pt idx="683">
                  <c:v>-91673.758506938466</c:v>
                </c:pt>
                <c:pt idx="684">
                  <c:v>-90048.758506938466</c:v>
                </c:pt>
                <c:pt idx="685">
                  <c:v>-89923.758506938466</c:v>
                </c:pt>
                <c:pt idx="686">
                  <c:v>-89278.758506938466</c:v>
                </c:pt>
                <c:pt idx="687">
                  <c:v>-89583.758506938466</c:v>
                </c:pt>
                <c:pt idx="688">
                  <c:v>-92458.758506938466</c:v>
                </c:pt>
                <c:pt idx="689">
                  <c:v>-90208.758506938466</c:v>
                </c:pt>
                <c:pt idx="690">
                  <c:v>-93443.758506938466</c:v>
                </c:pt>
                <c:pt idx="691">
                  <c:v>-93818.758506938466</c:v>
                </c:pt>
                <c:pt idx="692">
                  <c:v>-93568.758506938466</c:v>
                </c:pt>
                <c:pt idx="693">
                  <c:v>-92443.758506938466</c:v>
                </c:pt>
                <c:pt idx="694">
                  <c:v>-93068.758506938466</c:v>
                </c:pt>
                <c:pt idx="695">
                  <c:v>-95438.758506938466</c:v>
                </c:pt>
                <c:pt idx="696">
                  <c:v>-96813.758506938466</c:v>
                </c:pt>
                <c:pt idx="697">
                  <c:v>-99298.758506938466</c:v>
                </c:pt>
                <c:pt idx="698">
                  <c:v>-98268.758506938466</c:v>
                </c:pt>
                <c:pt idx="699">
                  <c:v>-97768.758506938466</c:v>
                </c:pt>
                <c:pt idx="700">
                  <c:v>-95475.620746530796</c:v>
                </c:pt>
                <c:pt idx="701">
                  <c:v>-94350.620746530796</c:v>
                </c:pt>
                <c:pt idx="702">
                  <c:v>-91555.620746530796</c:v>
                </c:pt>
                <c:pt idx="703">
                  <c:v>-88180.620746530796</c:v>
                </c:pt>
                <c:pt idx="704">
                  <c:v>-67655.620746530796</c:v>
                </c:pt>
                <c:pt idx="705">
                  <c:v>-70905.620746530796</c:v>
                </c:pt>
                <c:pt idx="706">
                  <c:v>-75655.620746530796</c:v>
                </c:pt>
                <c:pt idx="707">
                  <c:v>-81645.620746530796</c:v>
                </c:pt>
                <c:pt idx="708">
                  <c:v>-87605.620746530796</c:v>
                </c:pt>
                <c:pt idx="709">
                  <c:v>-81355.620746530796</c:v>
                </c:pt>
                <c:pt idx="710">
                  <c:v>-85230.620746530796</c:v>
                </c:pt>
                <c:pt idx="711">
                  <c:v>-82220.620746530796</c:v>
                </c:pt>
                <c:pt idx="712">
                  <c:v>-84220.620746530796</c:v>
                </c:pt>
                <c:pt idx="713">
                  <c:v>-76835.620746530796</c:v>
                </c:pt>
                <c:pt idx="714">
                  <c:v>-78585.620746530796</c:v>
                </c:pt>
                <c:pt idx="715">
                  <c:v>-76335.620746530796</c:v>
                </c:pt>
                <c:pt idx="716">
                  <c:v>-76960.620746530796</c:v>
                </c:pt>
                <c:pt idx="717">
                  <c:v>-69960.620746530796</c:v>
                </c:pt>
                <c:pt idx="718">
                  <c:v>-69479.689626734631</c:v>
                </c:pt>
                <c:pt idx="719">
                  <c:v>-63970.155186632706</c:v>
                </c:pt>
                <c:pt idx="720">
                  <c:v>-62569.922406683676</c:v>
                </c:pt>
                <c:pt idx="721">
                  <c:v>-64444.922406683676</c:v>
                </c:pt>
                <c:pt idx="722">
                  <c:v>-70914.922406683676</c:v>
                </c:pt>
                <c:pt idx="723">
                  <c:v>-85484.922406683676</c:v>
                </c:pt>
                <c:pt idx="724">
                  <c:v>-86324.922406683676</c:v>
                </c:pt>
                <c:pt idx="725">
                  <c:v>-81324.922406683676</c:v>
                </c:pt>
                <c:pt idx="726">
                  <c:v>-86889.922406683676</c:v>
                </c:pt>
                <c:pt idx="727">
                  <c:v>-85009.922406683676</c:v>
                </c:pt>
                <c:pt idx="728">
                  <c:v>-86884.922406683676</c:v>
                </c:pt>
                <c:pt idx="729">
                  <c:v>-82884.922406683676</c:v>
                </c:pt>
                <c:pt idx="730">
                  <c:v>-85052.538796658191</c:v>
                </c:pt>
                <c:pt idx="731">
                  <c:v>-85512.538796658191</c:v>
                </c:pt>
                <c:pt idx="732">
                  <c:v>-86992.538796658191</c:v>
                </c:pt>
                <c:pt idx="733">
                  <c:v>-88117.538796658191</c:v>
                </c:pt>
                <c:pt idx="734">
                  <c:v>-81112.538796658191</c:v>
                </c:pt>
                <c:pt idx="735">
                  <c:v>-84232.538796658191</c:v>
                </c:pt>
                <c:pt idx="736">
                  <c:v>-88982.538796658191</c:v>
                </c:pt>
                <c:pt idx="737">
                  <c:v>-84607.538796658191</c:v>
                </c:pt>
                <c:pt idx="738">
                  <c:v>-82327.538796658191</c:v>
                </c:pt>
                <c:pt idx="739">
                  <c:v>-81452.538796658191</c:v>
                </c:pt>
                <c:pt idx="740">
                  <c:v>-81077.538796658191</c:v>
                </c:pt>
                <c:pt idx="741">
                  <c:v>-80192.538796658191</c:v>
                </c:pt>
                <c:pt idx="742">
                  <c:v>-86507.538796658191</c:v>
                </c:pt>
                <c:pt idx="743">
                  <c:v>-89932.538796658191</c:v>
                </c:pt>
                <c:pt idx="744">
                  <c:v>-83172.538796658191</c:v>
                </c:pt>
                <c:pt idx="745">
                  <c:v>-75438.730601670934</c:v>
                </c:pt>
                <c:pt idx="746">
                  <c:v>-81495.63469916457</c:v>
                </c:pt>
                <c:pt idx="747">
                  <c:v>-80745.63469916457</c:v>
                </c:pt>
                <c:pt idx="748">
                  <c:v>-87120.63469916457</c:v>
                </c:pt>
                <c:pt idx="749">
                  <c:v>-87495.63469916457</c:v>
                </c:pt>
                <c:pt idx="750">
                  <c:v>-83745.63469916457</c:v>
                </c:pt>
                <c:pt idx="751">
                  <c:v>-80465.63469916457</c:v>
                </c:pt>
                <c:pt idx="752">
                  <c:v>-75405.63469916457</c:v>
                </c:pt>
                <c:pt idx="753">
                  <c:v>-75760.63469916457</c:v>
                </c:pt>
                <c:pt idx="754">
                  <c:v>-68385.63469916457</c:v>
                </c:pt>
                <c:pt idx="755">
                  <c:v>-70385.63469916457</c:v>
                </c:pt>
                <c:pt idx="756">
                  <c:v>-67287.182650417744</c:v>
                </c:pt>
                <c:pt idx="757">
                  <c:v>-65961.408674791164</c:v>
                </c:pt>
                <c:pt idx="758">
                  <c:v>-74374.295662604447</c:v>
                </c:pt>
                <c:pt idx="759">
                  <c:v>-65249.295662604447</c:v>
                </c:pt>
                <c:pt idx="760">
                  <c:v>-63600.352168697806</c:v>
                </c:pt>
                <c:pt idx="761">
                  <c:v>-67725.352168697806</c:v>
                </c:pt>
                <c:pt idx="762">
                  <c:v>-59225.352168697806</c:v>
                </c:pt>
                <c:pt idx="763">
                  <c:v>-55107.323915651126</c:v>
                </c:pt>
                <c:pt idx="764">
                  <c:v>-61916.338042174466</c:v>
                </c:pt>
                <c:pt idx="765">
                  <c:v>-61886.830978912796</c:v>
                </c:pt>
                <c:pt idx="766">
                  <c:v>-60386.830978912796</c:v>
                </c:pt>
                <c:pt idx="767">
                  <c:v>-53401.584510543631</c:v>
                </c:pt>
                <c:pt idx="768">
                  <c:v>-58894.207744728221</c:v>
                </c:pt>
                <c:pt idx="769">
                  <c:v>-53894.207744728221</c:v>
                </c:pt>
                <c:pt idx="770">
                  <c:v>-53644.207744728221</c:v>
                </c:pt>
                <c:pt idx="771">
                  <c:v>-64864.207744728221</c:v>
                </c:pt>
                <c:pt idx="772">
                  <c:v>-62239.207744728221</c:v>
                </c:pt>
                <c:pt idx="773">
                  <c:v>-62114.207744728221</c:v>
                </c:pt>
                <c:pt idx="774">
                  <c:v>-60864.207744728221</c:v>
                </c:pt>
                <c:pt idx="775">
                  <c:v>-66819.207744728221</c:v>
                </c:pt>
                <c:pt idx="776">
                  <c:v>-68619.207744728221</c:v>
                </c:pt>
                <c:pt idx="777">
                  <c:v>-28744.207744728221</c:v>
                </c:pt>
                <c:pt idx="778">
                  <c:v>-72322.896127635933</c:v>
                </c:pt>
                <c:pt idx="779">
                  <c:v>-71417.896127635933</c:v>
                </c:pt>
                <c:pt idx="780">
                  <c:v>-70667.896127635933</c:v>
                </c:pt>
                <c:pt idx="781">
                  <c:v>-71792.896127635933</c:v>
                </c:pt>
                <c:pt idx="782">
                  <c:v>-72417.896127635933</c:v>
                </c:pt>
                <c:pt idx="783">
                  <c:v>-71912.896127635933</c:v>
                </c:pt>
                <c:pt idx="784">
                  <c:v>-82107.896127635933</c:v>
                </c:pt>
                <c:pt idx="785">
                  <c:v>-82202.896127635933</c:v>
                </c:pt>
                <c:pt idx="786">
                  <c:v>-80327.896127635933</c:v>
                </c:pt>
                <c:pt idx="787">
                  <c:v>-81952.896127635933</c:v>
                </c:pt>
                <c:pt idx="788">
                  <c:v>-77452.896127635933</c:v>
                </c:pt>
                <c:pt idx="789">
                  <c:v>-80702.896127635933</c:v>
                </c:pt>
                <c:pt idx="790">
                  <c:v>-72312.896127635933</c:v>
                </c:pt>
                <c:pt idx="791">
                  <c:v>-66667.896127635933</c:v>
                </c:pt>
                <c:pt idx="792">
                  <c:v>-63667.896127635933</c:v>
                </c:pt>
                <c:pt idx="793">
                  <c:v>-58167.896127635933</c:v>
                </c:pt>
                <c:pt idx="794">
                  <c:v>-55167.896127635933</c:v>
                </c:pt>
                <c:pt idx="795">
                  <c:v>-51157.896127635933</c:v>
                </c:pt>
                <c:pt idx="796">
                  <c:v>-50387.896127635933</c:v>
                </c:pt>
                <c:pt idx="797">
                  <c:v>-48857.896127635933</c:v>
                </c:pt>
                <c:pt idx="798">
                  <c:v>-46097.896127635933</c:v>
                </c:pt>
                <c:pt idx="799">
                  <c:v>-44347.896127635933</c:v>
                </c:pt>
                <c:pt idx="800">
                  <c:v>-43222.896127635933</c:v>
                </c:pt>
                <c:pt idx="801">
                  <c:v>-41597.896127635933</c:v>
                </c:pt>
                <c:pt idx="802">
                  <c:v>-44347.896127635933</c:v>
                </c:pt>
                <c:pt idx="803">
                  <c:v>-40222.896127635933</c:v>
                </c:pt>
                <c:pt idx="804">
                  <c:v>-39342.896127635933</c:v>
                </c:pt>
                <c:pt idx="805">
                  <c:v>-37717.896127635933</c:v>
                </c:pt>
                <c:pt idx="806">
                  <c:v>-37092.896127635933</c:v>
                </c:pt>
                <c:pt idx="807">
                  <c:v>-37217.896127635933</c:v>
                </c:pt>
                <c:pt idx="808">
                  <c:v>-39207.896127635933</c:v>
                </c:pt>
                <c:pt idx="809">
                  <c:v>-42572.896127635933</c:v>
                </c:pt>
                <c:pt idx="810">
                  <c:v>-45902.896127635933</c:v>
                </c:pt>
                <c:pt idx="811">
                  <c:v>-43402.896127635933</c:v>
                </c:pt>
                <c:pt idx="812">
                  <c:v>-43277.896127635933</c:v>
                </c:pt>
                <c:pt idx="813">
                  <c:v>-42402.896127635933</c:v>
                </c:pt>
                <c:pt idx="814">
                  <c:v>-40277.896127635933</c:v>
                </c:pt>
                <c:pt idx="815">
                  <c:v>-42652.896127635933</c:v>
                </c:pt>
                <c:pt idx="816">
                  <c:v>-47712.896127635933</c:v>
                </c:pt>
                <c:pt idx="817">
                  <c:v>-48297.896127635933</c:v>
                </c:pt>
                <c:pt idx="818">
                  <c:v>-49517.896127635933</c:v>
                </c:pt>
                <c:pt idx="819">
                  <c:v>-44767.896127635933</c:v>
                </c:pt>
                <c:pt idx="820">
                  <c:v>-50892.896127635933</c:v>
                </c:pt>
                <c:pt idx="821">
                  <c:v>-53017.896127635933</c:v>
                </c:pt>
                <c:pt idx="822">
                  <c:v>-59612.896127635933</c:v>
                </c:pt>
                <c:pt idx="823">
                  <c:v>-62827.896127635933</c:v>
                </c:pt>
                <c:pt idx="824">
                  <c:v>-62577.896127635933</c:v>
                </c:pt>
                <c:pt idx="825">
                  <c:v>-61697.896127635933</c:v>
                </c:pt>
                <c:pt idx="826">
                  <c:v>-62072.896127635933</c:v>
                </c:pt>
                <c:pt idx="827">
                  <c:v>-61437.896127635933</c:v>
                </c:pt>
                <c:pt idx="828">
                  <c:v>-64417.896127635933</c:v>
                </c:pt>
                <c:pt idx="829">
                  <c:v>-65352.896127635933</c:v>
                </c:pt>
                <c:pt idx="830">
                  <c:v>-65727.896127635933</c:v>
                </c:pt>
                <c:pt idx="831">
                  <c:v>-65977.896127635933</c:v>
                </c:pt>
                <c:pt idx="832">
                  <c:v>-61602.896127635933</c:v>
                </c:pt>
                <c:pt idx="833">
                  <c:v>-60457.896127635933</c:v>
                </c:pt>
                <c:pt idx="834">
                  <c:v>-56457.896127635933</c:v>
                </c:pt>
                <c:pt idx="835">
                  <c:v>-56447.896127635933</c:v>
                </c:pt>
                <c:pt idx="836">
                  <c:v>-56672.896127635933</c:v>
                </c:pt>
                <c:pt idx="837">
                  <c:v>-56662.896127635933</c:v>
                </c:pt>
                <c:pt idx="838">
                  <c:v>-58537.896127635933</c:v>
                </c:pt>
                <c:pt idx="839">
                  <c:v>-54787.896127635933</c:v>
                </c:pt>
                <c:pt idx="840">
                  <c:v>-54902.896127635933</c:v>
                </c:pt>
                <c:pt idx="841">
                  <c:v>-56402.896127635933</c:v>
                </c:pt>
                <c:pt idx="842">
                  <c:v>-55027.896127635933</c:v>
                </c:pt>
                <c:pt idx="843">
                  <c:v>-54152.896127635933</c:v>
                </c:pt>
                <c:pt idx="844">
                  <c:v>-52767.896127635933</c:v>
                </c:pt>
                <c:pt idx="845">
                  <c:v>-52392.896127635933</c:v>
                </c:pt>
                <c:pt idx="846">
                  <c:v>-55362.896127635933</c:v>
                </c:pt>
                <c:pt idx="847">
                  <c:v>-63397.896127635933</c:v>
                </c:pt>
                <c:pt idx="848">
                  <c:v>-64232.896127635933</c:v>
                </c:pt>
                <c:pt idx="849">
                  <c:v>-58952.896127635933</c:v>
                </c:pt>
                <c:pt idx="850">
                  <c:v>-56437.896127635933</c:v>
                </c:pt>
                <c:pt idx="851">
                  <c:v>-51422.896127635933</c:v>
                </c:pt>
                <c:pt idx="852">
                  <c:v>-43172.896127635933</c:v>
                </c:pt>
                <c:pt idx="853">
                  <c:v>-41797.896127635933</c:v>
                </c:pt>
                <c:pt idx="854">
                  <c:v>-52547.896127635933</c:v>
                </c:pt>
                <c:pt idx="855">
                  <c:v>-46672.896127635933</c:v>
                </c:pt>
                <c:pt idx="856">
                  <c:v>-25017.896127635933</c:v>
                </c:pt>
                <c:pt idx="857">
                  <c:v>-26517.896127635933</c:v>
                </c:pt>
                <c:pt idx="858">
                  <c:v>-13972.896127635933</c:v>
                </c:pt>
                <c:pt idx="859">
                  <c:v>-11528.551936182048</c:v>
                </c:pt>
                <c:pt idx="860">
                  <c:v>2749.2759680910094</c:v>
                </c:pt>
                <c:pt idx="861">
                  <c:v>24340.362015954481</c:v>
                </c:pt>
                <c:pt idx="862">
                  <c:v>5369.8189920227451</c:v>
                </c:pt>
                <c:pt idx="863">
                  <c:v>-43715.181007977255</c:v>
                </c:pt>
                <c:pt idx="864">
                  <c:v>-18590.181007977255</c:v>
                </c:pt>
                <c:pt idx="865">
                  <c:v>-24670.181007977255</c:v>
                </c:pt>
                <c:pt idx="866">
                  <c:v>-27795.181007977255</c:v>
                </c:pt>
                <c:pt idx="867">
                  <c:v>-11545.181007977255</c:v>
                </c:pt>
                <c:pt idx="868">
                  <c:v>-10360.181007977255</c:v>
                </c:pt>
                <c:pt idx="869">
                  <c:v>-15105.181007977255</c:v>
                </c:pt>
                <c:pt idx="870">
                  <c:v>-51055.181007977255</c:v>
                </c:pt>
                <c:pt idx="871">
                  <c:v>-54045.181007977255</c:v>
                </c:pt>
                <c:pt idx="872">
                  <c:v>-64215.181007977255</c:v>
                </c:pt>
                <c:pt idx="873">
                  <c:v>-63840.181007977255</c:v>
                </c:pt>
                <c:pt idx="874">
                  <c:v>-67840.181007977255</c:v>
                </c:pt>
                <c:pt idx="875">
                  <c:v>-63200.181007977255</c:v>
                </c:pt>
                <c:pt idx="876">
                  <c:v>-62700.181007977255</c:v>
                </c:pt>
                <c:pt idx="877">
                  <c:v>-58035.181007977255</c:v>
                </c:pt>
                <c:pt idx="878">
                  <c:v>-54270.181007977255</c:v>
                </c:pt>
                <c:pt idx="879">
                  <c:v>-50380.181007977255</c:v>
                </c:pt>
                <c:pt idx="880">
                  <c:v>-44505.181007977255</c:v>
                </c:pt>
                <c:pt idx="881">
                  <c:v>-42005.181007977255</c:v>
                </c:pt>
                <c:pt idx="882">
                  <c:v>-54930.181007977255</c:v>
                </c:pt>
                <c:pt idx="883">
                  <c:v>-49930.181007977255</c:v>
                </c:pt>
                <c:pt idx="884">
                  <c:v>-42025.181007977255</c:v>
                </c:pt>
                <c:pt idx="885">
                  <c:v>-33650.181007977255</c:v>
                </c:pt>
                <c:pt idx="886">
                  <c:v>-24275.181007977255</c:v>
                </c:pt>
                <c:pt idx="887">
                  <c:v>-19485.181007977255</c:v>
                </c:pt>
                <c:pt idx="888">
                  <c:v>-17605.181007977255</c:v>
                </c:pt>
                <c:pt idx="889">
                  <c:v>-14480.181007977255</c:v>
                </c:pt>
                <c:pt idx="890">
                  <c:v>-21080.181007977255</c:v>
                </c:pt>
                <c:pt idx="891">
                  <c:v>-18580.181007977255</c:v>
                </c:pt>
                <c:pt idx="892">
                  <c:v>-18580.181007977255</c:v>
                </c:pt>
                <c:pt idx="893">
                  <c:v>-8330.1810079772549</c:v>
                </c:pt>
                <c:pt idx="894">
                  <c:v>-19325.181007977255</c:v>
                </c:pt>
                <c:pt idx="895">
                  <c:v>-20950.181007977255</c:v>
                </c:pt>
                <c:pt idx="896">
                  <c:v>-23325.181007977255</c:v>
                </c:pt>
                <c:pt idx="897">
                  <c:v>-17825.181007977255</c:v>
                </c:pt>
                <c:pt idx="898">
                  <c:v>-15825.181007977255</c:v>
                </c:pt>
                <c:pt idx="899">
                  <c:v>-20200.181007977255</c:v>
                </c:pt>
                <c:pt idx="900">
                  <c:v>-24200.181007977255</c:v>
                </c:pt>
                <c:pt idx="901">
                  <c:v>-22075.181007977255</c:v>
                </c:pt>
                <c:pt idx="902">
                  <c:v>-17200.181007977255</c:v>
                </c:pt>
                <c:pt idx="903">
                  <c:v>-24825.181007977255</c:v>
                </c:pt>
                <c:pt idx="904">
                  <c:v>-15575.181007977255</c:v>
                </c:pt>
                <c:pt idx="905">
                  <c:v>-1440.1810079772549</c:v>
                </c:pt>
                <c:pt idx="906">
                  <c:v>-4220.1810079772549</c:v>
                </c:pt>
                <c:pt idx="907">
                  <c:v>-9315.1810079772549</c:v>
                </c:pt>
                <c:pt idx="908">
                  <c:v>-15040.181007977255</c:v>
                </c:pt>
                <c:pt idx="909">
                  <c:v>-12290.181007977255</c:v>
                </c:pt>
                <c:pt idx="910">
                  <c:v>-10415.181007977255</c:v>
                </c:pt>
                <c:pt idx="911">
                  <c:v>-17635.181007977255</c:v>
                </c:pt>
                <c:pt idx="912">
                  <c:v>-21510.181007977255</c:v>
                </c:pt>
                <c:pt idx="913">
                  <c:v>-23120.181007977255</c:v>
                </c:pt>
                <c:pt idx="914">
                  <c:v>-30370.181007977255</c:v>
                </c:pt>
                <c:pt idx="915">
                  <c:v>-32370.181007977255</c:v>
                </c:pt>
                <c:pt idx="916">
                  <c:v>-37120.181007977255</c:v>
                </c:pt>
                <c:pt idx="917">
                  <c:v>-41965.181007977255</c:v>
                </c:pt>
                <c:pt idx="918">
                  <c:v>-27090.181007977255</c:v>
                </c:pt>
                <c:pt idx="919">
                  <c:v>-34215.181007977255</c:v>
                </c:pt>
                <c:pt idx="920">
                  <c:v>-27965.181007977255</c:v>
                </c:pt>
                <c:pt idx="921">
                  <c:v>-15465.181007977255</c:v>
                </c:pt>
                <c:pt idx="922">
                  <c:v>-22177.409496011416</c:v>
                </c:pt>
                <c:pt idx="923">
                  <c:v>-28552.409496011416</c:v>
                </c:pt>
                <c:pt idx="924">
                  <c:v>-26552.409496011416</c:v>
                </c:pt>
                <c:pt idx="925">
                  <c:v>-38177.409496011416</c:v>
                </c:pt>
                <c:pt idx="926">
                  <c:v>-49302.409496011416</c:v>
                </c:pt>
                <c:pt idx="927">
                  <c:v>-49427.409496011416</c:v>
                </c:pt>
                <c:pt idx="928">
                  <c:v>-49302.409496011416</c:v>
                </c:pt>
                <c:pt idx="929">
                  <c:v>-50177.409496011416</c:v>
                </c:pt>
                <c:pt idx="930">
                  <c:v>-51427.409496011416</c:v>
                </c:pt>
                <c:pt idx="931">
                  <c:v>-49177.409496011416</c:v>
                </c:pt>
                <c:pt idx="932">
                  <c:v>-51802.409496011416</c:v>
                </c:pt>
                <c:pt idx="933">
                  <c:v>-50302.409496011416</c:v>
                </c:pt>
                <c:pt idx="934">
                  <c:v>-52302.409496011416</c:v>
                </c:pt>
                <c:pt idx="935">
                  <c:v>-55927.409496011416</c:v>
                </c:pt>
                <c:pt idx="936">
                  <c:v>-54196.295251994306</c:v>
                </c:pt>
                <c:pt idx="937">
                  <c:v>-55071.295251994306</c:v>
                </c:pt>
                <c:pt idx="938">
                  <c:v>-54946.295251994306</c:v>
                </c:pt>
                <c:pt idx="939">
                  <c:v>-54071.295251994306</c:v>
                </c:pt>
                <c:pt idx="940">
                  <c:v>-54321.295251994306</c:v>
                </c:pt>
                <c:pt idx="941">
                  <c:v>-54071.295251994306</c:v>
                </c:pt>
                <c:pt idx="942">
                  <c:v>-55571.295251994306</c:v>
                </c:pt>
                <c:pt idx="943">
                  <c:v>-57994.35237400289</c:v>
                </c:pt>
                <c:pt idx="944">
                  <c:v>-56517.823812998569</c:v>
                </c:pt>
                <c:pt idx="945">
                  <c:v>-56142.823812998569</c:v>
                </c:pt>
                <c:pt idx="946">
                  <c:v>-55517.823812998569</c:v>
                </c:pt>
                <c:pt idx="947">
                  <c:v>-53267.823812998569</c:v>
                </c:pt>
                <c:pt idx="948">
                  <c:v>-49267.823812998569</c:v>
                </c:pt>
                <c:pt idx="949">
                  <c:v>-50892.823812998569</c:v>
                </c:pt>
                <c:pt idx="950">
                  <c:v>-55017.823812998569</c:v>
                </c:pt>
                <c:pt idx="951">
                  <c:v>-57747.823812998569</c:v>
                </c:pt>
                <c:pt idx="952">
                  <c:v>-64297.823812998569</c:v>
                </c:pt>
                <c:pt idx="953">
                  <c:v>-62475.323812998569</c:v>
                </c:pt>
                <c:pt idx="954">
                  <c:v>-62695.323812998569</c:v>
                </c:pt>
                <c:pt idx="955">
                  <c:v>-68704.83809350073</c:v>
                </c:pt>
                <c:pt idx="956">
                  <c:v>-70454.83809350073</c:v>
                </c:pt>
                <c:pt idx="957">
                  <c:v>-69824.83809350073</c:v>
                </c:pt>
                <c:pt idx="958">
                  <c:v>-67324.83809350073</c:v>
                </c:pt>
                <c:pt idx="959">
                  <c:v>-66449.83809350073</c:v>
                </c:pt>
                <c:pt idx="960">
                  <c:v>-67949.83809350073</c:v>
                </c:pt>
                <c:pt idx="961">
                  <c:v>-64449.83809350073</c:v>
                </c:pt>
                <c:pt idx="962">
                  <c:v>-61059.83809350073</c:v>
                </c:pt>
                <c:pt idx="963">
                  <c:v>-59684.83809350073</c:v>
                </c:pt>
                <c:pt idx="964">
                  <c:v>-61434.83809350073</c:v>
                </c:pt>
                <c:pt idx="965">
                  <c:v>-62519.83809350073</c:v>
                </c:pt>
                <c:pt idx="966">
                  <c:v>-63894.83809350073</c:v>
                </c:pt>
                <c:pt idx="967">
                  <c:v>-64739.83809350073</c:v>
                </c:pt>
                <c:pt idx="968">
                  <c:v>-55724.83809350073</c:v>
                </c:pt>
                <c:pt idx="969">
                  <c:v>-57474.83809350073</c:v>
                </c:pt>
                <c:pt idx="970">
                  <c:v>-49839.83809350073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3A62-4F87-94A9-1A58479DCB78}"/>
            </c:ext>
          </c:extLst>
        </c:ser>
        <c:ser>
          <c:idx val="4"/>
          <c:order val="4"/>
          <c:tx>
            <c:strRef>
              <c:f>Data!$M$11</c:f>
              <c:strCache>
                <c:ptCount val="1"/>
                <c:pt idx="0">
                  <c:v>Corn Futures To Compare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val>
            <c:numRef>
              <c:f>[0]!FutureCompareRange</c:f>
              <c:numCache>
                <c:formatCode>General</c:formatCode>
                <c:ptCount val="971"/>
                <c:pt idx="0">
                  <c:v>0</c:v>
                </c:pt>
                <c:pt idx="1">
                  <c:v>-17000</c:v>
                </c:pt>
                <c:pt idx="2">
                  <c:v>-16000</c:v>
                </c:pt>
                <c:pt idx="3">
                  <c:v>-23500</c:v>
                </c:pt>
                <c:pt idx="4">
                  <c:v>-21750</c:v>
                </c:pt>
                <c:pt idx="5">
                  <c:v>-15000</c:v>
                </c:pt>
                <c:pt idx="6">
                  <c:v>-12500</c:v>
                </c:pt>
                <c:pt idx="7">
                  <c:v>-8750</c:v>
                </c:pt>
                <c:pt idx="8">
                  <c:v>8250</c:v>
                </c:pt>
                <c:pt idx="9">
                  <c:v>16000</c:v>
                </c:pt>
                <c:pt idx="10">
                  <c:v>25000</c:v>
                </c:pt>
                <c:pt idx="11">
                  <c:v>22500</c:v>
                </c:pt>
                <c:pt idx="12">
                  <c:v>20750</c:v>
                </c:pt>
                <c:pt idx="13">
                  <c:v>21750</c:v>
                </c:pt>
                <c:pt idx="14">
                  <c:v>21250</c:v>
                </c:pt>
                <c:pt idx="15">
                  <c:v>23750</c:v>
                </c:pt>
                <c:pt idx="16">
                  <c:v>16750</c:v>
                </c:pt>
                <c:pt idx="17">
                  <c:v>14750</c:v>
                </c:pt>
                <c:pt idx="18">
                  <c:v>14000</c:v>
                </c:pt>
                <c:pt idx="19">
                  <c:v>17000</c:v>
                </c:pt>
                <c:pt idx="20">
                  <c:v>24250</c:v>
                </c:pt>
                <c:pt idx="21">
                  <c:v>33750</c:v>
                </c:pt>
                <c:pt idx="22">
                  <c:v>33000</c:v>
                </c:pt>
                <c:pt idx="23">
                  <c:v>31260</c:v>
                </c:pt>
                <c:pt idx="24">
                  <c:v>26510</c:v>
                </c:pt>
                <c:pt idx="25">
                  <c:v>20260</c:v>
                </c:pt>
                <c:pt idx="26">
                  <c:v>16510</c:v>
                </c:pt>
                <c:pt idx="27">
                  <c:v>7510</c:v>
                </c:pt>
                <c:pt idx="28">
                  <c:v>5510</c:v>
                </c:pt>
                <c:pt idx="29">
                  <c:v>-4990</c:v>
                </c:pt>
                <c:pt idx="30">
                  <c:v>-12990</c:v>
                </c:pt>
                <c:pt idx="31">
                  <c:v>-13990</c:v>
                </c:pt>
                <c:pt idx="32">
                  <c:v>-15990</c:v>
                </c:pt>
                <c:pt idx="33">
                  <c:v>-9490</c:v>
                </c:pt>
                <c:pt idx="34">
                  <c:v>-7740</c:v>
                </c:pt>
                <c:pt idx="35">
                  <c:v>-13490</c:v>
                </c:pt>
                <c:pt idx="36">
                  <c:v>-7740</c:v>
                </c:pt>
                <c:pt idx="37">
                  <c:v>-14740</c:v>
                </c:pt>
                <c:pt idx="38">
                  <c:v>-15990</c:v>
                </c:pt>
                <c:pt idx="39">
                  <c:v>-15490</c:v>
                </c:pt>
                <c:pt idx="40">
                  <c:v>-8990</c:v>
                </c:pt>
                <c:pt idx="41">
                  <c:v>-5740</c:v>
                </c:pt>
                <c:pt idx="42">
                  <c:v>2510</c:v>
                </c:pt>
                <c:pt idx="43">
                  <c:v>6270</c:v>
                </c:pt>
                <c:pt idx="44">
                  <c:v>-2730</c:v>
                </c:pt>
                <c:pt idx="45">
                  <c:v>5020</c:v>
                </c:pt>
                <c:pt idx="46">
                  <c:v>-8480</c:v>
                </c:pt>
                <c:pt idx="47">
                  <c:v>-16730</c:v>
                </c:pt>
                <c:pt idx="48">
                  <c:v>-2730</c:v>
                </c:pt>
                <c:pt idx="49">
                  <c:v>11020</c:v>
                </c:pt>
                <c:pt idx="50">
                  <c:v>13520</c:v>
                </c:pt>
                <c:pt idx="51">
                  <c:v>7270</c:v>
                </c:pt>
                <c:pt idx="52">
                  <c:v>13020</c:v>
                </c:pt>
                <c:pt idx="53">
                  <c:v>14270</c:v>
                </c:pt>
                <c:pt idx="54">
                  <c:v>14520</c:v>
                </c:pt>
                <c:pt idx="55">
                  <c:v>23520</c:v>
                </c:pt>
                <c:pt idx="56">
                  <c:v>28770</c:v>
                </c:pt>
                <c:pt idx="57">
                  <c:v>31770</c:v>
                </c:pt>
                <c:pt idx="58">
                  <c:v>24770</c:v>
                </c:pt>
                <c:pt idx="59">
                  <c:v>28520</c:v>
                </c:pt>
                <c:pt idx="60">
                  <c:v>26020</c:v>
                </c:pt>
                <c:pt idx="61">
                  <c:v>34020</c:v>
                </c:pt>
                <c:pt idx="62">
                  <c:v>-6980</c:v>
                </c:pt>
                <c:pt idx="63">
                  <c:v>-27980</c:v>
                </c:pt>
                <c:pt idx="64">
                  <c:v>-55980</c:v>
                </c:pt>
                <c:pt idx="65">
                  <c:v>-67230</c:v>
                </c:pt>
                <c:pt idx="66">
                  <c:v>-62730</c:v>
                </c:pt>
                <c:pt idx="67">
                  <c:v>-69730</c:v>
                </c:pt>
                <c:pt idx="68">
                  <c:v>-72730</c:v>
                </c:pt>
                <c:pt idx="69">
                  <c:v>-69480</c:v>
                </c:pt>
                <c:pt idx="70">
                  <c:v>-58730</c:v>
                </c:pt>
                <c:pt idx="71">
                  <c:v>-56980</c:v>
                </c:pt>
                <c:pt idx="72">
                  <c:v>-48980</c:v>
                </c:pt>
                <c:pt idx="73">
                  <c:v>-45730</c:v>
                </c:pt>
                <c:pt idx="74">
                  <c:v>-53230</c:v>
                </c:pt>
                <c:pt idx="75">
                  <c:v>-41980</c:v>
                </c:pt>
                <c:pt idx="76">
                  <c:v>-42730</c:v>
                </c:pt>
                <c:pt idx="77">
                  <c:v>-56230</c:v>
                </c:pt>
                <c:pt idx="78">
                  <c:v>-51980</c:v>
                </c:pt>
                <c:pt idx="79">
                  <c:v>-56980</c:v>
                </c:pt>
                <c:pt idx="80">
                  <c:v>-61730</c:v>
                </c:pt>
                <c:pt idx="81">
                  <c:v>-64480</c:v>
                </c:pt>
                <c:pt idx="82">
                  <c:v>-58230</c:v>
                </c:pt>
                <c:pt idx="83">
                  <c:v>-61730</c:v>
                </c:pt>
                <c:pt idx="84">
                  <c:v>-22730</c:v>
                </c:pt>
                <c:pt idx="85">
                  <c:v>-27730</c:v>
                </c:pt>
                <c:pt idx="86">
                  <c:v>-32970</c:v>
                </c:pt>
                <c:pt idx="87">
                  <c:v>-21720</c:v>
                </c:pt>
                <c:pt idx="88">
                  <c:v>-20720</c:v>
                </c:pt>
                <c:pt idx="89">
                  <c:v>-44720</c:v>
                </c:pt>
                <c:pt idx="90">
                  <c:v>-38970</c:v>
                </c:pt>
                <c:pt idx="91">
                  <c:v>-50220</c:v>
                </c:pt>
                <c:pt idx="92">
                  <c:v>-30720</c:v>
                </c:pt>
                <c:pt idx="93">
                  <c:v>-46470</c:v>
                </c:pt>
                <c:pt idx="94">
                  <c:v>-26720</c:v>
                </c:pt>
                <c:pt idx="95">
                  <c:v>-31220</c:v>
                </c:pt>
                <c:pt idx="96">
                  <c:v>-32970</c:v>
                </c:pt>
                <c:pt idx="97">
                  <c:v>-39970</c:v>
                </c:pt>
                <c:pt idx="98">
                  <c:v>-29970</c:v>
                </c:pt>
                <c:pt idx="99">
                  <c:v>-34470</c:v>
                </c:pt>
                <c:pt idx="100">
                  <c:v>-45470</c:v>
                </c:pt>
                <c:pt idx="101">
                  <c:v>-26220</c:v>
                </c:pt>
                <c:pt idx="102">
                  <c:v>-19720</c:v>
                </c:pt>
                <c:pt idx="103">
                  <c:v>-22970</c:v>
                </c:pt>
                <c:pt idx="104">
                  <c:v>-24970</c:v>
                </c:pt>
                <c:pt idx="105">
                  <c:v>-16970</c:v>
                </c:pt>
                <c:pt idx="106">
                  <c:v>-17470</c:v>
                </c:pt>
                <c:pt idx="107">
                  <c:v>-29470</c:v>
                </c:pt>
                <c:pt idx="108">
                  <c:v>-19720</c:v>
                </c:pt>
                <c:pt idx="109">
                  <c:v>-23470</c:v>
                </c:pt>
                <c:pt idx="110">
                  <c:v>-26970</c:v>
                </c:pt>
                <c:pt idx="111">
                  <c:v>-20970</c:v>
                </c:pt>
                <c:pt idx="112">
                  <c:v>-20970</c:v>
                </c:pt>
                <c:pt idx="113">
                  <c:v>-16720</c:v>
                </c:pt>
                <c:pt idx="114">
                  <c:v>-32970</c:v>
                </c:pt>
                <c:pt idx="115">
                  <c:v>-26220</c:v>
                </c:pt>
                <c:pt idx="116">
                  <c:v>-32720</c:v>
                </c:pt>
                <c:pt idx="117">
                  <c:v>-37970</c:v>
                </c:pt>
                <c:pt idx="118">
                  <c:v>-27720</c:v>
                </c:pt>
                <c:pt idx="119">
                  <c:v>-17970</c:v>
                </c:pt>
                <c:pt idx="120">
                  <c:v>-11970</c:v>
                </c:pt>
                <c:pt idx="121">
                  <c:v>-970</c:v>
                </c:pt>
                <c:pt idx="122">
                  <c:v>-8470</c:v>
                </c:pt>
                <c:pt idx="123">
                  <c:v>-11470</c:v>
                </c:pt>
                <c:pt idx="124">
                  <c:v>-26720</c:v>
                </c:pt>
                <c:pt idx="125">
                  <c:v>-29470</c:v>
                </c:pt>
                <c:pt idx="126">
                  <c:v>-31970</c:v>
                </c:pt>
                <c:pt idx="127">
                  <c:v>-35720</c:v>
                </c:pt>
                <c:pt idx="128">
                  <c:v>-56970</c:v>
                </c:pt>
                <c:pt idx="129">
                  <c:v>-74460</c:v>
                </c:pt>
                <c:pt idx="130">
                  <c:v>-75210</c:v>
                </c:pt>
                <c:pt idx="131">
                  <c:v>-74960</c:v>
                </c:pt>
                <c:pt idx="132">
                  <c:v>-72210</c:v>
                </c:pt>
                <c:pt idx="133">
                  <c:v>-79960</c:v>
                </c:pt>
                <c:pt idx="134">
                  <c:v>-72460</c:v>
                </c:pt>
                <c:pt idx="135">
                  <c:v>-59710</c:v>
                </c:pt>
                <c:pt idx="136">
                  <c:v>-55960</c:v>
                </c:pt>
                <c:pt idx="137">
                  <c:v>-46960</c:v>
                </c:pt>
                <c:pt idx="138">
                  <c:v>-58710</c:v>
                </c:pt>
                <c:pt idx="139">
                  <c:v>-70460</c:v>
                </c:pt>
                <c:pt idx="140">
                  <c:v>-62960</c:v>
                </c:pt>
                <c:pt idx="141">
                  <c:v>-68460</c:v>
                </c:pt>
                <c:pt idx="142">
                  <c:v>-66710</c:v>
                </c:pt>
                <c:pt idx="143">
                  <c:v>-63210</c:v>
                </c:pt>
                <c:pt idx="144">
                  <c:v>-65960</c:v>
                </c:pt>
                <c:pt idx="145">
                  <c:v>-83460</c:v>
                </c:pt>
                <c:pt idx="146">
                  <c:v>-98710</c:v>
                </c:pt>
                <c:pt idx="147">
                  <c:v>-111460</c:v>
                </c:pt>
                <c:pt idx="148">
                  <c:v>-113210</c:v>
                </c:pt>
                <c:pt idx="149">
                  <c:v>-118710</c:v>
                </c:pt>
                <c:pt idx="150">
                  <c:v>-114710</c:v>
                </c:pt>
                <c:pt idx="151">
                  <c:v>-108460</c:v>
                </c:pt>
                <c:pt idx="152">
                  <c:v>-119960</c:v>
                </c:pt>
                <c:pt idx="153">
                  <c:v>-129210</c:v>
                </c:pt>
                <c:pt idx="154">
                  <c:v>-138710</c:v>
                </c:pt>
                <c:pt idx="155">
                  <c:v>-135710</c:v>
                </c:pt>
                <c:pt idx="156">
                  <c:v>-138710</c:v>
                </c:pt>
                <c:pt idx="157">
                  <c:v>-136210</c:v>
                </c:pt>
                <c:pt idx="158">
                  <c:v>-139710</c:v>
                </c:pt>
                <c:pt idx="159">
                  <c:v>-133460</c:v>
                </c:pt>
                <c:pt idx="160">
                  <c:v>-148710</c:v>
                </c:pt>
                <c:pt idx="161">
                  <c:v>-144960</c:v>
                </c:pt>
                <c:pt idx="162">
                  <c:v>-128710</c:v>
                </c:pt>
                <c:pt idx="163">
                  <c:v>-133960</c:v>
                </c:pt>
                <c:pt idx="164">
                  <c:v>-117960</c:v>
                </c:pt>
                <c:pt idx="165">
                  <c:v>-120960</c:v>
                </c:pt>
                <c:pt idx="166">
                  <c:v>-108710</c:v>
                </c:pt>
                <c:pt idx="167">
                  <c:v>-126210</c:v>
                </c:pt>
                <c:pt idx="168">
                  <c:v>-121710</c:v>
                </c:pt>
                <c:pt idx="169">
                  <c:v>-86460</c:v>
                </c:pt>
                <c:pt idx="170">
                  <c:v>-101210</c:v>
                </c:pt>
                <c:pt idx="171">
                  <c:v>-111960</c:v>
                </c:pt>
                <c:pt idx="172">
                  <c:v>-112210</c:v>
                </c:pt>
                <c:pt idx="173">
                  <c:v>-114210</c:v>
                </c:pt>
                <c:pt idx="174">
                  <c:v>-110950</c:v>
                </c:pt>
                <c:pt idx="175">
                  <c:v>-120200</c:v>
                </c:pt>
                <c:pt idx="176">
                  <c:v>-124700</c:v>
                </c:pt>
                <c:pt idx="177">
                  <c:v>-133700</c:v>
                </c:pt>
                <c:pt idx="178">
                  <c:v>-125700</c:v>
                </c:pt>
                <c:pt idx="179">
                  <c:v>-129450</c:v>
                </c:pt>
                <c:pt idx="180">
                  <c:v>-124450</c:v>
                </c:pt>
                <c:pt idx="181">
                  <c:v>-123450</c:v>
                </c:pt>
                <c:pt idx="182">
                  <c:v>-132450</c:v>
                </c:pt>
                <c:pt idx="183">
                  <c:v>-132700</c:v>
                </c:pt>
                <c:pt idx="184">
                  <c:v>-136450</c:v>
                </c:pt>
                <c:pt idx="185">
                  <c:v>-137200</c:v>
                </c:pt>
                <c:pt idx="186">
                  <c:v>-138700</c:v>
                </c:pt>
                <c:pt idx="187">
                  <c:v>-135700</c:v>
                </c:pt>
                <c:pt idx="188">
                  <c:v>-141700</c:v>
                </c:pt>
                <c:pt idx="189">
                  <c:v>-140700</c:v>
                </c:pt>
                <c:pt idx="190">
                  <c:v>-144450</c:v>
                </c:pt>
                <c:pt idx="191">
                  <c:v>-136450</c:v>
                </c:pt>
                <c:pt idx="192">
                  <c:v>-137700</c:v>
                </c:pt>
                <c:pt idx="193">
                  <c:v>-138450</c:v>
                </c:pt>
                <c:pt idx="194">
                  <c:v>-148200</c:v>
                </c:pt>
                <c:pt idx="195">
                  <c:v>-155450</c:v>
                </c:pt>
                <c:pt idx="196">
                  <c:v>-153450</c:v>
                </c:pt>
                <c:pt idx="197">
                  <c:v>-151450</c:v>
                </c:pt>
                <c:pt idx="198">
                  <c:v>-149200</c:v>
                </c:pt>
                <c:pt idx="199">
                  <c:v>-144950</c:v>
                </c:pt>
                <c:pt idx="200">
                  <c:v>-151200</c:v>
                </c:pt>
                <c:pt idx="201">
                  <c:v>-149200</c:v>
                </c:pt>
                <c:pt idx="202">
                  <c:v>-154950</c:v>
                </c:pt>
                <c:pt idx="203">
                  <c:v>-158450</c:v>
                </c:pt>
                <c:pt idx="204">
                  <c:v>-156700</c:v>
                </c:pt>
                <c:pt idx="205">
                  <c:v>-149950</c:v>
                </c:pt>
                <c:pt idx="206">
                  <c:v>-150450</c:v>
                </c:pt>
                <c:pt idx="207">
                  <c:v>-150450</c:v>
                </c:pt>
                <c:pt idx="208">
                  <c:v>-149700</c:v>
                </c:pt>
                <c:pt idx="209">
                  <c:v>-149450</c:v>
                </c:pt>
                <c:pt idx="210">
                  <c:v>-152450</c:v>
                </c:pt>
                <c:pt idx="211">
                  <c:v>-149450</c:v>
                </c:pt>
                <c:pt idx="212">
                  <c:v>-152950</c:v>
                </c:pt>
                <c:pt idx="213">
                  <c:v>-152200</c:v>
                </c:pt>
                <c:pt idx="214">
                  <c:v>-161450</c:v>
                </c:pt>
                <c:pt idx="215">
                  <c:v>-161950</c:v>
                </c:pt>
                <c:pt idx="216">
                  <c:v>-161950</c:v>
                </c:pt>
                <c:pt idx="217">
                  <c:v>-165450</c:v>
                </c:pt>
                <c:pt idx="218">
                  <c:v>-164950</c:v>
                </c:pt>
                <c:pt idx="219">
                  <c:v>-165950</c:v>
                </c:pt>
                <c:pt idx="220">
                  <c:v>-167950</c:v>
                </c:pt>
                <c:pt idx="221">
                  <c:v>-171450</c:v>
                </c:pt>
                <c:pt idx="222">
                  <c:v>-171450</c:v>
                </c:pt>
                <c:pt idx="223">
                  <c:v>-167950</c:v>
                </c:pt>
                <c:pt idx="224">
                  <c:v>-156450</c:v>
                </c:pt>
                <c:pt idx="225">
                  <c:v>-158700</c:v>
                </c:pt>
                <c:pt idx="226">
                  <c:v>-162450</c:v>
                </c:pt>
                <c:pt idx="227">
                  <c:v>-166700</c:v>
                </c:pt>
                <c:pt idx="228">
                  <c:v>-168450</c:v>
                </c:pt>
                <c:pt idx="229">
                  <c:v>-179450</c:v>
                </c:pt>
                <c:pt idx="230">
                  <c:v>-177200</c:v>
                </c:pt>
                <c:pt idx="231">
                  <c:v>-175200</c:v>
                </c:pt>
                <c:pt idx="232">
                  <c:v>-171950</c:v>
                </c:pt>
                <c:pt idx="233">
                  <c:v>-171200</c:v>
                </c:pt>
                <c:pt idx="234">
                  <c:v>-170950</c:v>
                </c:pt>
                <c:pt idx="235">
                  <c:v>-176200</c:v>
                </c:pt>
                <c:pt idx="236">
                  <c:v>-174200</c:v>
                </c:pt>
                <c:pt idx="237">
                  <c:v>-175450</c:v>
                </c:pt>
                <c:pt idx="238">
                  <c:v>-176450</c:v>
                </c:pt>
                <c:pt idx="239">
                  <c:v>-177440</c:v>
                </c:pt>
                <c:pt idx="240">
                  <c:v>-170690</c:v>
                </c:pt>
                <c:pt idx="241">
                  <c:v>-165190</c:v>
                </c:pt>
                <c:pt idx="242">
                  <c:v>-166440</c:v>
                </c:pt>
                <c:pt idx="243">
                  <c:v>-169190</c:v>
                </c:pt>
                <c:pt idx="244">
                  <c:v>-163690</c:v>
                </c:pt>
                <c:pt idx="245">
                  <c:v>-165440</c:v>
                </c:pt>
                <c:pt idx="246">
                  <c:v>-162440</c:v>
                </c:pt>
                <c:pt idx="247">
                  <c:v>-168190</c:v>
                </c:pt>
                <c:pt idx="248">
                  <c:v>-174940</c:v>
                </c:pt>
                <c:pt idx="249">
                  <c:v>-176190</c:v>
                </c:pt>
                <c:pt idx="250">
                  <c:v>-174190</c:v>
                </c:pt>
                <c:pt idx="251">
                  <c:v>-176190</c:v>
                </c:pt>
                <c:pt idx="252">
                  <c:v>-171940</c:v>
                </c:pt>
                <c:pt idx="253">
                  <c:v>-168690</c:v>
                </c:pt>
                <c:pt idx="254">
                  <c:v>-166940</c:v>
                </c:pt>
                <c:pt idx="255">
                  <c:v>-166690</c:v>
                </c:pt>
                <c:pt idx="256">
                  <c:v>-172440</c:v>
                </c:pt>
                <c:pt idx="257">
                  <c:v>-173940</c:v>
                </c:pt>
                <c:pt idx="258">
                  <c:v>-174190</c:v>
                </c:pt>
                <c:pt idx="259">
                  <c:v>-177690</c:v>
                </c:pt>
                <c:pt idx="260">
                  <c:v>-178690</c:v>
                </c:pt>
                <c:pt idx="261">
                  <c:v>-179180</c:v>
                </c:pt>
                <c:pt idx="262">
                  <c:v>-182930</c:v>
                </c:pt>
                <c:pt idx="263">
                  <c:v>-177930</c:v>
                </c:pt>
                <c:pt idx="264">
                  <c:v>-174930</c:v>
                </c:pt>
                <c:pt idx="265">
                  <c:v>-174680</c:v>
                </c:pt>
                <c:pt idx="266">
                  <c:v>-182680</c:v>
                </c:pt>
                <c:pt idx="267">
                  <c:v>-190180</c:v>
                </c:pt>
                <c:pt idx="268">
                  <c:v>-172930</c:v>
                </c:pt>
                <c:pt idx="269">
                  <c:v>-167180</c:v>
                </c:pt>
                <c:pt idx="270">
                  <c:v>-170680</c:v>
                </c:pt>
                <c:pt idx="271">
                  <c:v>-174930</c:v>
                </c:pt>
                <c:pt idx="272">
                  <c:v>-174930</c:v>
                </c:pt>
                <c:pt idx="273">
                  <c:v>-177680</c:v>
                </c:pt>
                <c:pt idx="274">
                  <c:v>-177430</c:v>
                </c:pt>
                <c:pt idx="275">
                  <c:v>-177930</c:v>
                </c:pt>
                <c:pt idx="276">
                  <c:v>-175430</c:v>
                </c:pt>
                <c:pt idx="277">
                  <c:v>-172180</c:v>
                </c:pt>
                <c:pt idx="278">
                  <c:v>-171930</c:v>
                </c:pt>
                <c:pt idx="279">
                  <c:v>-169680</c:v>
                </c:pt>
                <c:pt idx="280">
                  <c:v>-168930</c:v>
                </c:pt>
                <c:pt idx="281">
                  <c:v>-173680</c:v>
                </c:pt>
                <c:pt idx="282">
                  <c:v>-168430</c:v>
                </c:pt>
                <c:pt idx="283">
                  <c:v>-169680</c:v>
                </c:pt>
                <c:pt idx="284">
                  <c:v>-165670</c:v>
                </c:pt>
                <c:pt idx="285">
                  <c:v>-160920</c:v>
                </c:pt>
                <c:pt idx="286">
                  <c:v>-158170</c:v>
                </c:pt>
                <c:pt idx="287">
                  <c:v>-158920</c:v>
                </c:pt>
                <c:pt idx="288">
                  <c:v>-158170</c:v>
                </c:pt>
                <c:pt idx="289">
                  <c:v>-160670</c:v>
                </c:pt>
                <c:pt idx="290">
                  <c:v>-159920</c:v>
                </c:pt>
                <c:pt idx="291">
                  <c:v>-161670</c:v>
                </c:pt>
                <c:pt idx="292">
                  <c:v>-162420</c:v>
                </c:pt>
                <c:pt idx="293">
                  <c:v>-157670</c:v>
                </c:pt>
                <c:pt idx="294">
                  <c:v>-156420</c:v>
                </c:pt>
                <c:pt idx="295">
                  <c:v>-153420</c:v>
                </c:pt>
                <c:pt idx="296">
                  <c:v>-148420</c:v>
                </c:pt>
                <c:pt idx="297">
                  <c:v>-146420</c:v>
                </c:pt>
                <c:pt idx="298">
                  <c:v>-147420</c:v>
                </c:pt>
                <c:pt idx="299">
                  <c:v>-151670</c:v>
                </c:pt>
                <c:pt idx="300">
                  <c:v>-149420</c:v>
                </c:pt>
                <c:pt idx="301">
                  <c:v>-144670</c:v>
                </c:pt>
                <c:pt idx="302">
                  <c:v>-151170</c:v>
                </c:pt>
                <c:pt idx="303">
                  <c:v>-144670</c:v>
                </c:pt>
                <c:pt idx="304">
                  <c:v>-141660</c:v>
                </c:pt>
                <c:pt idx="305">
                  <c:v>-127910</c:v>
                </c:pt>
                <c:pt idx="306">
                  <c:v>-127160</c:v>
                </c:pt>
                <c:pt idx="307">
                  <c:v>-116410</c:v>
                </c:pt>
                <c:pt idx="308">
                  <c:v>-118160</c:v>
                </c:pt>
                <c:pt idx="309">
                  <c:v>-129410</c:v>
                </c:pt>
                <c:pt idx="310">
                  <c:v>-126160</c:v>
                </c:pt>
                <c:pt idx="311">
                  <c:v>-121410</c:v>
                </c:pt>
                <c:pt idx="312">
                  <c:v>-122160</c:v>
                </c:pt>
                <c:pt idx="313">
                  <c:v>-126160</c:v>
                </c:pt>
                <c:pt idx="314">
                  <c:v>-128160</c:v>
                </c:pt>
                <c:pt idx="315">
                  <c:v>-121910</c:v>
                </c:pt>
                <c:pt idx="316">
                  <c:v>-118660</c:v>
                </c:pt>
                <c:pt idx="317">
                  <c:v>-129660</c:v>
                </c:pt>
                <c:pt idx="318">
                  <c:v>-128160</c:v>
                </c:pt>
                <c:pt idx="319">
                  <c:v>-119660</c:v>
                </c:pt>
                <c:pt idx="320">
                  <c:v>-122660</c:v>
                </c:pt>
                <c:pt idx="321">
                  <c:v>-124910</c:v>
                </c:pt>
                <c:pt idx="322">
                  <c:v>-116910</c:v>
                </c:pt>
                <c:pt idx="323">
                  <c:v>-114910</c:v>
                </c:pt>
                <c:pt idx="324">
                  <c:v>-107410</c:v>
                </c:pt>
                <c:pt idx="325">
                  <c:v>-100660</c:v>
                </c:pt>
                <c:pt idx="326">
                  <c:v>-114160</c:v>
                </c:pt>
                <c:pt idx="327">
                  <c:v>-111410</c:v>
                </c:pt>
                <c:pt idx="328">
                  <c:v>-109160</c:v>
                </c:pt>
                <c:pt idx="329">
                  <c:v>-110410</c:v>
                </c:pt>
                <c:pt idx="330">
                  <c:v>-101660</c:v>
                </c:pt>
                <c:pt idx="331">
                  <c:v>-104160</c:v>
                </c:pt>
                <c:pt idx="332">
                  <c:v>-106160</c:v>
                </c:pt>
                <c:pt idx="333">
                  <c:v>-109410</c:v>
                </c:pt>
                <c:pt idx="334">
                  <c:v>-104410</c:v>
                </c:pt>
                <c:pt idx="335">
                  <c:v>-105660</c:v>
                </c:pt>
                <c:pt idx="336">
                  <c:v>-111910</c:v>
                </c:pt>
                <c:pt idx="337">
                  <c:v>-114910</c:v>
                </c:pt>
                <c:pt idx="338">
                  <c:v>-115660</c:v>
                </c:pt>
                <c:pt idx="339">
                  <c:v>-121160</c:v>
                </c:pt>
                <c:pt idx="340">
                  <c:v>-110410</c:v>
                </c:pt>
                <c:pt idx="341">
                  <c:v>-105910</c:v>
                </c:pt>
                <c:pt idx="342">
                  <c:v>-107660</c:v>
                </c:pt>
                <c:pt idx="343">
                  <c:v>-101660</c:v>
                </c:pt>
                <c:pt idx="344">
                  <c:v>-100410</c:v>
                </c:pt>
                <c:pt idx="345">
                  <c:v>-94410</c:v>
                </c:pt>
                <c:pt idx="346">
                  <c:v>-96660</c:v>
                </c:pt>
                <c:pt idx="347">
                  <c:v>-107650</c:v>
                </c:pt>
                <c:pt idx="348">
                  <c:v>-116900</c:v>
                </c:pt>
                <c:pt idx="349">
                  <c:v>-106150</c:v>
                </c:pt>
                <c:pt idx="350">
                  <c:v>-97400</c:v>
                </c:pt>
                <c:pt idx="351">
                  <c:v>-104150</c:v>
                </c:pt>
                <c:pt idx="352">
                  <c:v>-98900</c:v>
                </c:pt>
                <c:pt idx="353">
                  <c:v>-104650</c:v>
                </c:pt>
                <c:pt idx="354">
                  <c:v>-115650</c:v>
                </c:pt>
                <c:pt idx="355">
                  <c:v>-113650</c:v>
                </c:pt>
                <c:pt idx="356">
                  <c:v>-118900</c:v>
                </c:pt>
                <c:pt idx="357">
                  <c:v>-130900</c:v>
                </c:pt>
                <c:pt idx="358">
                  <c:v>-132900</c:v>
                </c:pt>
                <c:pt idx="359">
                  <c:v>-137900</c:v>
                </c:pt>
                <c:pt idx="360">
                  <c:v>-140900</c:v>
                </c:pt>
                <c:pt idx="361">
                  <c:v>-140650</c:v>
                </c:pt>
                <c:pt idx="362">
                  <c:v>-139400</c:v>
                </c:pt>
                <c:pt idx="363">
                  <c:v>-137650</c:v>
                </c:pt>
                <c:pt idx="364">
                  <c:v>-136900</c:v>
                </c:pt>
                <c:pt idx="365">
                  <c:v>-144650</c:v>
                </c:pt>
                <c:pt idx="366">
                  <c:v>-143150</c:v>
                </c:pt>
                <c:pt idx="367">
                  <c:v>-146400</c:v>
                </c:pt>
                <c:pt idx="368">
                  <c:v>-148150</c:v>
                </c:pt>
                <c:pt idx="369">
                  <c:v>-148150</c:v>
                </c:pt>
                <c:pt idx="370">
                  <c:v>-157650</c:v>
                </c:pt>
                <c:pt idx="371">
                  <c:v>-158650</c:v>
                </c:pt>
                <c:pt idx="372">
                  <c:v>-164650</c:v>
                </c:pt>
                <c:pt idx="373">
                  <c:v>-158150</c:v>
                </c:pt>
                <c:pt idx="374">
                  <c:v>-167650</c:v>
                </c:pt>
                <c:pt idx="375">
                  <c:v>-168650</c:v>
                </c:pt>
                <c:pt idx="376">
                  <c:v>-174900</c:v>
                </c:pt>
                <c:pt idx="377">
                  <c:v>-172650</c:v>
                </c:pt>
                <c:pt idx="378">
                  <c:v>-170150</c:v>
                </c:pt>
                <c:pt idx="379">
                  <c:v>-173650</c:v>
                </c:pt>
                <c:pt idx="380">
                  <c:v>-176150</c:v>
                </c:pt>
                <c:pt idx="381">
                  <c:v>-172650</c:v>
                </c:pt>
                <c:pt idx="382">
                  <c:v>-166150</c:v>
                </c:pt>
                <c:pt idx="383">
                  <c:v>-162150</c:v>
                </c:pt>
                <c:pt idx="384">
                  <c:v>-169400</c:v>
                </c:pt>
                <c:pt idx="385">
                  <c:v>-173150</c:v>
                </c:pt>
                <c:pt idx="386">
                  <c:v>-174150</c:v>
                </c:pt>
                <c:pt idx="387">
                  <c:v>-168650</c:v>
                </c:pt>
                <c:pt idx="388">
                  <c:v>-168150</c:v>
                </c:pt>
                <c:pt idx="389">
                  <c:v>-189650</c:v>
                </c:pt>
                <c:pt idx="390">
                  <c:v>-194390</c:v>
                </c:pt>
                <c:pt idx="391">
                  <c:v>-197390</c:v>
                </c:pt>
                <c:pt idx="392">
                  <c:v>-199890</c:v>
                </c:pt>
                <c:pt idx="393">
                  <c:v>-207140</c:v>
                </c:pt>
                <c:pt idx="394">
                  <c:v>-208640</c:v>
                </c:pt>
                <c:pt idx="395">
                  <c:v>-211890</c:v>
                </c:pt>
                <c:pt idx="396">
                  <c:v>-219390</c:v>
                </c:pt>
                <c:pt idx="397">
                  <c:v>-223390</c:v>
                </c:pt>
                <c:pt idx="398">
                  <c:v>-230390</c:v>
                </c:pt>
                <c:pt idx="399">
                  <c:v>-228390</c:v>
                </c:pt>
                <c:pt idx="400">
                  <c:v>-234640</c:v>
                </c:pt>
                <c:pt idx="401">
                  <c:v>-233390</c:v>
                </c:pt>
                <c:pt idx="402">
                  <c:v>-229890</c:v>
                </c:pt>
                <c:pt idx="403">
                  <c:v>-237390</c:v>
                </c:pt>
                <c:pt idx="404">
                  <c:v>-244390</c:v>
                </c:pt>
                <c:pt idx="405">
                  <c:v>-248390</c:v>
                </c:pt>
                <c:pt idx="406">
                  <c:v>-247390</c:v>
                </c:pt>
                <c:pt idx="407">
                  <c:v>-248890</c:v>
                </c:pt>
                <c:pt idx="408">
                  <c:v>-247140</c:v>
                </c:pt>
                <c:pt idx="409">
                  <c:v>-241390</c:v>
                </c:pt>
                <c:pt idx="410">
                  <c:v>-248390</c:v>
                </c:pt>
                <c:pt idx="411">
                  <c:v>-248890</c:v>
                </c:pt>
                <c:pt idx="412">
                  <c:v>-251640</c:v>
                </c:pt>
                <c:pt idx="413">
                  <c:v>-255390</c:v>
                </c:pt>
                <c:pt idx="414">
                  <c:v>-250140</c:v>
                </c:pt>
                <c:pt idx="415">
                  <c:v>-254640</c:v>
                </c:pt>
                <c:pt idx="416">
                  <c:v>-247640</c:v>
                </c:pt>
                <c:pt idx="417">
                  <c:v>-251640</c:v>
                </c:pt>
                <c:pt idx="418">
                  <c:v>-257390</c:v>
                </c:pt>
                <c:pt idx="419">
                  <c:v>-253890</c:v>
                </c:pt>
                <c:pt idx="420">
                  <c:v>-250390</c:v>
                </c:pt>
                <c:pt idx="421">
                  <c:v>-251140</c:v>
                </c:pt>
                <c:pt idx="422">
                  <c:v>-247390</c:v>
                </c:pt>
                <c:pt idx="423">
                  <c:v>-243640</c:v>
                </c:pt>
                <c:pt idx="424">
                  <c:v>-248140</c:v>
                </c:pt>
                <c:pt idx="425">
                  <c:v>-247890</c:v>
                </c:pt>
                <c:pt idx="426">
                  <c:v>-250890</c:v>
                </c:pt>
                <c:pt idx="427">
                  <c:v>-248140</c:v>
                </c:pt>
                <c:pt idx="428">
                  <c:v>-245390</c:v>
                </c:pt>
                <c:pt idx="429">
                  <c:v>-249890</c:v>
                </c:pt>
                <c:pt idx="430">
                  <c:v>-254140</c:v>
                </c:pt>
                <c:pt idx="431">
                  <c:v>-253390</c:v>
                </c:pt>
                <c:pt idx="432">
                  <c:v>-248390</c:v>
                </c:pt>
                <c:pt idx="433">
                  <c:v>-254640</c:v>
                </c:pt>
                <c:pt idx="434">
                  <c:v>-253130</c:v>
                </c:pt>
                <c:pt idx="435">
                  <c:v>-254130</c:v>
                </c:pt>
                <c:pt idx="436">
                  <c:v>-264880</c:v>
                </c:pt>
                <c:pt idx="437">
                  <c:v>-271880</c:v>
                </c:pt>
                <c:pt idx="438">
                  <c:v>-263130</c:v>
                </c:pt>
                <c:pt idx="439">
                  <c:v>-270380</c:v>
                </c:pt>
                <c:pt idx="440">
                  <c:v>-273380</c:v>
                </c:pt>
                <c:pt idx="441">
                  <c:v>-271380</c:v>
                </c:pt>
                <c:pt idx="442">
                  <c:v>-278880</c:v>
                </c:pt>
                <c:pt idx="443">
                  <c:v>-279630</c:v>
                </c:pt>
                <c:pt idx="444">
                  <c:v>-275130</c:v>
                </c:pt>
                <c:pt idx="445">
                  <c:v>-273380</c:v>
                </c:pt>
                <c:pt idx="446">
                  <c:v>-276630</c:v>
                </c:pt>
                <c:pt idx="447">
                  <c:v>-279380</c:v>
                </c:pt>
                <c:pt idx="448">
                  <c:v>-285380</c:v>
                </c:pt>
                <c:pt idx="449">
                  <c:v>-287630</c:v>
                </c:pt>
                <c:pt idx="450">
                  <c:v>-292380</c:v>
                </c:pt>
                <c:pt idx="451">
                  <c:v>-288630</c:v>
                </c:pt>
                <c:pt idx="452">
                  <c:v>-292130</c:v>
                </c:pt>
                <c:pt idx="453">
                  <c:v>-294630</c:v>
                </c:pt>
                <c:pt idx="454">
                  <c:v>-292630</c:v>
                </c:pt>
                <c:pt idx="455">
                  <c:v>-296380</c:v>
                </c:pt>
                <c:pt idx="456">
                  <c:v>-296880</c:v>
                </c:pt>
                <c:pt idx="457">
                  <c:v>-296630</c:v>
                </c:pt>
                <c:pt idx="458">
                  <c:v>-295130</c:v>
                </c:pt>
                <c:pt idx="459">
                  <c:v>-286130</c:v>
                </c:pt>
                <c:pt idx="460">
                  <c:v>-278630</c:v>
                </c:pt>
                <c:pt idx="461">
                  <c:v>-275880</c:v>
                </c:pt>
                <c:pt idx="462">
                  <c:v>-272630</c:v>
                </c:pt>
                <c:pt idx="463">
                  <c:v>-285380</c:v>
                </c:pt>
                <c:pt idx="464">
                  <c:v>-273130</c:v>
                </c:pt>
                <c:pt idx="465">
                  <c:v>-263380</c:v>
                </c:pt>
                <c:pt idx="466">
                  <c:v>-269630</c:v>
                </c:pt>
                <c:pt idx="467">
                  <c:v>-266880</c:v>
                </c:pt>
                <c:pt idx="468">
                  <c:v>-270380</c:v>
                </c:pt>
                <c:pt idx="469">
                  <c:v>-270880</c:v>
                </c:pt>
                <c:pt idx="470">
                  <c:v>-261380</c:v>
                </c:pt>
                <c:pt idx="471">
                  <c:v>-264630</c:v>
                </c:pt>
                <c:pt idx="472">
                  <c:v>-258880</c:v>
                </c:pt>
                <c:pt idx="473">
                  <c:v>-264880</c:v>
                </c:pt>
                <c:pt idx="474">
                  <c:v>-257380</c:v>
                </c:pt>
                <c:pt idx="475">
                  <c:v>-253880</c:v>
                </c:pt>
                <c:pt idx="476">
                  <c:v>-245380</c:v>
                </c:pt>
                <c:pt idx="477">
                  <c:v>-242380</c:v>
                </c:pt>
                <c:pt idx="478">
                  <c:v>-245380</c:v>
                </c:pt>
                <c:pt idx="479">
                  <c:v>-246630</c:v>
                </c:pt>
                <c:pt idx="480">
                  <c:v>-252380</c:v>
                </c:pt>
                <c:pt idx="481">
                  <c:v>-248880</c:v>
                </c:pt>
                <c:pt idx="482">
                  <c:v>-246380</c:v>
                </c:pt>
                <c:pt idx="483">
                  <c:v>-249880</c:v>
                </c:pt>
                <c:pt idx="484">
                  <c:v>-247380</c:v>
                </c:pt>
                <c:pt idx="485">
                  <c:v>-245630</c:v>
                </c:pt>
                <c:pt idx="486">
                  <c:v>-240130</c:v>
                </c:pt>
                <c:pt idx="487">
                  <c:v>-234880</c:v>
                </c:pt>
                <c:pt idx="488">
                  <c:v>-234880</c:v>
                </c:pt>
                <c:pt idx="489">
                  <c:v>-240880</c:v>
                </c:pt>
                <c:pt idx="490">
                  <c:v>-244630</c:v>
                </c:pt>
                <c:pt idx="491">
                  <c:v>-254380</c:v>
                </c:pt>
                <c:pt idx="492">
                  <c:v>-244880</c:v>
                </c:pt>
                <c:pt idx="493">
                  <c:v>-241130</c:v>
                </c:pt>
                <c:pt idx="494">
                  <c:v>-251130</c:v>
                </c:pt>
                <c:pt idx="495">
                  <c:v>-245630</c:v>
                </c:pt>
                <c:pt idx="496">
                  <c:v>-239630</c:v>
                </c:pt>
                <c:pt idx="497">
                  <c:v>-242130</c:v>
                </c:pt>
                <c:pt idx="498">
                  <c:v>-241880</c:v>
                </c:pt>
                <c:pt idx="499">
                  <c:v>-243120</c:v>
                </c:pt>
                <c:pt idx="500">
                  <c:v>-248620</c:v>
                </c:pt>
                <c:pt idx="501">
                  <c:v>-250620</c:v>
                </c:pt>
                <c:pt idx="502">
                  <c:v>-241370</c:v>
                </c:pt>
                <c:pt idx="503">
                  <c:v>-235870</c:v>
                </c:pt>
                <c:pt idx="504">
                  <c:v>-238370</c:v>
                </c:pt>
                <c:pt idx="505">
                  <c:v>-236370</c:v>
                </c:pt>
                <c:pt idx="506">
                  <c:v>-238870</c:v>
                </c:pt>
                <c:pt idx="507">
                  <c:v>-234120</c:v>
                </c:pt>
                <c:pt idx="508">
                  <c:v>-221370</c:v>
                </c:pt>
                <c:pt idx="509">
                  <c:v>-222870</c:v>
                </c:pt>
                <c:pt idx="510">
                  <c:v>-224370</c:v>
                </c:pt>
                <c:pt idx="511">
                  <c:v>-223120</c:v>
                </c:pt>
                <c:pt idx="512">
                  <c:v>-220120</c:v>
                </c:pt>
                <c:pt idx="513">
                  <c:v>-222120</c:v>
                </c:pt>
                <c:pt idx="514">
                  <c:v>-218870</c:v>
                </c:pt>
                <c:pt idx="515">
                  <c:v>-217370</c:v>
                </c:pt>
                <c:pt idx="516">
                  <c:v>-223120</c:v>
                </c:pt>
                <c:pt idx="517">
                  <c:v>-220370</c:v>
                </c:pt>
                <c:pt idx="518">
                  <c:v>-217870</c:v>
                </c:pt>
                <c:pt idx="519">
                  <c:v>-218620</c:v>
                </c:pt>
                <c:pt idx="520">
                  <c:v>-224370</c:v>
                </c:pt>
                <c:pt idx="521">
                  <c:v>-234370</c:v>
                </c:pt>
                <c:pt idx="522">
                  <c:v>-232860</c:v>
                </c:pt>
                <c:pt idx="523">
                  <c:v>-235610</c:v>
                </c:pt>
                <c:pt idx="524">
                  <c:v>-225610</c:v>
                </c:pt>
                <c:pt idx="525">
                  <c:v>-226360</c:v>
                </c:pt>
                <c:pt idx="526">
                  <c:v>-234610</c:v>
                </c:pt>
                <c:pt idx="527">
                  <c:v>-236610</c:v>
                </c:pt>
                <c:pt idx="528">
                  <c:v>-230360</c:v>
                </c:pt>
                <c:pt idx="529">
                  <c:v>-228360</c:v>
                </c:pt>
                <c:pt idx="530">
                  <c:v>-244860</c:v>
                </c:pt>
                <c:pt idx="531">
                  <c:v>-251360</c:v>
                </c:pt>
                <c:pt idx="532">
                  <c:v>-252860</c:v>
                </c:pt>
                <c:pt idx="533">
                  <c:v>-244110</c:v>
                </c:pt>
                <c:pt idx="534">
                  <c:v>-244110</c:v>
                </c:pt>
                <c:pt idx="535">
                  <c:v>-241610</c:v>
                </c:pt>
                <c:pt idx="536">
                  <c:v>-243360</c:v>
                </c:pt>
                <c:pt idx="537">
                  <c:v>-247360</c:v>
                </c:pt>
                <c:pt idx="538">
                  <c:v>-245610</c:v>
                </c:pt>
                <c:pt idx="539">
                  <c:v>-246610</c:v>
                </c:pt>
                <c:pt idx="540">
                  <c:v>-248360</c:v>
                </c:pt>
                <c:pt idx="541">
                  <c:v>-254860</c:v>
                </c:pt>
                <c:pt idx="542">
                  <c:v>-260860</c:v>
                </c:pt>
                <c:pt idx="543">
                  <c:v>-261110</c:v>
                </c:pt>
                <c:pt idx="544">
                  <c:v>-260850</c:v>
                </c:pt>
                <c:pt idx="545">
                  <c:v>-245350</c:v>
                </c:pt>
                <c:pt idx="546">
                  <c:v>-250600</c:v>
                </c:pt>
                <c:pt idx="547">
                  <c:v>-247600</c:v>
                </c:pt>
                <c:pt idx="548">
                  <c:v>-248850</c:v>
                </c:pt>
                <c:pt idx="549">
                  <c:v>-240850</c:v>
                </c:pt>
                <c:pt idx="550">
                  <c:v>-244350</c:v>
                </c:pt>
                <c:pt idx="551">
                  <c:v>-244350</c:v>
                </c:pt>
                <c:pt idx="552">
                  <c:v>-248600</c:v>
                </c:pt>
                <c:pt idx="553">
                  <c:v>-246100</c:v>
                </c:pt>
                <c:pt idx="554">
                  <c:v>-244100</c:v>
                </c:pt>
                <c:pt idx="555">
                  <c:v>-242600</c:v>
                </c:pt>
                <c:pt idx="556">
                  <c:v>-247850</c:v>
                </c:pt>
                <c:pt idx="557">
                  <c:v>-242850</c:v>
                </c:pt>
                <c:pt idx="558">
                  <c:v>-247850</c:v>
                </c:pt>
                <c:pt idx="559">
                  <c:v>-252100</c:v>
                </c:pt>
                <c:pt idx="560">
                  <c:v>-253100</c:v>
                </c:pt>
                <c:pt idx="561">
                  <c:v>-258600</c:v>
                </c:pt>
                <c:pt idx="562">
                  <c:v>-251100</c:v>
                </c:pt>
                <c:pt idx="563">
                  <c:v>-243850</c:v>
                </c:pt>
                <c:pt idx="564">
                  <c:v>-251840</c:v>
                </c:pt>
                <c:pt idx="565">
                  <c:v>-249840</c:v>
                </c:pt>
                <c:pt idx="566">
                  <c:v>-250340</c:v>
                </c:pt>
                <c:pt idx="567">
                  <c:v>-249090</c:v>
                </c:pt>
                <c:pt idx="568">
                  <c:v>-256340</c:v>
                </c:pt>
                <c:pt idx="569">
                  <c:v>-250590</c:v>
                </c:pt>
                <c:pt idx="570">
                  <c:v>-253340</c:v>
                </c:pt>
                <c:pt idx="571">
                  <c:v>-248590</c:v>
                </c:pt>
                <c:pt idx="572">
                  <c:v>-250590</c:v>
                </c:pt>
                <c:pt idx="573">
                  <c:v>-258840</c:v>
                </c:pt>
                <c:pt idx="574">
                  <c:v>-261340</c:v>
                </c:pt>
                <c:pt idx="575">
                  <c:v>-269340</c:v>
                </c:pt>
                <c:pt idx="576">
                  <c:v>-267340</c:v>
                </c:pt>
                <c:pt idx="577">
                  <c:v>-267340</c:v>
                </c:pt>
                <c:pt idx="578">
                  <c:v>-253840</c:v>
                </c:pt>
                <c:pt idx="579">
                  <c:v>-249090</c:v>
                </c:pt>
                <c:pt idx="580">
                  <c:v>-247090</c:v>
                </c:pt>
                <c:pt idx="581">
                  <c:v>-244590</c:v>
                </c:pt>
                <c:pt idx="582">
                  <c:v>-248840</c:v>
                </c:pt>
                <c:pt idx="583">
                  <c:v>-249090</c:v>
                </c:pt>
                <c:pt idx="584">
                  <c:v>-246090</c:v>
                </c:pt>
                <c:pt idx="585">
                  <c:v>-263090</c:v>
                </c:pt>
                <c:pt idx="586">
                  <c:v>-258590</c:v>
                </c:pt>
                <c:pt idx="587">
                  <c:v>-252840</c:v>
                </c:pt>
                <c:pt idx="588">
                  <c:v>-250590</c:v>
                </c:pt>
                <c:pt idx="589">
                  <c:v>-254590</c:v>
                </c:pt>
                <c:pt idx="590">
                  <c:v>-257090</c:v>
                </c:pt>
                <c:pt idx="591">
                  <c:v>-261840</c:v>
                </c:pt>
                <c:pt idx="592">
                  <c:v>-261340</c:v>
                </c:pt>
                <c:pt idx="593">
                  <c:v>-263840</c:v>
                </c:pt>
                <c:pt idx="594">
                  <c:v>-268090</c:v>
                </c:pt>
                <c:pt idx="595">
                  <c:v>-265590</c:v>
                </c:pt>
                <c:pt idx="596">
                  <c:v>-264590</c:v>
                </c:pt>
                <c:pt idx="597">
                  <c:v>-262340</c:v>
                </c:pt>
                <c:pt idx="598">
                  <c:v>-261340</c:v>
                </c:pt>
                <c:pt idx="599">
                  <c:v>-261090</c:v>
                </c:pt>
                <c:pt idx="600">
                  <c:v>-266840</c:v>
                </c:pt>
                <c:pt idx="601">
                  <c:v>-267340</c:v>
                </c:pt>
                <c:pt idx="602">
                  <c:v>-264840</c:v>
                </c:pt>
                <c:pt idx="603">
                  <c:v>-275840</c:v>
                </c:pt>
                <c:pt idx="604">
                  <c:v>-281340</c:v>
                </c:pt>
                <c:pt idx="605">
                  <c:v>-280590</c:v>
                </c:pt>
                <c:pt idx="606">
                  <c:v>-279090</c:v>
                </c:pt>
                <c:pt idx="607">
                  <c:v>-281090</c:v>
                </c:pt>
                <c:pt idx="608">
                  <c:v>-284330</c:v>
                </c:pt>
                <c:pt idx="609">
                  <c:v>-283580</c:v>
                </c:pt>
                <c:pt idx="610">
                  <c:v>-286830</c:v>
                </c:pt>
                <c:pt idx="611">
                  <c:v>-281580</c:v>
                </c:pt>
                <c:pt idx="612">
                  <c:v>-285080</c:v>
                </c:pt>
                <c:pt idx="613">
                  <c:v>-284830</c:v>
                </c:pt>
                <c:pt idx="614">
                  <c:v>-287580</c:v>
                </c:pt>
                <c:pt idx="615">
                  <c:v>-283830</c:v>
                </c:pt>
                <c:pt idx="616">
                  <c:v>-285580</c:v>
                </c:pt>
                <c:pt idx="617">
                  <c:v>-279080</c:v>
                </c:pt>
                <c:pt idx="618">
                  <c:v>-282080</c:v>
                </c:pt>
                <c:pt idx="619">
                  <c:v>-276580</c:v>
                </c:pt>
                <c:pt idx="620">
                  <c:v>-284830</c:v>
                </c:pt>
                <c:pt idx="621">
                  <c:v>-286830</c:v>
                </c:pt>
                <c:pt idx="622">
                  <c:v>-281830</c:v>
                </c:pt>
                <c:pt idx="623">
                  <c:v>-285830</c:v>
                </c:pt>
                <c:pt idx="624">
                  <c:v>-286580</c:v>
                </c:pt>
                <c:pt idx="625">
                  <c:v>-292580</c:v>
                </c:pt>
                <c:pt idx="626">
                  <c:v>-296580</c:v>
                </c:pt>
                <c:pt idx="627">
                  <c:v>-292830</c:v>
                </c:pt>
                <c:pt idx="628">
                  <c:v>-296080</c:v>
                </c:pt>
                <c:pt idx="629">
                  <c:v>-294580</c:v>
                </c:pt>
                <c:pt idx="630">
                  <c:v>-287330</c:v>
                </c:pt>
                <c:pt idx="631">
                  <c:v>-289080</c:v>
                </c:pt>
                <c:pt idx="632">
                  <c:v>-283080</c:v>
                </c:pt>
                <c:pt idx="633">
                  <c:v>-286330</c:v>
                </c:pt>
                <c:pt idx="634">
                  <c:v>-282080</c:v>
                </c:pt>
                <c:pt idx="635">
                  <c:v>-281330</c:v>
                </c:pt>
                <c:pt idx="636">
                  <c:v>-287330</c:v>
                </c:pt>
                <c:pt idx="637">
                  <c:v>-291330</c:v>
                </c:pt>
                <c:pt idx="638">
                  <c:v>-293330</c:v>
                </c:pt>
                <c:pt idx="639">
                  <c:v>-298830</c:v>
                </c:pt>
                <c:pt idx="640">
                  <c:v>-295080</c:v>
                </c:pt>
                <c:pt idx="641">
                  <c:v>-288580</c:v>
                </c:pt>
                <c:pt idx="642">
                  <c:v>-287580</c:v>
                </c:pt>
                <c:pt idx="643">
                  <c:v>-292080</c:v>
                </c:pt>
                <c:pt idx="644">
                  <c:v>-288330</c:v>
                </c:pt>
                <c:pt idx="645">
                  <c:v>-279830</c:v>
                </c:pt>
                <c:pt idx="646">
                  <c:v>-279080</c:v>
                </c:pt>
                <c:pt idx="647">
                  <c:v>-270580</c:v>
                </c:pt>
                <c:pt idx="648">
                  <c:v>-259330</c:v>
                </c:pt>
                <c:pt idx="649">
                  <c:v>-258080</c:v>
                </c:pt>
                <c:pt idx="650">
                  <c:v>-233580</c:v>
                </c:pt>
                <c:pt idx="651">
                  <c:v>-235820</c:v>
                </c:pt>
                <c:pt idx="652">
                  <c:v>-223320</c:v>
                </c:pt>
                <c:pt idx="653">
                  <c:v>-224320</c:v>
                </c:pt>
                <c:pt idx="654">
                  <c:v>-225570</c:v>
                </c:pt>
                <c:pt idx="655">
                  <c:v>-230320</c:v>
                </c:pt>
                <c:pt idx="656">
                  <c:v>-228070</c:v>
                </c:pt>
                <c:pt idx="657">
                  <c:v>-220820</c:v>
                </c:pt>
                <c:pt idx="658">
                  <c:v>-216820</c:v>
                </c:pt>
                <c:pt idx="659">
                  <c:v>-210320</c:v>
                </c:pt>
                <c:pt idx="660">
                  <c:v>-220070</c:v>
                </c:pt>
                <c:pt idx="661">
                  <c:v>-224070</c:v>
                </c:pt>
                <c:pt idx="662">
                  <c:v>-220820</c:v>
                </c:pt>
                <c:pt idx="663">
                  <c:v>-231570</c:v>
                </c:pt>
                <c:pt idx="664">
                  <c:v>-245320</c:v>
                </c:pt>
                <c:pt idx="665">
                  <c:v>-244070</c:v>
                </c:pt>
                <c:pt idx="666">
                  <c:v>-249320</c:v>
                </c:pt>
                <c:pt idx="667">
                  <c:v>-250570</c:v>
                </c:pt>
                <c:pt idx="668">
                  <c:v>-256820</c:v>
                </c:pt>
                <c:pt idx="669">
                  <c:v>-274570</c:v>
                </c:pt>
                <c:pt idx="670">
                  <c:v>-280570</c:v>
                </c:pt>
                <c:pt idx="671">
                  <c:v>-282570</c:v>
                </c:pt>
                <c:pt idx="672">
                  <c:v>-280570</c:v>
                </c:pt>
                <c:pt idx="673">
                  <c:v>-277070</c:v>
                </c:pt>
                <c:pt idx="674">
                  <c:v>-283070</c:v>
                </c:pt>
                <c:pt idx="675">
                  <c:v>-284570</c:v>
                </c:pt>
                <c:pt idx="676">
                  <c:v>-279570</c:v>
                </c:pt>
                <c:pt idx="677">
                  <c:v>-280320</c:v>
                </c:pt>
                <c:pt idx="678">
                  <c:v>-278820</c:v>
                </c:pt>
                <c:pt idx="679">
                  <c:v>-265070</c:v>
                </c:pt>
                <c:pt idx="680">
                  <c:v>-271320</c:v>
                </c:pt>
                <c:pt idx="681">
                  <c:v>-294320</c:v>
                </c:pt>
                <c:pt idx="682">
                  <c:v>-290070</c:v>
                </c:pt>
                <c:pt idx="683">
                  <c:v>-288820</c:v>
                </c:pt>
                <c:pt idx="684">
                  <c:v>-287820</c:v>
                </c:pt>
                <c:pt idx="685">
                  <c:v>-285570</c:v>
                </c:pt>
                <c:pt idx="686">
                  <c:v>-284320</c:v>
                </c:pt>
                <c:pt idx="687">
                  <c:v>-281070</c:v>
                </c:pt>
                <c:pt idx="688">
                  <c:v>-286570</c:v>
                </c:pt>
                <c:pt idx="689">
                  <c:v>-283320</c:v>
                </c:pt>
                <c:pt idx="690">
                  <c:v>-287070</c:v>
                </c:pt>
                <c:pt idx="691">
                  <c:v>-289570</c:v>
                </c:pt>
                <c:pt idx="692">
                  <c:v>-289820</c:v>
                </c:pt>
                <c:pt idx="693">
                  <c:v>-287820</c:v>
                </c:pt>
                <c:pt idx="694">
                  <c:v>-289570</c:v>
                </c:pt>
                <c:pt idx="695">
                  <c:v>-294810</c:v>
                </c:pt>
                <c:pt idx="696">
                  <c:v>-298060</c:v>
                </c:pt>
                <c:pt idx="697">
                  <c:v>-302060</c:v>
                </c:pt>
                <c:pt idx="698">
                  <c:v>-300560</c:v>
                </c:pt>
                <c:pt idx="699">
                  <c:v>-301060</c:v>
                </c:pt>
                <c:pt idx="700">
                  <c:v>-297560</c:v>
                </c:pt>
                <c:pt idx="701">
                  <c:v>-294560</c:v>
                </c:pt>
                <c:pt idx="702">
                  <c:v>-289560</c:v>
                </c:pt>
                <c:pt idx="703">
                  <c:v>-279810</c:v>
                </c:pt>
                <c:pt idx="704">
                  <c:v>-270560</c:v>
                </c:pt>
                <c:pt idx="705">
                  <c:v>-272560</c:v>
                </c:pt>
                <c:pt idx="706">
                  <c:v>-277560</c:v>
                </c:pt>
                <c:pt idx="707">
                  <c:v>-282060</c:v>
                </c:pt>
                <c:pt idx="708">
                  <c:v>-285560</c:v>
                </c:pt>
                <c:pt idx="709">
                  <c:v>-279560</c:v>
                </c:pt>
                <c:pt idx="710">
                  <c:v>-283810</c:v>
                </c:pt>
                <c:pt idx="711">
                  <c:v>-281310</c:v>
                </c:pt>
                <c:pt idx="712">
                  <c:v>-283060</c:v>
                </c:pt>
                <c:pt idx="713">
                  <c:v>-275560</c:v>
                </c:pt>
                <c:pt idx="714">
                  <c:v>-277560</c:v>
                </c:pt>
                <c:pt idx="715">
                  <c:v>-275060</c:v>
                </c:pt>
                <c:pt idx="716">
                  <c:v>-278310</c:v>
                </c:pt>
                <c:pt idx="717">
                  <c:v>-273560</c:v>
                </c:pt>
                <c:pt idx="718">
                  <c:v>-273560</c:v>
                </c:pt>
                <c:pt idx="719">
                  <c:v>-270810</c:v>
                </c:pt>
                <c:pt idx="720">
                  <c:v>-266060</c:v>
                </c:pt>
                <c:pt idx="721">
                  <c:v>-267810</c:v>
                </c:pt>
                <c:pt idx="722">
                  <c:v>-271810</c:v>
                </c:pt>
                <c:pt idx="723">
                  <c:v>-278310</c:v>
                </c:pt>
                <c:pt idx="724">
                  <c:v>-282560</c:v>
                </c:pt>
                <c:pt idx="725">
                  <c:v>-279560</c:v>
                </c:pt>
                <c:pt idx="726">
                  <c:v>-284560</c:v>
                </c:pt>
                <c:pt idx="727">
                  <c:v>-288060</c:v>
                </c:pt>
                <c:pt idx="728">
                  <c:v>-287560</c:v>
                </c:pt>
                <c:pt idx="729">
                  <c:v>-290060</c:v>
                </c:pt>
                <c:pt idx="730">
                  <c:v>-288560</c:v>
                </c:pt>
                <c:pt idx="731">
                  <c:v>-283310</c:v>
                </c:pt>
                <c:pt idx="732">
                  <c:v>-284560</c:v>
                </c:pt>
                <c:pt idx="733">
                  <c:v>-285560</c:v>
                </c:pt>
                <c:pt idx="734">
                  <c:v>-279560</c:v>
                </c:pt>
                <c:pt idx="735">
                  <c:v>-282310</c:v>
                </c:pt>
                <c:pt idx="736">
                  <c:v>-287560</c:v>
                </c:pt>
                <c:pt idx="737">
                  <c:v>-284310</c:v>
                </c:pt>
                <c:pt idx="738">
                  <c:v>-281560</c:v>
                </c:pt>
                <c:pt idx="739">
                  <c:v>-287060</c:v>
                </c:pt>
                <c:pt idx="740">
                  <c:v>-284060</c:v>
                </c:pt>
                <c:pt idx="741">
                  <c:v>-280310</c:v>
                </c:pt>
                <c:pt idx="742">
                  <c:v>-288060</c:v>
                </c:pt>
                <c:pt idx="743">
                  <c:v>-290310</c:v>
                </c:pt>
                <c:pt idx="744">
                  <c:v>-294810</c:v>
                </c:pt>
                <c:pt idx="745">
                  <c:v>-305310</c:v>
                </c:pt>
                <c:pt idx="746">
                  <c:v>-302060</c:v>
                </c:pt>
                <c:pt idx="747">
                  <c:v>-302310</c:v>
                </c:pt>
                <c:pt idx="748">
                  <c:v>-304560</c:v>
                </c:pt>
                <c:pt idx="749">
                  <c:v>-304810</c:v>
                </c:pt>
                <c:pt idx="750">
                  <c:v>-303560</c:v>
                </c:pt>
                <c:pt idx="751">
                  <c:v>-302060</c:v>
                </c:pt>
                <c:pt idx="752">
                  <c:v>-299810</c:v>
                </c:pt>
                <c:pt idx="753">
                  <c:v>-300060</c:v>
                </c:pt>
                <c:pt idx="754">
                  <c:v>-297560</c:v>
                </c:pt>
                <c:pt idx="755">
                  <c:v>-300310</c:v>
                </c:pt>
                <c:pt idx="756">
                  <c:v>-298560</c:v>
                </c:pt>
                <c:pt idx="757">
                  <c:v>-298060</c:v>
                </c:pt>
                <c:pt idx="758">
                  <c:v>-302810</c:v>
                </c:pt>
                <c:pt idx="759">
                  <c:v>-298560</c:v>
                </c:pt>
                <c:pt idx="760">
                  <c:v>-296800</c:v>
                </c:pt>
                <c:pt idx="761">
                  <c:v>-299550</c:v>
                </c:pt>
                <c:pt idx="762">
                  <c:v>-293300</c:v>
                </c:pt>
                <c:pt idx="763">
                  <c:v>-289800</c:v>
                </c:pt>
                <c:pt idx="764">
                  <c:v>-296800</c:v>
                </c:pt>
                <c:pt idx="765">
                  <c:v>-296550</c:v>
                </c:pt>
                <c:pt idx="766">
                  <c:v>-297050</c:v>
                </c:pt>
                <c:pt idx="767">
                  <c:v>-291800</c:v>
                </c:pt>
                <c:pt idx="768">
                  <c:v>-295300</c:v>
                </c:pt>
                <c:pt idx="769">
                  <c:v>-291800</c:v>
                </c:pt>
                <c:pt idx="770">
                  <c:v>-291550</c:v>
                </c:pt>
                <c:pt idx="771">
                  <c:v>-300300</c:v>
                </c:pt>
                <c:pt idx="772">
                  <c:v>-297050</c:v>
                </c:pt>
                <c:pt idx="773">
                  <c:v>-295800</c:v>
                </c:pt>
                <c:pt idx="774">
                  <c:v>-298800</c:v>
                </c:pt>
                <c:pt idx="775">
                  <c:v>-303800</c:v>
                </c:pt>
                <c:pt idx="776">
                  <c:v>-304800</c:v>
                </c:pt>
                <c:pt idx="777">
                  <c:v>-305800</c:v>
                </c:pt>
                <c:pt idx="778">
                  <c:v>-306800</c:v>
                </c:pt>
                <c:pt idx="779">
                  <c:v>-309550</c:v>
                </c:pt>
                <c:pt idx="780">
                  <c:v>-308550</c:v>
                </c:pt>
                <c:pt idx="781">
                  <c:v>-311050</c:v>
                </c:pt>
                <c:pt idx="782">
                  <c:v>-311800</c:v>
                </c:pt>
                <c:pt idx="783">
                  <c:v>-310790</c:v>
                </c:pt>
                <c:pt idx="784">
                  <c:v>-318790</c:v>
                </c:pt>
                <c:pt idx="785">
                  <c:v>-317290</c:v>
                </c:pt>
                <c:pt idx="786">
                  <c:v>-316290</c:v>
                </c:pt>
                <c:pt idx="787">
                  <c:v>-318040</c:v>
                </c:pt>
                <c:pt idx="788">
                  <c:v>-314040</c:v>
                </c:pt>
                <c:pt idx="789">
                  <c:v>-319540</c:v>
                </c:pt>
                <c:pt idx="790">
                  <c:v>-312540</c:v>
                </c:pt>
                <c:pt idx="791">
                  <c:v>-311790</c:v>
                </c:pt>
                <c:pt idx="792">
                  <c:v>-311790</c:v>
                </c:pt>
                <c:pt idx="793">
                  <c:v>-308290</c:v>
                </c:pt>
                <c:pt idx="794">
                  <c:v>-307290</c:v>
                </c:pt>
                <c:pt idx="795">
                  <c:v>-302040</c:v>
                </c:pt>
                <c:pt idx="796">
                  <c:v>-302540</c:v>
                </c:pt>
                <c:pt idx="797">
                  <c:v>-303040</c:v>
                </c:pt>
                <c:pt idx="798">
                  <c:v>-300790</c:v>
                </c:pt>
                <c:pt idx="799">
                  <c:v>-301040</c:v>
                </c:pt>
                <c:pt idx="800">
                  <c:v>-301540</c:v>
                </c:pt>
                <c:pt idx="801">
                  <c:v>-300540</c:v>
                </c:pt>
                <c:pt idx="802">
                  <c:v>-304540</c:v>
                </c:pt>
                <c:pt idx="803">
                  <c:v>-299790</c:v>
                </c:pt>
                <c:pt idx="804">
                  <c:v>-300530</c:v>
                </c:pt>
                <c:pt idx="805">
                  <c:v>-299030</c:v>
                </c:pt>
                <c:pt idx="806">
                  <c:v>-300280</c:v>
                </c:pt>
                <c:pt idx="807">
                  <c:v>-302030</c:v>
                </c:pt>
                <c:pt idx="808">
                  <c:v>-304530</c:v>
                </c:pt>
                <c:pt idx="809">
                  <c:v>-309280</c:v>
                </c:pt>
                <c:pt idx="810">
                  <c:v>-310280</c:v>
                </c:pt>
                <c:pt idx="811">
                  <c:v>-310530</c:v>
                </c:pt>
                <c:pt idx="812">
                  <c:v>-311030</c:v>
                </c:pt>
                <c:pt idx="813">
                  <c:v>-312280</c:v>
                </c:pt>
                <c:pt idx="814">
                  <c:v>-311780</c:v>
                </c:pt>
                <c:pt idx="815">
                  <c:v>-309780</c:v>
                </c:pt>
                <c:pt idx="816">
                  <c:v>-304030</c:v>
                </c:pt>
                <c:pt idx="817">
                  <c:v>-305030</c:v>
                </c:pt>
                <c:pt idx="818">
                  <c:v>-306030</c:v>
                </c:pt>
                <c:pt idx="819">
                  <c:v>-303280</c:v>
                </c:pt>
                <c:pt idx="820">
                  <c:v>-308780</c:v>
                </c:pt>
                <c:pt idx="821">
                  <c:v>-310030</c:v>
                </c:pt>
                <c:pt idx="822">
                  <c:v>-314530</c:v>
                </c:pt>
                <c:pt idx="823">
                  <c:v>-316780</c:v>
                </c:pt>
                <c:pt idx="824">
                  <c:v>-318280</c:v>
                </c:pt>
                <c:pt idx="825">
                  <c:v>-319020</c:v>
                </c:pt>
                <c:pt idx="826">
                  <c:v>-320020</c:v>
                </c:pt>
                <c:pt idx="827">
                  <c:v>-320020</c:v>
                </c:pt>
                <c:pt idx="828">
                  <c:v>-317770</c:v>
                </c:pt>
                <c:pt idx="829">
                  <c:v>-315770</c:v>
                </c:pt>
                <c:pt idx="830">
                  <c:v>-316020</c:v>
                </c:pt>
                <c:pt idx="831">
                  <c:v>-316270</c:v>
                </c:pt>
                <c:pt idx="832">
                  <c:v>-313020</c:v>
                </c:pt>
                <c:pt idx="833">
                  <c:v>-310770</c:v>
                </c:pt>
                <c:pt idx="834">
                  <c:v>-306770</c:v>
                </c:pt>
                <c:pt idx="835">
                  <c:v>-307020</c:v>
                </c:pt>
                <c:pt idx="836">
                  <c:v>-308020</c:v>
                </c:pt>
                <c:pt idx="837">
                  <c:v>-307520</c:v>
                </c:pt>
                <c:pt idx="838">
                  <c:v>-309020</c:v>
                </c:pt>
                <c:pt idx="839">
                  <c:v>-306270</c:v>
                </c:pt>
                <c:pt idx="840">
                  <c:v>-306020</c:v>
                </c:pt>
                <c:pt idx="841">
                  <c:v>-307520</c:v>
                </c:pt>
                <c:pt idx="842">
                  <c:v>-306020</c:v>
                </c:pt>
                <c:pt idx="843">
                  <c:v>-305020</c:v>
                </c:pt>
                <c:pt idx="844">
                  <c:v>-304270</c:v>
                </c:pt>
                <c:pt idx="845">
                  <c:v>-303520</c:v>
                </c:pt>
                <c:pt idx="846">
                  <c:v>-306270</c:v>
                </c:pt>
                <c:pt idx="847">
                  <c:v>-327270</c:v>
                </c:pt>
                <c:pt idx="848">
                  <c:v>-324270</c:v>
                </c:pt>
                <c:pt idx="849">
                  <c:v>-321020</c:v>
                </c:pt>
                <c:pt idx="850">
                  <c:v>-320020</c:v>
                </c:pt>
                <c:pt idx="851">
                  <c:v>-317520</c:v>
                </c:pt>
                <c:pt idx="852">
                  <c:v>-314270</c:v>
                </c:pt>
                <c:pt idx="853">
                  <c:v>-313770</c:v>
                </c:pt>
                <c:pt idx="854">
                  <c:v>-319020</c:v>
                </c:pt>
                <c:pt idx="855">
                  <c:v>-316270</c:v>
                </c:pt>
                <c:pt idx="856">
                  <c:v>-301770</c:v>
                </c:pt>
                <c:pt idx="857">
                  <c:v>-301770</c:v>
                </c:pt>
                <c:pt idx="858">
                  <c:v>-295770</c:v>
                </c:pt>
                <c:pt idx="859">
                  <c:v>-294520</c:v>
                </c:pt>
                <c:pt idx="860">
                  <c:v>-291020</c:v>
                </c:pt>
                <c:pt idx="861">
                  <c:v>-284520</c:v>
                </c:pt>
                <c:pt idx="862">
                  <c:v>-285520</c:v>
                </c:pt>
                <c:pt idx="863">
                  <c:v>-303020</c:v>
                </c:pt>
                <c:pt idx="864">
                  <c:v>-295770</c:v>
                </c:pt>
                <c:pt idx="865">
                  <c:v>-295770</c:v>
                </c:pt>
                <c:pt idx="866">
                  <c:v>-298020</c:v>
                </c:pt>
                <c:pt idx="867">
                  <c:v>-290270</c:v>
                </c:pt>
                <c:pt idx="868">
                  <c:v>-290020</c:v>
                </c:pt>
                <c:pt idx="869">
                  <c:v>-292260</c:v>
                </c:pt>
                <c:pt idx="870">
                  <c:v>-302760</c:v>
                </c:pt>
                <c:pt idx="871">
                  <c:v>-303010</c:v>
                </c:pt>
                <c:pt idx="872">
                  <c:v>-307260</c:v>
                </c:pt>
                <c:pt idx="873">
                  <c:v>-303760</c:v>
                </c:pt>
                <c:pt idx="874">
                  <c:v>-310760</c:v>
                </c:pt>
                <c:pt idx="875">
                  <c:v>-303010</c:v>
                </c:pt>
                <c:pt idx="876">
                  <c:v>-305260</c:v>
                </c:pt>
                <c:pt idx="877">
                  <c:v>-294010</c:v>
                </c:pt>
                <c:pt idx="878">
                  <c:v>-291010</c:v>
                </c:pt>
                <c:pt idx="879">
                  <c:v>-289260</c:v>
                </c:pt>
                <c:pt idx="880">
                  <c:v>-284510</c:v>
                </c:pt>
                <c:pt idx="881">
                  <c:v>-282010</c:v>
                </c:pt>
                <c:pt idx="882">
                  <c:v>-292260</c:v>
                </c:pt>
                <c:pt idx="883">
                  <c:v>-288510</c:v>
                </c:pt>
                <c:pt idx="884">
                  <c:v>-284260</c:v>
                </c:pt>
                <c:pt idx="885">
                  <c:v>-281010</c:v>
                </c:pt>
                <c:pt idx="886">
                  <c:v>-277260</c:v>
                </c:pt>
                <c:pt idx="887">
                  <c:v>-273510</c:v>
                </c:pt>
                <c:pt idx="888">
                  <c:v>-269260</c:v>
                </c:pt>
                <c:pt idx="889">
                  <c:v>-267760</c:v>
                </c:pt>
                <c:pt idx="890">
                  <c:v>-275510</c:v>
                </c:pt>
                <c:pt idx="891">
                  <c:v>-268760</c:v>
                </c:pt>
                <c:pt idx="892">
                  <c:v>-264510</c:v>
                </c:pt>
                <c:pt idx="893">
                  <c:v>-263760</c:v>
                </c:pt>
                <c:pt idx="894">
                  <c:v>-254010</c:v>
                </c:pt>
                <c:pt idx="895">
                  <c:v>-254260</c:v>
                </c:pt>
                <c:pt idx="896">
                  <c:v>-248760</c:v>
                </c:pt>
                <c:pt idx="897">
                  <c:v>-255260</c:v>
                </c:pt>
                <c:pt idx="898">
                  <c:v>-258760</c:v>
                </c:pt>
                <c:pt idx="899">
                  <c:v>-252010</c:v>
                </c:pt>
                <c:pt idx="900">
                  <c:v>-247510</c:v>
                </c:pt>
                <c:pt idx="901">
                  <c:v>-250260</c:v>
                </c:pt>
                <c:pt idx="902">
                  <c:v>-256510</c:v>
                </c:pt>
                <c:pt idx="903">
                  <c:v>-247010</c:v>
                </c:pt>
                <c:pt idx="904">
                  <c:v>-258260</c:v>
                </c:pt>
                <c:pt idx="905">
                  <c:v>-283760</c:v>
                </c:pt>
                <c:pt idx="906">
                  <c:v>-284010</c:v>
                </c:pt>
                <c:pt idx="907">
                  <c:v>-293510</c:v>
                </c:pt>
                <c:pt idx="908">
                  <c:v>-299760</c:v>
                </c:pt>
                <c:pt idx="909">
                  <c:v>-298010</c:v>
                </c:pt>
                <c:pt idx="910">
                  <c:v>-297010</c:v>
                </c:pt>
                <c:pt idx="911">
                  <c:v>-307760</c:v>
                </c:pt>
                <c:pt idx="912">
                  <c:v>-318760</c:v>
                </c:pt>
                <c:pt idx="913">
                  <c:v>-326250</c:v>
                </c:pt>
                <c:pt idx="914">
                  <c:v>-334750</c:v>
                </c:pt>
                <c:pt idx="915">
                  <c:v>-336500</c:v>
                </c:pt>
                <c:pt idx="916">
                  <c:v>-342500</c:v>
                </c:pt>
                <c:pt idx="917">
                  <c:v>-345250</c:v>
                </c:pt>
                <c:pt idx="918">
                  <c:v>-332750</c:v>
                </c:pt>
                <c:pt idx="919">
                  <c:v>-340000</c:v>
                </c:pt>
                <c:pt idx="920">
                  <c:v>-334250</c:v>
                </c:pt>
                <c:pt idx="921">
                  <c:v>-324500</c:v>
                </c:pt>
                <c:pt idx="922">
                  <c:v>-328250</c:v>
                </c:pt>
                <c:pt idx="923">
                  <c:v>-333500</c:v>
                </c:pt>
                <c:pt idx="924">
                  <c:v>-331250</c:v>
                </c:pt>
                <c:pt idx="925">
                  <c:v>-343000</c:v>
                </c:pt>
                <c:pt idx="926">
                  <c:v>-351000</c:v>
                </c:pt>
                <c:pt idx="927">
                  <c:v>-351500</c:v>
                </c:pt>
                <c:pt idx="928">
                  <c:v>-351250</c:v>
                </c:pt>
                <c:pt idx="929">
                  <c:v>-352750</c:v>
                </c:pt>
                <c:pt idx="930">
                  <c:v>-355000</c:v>
                </c:pt>
                <c:pt idx="931">
                  <c:v>-350500</c:v>
                </c:pt>
                <c:pt idx="932">
                  <c:v>-356750</c:v>
                </c:pt>
                <c:pt idx="933">
                  <c:v>-353000</c:v>
                </c:pt>
                <c:pt idx="934">
                  <c:v>-358250</c:v>
                </c:pt>
                <c:pt idx="935">
                  <c:v>-365000</c:v>
                </c:pt>
                <c:pt idx="936">
                  <c:v>-361500</c:v>
                </c:pt>
                <c:pt idx="937">
                  <c:v>-364000</c:v>
                </c:pt>
                <c:pt idx="938">
                  <c:v>-363750</c:v>
                </c:pt>
                <c:pt idx="939">
                  <c:v>-361750</c:v>
                </c:pt>
                <c:pt idx="940">
                  <c:v>-362250</c:v>
                </c:pt>
                <c:pt idx="941">
                  <c:v>-361750</c:v>
                </c:pt>
                <c:pt idx="942">
                  <c:v>-365000</c:v>
                </c:pt>
                <c:pt idx="943">
                  <c:v>-367750</c:v>
                </c:pt>
                <c:pt idx="944">
                  <c:v>-359250</c:v>
                </c:pt>
                <c:pt idx="945">
                  <c:v>-358500</c:v>
                </c:pt>
                <c:pt idx="946">
                  <c:v>-358000</c:v>
                </c:pt>
                <c:pt idx="947">
                  <c:v>-355750</c:v>
                </c:pt>
                <c:pt idx="948">
                  <c:v>-352000</c:v>
                </c:pt>
                <c:pt idx="949">
                  <c:v>-353250</c:v>
                </c:pt>
                <c:pt idx="950">
                  <c:v>-357250</c:v>
                </c:pt>
                <c:pt idx="951">
                  <c:v>-359500</c:v>
                </c:pt>
                <c:pt idx="952">
                  <c:v>-363500</c:v>
                </c:pt>
                <c:pt idx="953">
                  <c:v>-368750</c:v>
                </c:pt>
                <c:pt idx="954">
                  <c:v>-375250</c:v>
                </c:pt>
                <c:pt idx="955">
                  <c:v>-378250</c:v>
                </c:pt>
                <c:pt idx="956">
                  <c:v>-378750</c:v>
                </c:pt>
                <c:pt idx="957">
                  <c:v>-373490</c:v>
                </c:pt>
                <c:pt idx="958">
                  <c:v>-366990</c:v>
                </c:pt>
                <c:pt idx="959">
                  <c:v>-366990</c:v>
                </c:pt>
                <c:pt idx="960">
                  <c:v>-368240</c:v>
                </c:pt>
                <c:pt idx="961">
                  <c:v>-363490</c:v>
                </c:pt>
                <c:pt idx="962">
                  <c:v>-357240</c:v>
                </c:pt>
                <c:pt idx="963">
                  <c:v>-353990</c:v>
                </c:pt>
                <c:pt idx="964">
                  <c:v>-355740</c:v>
                </c:pt>
                <c:pt idx="965">
                  <c:v>-365240</c:v>
                </c:pt>
                <c:pt idx="966">
                  <c:v>-364740</c:v>
                </c:pt>
                <c:pt idx="967">
                  <c:v>-366490</c:v>
                </c:pt>
                <c:pt idx="968">
                  <c:v>-358490</c:v>
                </c:pt>
                <c:pt idx="969">
                  <c:v>-360740</c:v>
                </c:pt>
                <c:pt idx="970">
                  <c:v>-355240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33C-458F-8213-73D7B0293C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30232992"/>
        <c:axId val="530234952"/>
      </c:lineChart>
      <c:dateAx>
        <c:axId val="530232992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0234952"/>
        <c:crosses val="autoZero"/>
        <c:auto val="1"/>
        <c:lblOffset val="100"/>
        <c:baseTimeUnit val="days"/>
      </c:dateAx>
      <c:valAx>
        <c:axId val="5302349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$&quot;#,##0" sourceLinked="0"/>
        <c:majorTickMark val="none"/>
        <c:minorTickMark val="none"/>
        <c:tickLblPos val="high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023299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Profit taken from Savings</a:t>
            </a:r>
            <a:r>
              <a:rPr lang="en-US" baseline="0"/>
              <a:t> Difference</a:t>
            </a:r>
            <a:endParaRPr lang="en-US"/>
          </a:p>
        </c:rich>
      </c:tx>
      <c:layout>
        <c:manualLayout>
          <c:xMode val="edge"/>
          <c:yMode val="edge"/>
          <c:x val="0.14789239506270785"/>
          <c:y val="3.9800995024875621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Data!$Q$12:$Q$982</c:f>
              <c:numCache>
                <c:formatCode>General</c:formatCode>
                <c:ptCount val="971"/>
                <c:pt idx="0">
                  <c:v>0</c:v>
                </c:pt>
                <c:pt idx="1">
                  <c:v>9562.5</c:v>
                </c:pt>
                <c:pt idx="2">
                  <c:v>9562.5</c:v>
                </c:pt>
                <c:pt idx="3">
                  <c:v>10968.75</c:v>
                </c:pt>
                <c:pt idx="4">
                  <c:v>10968.75</c:v>
                </c:pt>
                <c:pt idx="5">
                  <c:v>10968.75</c:v>
                </c:pt>
                <c:pt idx="6">
                  <c:v>10968.75</c:v>
                </c:pt>
                <c:pt idx="7">
                  <c:v>10968.75</c:v>
                </c:pt>
                <c:pt idx="8">
                  <c:v>10968.75</c:v>
                </c:pt>
                <c:pt idx="9">
                  <c:v>10968.75</c:v>
                </c:pt>
                <c:pt idx="10">
                  <c:v>10968.75</c:v>
                </c:pt>
                <c:pt idx="11">
                  <c:v>10968.75</c:v>
                </c:pt>
                <c:pt idx="12">
                  <c:v>10968.75</c:v>
                </c:pt>
                <c:pt idx="13">
                  <c:v>10968.75</c:v>
                </c:pt>
                <c:pt idx="14">
                  <c:v>10968.75</c:v>
                </c:pt>
                <c:pt idx="15">
                  <c:v>10968.75</c:v>
                </c:pt>
                <c:pt idx="16">
                  <c:v>10968.75</c:v>
                </c:pt>
                <c:pt idx="17">
                  <c:v>10968.75</c:v>
                </c:pt>
                <c:pt idx="18">
                  <c:v>10968.75</c:v>
                </c:pt>
                <c:pt idx="19">
                  <c:v>10968.75</c:v>
                </c:pt>
                <c:pt idx="20">
                  <c:v>10968.75</c:v>
                </c:pt>
                <c:pt idx="21">
                  <c:v>10968.75</c:v>
                </c:pt>
                <c:pt idx="22">
                  <c:v>10968.75</c:v>
                </c:pt>
                <c:pt idx="23">
                  <c:v>10968.75</c:v>
                </c:pt>
                <c:pt idx="24">
                  <c:v>10968.75</c:v>
                </c:pt>
                <c:pt idx="25">
                  <c:v>10968.75</c:v>
                </c:pt>
                <c:pt idx="26">
                  <c:v>10968.75</c:v>
                </c:pt>
                <c:pt idx="27">
                  <c:v>10968.75</c:v>
                </c:pt>
                <c:pt idx="28">
                  <c:v>10968.75</c:v>
                </c:pt>
                <c:pt idx="29">
                  <c:v>12138.125</c:v>
                </c:pt>
                <c:pt idx="30">
                  <c:v>15928.4375</c:v>
                </c:pt>
                <c:pt idx="31">
                  <c:v>15928.4375</c:v>
                </c:pt>
                <c:pt idx="32">
                  <c:v>15928.4375</c:v>
                </c:pt>
                <c:pt idx="33">
                  <c:v>15928.4375</c:v>
                </c:pt>
                <c:pt idx="34">
                  <c:v>15928.4375</c:v>
                </c:pt>
                <c:pt idx="35">
                  <c:v>16040.78125</c:v>
                </c:pt>
                <c:pt idx="36">
                  <c:v>16040.78125</c:v>
                </c:pt>
                <c:pt idx="37">
                  <c:v>16040.78125</c:v>
                </c:pt>
                <c:pt idx="38">
                  <c:v>16040.78125</c:v>
                </c:pt>
                <c:pt idx="39">
                  <c:v>16040.78125</c:v>
                </c:pt>
                <c:pt idx="40">
                  <c:v>16040.78125</c:v>
                </c:pt>
                <c:pt idx="41">
                  <c:v>16040.78125</c:v>
                </c:pt>
                <c:pt idx="42">
                  <c:v>16040.78125</c:v>
                </c:pt>
                <c:pt idx="43">
                  <c:v>16040.78125</c:v>
                </c:pt>
                <c:pt idx="44">
                  <c:v>16040.78125</c:v>
                </c:pt>
                <c:pt idx="45">
                  <c:v>16040.78125</c:v>
                </c:pt>
                <c:pt idx="46">
                  <c:v>16040.78125</c:v>
                </c:pt>
                <c:pt idx="47">
                  <c:v>16040.78125</c:v>
                </c:pt>
                <c:pt idx="48">
                  <c:v>16040.78125</c:v>
                </c:pt>
                <c:pt idx="49">
                  <c:v>16040.78125</c:v>
                </c:pt>
                <c:pt idx="50">
                  <c:v>16040.78125</c:v>
                </c:pt>
                <c:pt idx="51">
                  <c:v>16040.78125</c:v>
                </c:pt>
                <c:pt idx="52">
                  <c:v>16040.78125</c:v>
                </c:pt>
                <c:pt idx="53">
                  <c:v>16040.78125</c:v>
                </c:pt>
                <c:pt idx="54">
                  <c:v>16040.78125</c:v>
                </c:pt>
                <c:pt idx="55">
                  <c:v>16040.78125</c:v>
                </c:pt>
                <c:pt idx="56">
                  <c:v>16040.78125</c:v>
                </c:pt>
                <c:pt idx="57">
                  <c:v>16040.78125</c:v>
                </c:pt>
                <c:pt idx="58">
                  <c:v>16040.78125</c:v>
                </c:pt>
                <c:pt idx="59">
                  <c:v>16040.78125</c:v>
                </c:pt>
                <c:pt idx="60">
                  <c:v>16040.78125</c:v>
                </c:pt>
                <c:pt idx="61">
                  <c:v>16040.78125</c:v>
                </c:pt>
                <c:pt idx="62">
                  <c:v>16040.78125</c:v>
                </c:pt>
                <c:pt idx="63">
                  <c:v>16040.78125</c:v>
                </c:pt>
                <c:pt idx="64">
                  <c:v>16040.78125</c:v>
                </c:pt>
                <c:pt idx="65">
                  <c:v>16040.78125</c:v>
                </c:pt>
                <c:pt idx="66">
                  <c:v>16040.78125</c:v>
                </c:pt>
                <c:pt idx="67">
                  <c:v>16040.78125</c:v>
                </c:pt>
                <c:pt idx="68">
                  <c:v>16040.78125</c:v>
                </c:pt>
                <c:pt idx="69">
                  <c:v>16040.78125</c:v>
                </c:pt>
                <c:pt idx="70">
                  <c:v>16040.78125</c:v>
                </c:pt>
                <c:pt idx="71">
                  <c:v>16040.78125</c:v>
                </c:pt>
                <c:pt idx="72">
                  <c:v>16040.78125</c:v>
                </c:pt>
                <c:pt idx="73">
                  <c:v>16040.78125</c:v>
                </c:pt>
                <c:pt idx="74">
                  <c:v>16040.78125</c:v>
                </c:pt>
                <c:pt idx="75">
                  <c:v>16040.78125</c:v>
                </c:pt>
                <c:pt idx="76">
                  <c:v>16040.78125</c:v>
                </c:pt>
                <c:pt idx="77">
                  <c:v>16040.78125</c:v>
                </c:pt>
                <c:pt idx="78">
                  <c:v>16040.78125</c:v>
                </c:pt>
                <c:pt idx="79">
                  <c:v>16040.78125</c:v>
                </c:pt>
                <c:pt idx="80">
                  <c:v>16040.78125</c:v>
                </c:pt>
                <c:pt idx="81">
                  <c:v>16040.78125</c:v>
                </c:pt>
                <c:pt idx="82">
                  <c:v>16040.78125</c:v>
                </c:pt>
                <c:pt idx="83">
                  <c:v>16040.78125</c:v>
                </c:pt>
                <c:pt idx="84">
                  <c:v>16040.78125</c:v>
                </c:pt>
                <c:pt idx="85">
                  <c:v>16040.78125</c:v>
                </c:pt>
                <c:pt idx="86">
                  <c:v>16040.78125</c:v>
                </c:pt>
                <c:pt idx="87">
                  <c:v>16040.78125</c:v>
                </c:pt>
                <c:pt idx="88">
                  <c:v>16040.78125</c:v>
                </c:pt>
                <c:pt idx="89">
                  <c:v>16040.78125</c:v>
                </c:pt>
                <c:pt idx="90">
                  <c:v>16040.78125</c:v>
                </c:pt>
                <c:pt idx="91">
                  <c:v>16040.78125</c:v>
                </c:pt>
                <c:pt idx="92">
                  <c:v>16040.78125</c:v>
                </c:pt>
                <c:pt idx="93">
                  <c:v>16040.78125</c:v>
                </c:pt>
                <c:pt idx="94">
                  <c:v>16040.78125</c:v>
                </c:pt>
                <c:pt idx="95">
                  <c:v>16040.78125</c:v>
                </c:pt>
                <c:pt idx="96">
                  <c:v>16040.78125</c:v>
                </c:pt>
                <c:pt idx="97">
                  <c:v>16040.78125</c:v>
                </c:pt>
                <c:pt idx="98">
                  <c:v>16040.78125</c:v>
                </c:pt>
                <c:pt idx="99">
                  <c:v>16040.78125</c:v>
                </c:pt>
                <c:pt idx="100">
                  <c:v>16040.78125</c:v>
                </c:pt>
                <c:pt idx="101">
                  <c:v>16040.78125</c:v>
                </c:pt>
                <c:pt idx="102">
                  <c:v>16040.78125</c:v>
                </c:pt>
                <c:pt idx="103">
                  <c:v>16040.78125</c:v>
                </c:pt>
                <c:pt idx="104">
                  <c:v>16040.78125</c:v>
                </c:pt>
                <c:pt idx="105">
                  <c:v>16040.78125</c:v>
                </c:pt>
                <c:pt idx="106">
                  <c:v>16040.78125</c:v>
                </c:pt>
                <c:pt idx="107">
                  <c:v>16040.78125</c:v>
                </c:pt>
                <c:pt idx="108">
                  <c:v>16040.78125</c:v>
                </c:pt>
                <c:pt idx="109">
                  <c:v>16040.78125</c:v>
                </c:pt>
                <c:pt idx="110">
                  <c:v>16040.78125</c:v>
                </c:pt>
                <c:pt idx="111">
                  <c:v>16040.78125</c:v>
                </c:pt>
                <c:pt idx="112">
                  <c:v>16040.78125</c:v>
                </c:pt>
                <c:pt idx="113">
                  <c:v>16040.78125</c:v>
                </c:pt>
                <c:pt idx="114">
                  <c:v>16040.78125</c:v>
                </c:pt>
                <c:pt idx="115">
                  <c:v>16040.78125</c:v>
                </c:pt>
                <c:pt idx="116">
                  <c:v>16040.78125</c:v>
                </c:pt>
                <c:pt idx="117">
                  <c:v>16040.78125</c:v>
                </c:pt>
                <c:pt idx="118">
                  <c:v>16040.78125</c:v>
                </c:pt>
                <c:pt idx="119">
                  <c:v>16040.78125</c:v>
                </c:pt>
                <c:pt idx="120">
                  <c:v>16040.78125</c:v>
                </c:pt>
                <c:pt idx="121">
                  <c:v>16040.78125</c:v>
                </c:pt>
                <c:pt idx="122">
                  <c:v>16040.78125</c:v>
                </c:pt>
                <c:pt idx="123">
                  <c:v>16040.78125</c:v>
                </c:pt>
                <c:pt idx="124">
                  <c:v>16040.78125</c:v>
                </c:pt>
                <c:pt idx="125">
                  <c:v>16040.78125</c:v>
                </c:pt>
                <c:pt idx="126">
                  <c:v>16040.78125</c:v>
                </c:pt>
                <c:pt idx="127">
                  <c:v>16040.78125</c:v>
                </c:pt>
                <c:pt idx="128">
                  <c:v>16040.78125</c:v>
                </c:pt>
                <c:pt idx="129">
                  <c:v>16040.78125</c:v>
                </c:pt>
                <c:pt idx="130">
                  <c:v>16040.78125</c:v>
                </c:pt>
                <c:pt idx="131">
                  <c:v>16040.78125</c:v>
                </c:pt>
                <c:pt idx="132">
                  <c:v>16040.78125</c:v>
                </c:pt>
                <c:pt idx="133">
                  <c:v>16040.78125</c:v>
                </c:pt>
                <c:pt idx="134">
                  <c:v>16040.78125</c:v>
                </c:pt>
                <c:pt idx="135">
                  <c:v>16040.78125</c:v>
                </c:pt>
                <c:pt idx="136">
                  <c:v>16040.78125</c:v>
                </c:pt>
                <c:pt idx="137">
                  <c:v>16040.78125</c:v>
                </c:pt>
                <c:pt idx="138">
                  <c:v>16040.78125</c:v>
                </c:pt>
                <c:pt idx="139">
                  <c:v>16040.78125</c:v>
                </c:pt>
                <c:pt idx="140">
                  <c:v>16040.78125</c:v>
                </c:pt>
                <c:pt idx="141">
                  <c:v>16040.78125</c:v>
                </c:pt>
                <c:pt idx="142">
                  <c:v>16040.78125</c:v>
                </c:pt>
                <c:pt idx="143">
                  <c:v>16040.78125</c:v>
                </c:pt>
                <c:pt idx="144">
                  <c:v>16040.78125</c:v>
                </c:pt>
                <c:pt idx="145">
                  <c:v>16040.78125</c:v>
                </c:pt>
                <c:pt idx="146">
                  <c:v>16040.78125</c:v>
                </c:pt>
                <c:pt idx="147">
                  <c:v>16040.78125</c:v>
                </c:pt>
                <c:pt idx="148">
                  <c:v>16040.78125</c:v>
                </c:pt>
                <c:pt idx="149">
                  <c:v>16040.78125</c:v>
                </c:pt>
                <c:pt idx="150">
                  <c:v>16040.78125</c:v>
                </c:pt>
                <c:pt idx="151">
                  <c:v>16040.78125</c:v>
                </c:pt>
                <c:pt idx="152">
                  <c:v>16040.78125</c:v>
                </c:pt>
                <c:pt idx="153">
                  <c:v>16040.78125</c:v>
                </c:pt>
                <c:pt idx="154">
                  <c:v>16040.78125</c:v>
                </c:pt>
                <c:pt idx="155">
                  <c:v>16040.78125</c:v>
                </c:pt>
                <c:pt idx="156">
                  <c:v>16040.78125</c:v>
                </c:pt>
                <c:pt idx="157">
                  <c:v>16040.78125</c:v>
                </c:pt>
                <c:pt idx="158">
                  <c:v>16040.78125</c:v>
                </c:pt>
                <c:pt idx="159">
                  <c:v>16040.78125</c:v>
                </c:pt>
                <c:pt idx="160">
                  <c:v>16040.78125</c:v>
                </c:pt>
                <c:pt idx="161">
                  <c:v>16040.78125</c:v>
                </c:pt>
                <c:pt idx="162">
                  <c:v>16040.78125</c:v>
                </c:pt>
                <c:pt idx="163">
                  <c:v>16040.78125</c:v>
                </c:pt>
                <c:pt idx="164">
                  <c:v>16040.78125</c:v>
                </c:pt>
                <c:pt idx="165">
                  <c:v>16040.78125</c:v>
                </c:pt>
                <c:pt idx="166">
                  <c:v>16040.78125</c:v>
                </c:pt>
                <c:pt idx="167">
                  <c:v>16040.78125</c:v>
                </c:pt>
                <c:pt idx="168">
                  <c:v>16040.78125</c:v>
                </c:pt>
                <c:pt idx="169">
                  <c:v>16040.78125</c:v>
                </c:pt>
                <c:pt idx="170">
                  <c:v>16040.78125</c:v>
                </c:pt>
                <c:pt idx="171">
                  <c:v>16040.78125</c:v>
                </c:pt>
                <c:pt idx="172">
                  <c:v>16040.78125</c:v>
                </c:pt>
                <c:pt idx="173">
                  <c:v>16040.78125</c:v>
                </c:pt>
                <c:pt idx="174">
                  <c:v>16040.78125</c:v>
                </c:pt>
                <c:pt idx="175">
                  <c:v>16040.78125</c:v>
                </c:pt>
                <c:pt idx="176">
                  <c:v>16040.78125</c:v>
                </c:pt>
                <c:pt idx="177">
                  <c:v>16040.78125</c:v>
                </c:pt>
                <c:pt idx="178">
                  <c:v>16040.78125</c:v>
                </c:pt>
                <c:pt idx="179">
                  <c:v>16040.78125</c:v>
                </c:pt>
                <c:pt idx="180">
                  <c:v>16040.78125</c:v>
                </c:pt>
                <c:pt idx="181">
                  <c:v>16040.78125</c:v>
                </c:pt>
                <c:pt idx="182">
                  <c:v>16040.78125</c:v>
                </c:pt>
                <c:pt idx="183">
                  <c:v>16040.78125</c:v>
                </c:pt>
                <c:pt idx="184">
                  <c:v>16040.78125</c:v>
                </c:pt>
                <c:pt idx="185">
                  <c:v>16040.78125</c:v>
                </c:pt>
                <c:pt idx="186">
                  <c:v>16040.78125</c:v>
                </c:pt>
                <c:pt idx="187">
                  <c:v>16040.78125</c:v>
                </c:pt>
                <c:pt idx="188">
                  <c:v>16040.78125</c:v>
                </c:pt>
                <c:pt idx="189">
                  <c:v>16040.78125</c:v>
                </c:pt>
                <c:pt idx="190">
                  <c:v>19142.109375</c:v>
                </c:pt>
                <c:pt idx="191">
                  <c:v>19142.109375</c:v>
                </c:pt>
                <c:pt idx="192">
                  <c:v>19142.109375</c:v>
                </c:pt>
                <c:pt idx="193">
                  <c:v>19142.109375</c:v>
                </c:pt>
                <c:pt idx="194">
                  <c:v>24736.4453125</c:v>
                </c:pt>
                <c:pt idx="195">
                  <c:v>29189.27734375</c:v>
                </c:pt>
                <c:pt idx="196">
                  <c:v>29189.27734375</c:v>
                </c:pt>
                <c:pt idx="197">
                  <c:v>29189.27734375</c:v>
                </c:pt>
                <c:pt idx="198">
                  <c:v>29189.27734375</c:v>
                </c:pt>
                <c:pt idx="199">
                  <c:v>29189.27734375</c:v>
                </c:pt>
                <c:pt idx="200">
                  <c:v>29189.27734375</c:v>
                </c:pt>
                <c:pt idx="201">
                  <c:v>29189.27734375</c:v>
                </c:pt>
                <c:pt idx="202">
                  <c:v>29189.27734375</c:v>
                </c:pt>
                <c:pt idx="203">
                  <c:v>29995.361328125</c:v>
                </c:pt>
                <c:pt idx="204">
                  <c:v>29995.361328125</c:v>
                </c:pt>
                <c:pt idx="205">
                  <c:v>29995.361328125</c:v>
                </c:pt>
                <c:pt idx="206">
                  <c:v>29995.361328125</c:v>
                </c:pt>
                <c:pt idx="207">
                  <c:v>29995.361328125</c:v>
                </c:pt>
                <c:pt idx="208">
                  <c:v>29995.361328125</c:v>
                </c:pt>
                <c:pt idx="209">
                  <c:v>29995.361328125</c:v>
                </c:pt>
                <c:pt idx="210">
                  <c:v>30342.3193359375</c:v>
                </c:pt>
                <c:pt idx="211">
                  <c:v>30342.3193359375</c:v>
                </c:pt>
                <c:pt idx="212">
                  <c:v>30342.3193359375</c:v>
                </c:pt>
                <c:pt idx="213">
                  <c:v>30342.3193359375</c:v>
                </c:pt>
                <c:pt idx="214">
                  <c:v>31918.84033203125</c:v>
                </c:pt>
                <c:pt idx="215">
                  <c:v>31918.84033203125</c:v>
                </c:pt>
                <c:pt idx="216">
                  <c:v>32005.579833984375</c:v>
                </c:pt>
                <c:pt idx="217">
                  <c:v>32712.210083007813</c:v>
                </c:pt>
                <c:pt idx="218">
                  <c:v>32712.210083007813</c:v>
                </c:pt>
                <c:pt idx="219">
                  <c:v>33671.394958496094</c:v>
                </c:pt>
                <c:pt idx="220">
                  <c:v>33671.394958496094</c:v>
                </c:pt>
                <c:pt idx="221">
                  <c:v>33671.394958496094</c:v>
                </c:pt>
                <c:pt idx="222">
                  <c:v>33671.394958496094</c:v>
                </c:pt>
                <c:pt idx="223">
                  <c:v>34504.302520751953</c:v>
                </c:pt>
                <c:pt idx="224">
                  <c:v>34982.848739624023</c:v>
                </c:pt>
                <c:pt idx="225">
                  <c:v>34982.848739624023</c:v>
                </c:pt>
                <c:pt idx="226">
                  <c:v>34982.848739624023</c:v>
                </c:pt>
                <c:pt idx="227">
                  <c:v>34982.848739624023</c:v>
                </c:pt>
                <c:pt idx="228">
                  <c:v>34982.848739624023</c:v>
                </c:pt>
                <c:pt idx="229">
                  <c:v>34982.848739624023</c:v>
                </c:pt>
                <c:pt idx="230">
                  <c:v>34982.848739624023</c:v>
                </c:pt>
                <c:pt idx="231">
                  <c:v>34982.848739624023</c:v>
                </c:pt>
                <c:pt idx="232">
                  <c:v>34982.848739624023</c:v>
                </c:pt>
                <c:pt idx="233">
                  <c:v>34982.848739624023</c:v>
                </c:pt>
                <c:pt idx="234">
                  <c:v>34982.848739624023</c:v>
                </c:pt>
                <c:pt idx="235">
                  <c:v>34982.848739624023</c:v>
                </c:pt>
                <c:pt idx="236">
                  <c:v>34982.848739624023</c:v>
                </c:pt>
                <c:pt idx="237">
                  <c:v>34982.848739624023</c:v>
                </c:pt>
                <c:pt idx="238">
                  <c:v>34982.848739624023</c:v>
                </c:pt>
                <c:pt idx="239">
                  <c:v>34982.848739624023</c:v>
                </c:pt>
                <c:pt idx="240">
                  <c:v>34982.848739624023</c:v>
                </c:pt>
                <c:pt idx="241">
                  <c:v>34982.848739624023</c:v>
                </c:pt>
                <c:pt idx="242">
                  <c:v>34982.848739624023</c:v>
                </c:pt>
                <c:pt idx="243">
                  <c:v>34982.848739624023</c:v>
                </c:pt>
                <c:pt idx="244">
                  <c:v>34982.848739624023</c:v>
                </c:pt>
                <c:pt idx="245">
                  <c:v>34982.848739624023</c:v>
                </c:pt>
                <c:pt idx="246">
                  <c:v>34982.848739624023</c:v>
                </c:pt>
                <c:pt idx="247">
                  <c:v>34982.848739624023</c:v>
                </c:pt>
                <c:pt idx="248">
                  <c:v>46887.325630187988</c:v>
                </c:pt>
                <c:pt idx="249">
                  <c:v>46887.325630187988</c:v>
                </c:pt>
                <c:pt idx="250">
                  <c:v>46887.325630187988</c:v>
                </c:pt>
                <c:pt idx="251">
                  <c:v>46887.325630187988</c:v>
                </c:pt>
                <c:pt idx="252">
                  <c:v>46887.325630187988</c:v>
                </c:pt>
                <c:pt idx="253">
                  <c:v>46887.325630187988</c:v>
                </c:pt>
                <c:pt idx="254">
                  <c:v>46887.325630187988</c:v>
                </c:pt>
                <c:pt idx="255">
                  <c:v>46887.325630187988</c:v>
                </c:pt>
                <c:pt idx="256">
                  <c:v>46887.325630187988</c:v>
                </c:pt>
                <c:pt idx="257">
                  <c:v>46887.325630187988</c:v>
                </c:pt>
                <c:pt idx="258">
                  <c:v>46887.325630187988</c:v>
                </c:pt>
                <c:pt idx="259">
                  <c:v>46887.325630187988</c:v>
                </c:pt>
                <c:pt idx="260">
                  <c:v>46887.325630187988</c:v>
                </c:pt>
                <c:pt idx="261">
                  <c:v>46887.325630187988</c:v>
                </c:pt>
                <c:pt idx="262">
                  <c:v>46887.325630187988</c:v>
                </c:pt>
                <c:pt idx="263">
                  <c:v>46887.325630187988</c:v>
                </c:pt>
                <c:pt idx="264">
                  <c:v>46887.325630187988</c:v>
                </c:pt>
                <c:pt idx="265">
                  <c:v>46887.325630187988</c:v>
                </c:pt>
                <c:pt idx="266">
                  <c:v>46887.325630187988</c:v>
                </c:pt>
                <c:pt idx="267">
                  <c:v>46887.325630187988</c:v>
                </c:pt>
                <c:pt idx="268">
                  <c:v>46887.325630187988</c:v>
                </c:pt>
                <c:pt idx="269">
                  <c:v>46887.325630187988</c:v>
                </c:pt>
                <c:pt idx="270">
                  <c:v>46887.325630187988</c:v>
                </c:pt>
                <c:pt idx="271">
                  <c:v>46887.325630187988</c:v>
                </c:pt>
                <c:pt idx="272">
                  <c:v>46887.325630187988</c:v>
                </c:pt>
                <c:pt idx="273">
                  <c:v>46887.325630187988</c:v>
                </c:pt>
                <c:pt idx="274">
                  <c:v>46887.325630187988</c:v>
                </c:pt>
                <c:pt idx="275">
                  <c:v>46887.325630187988</c:v>
                </c:pt>
                <c:pt idx="276">
                  <c:v>46887.325630187988</c:v>
                </c:pt>
                <c:pt idx="277">
                  <c:v>46887.325630187988</c:v>
                </c:pt>
                <c:pt idx="278">
                  <c:v>46887.325630187988</c:v>
                </c:pt>
                <c:pt idx="279">
                  <c:v>46887.325630187988</c:v>
                </c:pt>
                <c:pt idx="280">
                  <c:v>46887.325630187988</c:v>
                </c:pt>
                <c:pt idx="281">
                  <c:v>46887.325630187988</c:v>
                </c:pt>
                <c:pt idx="282">
                  <c:v>46887.325630187988</c:v>
                </c:pt>
                <c:pt idx="283">
                  <c:v>46887.325630187988</c:v>
                </c:pt>
                <c:pt idx="284">
                  <c:v>46887.325630187988</c:v>
                </c:pt>
                <c:pt idx="285">
                  <c:v>46887.325630187988</c:v>
                </c:pt>
                <c:pt idx="286">
                  <c:v>46887.325630187988</c:v>
                </c:pt>
                <c:pt idx="287">
                  <c:v>46887.325630187988</c:v>
                </c:pt>
                <c:pt idx="288">
                  <c:v>46887.325630187988</c:v>
                </c:pt>
                <c:pt idx="289">
                  <c:v>46887.325630187988</c:v>
                </c:pt>
                <c:pt idx="290">
                  <c:v>46887.325630187988</c:v>
                </c:pt>
                <c:pt idx="291">
                  <c:v>46887.325630187988</c:v>
                </c:pt>
                <c:pt idx="292">
                  <c:v>46887.325630187988</c:v>
                </c:pt>
                <c:pt idx="293">
                  <c:v>46887.325630187988</c:v>
                </c:pt>
                <c:pt idx="294">
                  <c:v>46887.325630187988</c:v>
                </c:pt>
                <c:pt idx="295">
                  <c:v>46887.325630187988</c:v>
                </c:pt>
                <c:pt idx="296">
                  <c:v>46887.325630187988</c:v>
                </c:pt>
                <c:pt idx="297">
                  <c:v>46887.325630187988</c:v>
                </c:pt>
                <c:pt idx="298">
                  <c:v>46887.325630187988</c:v>
                </c:pt>
                <c:pt idx="299">
                  <c:v>46887.325630187988</c:v>
                </c:pt>
                <c:pt idx="300">
                  <c:v>46887.325630187988</c:v>
                </c:pt>
                <c:pt idx="301">
                  <c:v>46887.325630187988</c:v>
                </c:pt>
                <c:pt idx="302">
                  <c:v>46887.325630187988</c:v>
                </c:pt>
                <c:pt idx="303">
                  <c:v>46887.325630187988</c:v>
                </c:pt>
                <c:pt idx="304">
                  <c:v>46887.325630187988</c:v>
                </c:pt>
                <c:pt idx="305">
                  <c:v>46887.325630187988</c:v>
                </c:pt>
                <c:pt idx="306">
                  <c:v>46887.325630187988</c:v>
                </c:pt>
                <c:pt idx="307">
                  <c:v>46887.325630187988</c:v>
                </c:pt>
                <c:pt idx="308">
                  <c:v>46887.325630187988</c:v>
                </c:pt>
                <c:pt idx="309">
                  <c:v>46887.325630187988</c:v>
                </c:pt>
                <c:pt idx="310">
                  <c:v>46887.325630187988</c:v>
                </c:pt>
                <c:pt idx="311">
                  <c:v>46887.325630187988</c:v>
                </c:pt>
                <c:pt idx="312">
                  <c:v>46887.325630187988</c:v>
                </c:pt>
                <c:pt idx="313">
                  <c:v>46887.325630187988</c:v>
                </c:pt>
                <c:pt idx="314">
                  <c:v>46887.325630187988</c:v>
                </c:pt>
                <c:pt idx="315">
                  <c:v>46887.325630187988</c:v>
                </c:pt>
                <c:pt idx="316">
                  <c:v>46887.325630187988</c:v>
                </c:pt>
                <c:pt idx="317">
                  <c:v>46887.325630187988</c:v>
                </c:pt>
                <c:pt idx="318">
                  <c:v>46887.325630187988</c:v>
                </c:pt>
                <c:pt idx="319">
                  <c:v>46887.325630187988</c:v>
                </c:pt>
                <c:pt idx="320">
                  <c:v>46887.325630187988</c:v>
                </c:pt>
                <c:pt idx="321">
                  <c:v>46887.325630187988</c:v>
                </c:pt>
                <c:pt idx="322">
                  <c:v>46887.325630187988</c:v>
                </c:pt>
                <c:pt idx="323">
                  <c:v>46887.325630187988</c:v>
                </c:pt>
                <c:pt idx="324">
                  <c:v>46887.325630187988</c:v>
                </c:pt>
                <c:pt idx="325">
                  <c:v>46887.325630187988</c:v>
                </c:pt>
                <c:pt idx="326">
                  <c:v>46887.325630187988</c:v>
                </c:pt>
                <c:pt idx="327">
                  <c:v>46887.325630187988</c:v>
                </c:pt>
                <c:pt idx="328">
                  <c:v>46887.325630187988</c:v>
                </c:pt>
                <c:pt idx="329">
                  <c:v>46887.325630187988</c:v>
                </c:pt>
                <c:pt idx="330">
                  <c:v>46887.325630187988</c:v>
                </c:pt>
                <c:pt idx="331">
                  <c:v>46887.325630187988</c:v>
                </c:pt>
                <c:pt idx="332">
                  <c:v>46887.325630187988</c:v>
                </c:pt>
                <c:pt idx="333">
                  <c:v>46887.325630187988</c:v>
                </c:pt>
                <c:pt idx="334">
                  <c:v>46887.325630187988</c:v>
                </c:pt>
                <c:pt idx="335">
                  <c:v>46887.325630187988</c:v>
                </c:pt>
                <c:pt idx="336">
                  <c:v>46887.325630187988</c:v>
                </c:pt>
                <c:pt idx="337">
                  <c:v>46887.325630187988</c:v>
                </c:pt>
                <c:pt idx="338">
                  <c:v>46887.325630187988</c:v>
                </c:pt>
                <c:pt idx="339">
                  <c:v>46887.325630187988</c:v>
                </c:pt>
                <c:pt idx="340">
                  <c:v>46887.325630187988</c:v>
                </c:pt>
                <c:pt idx="341">
                  <c:v>46887.325630187988</c:v>
                </c:pt>
                <c:pt idx="342">
                  <c:v>46887.325630187988</c:v>
                </c:pt>
                <c:pt idx="343">
                  <c:v>46887.325630187988</c:v>
                </c:pt>
                <c:pt idx="344">
                  <c:v>46887.325630187988</c:v>
                </c:pt>
                <c:pt idx="345">
                  <c:v>46887.325630187988</c:v>
                </c:pt>
                <c:pt idx="346">
                  <c:v>46887.325630187988</c:v>
                </c:pt>
                <c:pt idx="347">
                  <c:v>46887.325630187988</c:v>
                </c:pt>
                <c:pt idx="348">
                  <c:v>46887.325630187988</c:v>
                </c:pt>
                <c:pt idx="349">
                  <c:v>46887.325630187988</c:v>
                </c:pt>
                <c:pt idx="350">
                  <c:v>46887.325630187988</c:v>
                </c:pt>
                <c:pt idx="351">
                  <c:v>46887.325630187988</c:v>
                </c:pt>
                <c:pt idx="352">
                  <c:v>46887.325630187988</c:v>
                </c:pt>
                <c:pt idx="353">
                  <c:v>46887.325630187988</c:v>
                </c:pt>
                <c:pt idx="354">
                  <c:v>46887.325630187988</c:v>
                </c:pt>
                <c:pt idx="355">
                  <c:v>46887.325630187988</c:v>
                </c:pt>
                <c:pt idx="356">
                  <c:v>46887.325630187988</c:v>
                </c:pt>
                <c:pt idx="357">
                  <c:v>46887.325630187988</c:v>
                </c:pt>
                <c:pt idx="358">
                  <c:v>46887.325630187988</c:v>
                </c:pt>
                <c:pt idx="359">
                  <c:v>46887.325630187988</c:v>
                </c:pt>
                <c:pt idx="360">
                  <c:v>47613.837184906006</c:v>
                </c:pt>
                <c:pt idx="361">
                  <c:v>47613.837184906006</c:v>
                </c:pt>
                <c:pt idx="362">
                  <c:v>47613.837184906006</c:v>
                </c:pt>
                <c:pt idx="363">
                  <c:v>47613.837184906006</c:v>
                </c:pt>
                <c:pt idx="364">
                  <c:v>47613.837184906006</c:v>
                </c:pt>
                <c:pt idx="365">
                  <c:v>47613.837184906006</c:v>
                </c:pt>
                <c:pt idx="366">
                  <c:v>47613.837184906006</c:v>
                </c:pt>
                <c:pt idx="367">
                  <c:v>50303.081407546997</c:v>
                </c:pt>
                <c:pt idx="368">
                  <c:v>50303.081407546997</c:v>
                </c:pt>
                <c:pt idx="369">
                  <c:v>51588.459296226501</c:v>
                </c:pt>
                <c:pt idx="370">
                  <c:v>53133.270351886749</c:v>
                </c:pt>
                <c:pt idx="371">
                  <c:v>53133.270351886749</c:v>
                </c:pt>
                <c:pt idx="372">
                  <c:v>53860.864824056625</c:v>
                </c:pt>
                <c:pt idx="373">
                  <c:v>53860.864824056625</c:v>
                </c:pt>
                <c:pt idx="374">
                  <c:v>53860.864824056625</c:v>
                </c:pt>
                <c:pt idx="375">
                  <c:v>53860.864824056625</c:v>
                </c:pt>
                <c:pt idx="376">
                  <c:v>53860.864824056625</c:v>
                </c:pt>
                <c:pt idx="377">
                  <c:v>53860.864824056625</c:v>
                </c:pt>
                <c:pt idx="378">
                  <c:v>54199.567587971687</c:v>
                </c:pt>
                <c:pt idx="379">
                  <c:v>54199.567587971687</c:v>
                </c:pt>
                <c:pt idx="380">
                  <c:v>54199.567587971687</c:v>
                </c:pt>
                <c:pt idx="381">
                  <c:v>54199.567587971687</c:v>
                </c:pt>
                <c:pt idx="382">
                  <c:v>54199.567587971687</c:v>
                </c:pt>
                <c:pt idx="383">
                  <c:v>54199.567587971687</c:v>
                </c:pt>
                <c:pt idx="384">
                  <c:v>54199.567587971687</c:v>
                </c:pt>
                <c:pt idx="385">
                  <c:v>54236.466206014156</c:v>
                </c:pt>
                <c:pt idx="386">
                  <c:v>54593.016896992922</c:v>
                </c:pt>
                <c:pt idx="387">
                  <c:v>54593.016896992922</c:v>
                </c:pt>
                <c:pt idx="388">
                  <c:v>54593.016896992922</c:v>
                </c:pt>
                <c:pt idx="389">
                  <c:v>55547.241551503539</c:v>
                </c:pt>
                <c:pt idx="390">
                  <c:v>56817.62922424823</c:v>
                </c:pt>
                <c:pt idx="391">
                  <c:v>57494.935387875885</c:v>
                </c:pt>
                <c:pt idx="392">
                  <c:v>57656.282306062058</c:v>
                </c:pt>
                <c:pt idx="393">
                  <c:v>57656.282306062058</c:v>
                </c:pt>
                <c:pt idx="394">
                  <c:v>57656.282306062058</c:v>
                </c:pt>
                <c:pt idx="395">
                  <c:v>57656.282306062058</c:v>
                </c:pt>
                <c:pt idx="396">
                  <c:v>58638.108846968971</c:v>
                </c:pt>
                <c:pt idx="397">
                  <c:v>58638.108846968971</c:v>
                </c:pt>
                <c:pt idx="398">
                  <c:v>59154.695576515514</c:v>
                </c:pt>
                <c:pt idx="399">
                  <c:v>59154.695576515514</c:v>
                </c:pt>
                <c:pt idx="400">
                  <c:v>59396.402211742243</c:v>
                </c:pt>
                <c:pt idx="401">
                  <c:v>59396.402211742243</c:v>
                </c:pt>
                <c:pt idx="402">
                  <c:v>59396.402211742243</c:v>
                </c:pt>
                <c:pt idx="403">
                  <c:v>59400.548894128879</c:v>
                </c:pt>
                <c:pt idx="404">
                  <c:v>59648.475552935561</c:v>
                </c:pt>
                <c:pt idx="405">
                  <c:v>59712.01222353222</c:v>
                </c:pt>
                <c:pt idx="406">
                  <c:v>59712.01222353222</c:v>
                </c:pt>
                <c:pt idx="407">
                  <c:v>59712.01222353222</c:v>
                </c:pt>
                <c:pt idx="408">
                  <c:v>59712.01222353222</c:v>
                </c:pt>
                <c:pt idx="409">
                  <c:v>59712.01222353222</c:v>
                </c:pt>
                <c:pt idx="410">
                  <c:v>59712.01222353222</c:v>
                </c:pt>
                <c:pt idx="411">
                  <c:v>59712.01222353222</c:v>
                </c:pt>
                <c:pt idx="412">
                  <c:v>59712.01222353222</c:v>
                </c:pt>
                <c:pt idx="413">
                  <c:v>59712.01222353222</c:v>
                </c:pt>
                <c:pt idx="414">
                  <c:v>59712.01222353222</c:v>
                </c:pt>
                <c:pt idx="415">
                  <c:v>60180.24388823389</c:v>
                </c:pt>
                <c:pt idx="416">
                  <c:v>60180.24388823389</c:v>
                </c:pt>
                <c:pt idx="417">
                  <c:v>60180.24388823389</c:v>
                </c:pt>
                <c:pt idx="418">
                  <c:v>60633.628055883048</c:v>
                </c:pt>
                <c:pt idx="419">
                  <c:v>60633.628055883048</c:v>
                </c:pt>
                <c:pt idx="420">
                  <c:v>60633.628055883048</c:v>
                </c:pt>
                <c:pt idx="421">
                  <c:v>60633.628055883048</c:v>
                </c:pt>
                <c:pt idx="422">
                  <c:v>60633.628055883048</c:v>
                </c:pt>
                <c:pt idx="423">
                  <c:v>60633.628055883048</c:v>
                </c:pt>
                <c:pt idx="424">
                  <c:v>60633.628055883048</c:v>
                </c:pt>
                <c:pt idx="425">
                  <c:v>60633.628055883048</c:v>
                </c:pt>
                <c:pt idx="426">
                  <c:v>60633.628055883048</c:v>
                </c:pt>
                <c:pt idx="427">
                  <c:v>60633.628055883048</c:v>
                </c:pt>
                <c:pt idx="428">
                  <c:v>60633.628055883048</c:v>
                </c:pt>
                <c:pt idx="429">
                  <c:v>60633.628055883048</c:v>
                </c:pt>
                <c:pt idx="430">
                  <c:v>60633.628055883048</c:v>
                </c:pt>
                <c:pt idx="431">
                  <c:v>60633.628055883048</c:v>
                </c:pt>
                <c:pt idx="432">
                  <c:v>60633.628055883048</c:v>
                </c:pt>
                <c:pt idx="433">
                  <c:v>60725.685972058476</c:v>
                </c:pt>
                <c:pt idx="434">
                  <c:v>60725.685972058476</c:v>
                </c:pt>
                <c:pt idx="435">
                  <c:v>60725.685972058476</c:v>
                </c:pt>
                <c:pt idx="436">
                  <c:v>75949.657013970762</c:v>
                </c:pt>
                <c:pt idx="437">
                  <c:v>75949.657013970762</c:v>
                </c:pt>
                <c:pt idx="438">
                  <c:v>75949.657013970762</c:v>
                </c:pt>
                <c:pt idx="439">
                  <c:v>75949.657013970762</c:v>
                </c:pt>
                <c:pt idx="440">
                  <c:v>75949.657013970762</c:v>
                </c:pt>
                <c:pt idx="441">
                  <c:v>75949.657013970762</c:v>
                </c:pt>
                <c:pt idx="442">
                  <c:v>75949.657013970762</c:v>
                </c:pt>
                <c:pt idx="443">
                  <c:v>75949.657013970762</c:v>
                </c:pt>
                <c:pt idx="444">
                  <c:v>75949.657013970762</c:v>
                </c:pt>
                <c:pt idx="445">
                  <c:v>75949.657013970762</c:v>
                </c:pt>
                <c:pt idx="446">
                  <c:v>75949.657013970762</c:v>
                </c:pt>
                <c:pt idx="447">
                  <c:v>75949.657013970762</c:v>
                </c:pt>
                <c:pt idx="448">
                  <c:v>75949.657013970762</c:v>
                </c:pt>
                <c:pt idx="449">
                  <c:v>75949.657013970762</c:v>
                </c:pt>
                <c:pt idx="450">
                  <c:v>75949.657013970762</c:v>
                </c:pt>
                <c:pt idx="451">
                  <c:v>75949.657013970762</c:v>
                </c:pt>
                <c:pt idx="452">
                  <c:v>75949.657013970762</c:v>
                </c:pt>
                <c:pt idx="453">
                  <c:v>75949.657013970762</c:v>
                </c:pt>
                <c:pt idx="454">
                  <c:v>75949.657013970762</c:v>
                </c:pt>
                <c:pt idx="455">
                  <c:v>75949.657013970762</c:v>
                </c:pt>
                <c:pt idx="456">
                  <c:v>75949.657013970762</c:v>
                </c:pt>
                <c:pt idx="457">
                  <c:v>75949.657013970762</c:v>
                </c:pt>
                <c:pt idx="458">
                  <c:v>75949.657013970762</c:v>
                </c:pt>
                <c:pt idx="459">
                  <c:v>75949.657013970762</c:v>
                </c:pt>
                <c:pt idx="460">
                  <c:v>75949.657013970762</c:v>
                </c:pt>
                <c:pt idx="461">
                  <c:v>75949.657013970762</c:v>
                </c:pt>
                <c:pt idx="462">
                  <c:v>75949.657013970762</c:v>
                </c:pt>
                <c:pt idx="463">
                  <c:v>75949.657013970762</c:v>
                </c:pt>
                <c:pt idx="464">
                  <c:v>77990.171493014612</c:v>
                </c:pt>
                <c:pt idx="465">
                  <c:v>84099.914253492694</c:v>
                </c:pt>
                <c:pt idx="466">
                  <c:v>84099.914253492694</c:v>
                </c:pt>
                <c:pt idx="467">
                  <c:v>84099.914253492694</c:v>
                </c:pt>
                <c:pt idx="468">
                  <c:v>84099.914253492694</c:v>
                </c:pt>
                <c:pt idx="469">
                  <c:v>84099.914253492694</c:v>
                </c:pt>
                <c:pt idx="470">
                  <c:v>84099.914253492694</c:v>
                </c:pt>
                <c:pt idx="471">
                  <c:v>84099.914253492694</c:v>
                </c:pt>
                <c:pt idx="472">
                  <c:v>84099.914253492694</c:v>
                </c:pt>
                <c:pt idx="473">
                  <c:v>84099.914253492694</c:v>
                </c:pt>
                <c:pt idx="474">
                  <c:v>84099.914253492694</c:v>
                </c:pt>
                <c:pt idx="475">
                  <c:v>84099.914253492694</c:v>
                </c:pt>
                <c:pt idx="476">
                  <c:v>84099.914253492694</c:v>
                </c:pt>
                <c:pt idx="477">
                  <c:v>84099.914253492694</c:v>
                </c:pt>
                <c:pt idx="478">
                  <c:v>84099.914253492694</c:v>
                </c:pt>
                <c:pt idx="479">
                  <c:v>84099.914253492694</c:v>
                </c:pt>
                <c:pt idx="480">
                  <c:v>84099.914253492694</c:v>
                </c:pt>
                <c:pt idx="481">
                  <c:v>84099.914253492694</c:v>
                </c:pt>
                <c:pt idx="482">
                  <c:v>84099.914253492694</c:v>
                </c:pt>
                <c:pt idx="483">
                  <c:v>84230.042873253638</c:v>
                </c:pt>
                <c:pt idx="484">
                  <c:v>84230.042873253638</c:v>
                </c:pt>
                <c:pt idx="485">
                  <c:v>85039.978563373181</c:v>
                </c:pt>
                <c:pt idx="486">
                  <c:v>85039.978563373181</c:v>
                </c:pt>
                <c:pt idx="487">
                  <c:v>85039.978563373181</c:v>
                </c:pt>
                <c:pt idx="488">
                  <c:v>85039.978563373181</c:v>
                </c:pt>
                <c:pt idx="489">
                  <c:v>85039.978563373181</c:v>
                </c:pt>
                <c:pt idx="490">
                  <c:v>85212.510718313395</c:v>
                </c:pt>
                <c:pt idx="491">
                  <c:v>90076.244640843302</c:v>
                </c:pt>
                <c:pt idx="492">
                  <c:v>90076.244640843302</c:v>
                </c:pt>
                <c:pt idx="493">
                  <c:v>90076.244640843302</c:v>
                </c:pt>
                <c:pt idx="494">
                  <c:v>90076.244640843302</c:v>
                </c:pt>
                <c:pt idx="495">
                  <c:v>90076.244640843302</c:v>
                </c:pt>
                <c:pt idx="496">
                  <c:v>90076.244640843302</c:v>
                </c:pt>
                <c:pt idx="497">
                  <c:v>90076.244640843302</c:v>
                </c:pt>
                <c:pt idx="498">
                  <c:v>90076.244640843302</c:v>
                </c:pt>
                <c:pt idx="499">
                  <c:v>90076.244640843302</c:v>
                </c:pt>
                <c:pt idx="500">
                  <c:v>90076.244640843302</c:v>
                </c:pt>
                <c:pt idx="501">
                  <c:v>90076.244640843302</c:v>
                </c:pt>
                <c:pt idx="502">
                  <c:v>90076.244640843302</c:v>
                </c:pt>
                <c:pt idx="503">
                  <c:v>90076.244640843302</c:v>
                </c:pt>
                <c:pt idx="504">
                  <c:v>90076.244640843302</c:v>
                </c:pt>
                <c:pt idx="505">
                  <c:v>90076.244640843302</c:v>
                </c:pt>
                <c:pt idx="506">
                  <c:v>90076.244640843302</c:v>
                </c:pt>
                <c:pt idx="507">
                  <c:v>91064.377679578349</c:v>
                </c:pt>
                <c:pt idx="508">
                  <c:v>92460.311160210811</c:v>
                </c:pt>
                <c:pt idx="509">
                  <c:v>92460.311160210811</c:v>
                </c:pt>
                <c:pt idx="510">
                  <c:v>92460.311160210811</c:v>
                </c:pt>
                <c:pt idx="511">
                  <c:v>93204.844419894594</c:v>
                </c:pt>
                <c:pt idx="512">
                  <c:v>93204.844419894594</c:v>
                </c:pt>
                <c:pt idx="513">
                  <c:v>93457.577790052688</c:v>
                </c:pt>
                <c:pt idx="514">
                  <c:v>93706.211104973656</c:v>
                </c:pt>
                <c:pt idx="515">
                  <c:v>93706.211104973656</c:v>
                </c:pt>
                <c:pt idx="516">
                  <c:v>95283.144447513158</c:v>
                </c:pt>
                <c:pt idx="517">
                  <c:v>95283.144447513158</c:v>
                </c:pt>
                <c:pt idx="518">
                  <c:v>95283.144447513158</c:v>
                </c:pt>
                <c:pt idx="519">
                  <c:v>95283.144447513158</c:v>
                </c:pt>
                <c:pt idx="520">
                  <c:v>95619.677776243421</c:v>
                </c:pt>
                <c:pt idx="521">
                  <c:v>95619.677776243421</c:v>
                </c:pt>
                <c:pt idx="522">
                  <c:v>95619.677776243421</c:v>
                </c:pt>
                <c:pt idx="523">
                  <c:v>95619.677776243421</c:v>
                </c:pt>
                <c:pt idx="524">
                  <c:v>95619.677776243421</c:v>
                </c:pt>
                <c:pt idx="525">
                  <c:v>95619.677776243421</c:v>
                </c:pt>
                <c:pt idx="526">
                  <c:v>95619.677776243421</c:v>
                </c:pt>
                <c:pt idx="527">
                  <c:v>95619.677776243421</c:v>
                </c:pt>
                <c:pt idx="528">
                  <c:v>95619.677776243421</c:v>
                </c:pt>
                <c:pt idx="529">
                  <c:v>95619.677776243421</c:v>
                </c:pt>
                <c:pt idx="530">
                  <c:v>95619.677776243421</c:v>
                </c:pt>
                <c:pt idx="531">
                  <c:v>95788.911111878289</c:v>
                </c:pt>
                <c:pt idx="532">
                  <c:v>95788.911111878289</c:v>
                </c:pt>
                <c:pt idx="533">
                  <c:v>95788.911111878289</c:v>
                </c:pt>
                <c:pt idx="534">
                  <c:v>95788.911111878289</c:v>
                </c:pt>
                <c:pt idx="535">
                  <c:v>95788.911111878289</c:v>
                </c:pt>
                <c:pt idx="536">
                  <c:v>95788.911111878289</c:v>
                </c:pt>
                <c:pt idx="537">
                  <c:v>95788.911111878289</c:v>
                </c:pt>
                <c:pt idx="538">
                  <c:v>95788.911111878289</c:v>
                </c:pt>
                <c:pt idx="539">
                  <c:v>95788.911111878289</c:v>
                </c:pt>
                <c:pt idx="540">
                  <c:v>95788.911111878289</c:v>
                </c:pt>
                <c:pt idx="541">
                  <c:v>95788.911111878289</c:v>
                </c:pt>
                <c:pt idx="542">
                  <c:v>97400.544444060855</c:v>
                </c:pt>
                <c:pt idx="543">
                  <c:v>97400.544444060855</c:v>
                </c:pt>
                <c:pt idx="544">
                  <c:v>97400.544444060855</c:v>
                </c:pt>
                <c:pt idx="545">
                  <c:v>97400.544444060855</c:v>
                </c:pt>
                <c:pt idx="546">
                  <c:v>97400.544444060855</c:v>
                </c:pt>
                <c:pt idx="547">
                  <c:v>97400.544444060855</c:v>
                </c:pt>
                <c:pt idx="548">
                  <c:v>97400.544444060855</c:v>
                </c:pt>
                <c:pt idx="549">
                  <c:v>97400.544444060855</c:v>
                </c:pt>
                <c:pt idx="550">
                  <c:v>97400.544444060855</c:v>
                </c:pt>
                <c:pt idx="551">
                  <c:v>97400.544444060855</c:v>
                </c:pt>
                <c:pt idx="552">
                  <c:v>97400.544444060855</c:v>
                </c:pt>
                <c:pt idx="553">
                  <c:v>97400.544444060855</c:v>
                </c:pt>
                <c:pt idx="554">
                  <c:v>97400.544444060855</c:v>
                </c:pt>
                <c:pt idx="555">
                  <c:v>97400.544444060855</c:v>
                </c:pt>
                <c:pt idx="556">
                  <c:v>97400.544444060855</c:v>
                </c:pt>
                <c:pt idx="557">
                  <c:v>97400.544444060855</c:v>
                </c:pt>
                <c:pt idx="558">
                  <c:v>97400.544444060855</c:v>
                </c:pt>
                <c:pt idx="559">
                  <c:v>97400.544444060855</c:v>
                </c:pt>
                <c:pt idx="560">
                  <c:v>97400.544444060855</c:v>
                </c:pt>
                <c:pt idx="561">
                  <c:v>97400.544444060855</c:v>
                </c:pt>
                <c:pt idx="562">
                  <c:v>97400.544444060855</c:v>
                </c:pt>
                <c:pt idx="563">
                  <c:v>97400.544444060855</c:v>
                </c:pt>
                <c:pt idx="564">
                  <c:v>97400.544444060855</c:v>
                </c:pt>
                <c:pt idx="565">
                  <c:v>97400.544444060855</c:v>
                </c:pt>
                <c:pt idx="566">
                  <c:v>97400.544444060855</c:v>
                </c:pt>
                <c:pt idx="567">
                  <c:v>97400.544444060855</c:v>
                </c:pt>
                <c:pt idx="568">
                  <c:v>97400.544444060855</c:v>
                </c:pt>
                <c:pt idx="569">
                  <c:v>97400.544444060855</c:v>
                </c:pt>
                <c:pt idx="570">
                  <c:v>97400.544444060855</c:v>
                </c:pt>
                <c:pt idx="571">
                  <c:v>97400.544444060855</c:v>
                </c:pt>
                <c:pt idx="572">
                  <c:v>97400.544444060855</c:v>
                </c:pt>
                <c:pt idx="573">
                  <c:v>97400.544444060855</c:v>
                </c:pt>
                <c:pt idx="574">
                  <c:v>97400.544444060855</c:v>
                </c:pt>
                <c:pt idx="575">
                  <c:v>97400.544444060855</c:v>
                </c:pt>
                <c:pt idx="576">
                  <c:v>97400.544444060855</c:v>
                </c:pt>
                <c:pt idx="577">
                  <c:v>97400.544444060855</c:v>
                </c:pt>
                <c:pt idx="578">
                  <c:v>97400.544444060855</c:v>
                </c:pt>
                <c:pt idx="579">
                  <c:v>97400.544444060855</c:v>
                </c:pt>
                <c:pt idx="580">
                  <c:v>97400.544444060855</c:v>
                </c:pt>
                <c:pt idx="581">
                  <c:v>97400.544444060855</c:v>
                </c:pt>
                <c:pt idx="582">
                  <c:v>97400.544444060855</c:v>
                </c:pt>
                <c:pt idx="583">
                  <c:v>97400.544444060855</c:v>
                </c:pt>
                <c:pt idx="584">
                  <c:v>97400.544444060855</c:v>
                </c:pt>
                <c:pt idx="585">
                  <c:v>97400.544444060855</c:v>
                </c:pt>
                <c:pt idx="586">
                  <c:v>97400.544444060855</c:v>
                </c:pt>
                <c:pt idx="587">
                  <c:v>97400.544444060855</c:v>
                </c:pt>
                <c:pt idx="588">
                  <c:v>97400.544444060855</c:v>
                </c:pt>
                <c:pt idx="589">
                  <c:v>97400.544444060855</c:v>
                </c:pt>
                <c:pt idx="590">
                  <c:v>97400.544444060855</c:v>
                </c:pt>
                <c:pt idx="591">
                  <c:v>97400.544444060855</c:v>
                </c:pt>
                <c:pt idx="592">
                  <c:v>97400.544444060855</c:v>
                </c:pt>
                <c:pt idx="593">
                  <c:v>97400.544444060855</c:v>
                </c:pt>
                <c:pt idx="594">
                  <c:v>97400.544444060855</c:v>
                </c:pt>
                <c:pt idx="595">
                  <c:v>97400.544444060855</c:v>
                </c:pt>
                <c:pt idx="596">
                  <c:v>97400.544444060855</c:v>
                </c:pt>
                <c:pt idx="597">
                  <c:v>97400.544444060855</c:v>
                </c:pt>
                <c:pt idx="598">
                  <c:v>97400.544444060855</c:v>
                </c:pt>
                <c:pt idx="599">
                  <c:v>97400.544444060855</c:v>
                </c:pt>
                <c:pt idx="600">
                  <c:v>97400.544444060855</c:v>
                </c:pt>
                <c:pt idx="601">
                  <c:v>97400.544444060855</c:v>
                </c:pt>
                <c:pt idx="602">
                  <c:v>97400.544444060855</c:v>
                </c:pt>
                <c:pt idx="603">
                  <c:v>97400.544444060855</c:v>
                </c:pt>
                <c:pt idx="604">
                  <c:v>97400.544444060855</c:v>
                </c:pt>
                <c:pt idx="605">
                  <c:v>97400.544444060855</c:v>
                </c:pt>
                <c:pt idx="606">
                  <c:v>97400.544444060855</c:v>
                </c:pt>
                <c:pt idx="607">
                  <c:v>97400.544444060855</c:v>
                </c:pt>
                <c:pt idx="608">
                  <c:v>97400.544444060855</c:v>
                </c:pt>
                <c:pt idx="609">
                  <c:v>97400.544444060855</c:v>
                </c:pt>
                <c:pt idx="610">
                  <c:v>97400.544444060855</c:v>
                </c:pt>
                <c:pt idx="611">
                  <c:v>97400.544444060855</c:v>
                </c:pt>
                <c:pt idx="612">
                  <c:v>97400.544444060855</c:v>
                </c:pt>
                <c:pt idx="613">
                  <c:v>97400.544444060855</c:v>
                </c:pt>
                <c:pt idx="614">
                  <c:v>97400.544444060855</c:v>
                </c:pt>
                <c:pt idx="615">
                  <c:v>97400.544444060855</c:v>
                </c:pt>
                <c:pt idx="616">
                  <c:v>97400.544444060855</c:v>
                </c:pt>
                <c:pt idx="617">
                  <c:v>97400.544444060855</c:v>
                </c:pt>
                <c:pt idx="618">
                  <c:v>97400.544444060855</c:v>
                </c:pt>
                <c:pt idx="619">
                  <c:v>97400.544444060855</c:v>
                </c:pt>
                <c:pt idx="620">
                  <c:v>97400.544444060855</c:v>
                </c:pt>
                <c:pt idx="621">
                  <c:v>97400.544444060855</c:v>
                </c:pt>
                <c:pt idx="622">
                  <c:v>97400.544444060855</c:v>
                </c:pt>
                <c:pt idx="623">
                  <c:v>97400.544444060855</c:v>
                </c:pt>
                <c:pt idx="624">
                  <c:v>97400.544444060855</c:v>
                </c:pt>
                <c:pt idx="625">
                  <c:v>97400.544444060855</c:v>
                </c:pt>
                <c:pt idx="626">
                  <c:v>97400.544444060855</c:v>
                </c:pt>
                <c:pt idx="627">
                  <c:v>97400.544444060855</c:v>
                </c:pt>
                <c:pt idx="628">
                  <c:v>97400.544444060855</c:v>
                </c:pt>
                <c:pt idx="629">
                  <c:v>97400.544444060855</c:v>
                </c:pt>
                <c:pt idx="630">
                  <c:v>97400.544444060855</c:v>
                </c:pt>
                <c:pt idx="631">
                  <c:v>97400.544444060855</c:v>
                </c:pt>
                <c:pt idx="632">
                  <c:v>97400.544444060855</c:v>
                </c:pt>
                <c:pt idx="633">
                  <c:v>97400.544444060855</c:v>
                </c:pt>
                <c:pt idx="634">
                  <c:v>97400.544444060855</c:v>
                </c:pt>
                <c:pt idx="635">
                  <c:v>97400.544444060855</c:v>
                </c:pt>
                <c:pt idx="636">
                  <c:v>97400.544444060855</c:v>
                </c:pt>
                <c:pt idx="637">
                  <c:v>97400.544444060855</c:v>
                </c:pt>
                <c:pt idx="638">
                  <c:v>97400.544444060855</c:v>
                </c:pt>
                <c:pt idx="639">
                  <c:v>97400.544444060855</c:v>
                </c:pt>
                <c:pt idx="640">
                  <c:v>97400.544444060855</c:v>
                </c:pt>
                <c:pt idx="641">
                  <c:v>97400.544444060855</c:v>
                </c:pt>
                <c:pt idx="642">
                  <c:v>97400.544444060855</c:v>
                </c:pt>
                <c:pt idx="643">
                  <c:v>97400.544444060855</c:v>
                </c:pt>
                <c:pt idx="644">
                  <c:v>97400.544444060855</c:v>
                </c:pt>
                <c:pt idx="645">
                  <c:v>97400.544444060855</c:v>
                </c:pt>
                <c:pt idx="646">
                  <c:v>97400.544444060855</c:v>
                </c:pt>
                <c:pt idx="647">
                  <c:v>97400.544444060855</c:v>
                </c:pt>
                <c:pt idx="648">
                  <c:v>97400.544444060855</c:v>
                </c:pt>
                <c:pt idx="649">
                  <c:v>97400.544444060855</c:v>
                </c:pt>
                <c:pt idx="650">
                  <c:v>97400.544444060855</c:v>
                </c:pt>
                <c:pt idx="651">
                  <c:v>97400.544444060855</c:v>
                </c:pt>
                <c:pt idx="652">
                  <c:v>97400.544444060855</c:v>
                </c:pt>
                <c:pt idx="653">
                  <c:v>97400.544444060855</c:v>
                </c:pt>
                <c:pt idx="654">
                  <c:v>97400.544444060855</c:v>
                </c:pt>
                <c:pt idx="655">
                  <c:v>97400.544444060855</c:v>
                </c:pt>
                <c:pt idx="656">
                  <c:v>97400.544444060855</c:v>
                </c:pt>
                <c:pt idx="657">
                  <c:v>97400.544444060855</c:v>
                </c:pt>
                <c:pt idx="658">
                  <c:v>97400.544444060855</c:v>
                </c:pt>
                <c:pt idx="659">
                  <c:v>97400.544444060855</c:v>
                </c:pt>
                <c:pt idx="660">
                  <c:v>97400.544444060855</c:v>
                </c:pt>
                <c:pt idx="661">
                  <c:v>97400.544444060855</c:v>
                </c:pt>
                <c:pt idx="662">
                  <c:v>97400.544444060855</c:v>
                </c:pt>
                <c:pt idx="663">
                  <c:v>97400.544444060855</c:v>
                </c:pt>
                <c:pt idx="664">
                  <c:v>97400.544444060855</c:v>
                </c:pt>
                <c:pt idx="665">
                  <c:v>97400.544444060855</c:v>
                </c:pt>
                <c:pt idx="666">
                  <c:v>97400.544444060855</c:v>
                </c:pt>
                <c:pt idx="667">
                  <c:v>97400.544444060855</c:v>
                </c:pt>
                <c:pt idx="668">
                  <c:v>97400.544444060855</c:v>
                </c:pt>
                <c:pt idx="669">
                  <c:v>100179.72777796956</c:v>
                </c:pt>
                <c:pt idx="670">
                  <c:v>100179.72777796956</c:v>
                </c:pt>
                <c:pt idx="671">
                  <c:v>100545.13611101521</c:v>
                </c:pt>
                <c:pt idx="672">
                  <c:v>100674.93194449239</c:v>
                </c:pt>
                <c:pt idx="673">
                  <c:v>100674.93194449239</c:v>
                </c:pt>
                <c:pt idx="674">
                  <c:v>100985.03402775379</c:v>
                </c:pt>
                <c:pt idx="675">
                  <c:v>100985.03402775379</c:v>
                </c:pt>
                <c:pt idx="676">
                  <c:v>100985.03402775379</c:v>
                </c:pt>
                <c:pt idx="677">
                  <c:v>101392.4829861231</c:v>
                </c:pt>
                <c:pt idx="678">
                  <c:v>101438.75850693844</c:v>
                </c:pt>
                <c:pt idx="679">
                  <c:v>101438.75850693844</c:v>
                </c:pt>
                <c:pt idx="680">
                  <c:v>101438.75850693844</c:v>
                </c:pt>
                <c:pt idx="681">
                  <c:v>101438.75850693844</c:v>
                </c:pt>
                <c:pt idx="682">
                  <c:v>101438.75850693844</c:v>
                </c:pt>
                <c:pt idx="683">
                  <c:v>101438.75850693844</c:v>
                </c:pt>
                <c:pt idx="684">
                  <c:v>101438.75850693844</c:v>
                </c:pt>
                <c:pt idx="685">
                  <c:v>101438.75850693844</c:v>
                </c:pt>
                <c:pt idx="686">
                  <c:v>101438.75850693844</c:v>
                </c:pt>
                <c:pt idx="687">
                  <c:v>101438.75850693844</c:v>
                </c:pt>
                <c:pt idx="688">
                  <c:v>101438.75850693844</c:v>
                </c:pt>
                <c:pt idx="689">
                  <c:v>101438.75850693844</c:v>
                </c:pt>
                <c:pt idx="690">
                  <c:v>101438.75850693844</c:v>
                </c:pt>
                <c:pt idx="691">
                  <c:v>101438.75850693844</c:v>
                </c:pt>
                <c:pt idx="692">
                  <c:v>101438.75850693844</c:v>
                </c:pt>
                <c:pt idx="693">
                  <c:v>101438.75850693844</c:v>
                </c:pt>
                <c:pt idx="694">
                  <c:v>101438.75850693844</c:v>
                </c:pt>
                <c:pt idx="695">
                  <c:v>101438.75850693844</c:v>
                </c:pt>
                <c:pt idx="696">
                  <c:v>101438.75850693844</c:v>
                </c:pt>
                <c:pt idx="697">
                  <c:v>101438.75850693844</c:v>
                </c:pt>
                <c:pt idx="698">
                  <c:v>101438.75850693844</c:v>
                </c:pt>
                <c:pt idx="699">
                  <c:v>101645.62074653077</c:v>
                </c:pt>
                <c:pt idx="700">
                  <c:v>101645.62074653077</c:v>
                </c:pt>
                <c:pt idx="701">
                  <c:v>101645.62074653077</c:v>
                </c:pt>
                <c:pt idx="702">
                  <c:v>101645.62074653077</c:v>
                </c:pt>
                <c:pt idx="703">
                  <c:v>101645.62074653077</c:v>
                </c:pt>
                <c:pt idx="704">
                  <c:v>101645.62074653077</c:v>
                </c:pt>
                <c:pt idx="705">
                  <c:v>101645.62074653077</c:v>
                </c:pt>
                <c:pt idx="706">
                  <c:v>101645.62074653077</c:v>
                </c:pt>
                <c:pt idx="707">
                  <c:v>101645.62074653077</c:v>
                </c:pt>
                <c:pt idx="708">
                  <c:v>101645.62074653077</c:v>
                </c:pt>
                <c:pt idx="709">
                  <c:v>101645.62074653077</c:v>
                </c:pt>
                <c:pt idx="710">
                  <c:v>101645.62074653077</c:v>
                </c:pt>
                <c:pt idx="711">
                  <c:v>101645.62074653077</c:v>
                </c:pt>
                <c:pt idx="712">
                  <c:v>101645.62074653077</c:v>
                </c:pt>
                <c:pt idx="713">
                  <c:v>101645.62074653077</c:v>
                </c:pt>
                <c:pt idx="714">
                  <c:v>101645.62074653077</c:v>
                </c:pt>
                <c:pt idx="715">
                  <c:v>101645.62074653077</c:v>
                </c:pt>
                <c:pt idx="716">
                  <c:v>101645.62074653077</c:v>
                </c:pt>
                <c:pt idx="717">
                  <c:v>101799.6896267346</c:v>
                </c:pt>
                <c:pt idx="718">
                  <c:v>102040.15518663268</c:v>
                </c:pt>
                <c:pt idx="719">
                  <c:v>103419.92240668365</c:v>
                </c:pt>
                <c:pt idx="720">
                  <c:v>103419.92240668365</c:v>
                </c:pt>
                <c:pt idx="721">
                  <c:v>103419.92240668365</c:v>
                </c:pt>
                <c:pt idx="722">
                  <c:v>103419.92240668365</c:v>
                </c:pt>
                <c:pt idx="723">
                  <c:v>103419.92240668365</c:v>
                </c:pt>
                <c:pt idx="724">
                  <c:v>103419.92240668365</c:v>
                </c:pt>
                <c:pt idx="725">
                  <c:v>103419.92240668365</c:v>
                </c:pt>
                <c:pt idx="726">
                  <c:v>103419.92240668365</c:v>
                </c:pt>
                <c:pt idx="727">
                  <c:v>103419.92240668365</c:v>
                </c:pt>
                <c:pt idx="728">
                  <c:v>103419.92240668365</c:v>
                </c:pt>
                <c:pt idx="729">
                  <c:v>103587.53879665816</c:v>
                </c:pt>
                <c:pt idx="730">
                  <c:v>103587.53879665816</c:v>
                </c:pt>
                <c:pt idx="731">
                  <c:v>103587.53879665816</c:v>
                </c:pt>
                <c:pt idx="732">
                  <c:v>103587.53879665816</c:v>
                </c:pt>
                <c:pt idx="733">
                  <c:v>103587.53879665816</c:v>
                </c:pt>
                <c:pt idx="734">
                  <c:v>103587.53879665816</c:v>
                </c:pt>
                <c:pt idx="735">
                  <c:v>103587.53879665816</c:v>
                </c:pt>
                <c:pt idx="736">
                  <c:v>103587.53879665816</c:v>
                </c:pt>
                <c:pt idx="737">
                  <c:v>103587.53879665816</c:v>
                </c:pt>
                <c:pt idx="738">
                  <c:v>103587.53879665816</c:v>
                </c:pt>
                <c:pt idx="739">
                  <c:v>103587.53879665816</c:v>
                </c:pt>
                <c:pt idx="740">
                  <c:v>103587.53879665816</c:v>
                </c:pt>
                <c:pt idx="741">
                  <c:v>103587.53879665816</c:v>
                </c:pt>
                <c:pt idx="742">
                  <c:v>103587.53879665816</c:v>
                </c:pt>
                <c:pt idx="743">
                  <c:v>103587.53879665816</c:v>
                </c:pt>
                <c:pt idx="744">
                  <c:v>105818.7306016709</c:v>
                </c:pt>
                <c:pt idx="745">
                  <c:v>114935.63469916454</c:v>
                </c:pt>
                <c:pt idx="746">
                  <c:v>114935.63469916454</c:v>
                </c:pt>
                <c:pt idx="747">
                  <c:v>114935.63469916454</c:v>
                </c:pt>
                <c:pt idx="748">
                  <c:v>114935.63469916454</c:v>
                </c:pt>
                <c:pt idx="749">
                  <c:v>114935.63469916454</c:v>
                </c:pt>
                <c:pt idx="750">
                  <c:v>114935.63469916454</c:v>
                </c:pt>
                <c:pt idx="751">
                  <c:v>114935.63469916454</c:v>
                </c:pt>
                <c:pt idx="752">
                  <c:v>114935.63469916454</c:v>
                </c:pt>
                <c:pt idx="753">
                  <c:v>114935.63469916454</c:v>
                </c:pt>
                <c:pt idx="754">
                  <c:v>114935.63469916454</c:v>
                </c:pt>
                <c:pt idx="755">
                  <c:v>114962.18265041772</c:v>
                </c:pt>
                <c:pt idx="756">
                  <c:v>115636.40867479114</c:v>
                </c:pt>
                <c:pt idx="757">
                  <c:v>116049.29566260442</c:v>
                </c:pt>
                <c:pt idx="758">
                  <c:v>116049.29566260442</c:v>
                </c:pt>
                <c:pt idx="759">
                  <c:v>116655.35216869778</c:v>
                </c:pt>
                <c:pt idx="760">
                  <c:v>116655.35216869778</c:v>
                </c:pt>
                <c:pt idx="761">
                  <c:v>116655.35216869778</c:v>
                </c:pt>
                <c:pt idx="762">
                  <c:v>117037.3239156511</c:v>
                </c:pt>
                <c:pt idx="763">
                  <c:v>117346.33804217444</c:v>
                </c:pt>
                <c:pt idx="764">
                  <c:v>117441.83097891277</c:v>
                </c:pt>
                <c:pt idx="765">
                  <c:v>117441.83097891277</c:v>
                </c:pt>
                <c:pt idx="766">
                  <c:v>118331.5845105436</c:v>
                </c:pt>
                <c:pt idx="767">
                  <c:v>119199.20774472819</c:v>
                </c:pt>
                <c:pt idx="768">
                  <c:v>119199.20774472819</c:v>
                </c:pt>
                <c:pt idx="769">
                  <c:v>119199.20774472819</c:v>
                </c:pt>
                <c:pt idx="770">
                  <c:v>119199.20774472819</c:v>
                </c:pt>
                <c:pt idx="771">
                  <c:v>119199.20774472819</c:v>
                </c:pt>
                <c:pt idx="772">
                  <c:v>119199.20774472819</c:v>
                </c:pt>
                <c:pt idx="773">
                  <c:v>119199.20774472819</c:v>
                </c:pt>
                <c:pt idx="774">
                  <c:v>119199.20774472819</c:v>
                </c:pt>
                <c:pt idx="775">
                  <c:v>119199.20774472819</c:v>
                </c:pt>
                <c:pt idx="776">
                  <c:v>119199.20774472819</c:v>
                </c:pt>
                <c:pt idx="777">
                  <c:v>138527.8961276359</c:v>
                </c:pt>
                <c:pt idx="778">
                  <c:v>138527.8961276359</c:v>
                </c:pt>
                <c:pt idx="779">
                  <c:v>138527.8961276359</c:v>
                </c:pt>
                <c:pt idx="780">
                  <c:v>138527.8961276359</c:v>
                </c:pt>
                <c:pt idx="781">
                  <c:v>138527.8961276359</c:v>
                </c:pt>
                <c:pt idx="782">
                  <c:v>138527.8961276359</c:v>
                </c:pt>
                <c:pt idx="783">
                  <c:v>138527.8961276359</c:v>
                </c:pt>
                <c:pt idx="784">
                  <c:v>138527.8961276359</c:v>
                </c:pt>
                <c:pt idx="785">
                  <c:v>138527.8961276359</c:v>
                </c:pt>
                <c:pt idx="786">
                  <c:v>138527.8961276359</c:v>
                </c:pt>
                <c:pt idx="787">
                  <c:v>138527.8961276359</c:v>
                </c:pt>
                <c:pt idx="788">
                  <c:v>138527.8961276359</c:v>
                </c:pt>
                <c:pt idx="789">
                  <c:v>138527.8961276359</c:v>
                </c:pt>
                <c:pt idx="790">
                  <c:v>138527.8961276359</c:v>
                </c:pt>
                <c:pt idx="791">
                  <c:v>138527.8961276359</c:v>
                </c:pt>
                <c:pt idx="792">
                  <c:v>138527.8961276359</c:v>
                </c:pt>
                <c:pt idx="793">
                  <c:v>138527.8961276359</c:v>
                </c:pt>
                <c:pt idx="794">
                  <c:v>138527.8961276359</c:v>
                </c:pt>
                <c:pt idx="795">
                  <c:v>138527.8961276359</c:v>
                </c:pt>
                <c:pt idx="796">
                  <c:v>138527.8961276359</c:v>
                </c:pt>
                <c:pt idx="797">
                  <c:v>138527.8961276359</c:v>
                </c:pt>
                <c:pt idx="798">
                  <c:v>138527.8961276359</c:v>
                </c:pt>
                <c:pt idx="799">
                  <c:v>138527.8961276359</c:v>
                </c:pt>
                <c:pt idx="800">
                  <c:v>138527.8961276359</c:v>
                </c:pt>
                <c:pt idx="801">
                  <c:v>138527.8961276359</c:v>
                </c:pt>
                <c:pt idx="802">
                  <c:v>138527.8961276359</c:v>
                </c:pt>
                <c:pt idx="803">
                  <c:v>138527.8961276359</c:v>
                </c:pt>
                <c:pt idx="804">
                  <c:v>138527.8961276359</c:v>
                </c:pt>
                <c:pt idx="805">
                  <c:v>138527.8961276359</c:v>
                </c:pt>
                <c:pt idx="806">
                  <c:v>138527.8961276359</c:v>
                </c:pt>
                <c:pt idx="807">
                  <c:v>138527.8961276359</c:v>
                </c:pt>
                <c:pt idx="808">
                  <c:v>138527.8961276359</c:v>
                </c:pt>
                <c:pt idx="809">
                  <c:v>138527.8961276359</c:v>
                </c:pt>
                <c:pt idx="810">
                  <c:v>138527.8961276359</c:v>
                </c:pt>
                <c:pt idx="811">
                  <c:v>138527.8961276359</c:v>
                </c:pt>
                <c:pt idx="812">
                  <c:v>138527.8961276359</c:v>
                </c:pt>
                <c:pt idx="813">
                  <c:v>138527.8961276359</c:v>
                </c:pt>
                <c:pt idx="814">
                  <c:v>138527.8961276359</c:v>
                </c:pt>
                <c:pt idx="815">
                  <c:v>138527.8961276359</c:v>
                </c:pt>
                <c:pt idx="816">
                  <c:v>138527.8961276359</c:v>
                </c:pt>
                <c:pt idx="817">
                  <c:v>138527.8961276359</c:v>
                </c:pt>
                <c:pt idx="818">
                  <c:v>138527.8961276359</c:v>
                </c:pt>
                <c:pt idx="819">
                  <c:v>138527.8961276359</c:v>
                </c:pt>
                <c:pt idx="820">
                  <c:v>138527.8961276359</c:v>
                </c:pt>
                <c:pt idx="821">
                  <c:v>138527.8961276359</c:v>
                </c:pt>
                <c:pt idx="822">
                  <c:v>138527.8961276359</c:v>
                </c:pt>
                <c:pt idx="823">
                  <c:v>138527.8961276359</c:v>
                </c:pt>
                <c:pt idx="824">
                  <c:v>138527.8961276359</c:v>
                </c:pt>
                <c:pt idx="825">
                  <c:v>138527.8961276359</c:v>
                </c:pt>
                <c:pt idx="826">
                  <c:v>138527.8961276359</c:v>
                </c:pt>
                <c:pt idx="827">
                  <c:v>138527.8961276359</c:v>
                </c:pt>
                <c:pt idx="828">
                  <c:v>138527.8961276359</c:v>
                </c:pt>
                <c:pt idx="829">
                  <c:v>138527.8961276359</c:v>
                </c:pt>
                <c:pt idx="830">
                  <c:v>138527.8961276359</c:v>
                </c:pt>
                <c:pt idx="831">
                  <c:v>138527.8961276359</c:v>
                </c:pt>
                <c:pt idx="832">
                  <c:v>138527.8961276359</c:v>
                </c:pt>
                <c:pt idx="833">
                  <c:v>138527.8961276359</c:v>
                </c:pt>
                <c:pt idx="834">
                  <c:v>138527.8961276359</c:v>
                </c:pt>
                <c:pt idx="835">
                  <c:v>138527.8961276359</c:v>
                </c:pt>
                <c:pt idx="836">
                  <c:v>138527.8961276359</c:v>
                </c:pt>
                <c:pt idx="837">
                  <c:v>138527.8961276359</c:v>
                </c:pt>
                <c:pt idx="838">
                  <c:v>138527.8961276359</c:v>
                </c:pt>
                <c:pt idx="839">
                  <c:v>138527.8961276359</c:v>
                </c:pt>
                <c:pt idx="840">
                  <c:v>138527.8961276359</c:v>
                </c:pt>
                <c:pt idx="841">
                  <c:v>138527.8961276359</c:v>
                </c:pt>
                <c:pt idx="842">
                  <c:v>138527.8961276359</c:v>
                </c:pt>
                <c:pt idx="843">
                  <c:v>138527.8961276359</c:v>
                </c:pt>
                <c:pt idx="844">
                  <c:v>138527.8961276359</c:v>
                </c:pt>
                <c:pt idx="845">
                  <c:v>138527.8961276359</c:v>
                </c:pt>
                <c:pt idx="846">
                  <c:v>138527.8961276359</c:v>
                </c:pt>
                <c:pt idx="847">
                  <c:v>138527.8961276359</c:v>
                </c:pt>
                <c:pt idx="848">
                  <c:v>138527.8961276359</c:v>
                </c:pt>
                <c:pt idx="849">
                  <c:v>138527.8961276359</c:v>
                </c:pt>
                <c:pt idx="850">
                  <c:v>138527.8961276359</c:v>
                </c:pt>
                <c:pt idx="851">
                  <c:v>138527.8961276359</c:v>
                </c:pt>
                <c:pt idx="852">
                  <c:v>138527.8961276359</c:v>
                </c:pt>
                <c:pt idx="853">
                  <c:v>138527.8961276359</c:v>
                </c:pt>
                <c:pt idx="854">
                  <c:v>138527.8961276359</c:v>
                </c:pt>
                <c:pt idx="855">
                  <c:v>138527.8961276359</c:v>
                </c:pt>
                <c:pt idx="856">
                  <c:v>138527.8961276359</c:v>
                </c:pt>
                <c:pt idx="857">
                  <c:v>138527.8961276359</c:v>
                </c:pt>
                <c:pt idx="858">
                  <c:v>140898.55193618202</c:v>
                </c:pt>
                <c:pt idx="859">
                  <c:v>141495.72403190896</c:v>
                </c:pt>
                <c:pt idx="860">
                  <c:v>146884.63798404549</c:v>
                </c:pt>
                <c:pt idx="861">
                  <c:v>154430.18100797723</c:v>
                </c:pt>
                <c:pt idx="862">
                  <c:v>154430.18100797723</c:v>
                </c:pt>
                <c:pt idx="863">
                  <c:v>154430.18100797723</c:v>
                </c:pt>
                <c:pt idx="864">
                  <c:v>154430.18100797723</c:v>
                </c:pt>
                <c:pt idx="865">
                  <c:v>154430.18100797723</c:v>
                </c:pt>
                <c:pt idx="866">
                  <c:v>154430.18100797723</c:v>
                </c:pt>
                <c:pt idx="867">
                  <c:v>154430.18100797723</c:v>
                </c:pt>
                <c:pt idx="868">
                  <c:v>154430.18100797723</c:v>
                </c:pt>
                <c:pt idx="869">
                  <c:v>154430.18100797723</c:v>
                </c:pt>
                <c:pt idx="870">
                  <c:v>154430.18100797723</c:v>
                </c:pt>
                <c:pt idx="871">
                  <c:v>154430.18100797723</c:v>
                </c:pt>
                <c:pt idx="872">
                  <c:v>154430.18100797723</c:v>
                </c:pt>
                <c:pt idx="873">
                  <c:v>154430.18100797723</c:v>
                </c:pt>
                <c:pt idx="874">
                  <c:v>154430.18100797723</c:v>
                </c:pt>
                <c:pt idx="875">
                  <c:v>154430.18100797723</c:v>
                </c:pt>
                <c:pt idx="876">
                  <c:v>154430.18100797723</c:v>
                </c:pt>
                <c:pt idx="877">
                  <c:v>154430.18100797723</c:v>
                </c:pt>
                <c:pt idx="878">
                  <c:v>154430.18100797723</c:v>
                </c:pt>
                <c:pt idx="879">
                  <c:v>154430.18100797723</c:v>
                </c:pt>
                <c:pt idx="880">
                  <c:v>154430.18100797723</c:v>
                </c:pt>
                <c:pt idx="881">
                  <c:v>154430.18100797723</c:v>
                </c:pt>
                <c:pt idx="882">
                  <c:v>154430.18100797723</c:v>
                </c:pt>
                <c:pt idx="883">
                  <c:v>154430.18100797723</c:v>
                </c:pt>
                <c:pt idx="884">
                  <c:v>154430.18100797723</c:v>
                </c:pt>
                <c:pt idx="885">
                  <c:v>154430.18100797723</c:v>
                </c:pt>
                <c:pt idx="886">
                  <c:v>154430.18100797723</c:v>
                </c:pt>
                <c:pt idx="887">
                  <c:v>154430.18100797723</c:v>
                </c:pt>
                <c:pt idx="888">
                  <c:v>154430.18100797723</c:v>
                </c:pt>
                <c:pt idx="889">
                  <c:v>154430.18100797723</c:v>
                </c:pt>
                <c:pt idx="890">
                  <c:v>154430.18100797723</c:v>
                </c:pt>
                <c:pt idx="891">
                  <c:v>154430.18100797723</c:v>
                </c:pt>
                <c:pt idx="892">
                  <c:v>154430.18100797723</c:v>
                </c:pt>
                <c:pt idx="893">
                  <c:v>154430.18100797723</c:v>
                </c:pt>
                <c:pt idx="894">
                  <c:v>154430.18100797723</c:v>
                </c:pt>
                <c:pt idx="895">
                  <c:v>154430.18100797723</c:v>
                </c:pt>
                <c:pt idx="896">
                  <c:v>154430.18100797723</c:v>
                </c:pt>
                <c:pt idx="897">
                  <c:v>154430.18100797723</c:v>
                </c:pt>
                <c:pt idx="898">
                  <c:v>154430.18100797723</c:v>
                </c:pt>
                <c:pt idx="899">
                  <c:v>154430.18100797723</c:v>
                </c:pt>
                <c:pt idx="900">
                  <c:v>154430.18100797723</c:v>
                </c:pt>
                <c:pt idx="901">
                  <c:v>154430.18100797723</c:v>
                </c:pt>
                <c:pt idx="902">
                  <c:v>154430.18100797723</c:v>
                </c:pt>
                <c:pt idx="903">
                  <c:v>154430.18100797723</c:v>
                </c:pt>
                <c:pt idx="904">
                  <c:v>154430.18100797723</c:v>
                </c:pt>
                <c:pt idx="905">
                  <c:v>154430.18100797723</c:v>
                </c:pt>
                <c:pt idx="906">
                  <c:v>154430.18100797723</c:v>
                </c:pt>
                <c:pt idx="907">
                  <c:v>154430.18100797723</c:v>
                </c:pt>
                <c:pt idx="908">
                  <c:v>154430.18100797723</c:v>
                </c:pt>
                <c:pt idx="909">
                  <c:v>154430.18100797723</c:v>
                </c:pt>
                <c:pt idx="910">
                  <c:v>154430.18100797723</c:v>
                </c:pt>
                <c:pt idx="911">
                  <c:v>154430.18100797723</c:v>
                </c:pt>
                <c:pt idx="912">
                  <c:v>154430.18100797723</c:v>
                </c:pt>
                <c:pt idx="913">
                  <c:v>154430.18100797723</c:v>
                </c:pt>
                <c:pt idx="914">
                  <c:v>154430.18100797723</c:v>
                </c:pt>
                <c:pt idx="915">
                  <c:v>154430.18100797723</c:v>
                </c:pt>
                <c:pt idx="916">
                  <c:v>154430.18100797723</c:v>
                </c:pt>
                <c:pt idx="917">
                  <c:v>154430.18100797723</c:v>
                </c:pt>
                <c:pt idx="918">
                  <c:v>154430.18100797723</c:v>
                </c:pt>
                <c:pt idx="919">
                  <c:v>154430.18100797723</c:v>
                </c:pt>
                <c:pt idx="920">
                  <c:v>154430.18100797723</c:v>
                </c:pt>
                <c:pt idx="921">
                  <c:v>154517.40949601139</c:v>
                </c:pt>
                <c:pt idx="922">
                  <c:v>154517.40949601139</c:v>
                </c:pt>
                <c:pt idx="923">
                  <c:v>154517.40949601139</c:v>
                </c:pt>
                <c:pt idx="924">
                  <c:v>154517.40949601139</c:v>
                </c:pt>
                <c:pt idx="925">
                  <c:v>154517.40949601139</c:v>
                </c:pt>
                <c:pt idx="926">
                  <c:v>154517.40949601139</c:v>
                </c:pt>
                <c:pt idx="927">
                  <c:v>154517.40949601139</c:v>
                </c:pt>
                <c:pt idx="928">
                  <c:v>154517.40949601139</c:v>
                </c:pt>
                <c:pt idx="929">
                  <c:v>154517.40949601139</c:v>
                </c:pt>
                <c:pt idx="930">
                  <c:v>154517.40949601139</c:v>
                </c:pt>
                <c:pt idx="931">
                  <c:v>154517.40949601139</c:v>
                </c:pt>
                <c:pt idx="932">
                  <c:v>154517.40949601139</c:v>
                </c:pt>
                <c:pt idx="933">
                  <c:v>154517.40949601139</c:v>
                </c:pt>
                <c:pt idx="934">
                  <c:v>154517.40949601139</c:v>
                </c:pt>
                <c:pt idx="935">
                  <c:v>154536.29525199428</c:v>
                </c:pt>
                <c:pt idx="936">
                  <c:v>154536.29525199428</c:v>
                </c:pt>
                <c:pt idx="937">
                  <c:v>154536.29525199428</c:v>
                </c:pt>
                <c:pt idx="938">
                  <c:v>154536.29525199428</c:v>
                </c:pt>
                <c:pt idx="939">
                  <c:v>154536.29525199428</c:v>
                </c:pt>
                <c:pt idx="940">
                  <c:v>154536.29525199428</c:v>
                </c:pt>
                <c:pt idx="941">
                  <c:v>154536.29525199428</c:v>
                </c:pt>
                <c:pt idx="942">
                  <c:v>154714.35237400286</c:v>
                </c:pt>
                <c:pt idx="943">
                  <c:v>154877.82381299854</c:v>
                </c:pt>
                <c:pt idx="944">
                  <c:v>154877.82381299854</c:v>
                </c:pt>
                <c:pt idx="945">
                  <c:v>154877.82381299854</c:v>
                </c:pt>
                <c:pt idx="946">
                  <c:v>154877.82381299854</c:v>
                </c:pt>
                <c:pt idx="947">
                  <c:v>154877.82381299854</c:v>
                </c:pt>
                <c:pt idx="948">
                  <c:v>154877.82381299854</c:v>
                </c:pt>
                <c:pt idx="949">
                  <c:v>154877.82381299854</c:v>
                </c:pt>
                <c:pt idx="950">
                  <c:v>154877.82381299854</c:v>
                </c:pt>
                <c:pt idx="951">
                  <c:v>154877.82381299854</c:v>
                </c:pt>
                <c:pt idx="952">
                  <c:v>154877.82381299854</c:v>
                </c:pt>
                <c:pt idx="953">
                  <c:v>154877.82381299854</c:v>
                </c:pt>
                <c:pt idx="954">
                  <c:v>156277.3380935007</c:v>
                </c:pt>
                <c:pt idx="955">
                  <c:v>156277.3380935007</c:v>
                </c:pt>
                <c:pt idx="956">
                  <c:v>156277.3380935007</c:v>
                </c:pt>
                <c:pt idx="957">
                  <c:v>156277.3380935007</c:v>
                </c:pt>
                <c:pt idx="958">
                  <c:v>156277.3380935007</c:v>
                </c:pt>
                <c:pt idx="959">
                  <c:v>156277.3380935007</c:v>
                </c:pt>
                <c:pt idx="960">
                  <c:v>156277.3380935007</c:v>
                </c:pt>
                <c:pt idx="961">
                  <c:v>156277.3380935007</c:v>
                </c:pt>
                <c:pt idx="962">
                  <c:v>156277.3380935007</c:v>
                </c:pt>
                <c:pt idx="963">
                  <c:v>156277.3380935007</c:v>
                </c:pt>
                <c:pt idx="964">
                  <c:v>156277.3380935007</c:v>
                </c:pt>
                <c:pt idx="965">
                  <c:v>156277.3380935007</c:v>
                </c:pt>
                <c:pt idx="966">
                  <c:v>156277.3380935007</c:v>
                </c:pt>
                <c:pt idx="967">
                  <c:v>156277.3380935007</c:v>
                </c:pt>
                <c:pt idx="968">
                  <c:v>156277.3380935007</c:v>
                </c:pt>
                <c:pt idx="969">
                  <c:v>156277.3380935007</c:v>
                </c:pt>
                <c:pt idx="970">
                  <c:v>156277.3380935007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EE3-4D68-BBE4-23EE3A74E60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13750312"/>
        <c:axId val="313751624"/>
      </c:lineChart>
      <c:catAx>
        <c:axId val="313750312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3751624"/>
        <c:crosses val="autoZero"/>
        <c:auto val="1"/>
        <c:lblAlgn val="ctr"/>
        <c:lblOffset val="100"/>
        <c:noMultiLvlLbl val="0"/>
      </c:catAx>
      <c:valAx>
        <c:axId val="3137516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37503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Data!$L$11</c:f>
              <c:strCache>
                <c:ptCount val="1"/>
                <c:pt idx="0">
                  <c:v>DHP + Long Futures After Profit Fees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Data!$L$12:$L$982</c:f>
              <c:numCache>
                <c:formatCode>General</c:formatCode>
                <c:ptCount val="971"/>
                <c:pt idx="0">
                  <c:v>0</c:v>
                </c:pt>
                <c:pt idx="1">
                  <c:v>2125</c:v>
                </c:pt>
                <c:pt idx="2">
                  <c:v>-3562.5</c:v>
                </c:pt>
                <c:pt idx="3">
                  <c:v>-1562.5</c:v>
                </c:pt>
                <c:pt idx="4">
                  <c:v>-843.75</c:v>
                </c:pt>
                <c:pt idx="5">
                  <c:v>-3718.75</c:v>
                </c:pt>
                <c:pt idx="6">
                  <c:v>-4593.75</c:v>
                </c:pt>
                <c:pt idx="7">
                  <c:v>-7433.75</c:v>
                </c:pt>
                <c:pt idx="8">
                  <c:v>-7893.75</c:v>
                </c:pt>
                <c:pt idx="9">
                  <c:v>12856.25</c:v>
                </c:pt>
                <c:pt idx="10">
                  <c:v>14481.25</c:v>
                </c:pt>
                <c:pt idx="11">
                  <c:v>15731.25</c:v>
                </c:pt>
                <c:pt idx="12">
                  <c:v>16606.25</c:v>
                </c:pt>
                <c:pt idx="13">
                  <c:v>17731.25</c:v>
                </c:pt>
                <c:pt idx="14">
                  <c:v>19731.25</c:v>
                </c:pt>
                <c:pt idx="15">
                  <c:v>19481.25</c:v>
                </c:pt>
                <c:pt idx="16">
                  <c:v>21016.25</c:v>
                </c:pt>
                <c:pt idx="17">
                  <c:v>22556.25</c:v>
                </c:pt>
                <c:pt idx="18">
                  <c:v>18806.25</c:v>
                </c:pt>
                <c:pt idx="19">
                  <c:v>24556.25</c:v>
                </c:pt>
                <c:pt idx="20">
                  <c:v>28681.25</c:v>
                </c:pt>
                <c:pt idx="21">
                  <c:v>34056.25</c:v>
                </c:pt>
                <c:pt idx="22">
                  <c:v>33556.25</c:v>
                </c:pt>
                <c:pt idx="23">
                  <c:v>34686.25</c:v>
                </c:pt>
                <c:pt idx="24">
                  <c:v>35436.25</c:v>
                </c:pt>
                <c:pt idx="25">
                  <c:v>33311.25</c:v>
                </c:pt>
                <c:pt idx="26">
                  <c:v>31826.25</c:v>
                </c:pt>
                <c:pt idx="27">
                  <c:v>22266.25</c:v>
                </c:pt>
                <c:pt idx="28">
                  <c:v>22266.25</c:v>
                </c:pt>
                <c:pt idx="29">
                  <c:v>19286.25</c:v>
                </c:pt>
                <c:pt idx="30">
                  <c:v>18866.875</c:v>
                </c:pt>
                <c:pt idx="31">
                  <c:v>14201.5625</c:v>
                </c:pt>
                <c:pt idx="32">
                  <c:v>12966.5625</c:v>
                </c:pt>
                <c:pt idx="33">
                  <c:v>14341.5625</c:v>
                </c:pt>
                <c:pt idx="34">
                  <c:v>17216.5625</c:v>
                </c:pt>
                <c:pt idx="35">
                  <c:v>18591.5625</c:v>
                </c:pt>
                <c:pt idx="36">
                  <c:v>18249.21875</c:v>
                </c:pt>
                <c:pt idx="37">
                  <c:v>15569.21875</c:v>
                </c:pt>
                <c:pt idx="38">
                  <c:v>14069.21875</c:v>
                </c:pt>
                <c:pt idx="39">
                  <c:v>13219.21875</c:v>
                </c:pt>
                <c:pt idx="40">
                  <c:v>11469.21875</c:v>
                </c:pt>
                <c:pt idx="41">
                  <c:v>7039.21875</c:v>
                </c:pt>
                <c:pt idx="42">
                  <c:v>11929.21875</c:v>
                </c:pt>
                <c:pt idx="43">
                  <c:v>15559.21875</c:v>
                </c:pt>
                <c:pt idx="44">
                  <c:v>10449.21875</c:v>
                </c:pt>
                <c:pt idx="45">
                  <c:v>10584.21875</c:v>
                </c:pt>
                <c:pt idx="46">
                  <c:v>9959.21875</c:v>
                </c:pt>
                <c:pt idx="47">
                  <c:v>5029.21875</c:v>
                </c:pt>
                <c:pt idx="48">
                  <c:v>-3120.78125</c:v>
                </c:pt>
                <c:pt idx="49">
                  <c:v>-15480.78125</c:v>
                </c:pt>
                <c:pt idx="50">
                  <c:v>-16855.78125</c:v>
                </c:pt>
                <c:pt idx="51">
                  <c:v>-14855.78125</c:v>
                </c:pt>
                <c:pt idx="52">
                  <c:v>-16970.78125</c:v>
                </c:pt>
                <c:pt idx="53">
                  <c:v>-17455.78125</c:v>
                </c:pt>
                <c:pt idx="54">
                  <c:v>-17705.78125</c:v>
                </c:pt>
                <c:pt idx="55">
                  <c:v>-21550.78125</c:v>
                </c:pt>
                <c:pt idx="56">
                  <c:v>-21785.78125</c:v>
                </c:pt>
                <c:pt idx="57">
                  <c:v>-22035.78125</c:v>
                </c:pt>
                <c:pt idx="58">
                  <c:v>-25535.78125</c:v>
                </c:pt>
                <c:pt idx="59">
                  <c:v>-23660.78125</c:v>
                </c:pt>
                <c:pt idx="60">
                  <c:v>-24910.78125</c:v>
                </c:pt>
                <c:pt idx="61">
                  <c:v>-20910.78125</c:v>
                </c:pt>
                <c:pt idx="62">
                  <c:v>-41410.78125</c:v>
                </c:pt>
                <c:pt idx="63">
                  <c:v>-51910.78125</c:v>
                </c:pt>
                <c:pt idx="64">
                  <c:v>-39995.78125</c:v>
                </c:pt>
                <c:pt idx="65">
                  <c:v>-48560.78125</c:v>
                </c:pt>
                <c:pt idx="66">
                  <c:v>-41060.78125</c:v>
                </c:pt>
                <c:pt idx="67">
                  <c:v>-55570.78125</c:v>
                </c:pt>
                <c:pt idx="68">
                  <c:v>-59820.78125</c:v>
                </c:pt>
                <c:pt idx="69">
                  <c:v>-55820.78125</c:v>
                </c:pt>
                <c:pt idx="70">
                  <c:v>-41445.78125</c:v>
                </c:pt>
                <c:pt idx="71">
                  <c:v>-39195.78125</c:v>
                </c:pt>
                <c:pt idx="72">
                  <c:v>-29405.78125</c:v>
                </c:pt>
                <c:pt idx="73">
                  <c:v>-21405.78125</c:v>
                </c:pt>
                <c:pt idx="74">
                  <c:v>-37375.78125</c:v>
                </c:pt>
                <c:pt idx="75">
                  <c:v>-20000.78125</c:v>
                </c:pt>
                <c:pt idx="76">
                  <c:v>-19750.78125</c:v>
                </c:pt>
                <c:pt idx="77">
                  <c:v>-42625.78125</c:v>
                </c:pt>
                <c:pt idx="78">
                  <c:v>-36610.78125</c:v>
                </c:pt>
                <c:pt idx="79">
                  <c:v>-44235.78125</c:v>
                </c:pt>
                <c:pt idx="80">
                  <c:v>-52850.78125</c:v>
                </c:pt>
                <c:pt idx="81">
                  <c:v>-57830.78125</c:v>
                </c:pt>
                <c:pt idx="82">
                  <c:v>-50228.28125</c:v>
                </c:pt>
                <c:pt idx="83">
                  <c:v>-50353.28125</c:v>
                </c:pt>
                <c:pt idx="84">
                  <c:v>-42618.28125</c:v>
                </c:pt>
                <c:pt idx="85">
                  <c:v>-41868.28125</c:v>
                </c:pt>
                <c:pt idx="86">
                  <c:v>-39848.28125</c:v>
                </c:pt>
                <c:pt idx="87">
                  <c:v>-48828.28125</c:v>
                </c:pt>
                <c:pt idx="88">
                  <c:v>-51033.28125</c:v>
                </c:pt>
                <c:pt idx="89">
                  <c:v>-48033.28125</c:v>
                </c:pt>
                <c:pt idx="90">
                  <c:v>-46283.28125</c:v>
                </c:pt>
                <c:pt idx="91">
                  <c:v>-41408.28125</c:v>
                </c:pt>
                <c:pt idx="92">
                  <c:v>-45783.28125</c:v>
                </c:pt>
                <c:pt idx="93">
                  <c:v>-41908.28125</c:v>
                </c:pt>
                <c:pt idx="94">
                  <c:v>-45983.28125</c:v>
                </c:pt>
                <c:pt idx="95">
                  <c:v>-49723.28125</c:v>
                </c:pt>
                <c:pt idx="96">
                  <c:v>-49848.28125</c:v>
                </c:pt>
                <c:pt idx="97">
                  <c:v>-50473.28125</c:v>
                </c:pt>
                <c:pt idx="98">
                  <c:v>-47473.28125</c:v>
                </c:pt>
                <c:pt idx="99">
                  <c:v>-46223.28125</c:v>
                </c:pt>
                <c:pt idx="100">
                  <c:v>-46848.28125</c:v>
                </c:pt>
                <c:pt idx="101">
                  <c:v>-43583.28125</c:v>
                </c:pt>
                <c:pt idx="102">
                  <c:v>-42708.28125</c:v>
                </c:pt>
                <c:pt idx="103">
                  <c:v>-43458.28125</c:v>
                </c:pt>
                <c:pt idx="104">
                  <c:v>-41708.28125</c:v>
                </c:pt>
                <c:pt idx="105">
                  <c:v>-41083.28125</c:v>
                </c:pt>
                <c:pt idx="106">
                  <c:v>-41208.28125</c:v>
                </c:pt>
                <c:pt idx="107">
                  <c:v>-41958.28125</c:v>
                </c:pt>
                <c:pt idx="108">
                  <c:v>-38698.28125</c:v>
                </c:pt>
                <c:pt idx="109">
                  <c:v>-37573.28125</c:v>
                </c:pt>
                <c:pt idx="110">
                  <c:v>-36808.28125</c:v>
                </c:pt>
                <c:pt idx="111">
                  <c:v>-37808.28125</c:v>
                </c:pt>
                <c:pt idx="112">
                  <c:v>-38173.28125</c:v>
                </c:pt>
                <c:pt idx="113">
                  <c:v>-40163.28125</c:v>
                </c:pt>
                <c:pt idx="114">
                  <c:v>-33288.28125</c:v>
                </c:pt>
                <c:pt idx="115">
                  <c:v>-31288.28125</c:v>
                </c:pt>
                <c:pt idx="116">
                  <c:v>-31903.28125</c:v>
                </c:pt>
                <c:pt idx="117">
                  <c:v>-32153.28125</c:v>
                </c:pt>
                <c:pt idx="118">
                  <c:v>-29398.28125</c:v>
                </c:pt>
                <c:pt idx="119">
                  <c:v>-30773.28125</c:v>
                </c:pt>
                <c:pt idx="120">
                  <c:v>-33773.28125</c:v>
                </c:pt>
                <c:pt idx="121">
                  <c:v>-28248.28125</c:v>
                </c:pt>
                <c:pt idx="122">
                  <c:v>-36083.28125</c:v>
                </c:pt>
                <c:pt idx="123">
                  <c:v>-39703.28125</c:v>
                </c:pt>
                <c:pt idx="124">
                  <c:v>-53323.28125</c:v>
                </c:pt>
                <c:pt idx="125">
                  <c:v>-56948.28125</c:v>
                </c:pt>
                <c:pt idx="126">
                  <c:v>-58198.28125</c:v>
                </c:pt>
                <c:pt idx="127">
                  <c:v>-60073.28125</c:v>
                </c:pt>
                <c:pt idx="128">
                  <c:v>-70698.28125</c:v>
                </c:pt>
                <c:pt idx="129">
                  <c:v>-79443.28125</c:v>
                </c:pt>
                <c:pt idx="130">
                  <c:v>-79818.28125</c:v>
                </c:pt>
                <c:pt idx="131">
                  <c:v>-80068.28125</c:v>
                </c:pt>
                <c:pt idx="132">
                  <c:v>-79818.28125</c:v>
                </c:pt>
                <c:pt idx="133">
                  <c:v>-79568.28125</c:v>
                </c:pt>
                <c:pt idx="134">
                  <c:v>-79568.28125</c:v>
                </c:pt>
                <c:pt idx="135">
                  <c:v>-81513.28125</c:v>
                </c:pt>
                <c:pt idx="136">
                  <c:v>-80013.28125</c:v>
                </c:pt>
                <c:pt idx="137">
                  <c:v>-68328.28125</c:v>
                </c:pt>
                <c:pt idx="138">
                  <c:v>-75913.28125</c:v>
                </c:pt>
                <c:pt idx="139">
                  <c:v>-91133.28125</c:v>
                </c:pt>
                <c:pt idx="140">
                  <c:v>-83258.28125</c:v>
                </c:pt>
                <c:pt idx="141">
                  <c:v>-87258.28125</c:v>
                </c:pt>
                <c:pt idx="142">
                  <c:v>-85258.28125</c:v>
                </c:pt>
                <c:pt idx="143">
                  <c:v>-80633.28125</c:v>
                </c:pt>
                <c:pt idx="144">
                  <c:v>-83998.28125</c:v>
                </c:pt>
                <c:pt idx="145">
                  <c:v>-102578.28125</c:v>
                </c:pt>
                <c:pt idx="146">
                  <c:v>-116798.28125</c:v>
                </c:pt>
                <c:pt idx="147">
                  <c:v>-129673.28125</c:v>
                </c:pt>
                <c:pt idx="148">
                  <c:v>-131673.28125</c:v>
                </c:pt>
                <c:pt idx="149">
                  <c:v>-137798.28125</c:v>
                </c:pt>
                <c:pt idx="150">
                  <c:v>-135423.28125</c:v>
                </c:pt>
                <c:pt idx="151">
                  <c:v>-128798.28125</c:v>
                </c:pt>
                <c:pt idx="152">
                  <c:v>-139673.28125</c:v>
                </c:pt>
                <c:pt idx="153">
                  <c:v>-147423.28125</c:v>
                </c:pt>
                <c:pt idx="154">
                  <c:v>-153423.28125</c:v>
                </c:pt>
                <c:pt idx="155">
                  <c:v>-151673.28125</c:v>
                </c:pt>
                <c:pt idx="156">
                  <c:v>-153298.28125</c:v>
                </c:pt>
                <c:pt idx="157">
                  <c:v>-152048.28125</c:v>
                </c:pt>
                <c:pt idx="158">
                  <c:v>-153923.28125</c:v>
                </c:pt>
                <c:pt idx="159">
                  <c:v>-150298.28125</c:v>
                </c:pt>
                <c:pt idx="160">
                  <c:v>-159798.28125</c:v>
                </c:pt>
                <c:pt idx="161">
                  <c:v>-158283.28125</c:v>
                </c:pt>
                <c:pt idx="162">
                  <c:v>-148408.28125</c:v>
                </c:pt>
                <c:pt idx="163">
                  <c:v>-151783.28125</c:v>
                </c:pt>
                <c:pt idx="164">
                  <c:v>-142033.28125</c:v>
                </c:pt>
                <c:pt idx="165">
                  <c:v>-144283.28125</c:v>
                </c:pt>
                <c:pt idx="166">
                  <c:v>-132263.28125</c:v>
                </c:pt>
                <c:pt idx="167">
                  <c:v>-141785.78125</c:v>
                </c:pt>
                <c:pt idx="168">
                  <c:v>-143130.78125</c:v>
                </c:pt>
                <c:pt idx="169">
                  <c:v>-132840.78125</c:v>
                </c:pt>
                <c:pt idx="170">
                  <c:v>-142590.78125</c:v>
                </c:pt>
                <c:pt idx="171">
                  <c:v>-147575.78125</c:v>
                </c:pt>
                <c:pt idx="172">
                  <c:v>-147200.78125</c:v>
                </c:pt>
                <c:pt idx="173">
                  <c:v>-145435.78125</c:v>
                </c:pt>
                <c:pt idx="174">
                  <c:v>-148055.78125</c:v>
                </c:pt>
                <c:pt idx="175">
                  <c:v>-140680.78125</c:v>
                </c:pt>
                <c:pt idx="176">
                  <c:v>-137360.78125</c:v>
                </c:pt>
                <c:pt idx="177">
                  <c:v>-139485.78125</c:v>
                </c:pt>
                <c:pt idx="178">
                  <c:v>-145110.78125</c:v>
                </c:pt>
                <c:pt idx="179">
                  <c:v>-140930.78125</c:v>
                </c:pt>
                <c:pt idx="180">
                  <c:v>-147295.78125</c:v>
                </c:pt>
                <c:pt idx="181">
                  <c:v>-148265.78125</c:v>
                </c:pt>
                <c:pt idx="182">
                  <c:v>-142850.78125</c:v>
                </c:pt>
                <c:pt idx="183">
                  <c:v>-132725.78125</c:v>
                </c:pt>
                <c:pt idx="184">
                  <c:v>-126200.78125</c:v>
                </c:pt>
                <c:pt idx="185">
                  <c:v>-125695.78125</c:v>
                </c:pt>
                <c:pt idx="186">
                  <c:v>-118820.78125</c:v>
                </c:pt>
                <c:pt idx="187">
                  <c:v>-125320.78125</c:v>
                </c:pt>
                <c:pt idx="188">
                  <c:v>-112320.78125</c:v>
                </c:pt>
                <c:pt idx="189">
                  <c:v>-113790.78125</c:v>
                </c:pt>
                <c:pt idx="190">
                  <c:v>-106165.78125</c:v>
                </c:pt>
                <c:pt idx="191">
                  <c:v>-118747.109375</c:v>
                </c:pt>
                <c:pt idx="192">
                  <c:v>-121367.109375</c:v>
                </c:pt>
                <c:pt idx="193">
                  <c:v>-116852.109375</c:v>
                </c:pt>
                <c:pt idx="194">
                  <c:v>-98727.109375</c:v>
                </c:pt>
                <c:pt idx="195">
                  <c:v>-97071.4453125</c:v>
                </c:pt>
                <c:pt idx="196">
                  <c:v>-101084.27734375</c:v>
                </c:pt>
                <c:pt idx="197">
                  <c:v>-98459.27734375</c:v>
                </c:pt>
                <c:pt idx="198">
                  <c:v>-96459.27734375</c:v>
                </c:pt>
                <c:pt idx="199">
                  <c:v>-98959.27734375</c:v>
                </c:pt>
                <c:pt idx="200">
                  <c:v>-98084.27734375</c:v>
                </c:pt>
                <c:pt idx="201">
                  <c:v>-96834.27734375</c:v>
                </c:pt>
                <c:pt idx="202">
                  <c:v>-97084.27734375</c:v>
                </c:pt>
                <c:pt idx="203">
                  <c:v>-98459.27734375</c:v>
                </c:pt>
                <c:pt idx="204">
                  <c:v>-98515.361328125</c:v>
                </c:pt>
                <c:pt idx="205">
                  <c:v>-97640.361328125</c:v>
                </c:pt>
                <c:pt idx="206">
                  <c:v>-97140.361328125</c:v>
                </c:pt>
                <c:pt idx="207">
                  <c:v>-97015.361328125</c:v>
                </c:pt>
                <c:pt idx="208">
                  <c:v>-97265.361328125</c:v>
                </c:pt>
                <c:pt idx="209">
                  <c:v>-95890.361328125</c:v>
                </c:pt>
                <c:pt idx="210">
                  <c:v>-91765.361328125</c:v>
                </c:pt>
                <c:pt idx="211">
                  <c:v>-93487.3193359375</c:v>
                </c:pt>
                <c:pt idx="212">
                  <c:v>-94737.3193359375</c:v>
                </c:pt>
                <c:pt idx="213">
                  <c:v>-93612.3193359375</c:v>
                </c:pt>
                <c:pt idx="214">
                  <c:v>-97612.3193359375</c:v>
                </c:pt>
                <c:pt idx="215">
                  <c:v>-99188.84033203125</c:v>
                </c:pt>
                <c:pt idx="216">
                  <c:v>-97938.84033203125</c:v>
                </c:pt>
                <c:pt idx="217">
                  <c:v>-100025.57983398438</c:v>
                </c:pt>
                <c:pt idx="218">
                  <c:v>-99982.210083007813</c:v>
                </c:pt>
                <c:pt idx="219">
                  <c:v>-98607.210083007813</c:v>
                </c:pt>
                <c:pt idx="220">
                  <c:v>-102191.39495849609</c:v>
                </c:pt>
                <c:pt idx="221">
                  <c:v>-104941.39495849609</c:v>
                </c:pt>
                <c:pt idx="222">
                  <c:v>-105316.39495849609</c:v>
                </c:pt>
                <c:pt idx="223">
                  <c:v>-98941.394958496094</c:v>
                </c:pt>
                <c:pt idx="224">
                  <c:v>-86484.302520751953</c:v>
                </c:pt>
                <c:pt idx="225">
                  <c:v>-90212.848739624023</c:v>
                </c:pt>
                <c:pt idx="226">
                  <c:v>-96587.848739624023</c:v>
                </c:pt>
                <c:pt idx="227">
                  <c:v>-103712.84873962402</c:v>
                </c:pt>
                <c:pt idx="228">
                  <c:v>-106712.84873962402</c:v>
                </c:pt>
                <c:pt idx="229">
                  <c:v>-124337.84873962402</c:v>
                </c:pt>
                <c:pt idx="230">
                  <c:v>-120337.84873962402</c:v>
                </c:pt>
                <c:pt idx="231">
                  <c:v>-118317.84873962402</c:v>
                </c:pt>
                <c:pt idx="232">
                  <c:v>-117310.34873962402</c:v>
                </c:pt>
                <c:pt idx="233">
                  <c:v>-116060.34873962402</c:v>
                </c:pt>
                <c:pt idx="234">
                  <c:v>-114435.34873962402</c:v>
                </c:pt>
                <c:pt idx="235">
                  <c:v>-114170.34873962402</c:v>
                </c:pt>
                <c:pt idx="236">
                  <c:v>-114905.34873962402</c:v>
                </c:pt>
                <c:pt idx="237">
                  <c:v>-115530.34873962402</c:v>
                </c:pt>
                <c:pt idx="238">
                  <c:v>-116030.34873962402</c:v>
                </c:pt>
                <c:pt idx="239">
                  <c:v>-116150.34873962402</c:v>
                </c:pt>
                <c:pt idx="240">
                  <c:v>-112775.34873962402</c:v>
                </c:pt>
                <c:pt idx="241">
                  <c:v>-113850.34873962402</c:v>
                </c:pt>
                <c:pt idx="242">
                  <c:v>-113180.34873962402</c:v>
                </c:pt>
                <c:pt idx="243">
                  <c:v>-111915.34873962402</c:v>
                </c:pt>
                <c:pt idx="244">
                  <c:v>-118665.34873962402</c:v>
                </c:pt>
                <c:pt idx="245">
                  <c:v>-117915.34873962402</c:v>
                </c:pt>
                <c:pt idx="246">
                  <c:v>-123165.34873962402</c:v>
                </c:pt>
                <c:pt idx="247">
                  <c:v>-98290.348739624023</c:v>
                </c:pt>
                <c:pt idx="248">
                  <c:v>-81165.348739624023</c:v>
                </c:pt>
                <c:pt idx="249">
                  <c:v>-92194.825630187988</c:v>
                </c:pt>
                <c:pt idx="250">
                  <c:v>-93194.825630187988</c:v>
                </c:pt>
                <c:pt idx="251">
                  <c:v>-91069.825630187988</c:v>
                </c:pt>
                <c:pt idx="252">
                  <c:v>-93444.825630187988</c:v>
                </c:pt>
                <c:pt idx="253">
                  <c:v>-93779.825630187988</c:v>
                </c:pt>
                <c:pt idx="254">
                  <c:v>-92369.825630187988</c:v>
                </c:pt>
                <c:pt idx="255">
                  <c:v>-92459.825630187988</c:v>
                </c:pt>
                <c:pt idx="256">
                  <c:v>-96039.825630187988</c:v>
                </c:pt>
                <c:pt idx="257">
                  <c:v>-98499.825630187988</c:v>
                </c:pt>
                <c:pt idx="258">
                  <c:v>-98854.825630187988</c:v>
                </c:pt>
                <c:pt idx="259">
                  <c:v>-99709.825630187988</c:v>
                </c:pt>
                <c:pt idx="260">
                  <c:v>-100334.82563018799</c:v>
                </c:pt>
                <c:pt idx="261">
                  <c:v>-100944.82563018799</c:v>
                </c:pt>
                <c:pt idx="262">
                  <c:v>-102219.82563018799</c:v>
                </c:pt>
                <c:pt idx="263">
                  <c:v>-108314.82563018799</c:v>
                </c:pt>
                <c:pt idx="264">
                  <c:v>-102994.82563018799</c:v>
                </c:pt>
                <c:pt idx="265">
                  <c:v>-100229.82563018799</c:v>
                </c:pt>
                <c:pt idx="266">
                  <c:v>-137619.82563018799</c:v>
                </c:pt>
                <c:pt idx="267">
                  <c:v>-154724.82563018799</c:v>
                </c:pt>
                <c:pt idx="268">
                  <c:v>-142139.82563018799</c:v>
                </c:pt>
                <c:pt idx="269">
                  <c:v>-142564.82563018799</c:v>
                </c:pt>
                <c:pt idx="270">
                  <c:v>-138049.82563018799</c:v>
                </c:pt>
                <c:pt idx="271">
                  <c:v>-131144.82563018799</c:v>
                </c:pt>
                <c:pt idx="272">
                  <c:v>-132144.82563018799</c:v>
                </c:pt>
                <c:pt idx="273">
                  <c:v>-125004.82563018799</c:v>
                </c:pt>
                <c:pt idx="274">
                  <c:v>-124004.82563018799</c:v>
                </c:pt>
                <c:pt idx="275">
                  <c:v>-124504.82563018799</c:v>
                </c:pt>
                <c:pt idx="276">
                  <c:v>-128234.82563018799</c:v>
                </c:pt>
                <c:pt idx="277">
                  <c:v>-138069.82563018799</c:v>
                </c:pt>
                <c:pt idx="278">
                  <c:v>-138664.82563018799</c:v>
                </c:pt>
                <c:pt idx="279">
                  <c:v>-133664.82563018799</c:v>
                </c:pt>
                <c:pt idx="280">
                  <c:v>-132664.82563018799</c:v>
                </c:pt>
                <c:pt idx="281">
                  <c:v>-137414.82563018799</c:v>
                </c:pt>
                <c:pt idx="282">
                  <c:v>-129029.82563018799</c:v>
                </c:pt>
                <c:pt idx="283">
                  <c:v>-131404.82563018799</c:v>
                </c:pt>
                <c:pt idx="284">
                  <c:v>-126994.82563018799</c:v>
                </c:pt>
                <c:pt idx="285">
                  <c:v>-119369.82563018799</c:v>
                </c:pt>
                <c:pt idx="286">
                  <c:v>-117744.82563018799</c:v>
                </c:pt>
                <c:pt idx="287">
                  <c:v>-119119.82563018799</c:v>
                </c:pt>
                <c:pt idx="288">
                  <c:v>-117234.82563018799</c:v>
                </c:pt>
                <c:pt idx="289">
                  <c:v>-117359.82563018799</c:v>
                </c:pt>
                <c:pt idx="290">
                  <c:v>-118734.82563018799</c:v>
                </c:pt>
                <c:pt idx="291">
                  <c:v>-117469.82563018799</c:v>
                </c:pt>
                <c:pt idx="292">
                  <c:v>-114844.82563018799</c:v>
                </c:pt>
                <c:pt idx="293">
                  <c:v>-108189.82563018799</c:v>
                </c:pt>
                <c:pt idx="294">
                  <c:v>-107174.82563018799</c:v>
                </c:pt>
                <c:pt idx="295">
                  <c:v>-99799.825630187988</c:v>
                </c:pt>
                <c:pt idx="296">
                  <c:v>-92384.825630187988</c:v>
                </c:pt>
                <c:pt idx="297">
                  <c:v>-91137.325630187988</c:v>
                </c:pt>
                <c:pt idx="298">
                  <c:v>-95012.325630187988</c:v>
                </c:pt>
                <c:pt idx="299">
                  <c:v>-104012.32563018799</c:v>
                </c:pt>
                <c:pt idx="300">
                  <c:v>-99137.325630187988</c:v>
                </c:pt>
                <c:pt idx="301">
                  <c:v>-85762.325630187988</c:v>
                </c:pt>
                <c:pt idx="302">
                  <c:v>-102512.32563018799</c:v>
                </c:pt>
                <c:pt idx="303">
                  <c:v>-80137.325630187988</c:v>
                </c:pt>
                <c:pt idx="304">
                  <c:v>-73757.325630187988</c:v>
                </c:pt>
                <c:pt idx="305">
                  <c:v>-52497.325630187988</c:v>
                </c:pt>
                <c:pt idx="306">
                  <c:v>-55232.325630187988</c:v>
                </c:pt>
                <c:pt idx="307">
                  <c:v>-44107.325630187988</c:v>
                </c:pt>
                <c:pt idx="308">
                  <c:v>-46827.325630187988</c:v>
                </c:pt>
                <c:pt idx="309">
                  <c:v>-53077.325630187988</c:v>
                </c:pt>
                <c:pt idx="310">
                  <c:v>-49327.325630187988</c:v>
                </c:pt>
                <c:pt idx="311">
                  <c:v>-48452.325630187988</c:v>
                </c:pt>
                <c:pt idx="312">
                  <c:v>-50077.325630187988</c:v>
                </c:pt>
                <c:pt idx="313">
                  <c:v>-51452.325630187988</c:v>
                </c:pt>
                <c:pt idx="314">
                  <c:v>-52702.325630187988</c:v>
                </c:pt>
                <c:pt idx="315">
                  <c:v>-48077.325630187988</c:v>
                </c:pt>
                <c:pt idx="316">
                  <c:v>-46577.325630187988</c:v>
                </c:pt>
                <c:pt idx="317">
                  <c:v>-52047.325630187988</c:v>
                </c:pt>
                <c:pt idx="318">
                  <c:v>-50297.325630187988</c:v>
                </c:pt>
                <c:pt idx="319">
                  <c:v>-48912.325630187988</c:v>
                </c:pt>
                <c:pt idx="320">
                  <c:v>-49787.325630187988</c:v>
                </c:pt>
                <c:pt idx="321">
                  <c:v>-50912.325630187988</c:v>
                </c:pt>
                <c:pt idx="322">
                  <c:v>-51162.325630187988</c:v>
                </c:pt>
                <c:pt idx="323">
                  <c:v>-52912.325630187988</c:v>
                </c:pt>
                <c:pt idx="324">
                  <c:v>-52347.325630187988</c:v>
                </c:pt>
                <c:pt idx="325">
                  <c:v>-56917.325630187988</c:v>
                </c:pt>
                <c:pt idx="326">
                  <c:v>-51167.325630187988</c:v>
                </c:pt>
                <c:pt idx="327">
                  <c:v>-51167.325630187988</c:v>
                </c:pt>
                <c:pt idx="328">
                  <c:v>-51542.325630187988</c:v>
                </c:pt>
                <c:pt idx="329">
                  <c:v>-50167.325630187988</c:v>
                </c:pt>
                <c:pt idx="330">
                  <c:v>-55042.325630187988</c:v>
                </c:pt>
                <c:pt idx="331">
                  <c:v>-54042.325630187988</c:v>
                </c:pt>
                <c:pt idx="332">
                  <c:v>-52167.325630187988</c:v>
                </c:pt>
                <c:pt idx="333">
                  <c:v>-49667.325630187988</c:v>
                </c:pt>
                <c:pt idx="334">
                  <c:v>-53417.325630187988</c:v>
                </c:pt>
                <c:pt idx="335">
                  <c:v>-52917.325630187988</c:v>
                </c:pt>
                <c:pt idx="336">
                  <c:v>-48042.325630187988</c:v>
                </c:pt>
                <c:pt idx="337">
                  <c:v>-45542.325630187988</c:v>
                </c:pt>
                <c:pt idx="338">
                  <c:v>-44542.325630187988</c:v>
                </c:pt>
                <c:pt idx="339">
                  <c:v>-39417.325630187988</c:v>
                </c:pt>
                <c:pt idx="340">
                  <c:v>-49542.325630187988</c:v>
                </c:pt>
                <c:pt idx="341">
                  <c:v>-54147.325630187988</c:v>
                </c:pt>
                <c:pt idx="342">
                  <c:v>-56697.325630187988</c:v>
                </c:pt>
                <c:pt idx="343">
                  <c:v>-52812.325630187988</c:v>
                </c:pt>
                <c:pt idx="344">
                  <c:v>-51437.325630187988</c:v>
                </c:pt>
                <c:pt idx="345">
                  <c:v>-47187.325630187988</c:v>
                </c:pt>
                <c:pt idx="346">
                  <c:v>-47312.325630187988</c:v>
                </c:pt>
                <c:pt idx="347">
                  <c:v>-55297.325630187988</c:v>
                </c:pt>
                <c:pt idx="348">
                  <c:v>-63252.325630187988</c:v>
                </c:pt>
                <c:pt idx="349">
                  <c:v>-60317.325630187988</c:v>
                </c:pt>
                <c:pt idx="350">
                  <c:v>-58692.325630187988</c:v>
                </c:pt>
                <c:pt idx="351">
                  <c:v>-59942.325630187988</c:v>
                </c:pt>
                <c:pt idx="352">
                  <c:v>-57317.325630187988</c:v>
                </c:pt>
                <c:pt idx="353">
                  <c:v>-60192.325630187988</c:v>
                </c:pt>
                <c:pt idx="354">
                  <c:v>-65692.325630187988</c:v>
                </c:pt>
                <c:pt idx="355">
                  <c:v>-64692.325630187988</c:v>
                </c:pt>
                <c:pt idx="356">
                  <c:v>-60432.325630187988</c:v>
                </c:pt>
                <c:pt idx="357">
                  <c:v>-50297.325630187988</c:v>
                </c:pt>
                <c:pt idx="358">
                  <c:v>-51797.325630187988</c:v>
                </c:pt>
                <c:pt idx="359">
                  <c:v>-47297.325630187988</c:v>
                </c:pt>
                <c:pt idx="360">
                  <c:v>-45672.325630187988</c:v>
                </c:pt>
                <c:pt idx="361">
                  <c:v>-47383.837184906006</c:v>
                </c:pt>
                <c:pt idx="362">
                  <c:v>-48883.837184906006</c:v>
                </c:pt>
                <c:pt idx="363">
                  <c:v>-46758.837184906006</c:v>
                </c:pt>
                <c:pt idx="364">
                  <c:v>-46588.837184906006</c:v>
                </c:pt>
                <c:pt idx="365">
                  <c:v>-49918.837184906006</c:v>
                </c:pt>
                <c:pt idx="366">
                  <c:v>-50793.837184906006</c:v>
                </c:pt>
                <c:pt idx="367">
                  <c:v>-45793.837184906006</c:v>
                </c:pt>
                <c:pt idx="368">
                  <c:v>-48098.081407546997</c:v>
                </c:pt>
                <c:pt idx="369">
                  <c:v>-44973.081407546997</c:v>
                </c:pt>
                <c:pt idx="370">
                  <c:v>-51383.459296226501</c:v>
                </c:pt>
                <c:pt idx="371">
                  <c:v>-52928.270351886749</c:v>
                </c:pt>
                <c:pt idx="372">
                  <c:v>-56928.270351886749</c:v>
                </c:pt>
                <c:pt idx="373">
                  <c:v>-52905.864824056625</c:v>
                </c:pt>
                <c:pt idx="374">
                  <c:v>-60655.864824056625</c:v>
                </c:pt>
                <c:pt idx="375">
                  <c:v>-61125.864824056625</c:v>
                </c:pt>
                <c:pt idx="376">
                  <c:v>-68375.864824056625</c:v>
                </c:pt>
                <c:pt idx="377">
                  <c:v>-65000.864824056625</c:v>
                </c:pt>
                <c:pt idx="378">
                  <c:v>-61750.864824056625</c:v>
                </c:pt>
                <c:pt idx="379">
                  <c:v>-66464.567587971687</c:v>
                </c:pt>
                <c:pt idx="380">
                  <c:v>-69839.567587971687</c:v>
                </c:pt>
                <c:pt idx="381">
                  <c:v>-64944.567587971687</c:v>
                </c:pt>
                <c:pt idx="382">
                  <c:v>-61187.067587971687</c:v>
                </c:pt>
                <c:pt idx="383">
                  <c:v>-59177.067587971687</c:v>
                </c:pt>
                <c:pt idx="384">
                  <c:v>-62802.067587971687</c:v>
                </c:pt>
                <c:pt idx="385">
                  <c:v>-64677.067587971687</c:v>
                </c:pt>
                <c:pt idx="386">
                  <c:v>-64963.966206014156</c:v>
                </c:pt>
                <c:pt idx="387">
                  <c:v>-61445.516896992922</c:v>
                </c:pt>
                <c:pt idx="388">
                  <c:v>-61445.516896992922</c:v>
                </c:pt>
                <c:pt idx="389">
                  <c:v>-78555.516896992922</c:v>
                </c:pt>
                <c:pt idx="390">
                  <c:v>-80754.741551503539</c:v>
                </c:pt>
                <c:pt idx="391">
                  <c:v>-82400.12922424823</c:v>
                </c:pt>
                <c:pt idx="392">
                  <c:v>-84577.435387875885</c:v>
                </c:pt>
                <c:pt idx="393">
                  <c:v>-91988.782306062058</c:v>
                </c:pt>
                <c:pt idx="394">
                  <c:v>-94113.782306062058</c:v>
                </c:pt>
                <c:pt idx="395">
                  <c:v>-97238.782306062058</c:v>
                </c:pt>
                <c:pt idx="396">
                  <c:v>-102113.78230606206</c:v>
                </c:pt>
                <c:pt idx="397">
                  <c:v>-106720.60884696897</c:v>
                </c:pt>
                <c:pt idx="398">
                  <c:v>-112080.60884696897</c:v>
                </c:pt>
                <c:pt idx="399">
                  <c:v>-110847.19557651551</c:v>
                </c:pt>
                <c:pt idx="400">
                  <c:v>-115847.19557651551</c:v>
                </c:pt>
                <c:pt idx="401">
                  <c:v>-115088.90221174224</c:v>
                </c:pt>
                <c:pt idx="402">
                  <c:v>-112213.90221174224</c:v>
                </c:pt>
                <c:pt idx="403">
                  <c:v>-118588.90221174224</c:v>
                </c:pt>
                <c:pt idx="404">
                  <c:v>-125093.04889412888</c:v>
                </c:pt>
                <c:pt idx="405">
                  <c:v>-128965.97555293556</c:v>
                </c:pt>
                <c:pt idx="406">
                  <c:v>-128529.51222353222</c:v>
                </c:pt>
                <c:pt idx="407">
                  <c:v>-129654.51222353222</c:v>
                </c:pt>
                <c:pt idx="408">
                  <c:v>-128029.51222353222</c:v>
                </c:pt>
                <c:pt idx="409">
                  <c:v>-123029.51222353222</c:v>
                </c:pt>
                <c:pt idx="410">
                  <c:v>-129279.51222353222</c:v>
                </c:pt>
                <c:pt idx="411">
                  <c:v>-130404.51222353222</c:v>
                </c:pt>
                <c:pt idx="412">
                  <c:v>-132904.51222353222</c:v>
                </c:pt>
                <c:pt idx="413">
                  <c:v>-136279.51222353222</c:v>
                </c:pt>
                <c:pt idx="414">
                  <c:v>-132029.51222353222</c:v>
                </c:pt>
                <c:pt idx="415">
                  <c:v>-134279.51222353222</c:v>
                </c:pt>
                <c:pt idx="416">
                  <c:v>-131247.7438882339</c:v>
                </c:pt>
                <c:pt idx="417">
                  <c:v>-133247.7438882339</c:v>
                </c:pt>
                <c:pt idx="418">
                  <c:v>-136122.7438882339</c:v>
                </c:pt>
                <c:pt idx="419">
                  <c:v>-134826.12805588305</c:v>
                </c:pt>
                <c:pt idx="420">
                  <c:v>-133076.12805588305</c:v>
                </c:pt>
                <c:pt idx="421">
                  <c:v>-133451.12805588305</c:v>
                </c:pt>
                <c:pt idx="422">
                  <c:v>-131576.12805588305</c:v>
                </c:pt>
                <c:pt idx="423">
                  <c:v>-129701.12805588305</c:v>
                </c:pt>
                <c:pt idx="424">
                  <c:v>-131951.12805588305</c:v>
                </c:pt>
                <c:pt idx="425">
                  <c:v>-131576.12805588305</c:v>
                </c:pt>
                <c:pt idx="426">
                  <c:v>-135056.12805588305</c:v>
                </c:pt>
                <c:pt idx="427">
                  <c:v>-131868.62805588305</c:v>
                </c:pt>
                <c:pt idx="428">
                  <c:v>-130493.62805588305</c:v>
                </c:pt>
                <c:pt idx="429">
                  <c:v>-132743.62805588305</c:v>
                </c:pt>
                <c:pt idx="430">
                  <c:v>-134868.62805588305</c:v>
                </c:pt>
                <c:pt idx="431">
                  <c:v>-133463.62805588305</c:v>
                </c:pt>
                <c:pt idx="432">
                  <c:v>-139688.62805588305</c:v>
                </c:pt>
                <c:pt idx="433">
                  <c:v>-133188.62805588305</c:v>
                </c:pt>
                <c:pt idx="434">
                  <c:v>-135605.68597205848</c:v>
                </c:pt>
                <c:pt idx="435">
                  <c:v>-135105.68597205848</c:v>
                </c:pt>
                <c:pt idx="436">
                  <c:v>-112980.68597205848</c:v>
                </c:pt>
                <c:pt idx="437">
                  <c:v>-120394.65701397076</c:v>
                </c:pt>
                <c:pt idx="438">
                  <c:v>-125209.65701397076</c:v>
                </c:pt>
                <c:pt idx="439">
                  <c:v>-132209.65701397078</c:v>
                </c:pt>
                <c:pt idx="440">
                  <c:v>-134709.65701397078</c:v>
                </c:pt>
                <c:pt idx="441">
                  <c:v>-132584.65701397078</c:v>
                </c:pt>
                <c:pt idx="442">
                  <c:v>-139709.65701397078</c:v>
                </c:pt>
                <c:pt idx="443">
                  <c:v>-139709.65701397078</c:v>
                </c:pt>
                <c:pt idx="444">
                  <c:v>-133834.65701397078</c:v>
                </c:pt>
                <c:pt idx="445">
                  <c:v>-131584.65701397078</c:v>
                </c:pt>
                <c:pt idx="446">
                  <c:v>-135084.65701397078</c:v>
                </c:pt>
                <c:pt idx="447">
                  <c:v>-138084.65701397078</c:v>
                </c:pt>
                <c:pt idx="448">
                  <c:v>-146084.65701397078</c:v>
                </c:pt>
                <c:pt idx="449">
                  <c:v>-149834.65701397078</c:v>
                </c:pt>
                <c:pt idx="450">
                  <c:v>-156709.65701397078</c:v>
                </c:pt>
                <c:pt idx="451">
                  <c:v>-151709.65701397078</c:v>
                </c:pt>
                <c:pt idx="452">
                  <c:v>-156584.65701397078</c:v>
                </c:pt>
                <c:pt idx="453">
                  <c:v>-160334.65701397078</c:v>
                </c:pt>
                <c:pt idx="454">
                  <c:v>-157084.65701397078</c:v>
                </c:pt>
                <c:pt idx="455">
                  <c:v>-162334.65701397078</c:v>
                </c:pt>
                <c:pt idx="456">
                  <c:v>-163584.65701397078</c:v>
                </c:pt>
                <c:pt idx="457">
                  <c:v>-163209.65701397078</c:v>
                </c:pt>
                <c:pt idx="458">
                  <c:v>-160584.65701397078</c:v>
                </c:pt>
                <c:pt idx="459">
                  <c:v>-146584.65701397078</c:v>
                </c:pt>
                <c:pt idx="460">
                  <c:v>-135709.65701397078</c:v>
                </c:pt>
                <c:pt idx="461">
                  <c:v>-132709.65701397078</c:v>
                </c:pt>
                <c:pt idx="462">
                  <c:v>-128304.65701397078</c:v>
                </c:pt>
                <c:pt idx="463">
                  <c:v>-154899.65701397078</c:v>
                </c:pt>
                <c:pt idx="464">
                  <c:v>-117149.65701397078</c:v>
                </c:pt>
                <c:pt idx="465">
                  <c:v>-95180.171493014626</c:v>
                </c:pt>
                <c:pt idx="466">
                  <c:v>-115759.91425349271</c:v>
                </c:pt>
                <c:pt idx="467">
                  <c:v>-115109.91425349271</c:v>
                </c:pt>
                <c:pt idx="468">
                  <c:v>-119594.91425349271</c:v>
                </c:pt>
                <c:pt idx="469">
                  <c:v>-118594.91425349271</c:v>
                </c:pt>
                <c:pt idx="470">
                  <c:v>-108094.91425349271</c:v>
                </c:pt>
                <c:pt idx="471">
                  <c:v>-112084.91425349271</c:v>
                </c:pt>
                <c:pt idx="472">
                  <c:v>-104459.91425349271</c:v>
                </c:pt>
                <c:pt idx="473">
                  <c:v>-111449.91425349271</c:v>
                </c:pt>
                <c:pt idx="474">
                  <c:v>-99324.914253492709</c:v>
                </c:pt>
                <c:pt idx="475">
                  <c:v>-95074.914253492709</c:v>
                </c:pt>
                <c:pt idx="476">
                  <c:v>-87324.914253492709</c:v>
                </c:pt>
                <c:pt idx="477">
                  <c:v>-84324.914253492709</c:v>
                </c:pt>
                <c:pt idx="478">
                  <c:v>-85199.914253492709</c:v>
                </c:pt>
                <c:pt idx="479">
                  <c:v>-84324.914253492709</c:v>
                </c:pt>
                <c:pt idx="480">
                  <c:v>-89949.914253492709</c:v>
                </c:pt>
                <c:pt idx="481">
                  <c:v>-83044.914253492709</c:v>
                </c:pt>
                <c:pt idx="482">
                  <c:v>-81669.914253492709</c:v>
                </c:pt>
                <c:pt idx="483">
                  <c:v>-81419.914253492709</c:v>
                </c:pt>
                <c:pt idx="484">
                  <c:v>-79050.042873253653</c:v>
                </c:pt>
                <c:pt idx="485">
                  <c:v>-75550.042873253653</c:v>
                </c:pt>
                <c:pt idx="486">
                  <c:v>-77344.978563373195</c:v>
                </c:pt>
                <c:pt idx="487">
                  <c:v>-76469.978563373195</c:v>
                </c:pt>
                <c:pt idx="488">
                  <c:v>-77719.978563373195</c:v>
                </c:pt>
                <c:pt idx="489">
                  <c:v>-73719.978563373195</c:v>
                </c:pt>
                <c:pt idx="490">
                  <c:v>-74204.978563373195</c:v>
                </c:pt>
                <c:pt idx="491">
                  <c:v>-74227.51071831341</c:v>
                </c:pt>
                <c:pt idx="492">
                  <c:v>-75051.244640843317</c:v>
                </c:pt>
                <c:pt idx="493">
                  <c:v>-73291.244640843317</c:v>
                </c:pt>
                <c:pt idx="494">
                  <c:v>-84291.244640843317</c:v>
                </c:pt>
                <c:pt idx="495">
                  <c:v>-75291.244640843317</c:v>
                </c:pt>
                <c:pt idx="496">
                  <c:v>-68291.244640843317</c:v>
                </c:pt>
                <c:pt idx="497">
                  <c:v>-70536.244640843317</c:v>
                </c:pt>
                <c:pt idx="498">
                  <c:v>-68911.244640843317</c:v>
                </c:pt>
                <c:pt idx="499">
                  <c:v>-72376.244640843317</c:v>
                </c:pt>
                <c:pt idx="500">
                  <c:v>-76866.244640843317</c:v>
                </c:pt>
                <c:pt idx="501">
                  <c:v>-77726.244640843317</c:v>
                </c:pt>
                <c:pt idx="502">
                  <c:v>-66961.244640843317</c:v>
                </c:pt>
                <c:pt idx="503">
                  <c:v>-64306.244640843317</c:v>
                </c:pt>
                <c:pt idx="504">
                  <c:v>-70521.244640843317</c:v>
                </c:pt>
                <c:pt idx="505">
                  <c:v>-62771.244640843317</c:v>
                </c:pt>
                <c:pt idx="506">
                  <c:v>-67396.244640843317</c:v>
                </c:pt>
                <c:pt idx="507">
                  <c:v>-51991.244640843317</c:v>
                </c:pt>
                <c:pt idx="508">
                  <c:v>-36449.377679578363</c:v>
                </c:pt>
                <c:pt idx="509">
                  <c:v>-38210.311160210826</c:v>
                </c:pt>
                <c:pt idx="510">
                  <c:v>-39585.311160210826</c:v>
                </c:pt>
                <c:pt idx="511">
                  <c:v>-36710.311160210826</c:v>
                </c:pt>
                <c:pt idx="512">
                  <c:v>-35079.844419894609</c:v>
                </c:pt>
                <c:pt idx="513">
                  <c:v>-35204.844419894609</c:v>
                </c:pt>
                <c:pt idx="514">
                  <c:v>-31457.577790052703</c:v>
                </c:pt>
                <c:pt idx="515">
                  <c:v>-30906.21110497367</c:v>
                </c:pt>
                <c:pt idx="516">
                  <c:v>-32553.71110497367</c:v>
                </c:pt>
                <c:pt idx="517">
                  <c:v>-31005.644447513172</c:v>
                </c:pt>
                <c:pt idx="518">
                  <c:v>-28755.644447513172</c:v>
                </c:pt>
                <c:pt idx="519">
                  <c:v>-29255.644447513172</c:v>
                </c:pt>
                <c:pt idx="520">
                  <c:v>-33130.644447513172</c:v>
                </c:pt>
                <c:pt idx="521">
                  <c:v>-46127.177776243436</c:v>
                </c:pt>
                <c:pt idx="522">
                  <c:v>-44872.177776243436</c:v>
                </c:pt>
                <c:pt idx="523">
                  <c:v>-45747.177776243436</c:v>
                </c:pt>
                <c:pt idx="524">
                  <c:v>-37572.177776243436</c:v>
                </c:pt>
                <c:pt idx="525">
                  <c:v>-38947.177776243436</c:v>
                </c:pt>
                <c:pt idx="526">
                  <c:v>-52437.177776243436</c:v>
                </c:pt>
                <c:pt idx="527">
                  <c:v>-55437.177776243436</c:v>
                </c:pt>
                <c:pt idx="528">
                  <c:v>-54797.177776243436</c:v>
                </c:pt>
                <c:pt idx="529">
                  <c:v>-53407.177776243436</c:v>
                </c:pt>
                <c:pt idx="530">
                  <c:v>-63952.177776243436</c:v>
                </c:pt>
                <c:pt idx="531">
                  <c:v>-59782.177776243436</c:v>
                </c:pt>
                <c:pt idx="532">
                  <c:v>-61576.411111878304</c:v>
                </c:pt>
                <c:pt idx="533">
                  <c:v>-58186.411111878304</c:v>
                </c:pt>
                <c:pt idx="534">
                  <c:v>-57061.411111878304</c:v>
                </c:pt>
                <c:pt idx="535">
                  <c:v>-56781.411111878304</c:v>
                </c:pt>
                <c:pt idx="536">
                  <c:v>-60376.411111878304</c:v>
                </c:pt>
                <c:pt idx="537">
                  <c:v>-66758.911111878304</c:v>
                </c:pt>
                <c:pt idx="538">
                  <c:v>-66008.911111878304</c:v>
                </c:pt>
                <c:pt idx="539">
                  <c:v>-65383.911111878304</c:v>
                </c:pt>
                <c:pt idx="540">
                  <c:v>-66508.911111878304</c:v>
                </c:pt>
                <c:pt idx="541">
                  <c:v>-70448.911111878304</c:v>
                </c:pt>
                <c:pt idx="542">
                  <c:v>-66058.911111878304</c:v>
                </c:pt>
                <c:pt idx="543">
                  <c:v>-66795.54444406087</c:v>
                </c:pt>
                <c:pt idx="544">
                  <c:v>-67415.54444406087</c:v>
                </c:pt>
                <c:pt idx="545">
                  <c:v>-80615.54444406087</c:v>
                </c:pt>
                <c:pt idx="546">
                  <c:v>-87240.54444406087</c:v>
                </c:pt>
                <c:pt idx="547">
                  <c:v>-85740.54444406087</c:v>
                </c:pt>
                <c:pt idx="548">
                  <c:v>-86365.54444406087</c:v>
                </c:pt>
                <c:pt idx="549">
                  <c:v>-82365.54444406087</c:v>
                </c:pt>
                <c:pt idx="550">
                  <c:v>-84115.54444406087</c:v>
                </c:pt>
                <c:pt idx="551">
                  <c:v>-84115.54444406087</c:v>
                </c:pt>
                <c:pt idx="552">
                  <c:v>-86240.54444406087</c:v>
                </c:pt>
                <c:pt idx="553">
                  <c:v>-84990.54444406087</c:v>
                </c:pt>
                <c:pt idx="554">
                  <c:v>-83990.54444406087</c:v>
                </c:pt>
                <c:pt idx="555">
                  <c:v>-84490.54444406087</c:v>
                </c:pt>
                <c:pt idx="556">
                  <c:v>-92220.54444406087</c:v>
                </c:pt>
                <c:pt idx="557">
                  <c:v>-82170.54444406087</c:v>
                </c:pt>
                <c:pt idx="558">
                  <c:v>-84670.54444406087</c:v>
                </c:pt>
                <c:pt idx="559">
                  <c:v>-93075.54444406087</c:v>
                </c:pt>
                <c:pt idx="560">
                  <c:v>-95000.54444406087</c:v>
                </c:pt>
                <c:pt idx="561">
                  <c:v>-85095.54444406087</c:v>
                </c:pt>
                <c:pt idx="562">
                  <c:v>-82095.54444406087</c:v>
                </c:pt>
                <c:pt idx="563">
                  <c:v>-101855.54444406087</c:v>
                </c:pt>
                <c:pt idx="564">
                  <c:v>-107350.54444406087</c:v>
                </c:pt>
                <c:pt idx="565">
                  <c:v>-106350.54444406087</c:v>
                </c:pt>
                <c:pt idx="566">
                  <c:v>-106600.54444406087</c:v>
                </c:pt>
                <c:pt idx="567">
                  <c:v>-105975.54444406087</c:v>
                </c:pt>
                <c:pt idx="568">
                  <c:v>-109600.54444406087</c:v>
                </c:pt>
                <c:pt idx="569">
                  <c:v>-106725.54444406087</c:v>
                </c:pt>
                <c:pt idx="570">
                  <c:v>-108100.54444406087</c:v>
                </c:pt>
                <c:pt idx="571">
                  <c:v>-105725.54444406087</c:v>
                </c:pt>
                <c:pt idx="572">
                  <c:v>-106725.54444406087</c:v>
                </c:pt>
                <c:pt idx="573">
                  <c:v>-110850.54444406087</c:v>
                </c:pt>
                <c:pt idx="574">
                  <c:v>-112100.54444406087</c:v>
                </c:pt>
                <c:pt idx="575">
                  <c:v>-116100.54444406087</c:v>
                </c:pt>
                <c:pt idx="576">
                  <c:v>-115100.54444406087</c:v>
                </c:pt>
                <c:pt idx="577">
                  <c:v>-115100.54444406087</c:v>
                </c:pt>
                <c:pt idx="578">
                  <c:v>-108350.54444406087</c:v>
                </c:pt>
                <c:pt idx="579">
                  <c:v>-105975.54444406087</c:v>
                </c:pt>
                <c:pt idx="580">
                  <c:v>-104975.54444406087</c:v>
                </c:pt>
                <c:pt idx="581">
                  <c:v>-103725.54444406087</c:v>
                </c:pt>
                <c:pt idx="582">
                  <c:v>-105850.54444406087</c:v>
                </c:pt>
                <c:pt idx="583">
                  <c:v>-105975.54444406087</c:v>
                </c:pt>
                <c:pt idx="584">
                  <c:v>-104475.54444406087</c:v>
                </c:pt>
                <c:pt idx="585">
                  <c:v>-112975.54444406087</c:v>
                </c:pt>
                <c:pt idx="586">
                  <c:v>-109075.54444406087</c:v>
                </c:pt>
                <c:pt idx="587">
                  <c:v>-106200.54444406087</c:v>
                </c:pt>
                <c:pt idx="588">
                  <c:v>-105075.54444406087</c:v>
                </c:pt>
                <c:pt idx="589">
                  <c:v>-107075.54444406087</c:v>
                </c:pt>
                <c:pt idx="590">
                  <c:v>-108325.54444406087</c:v>
                </c:pt>
                <c:pt idx="591">
                  <c:v>-110700.54444406087</c:v>
                </c:pt>
                <c:pt idx="592">
                  <c:v>-110450.54444406087</c:v>
                </c:pt>
                <c:pt idx="593">
                  <c:v>-111700.54444406087</c:v>
                </c:pt>
                <c:pt idx="594">
                  <c:v>-113825.54444406087</c:v>
                </c:pt>
                <c:pt idx="595">
                  <c:v>-112575.54444406087</c:v>
                </c:pt>
                <c:pt idx="596">
                  <c:v>-112075.54444406087</c:v>
                </c:pt>
                <c:pt idx="597">
                  <c:v>-110950.54444406087</c:v>
                </c:pt>
                <c:pt idx="598">
                  <c:v>-110450.54444406087</c:v>
                </c:pt>
                <c:pt idx="599">
                  <c:v>-110325.54444406087</c:v>
                </c:pt>
                <c:pt idx="600">
                  <c:v>-113200.54444406087</c:v>
                </c:pt>
                <c:pt idx="601">
                  <c:v>-113450.54444406087</c:v>
                </c:pt>
                <c:pt idx="602">
                  <c:v>-112200.54444406087</c:v>
                </c:pt>
                <c:pt idx="603">
                  <c:v>-117700.54444406087</c:v>
                </c:pt>
                <c:pt idx="604">
                  <c:v>-120450.54444406087</c:v>
                </c:pt>
                <c:pt idx="605">
                  <c:v>-119950.54444406087</c:v>
                </c:pt>
                <c:pt idx="606">
                  <c:v>-117825.54444406087</c:v>
                </c:pt>
                <c:pt idx="607">
                  <c:v>-119075.54444406087</c:v>
                </c:pt>
                <c:pt idx="608">
                  <c:v>-124195.54444406087</c:v>
                </c:pt>
                <c:pt idx="609">
                  <c:v>-122945.54444406087</c:v>
                </c:pt>
                <c:pt idx="610">
                  <c:v>-125810.54444406087</c:v>
                </c:pt>
                <c:pt idx="611">
                  <c:v>-122685.54444406087</c:v>
                </c:pt>
                <c:pt idx="612">
                  <c:v>-124310.54444406087</c:v>
                </c:pt>
                <c:pt idx="613">
                  <c:v>-123935.54444406087</c:v>
                </c:pt>
                <c:pt idx="614">
                  <c:v>-124810.54444406087</c:v>
                </c:pt>
                <c:pt idx="615">
                  <c:v>-122685.54444406087</c:v>
                </c:pt>
                <c:pt idx="616">
                  <c:v>-123310.54444406087</c:v>
                </c:pt>
                <c:pt idx="617">
                  <c:v>-119310.54444406087</c:v>
                </c:pt>
                <c:pt idx="618">
                  <c:v>-120685.54444406087</c:v>
                </c:pt>
                <c:pt idx="619">
                  <c:v>-114425.54444406087</c:v>
                </c:pt>
                <c:pt idx="620">
                  <c:v>-121300.54444406087</c:v>
                </c:pt>
                <c:pt idx="621">
                  <c:v>-123050.54444406087</c:v>
                </c:pt>
                <c:pt idx="622">
                  <c:v>-118800.54444406087</c:v>
                </c:pt>
                <c:pt idx="623">
                  <c:v>-122675.54444406087</c:v>
                </c:pt>
                <c:pt idx="624">
                  <c:v>-122050.54444406087</c:v>
                </c:pt>
                <c:pt idx="625">
                  <c:v>-129275.54444406087</c:v>
                </c:pt>
                <c:pt idx="626">
                  <c:v>-130150.54444406087</c:v>
                </c:pt>
                <c:pt idx="627">
                  <c:v>-128375.54444406087</c:v>
                </c:pt>
                <c:pt idx="628">
                  <c:v>-132250.54444406088</c:v>
                </c:pt>
                <c:pt idx="629">
                  <c:v>-130125.54444406088</c:v>
                </c:pt>
                <c:pt idx="630">
                  <c:v>-122240.54444406088</c:v>
                </c:pt>
                <c:pt idx="631">
                  <c:v>-124240.54444406088</c:v>
                </c:pt>
                <c:pt idx="632">
                  <c:v>-117550.54444406088</c:v>
                </c:pt>
                <c:pt idx="633">
                  <c:v>-118915.54444406088</c:v>
                </c:pt>
                <c:pt idx="634">
                  <c:v>-119280.54444406088</c:v>
                </c:pt>
                <c:pt idx="635">
                  <c:v>-118780.54444406088</c:v>
                </c:pt>
                <c:pt idx="636">
                  <c:v>-113905.54444406088</c:v>
                </c:pt>
                <c:pt idx="637">
                  <c:v>-113280.54444406088</c:v>
                </c:pt>
                <c:pt idx="638">
                  <c:v>-109155.54444406088</c:v>
                </c:pt>
                <c:pt idx="639">
                  <c:v>-107270.54444406088</c:v>
                </c:pt>
                <c:pt idx="640">
                  <c:v>-115020.54444406088</c:v>
                </c:pt>
                <c:pt idx="641">
                  <c:v>-118250.54444406088</c:v>
                </c:pt>
                <c:pt idx="642">
                  <c:v>-116835.54444406088</c:v>
                </c:pt>
                <c:pt idx="643">
                  <c:v>-123085.54444406088</c:v>
                </c:pt>
                <c:pt idx="644">
                  <c:v>-117085.54444406088</c:v>
                </c:pt>
                <c:pt idx="645">
                  <c:v>-106300.54444406088</c:v>
                </c:pt>
                <c:pt idx="646">
                  <c:v>-104530.54444406088</c:v>
                </c:pt>
                <c:pt idx="647">
                  <c:v>-96915.544444060884</c:v>
                </c:pt>
                <c:pt idx="648">
                  <c:v>-89825.544444060884</c:v>
                </c:pt>
                <c:pt idx="649">
                  <c:v>-94930.544444060884</c:v>
                </c:pt>
                <c:pt idx="650">
                  <c:v>-78955.544444060884</c:v>
                </c:pt>
                <c:pt idx="651">
                  <c:v>-89060.544444060884</c:v>
                </c:pt>
                <c:pt idx="652">
                  <c:v>-65810.544444060884</c:v>
                </c:pt>
                <c:pt idx="653">
                  <c:v>-68310.544444060884</c:v>
                </c:pt>
                <c:pt idx="654">
                  <c:v>-66935.544444060884</c:v>
                </c:pt>
                <c:pt idx="655">
                  <c:v>-74050.544444060884</c:v>
                </c:pt>
                <c:pt idx="656">
                  <c:v>-69175.544444060884</c:v>
                </c:pt>
                <c:pt idx="657">
                  <c:v>-55175.544444060884</c:v>
                </c:pt>
                <c:pt idx="658">
                  <c:v>-46395.544444060884</c:v>
                </c:pt>
                <c:pt idx="659">
                  <c:v>-38270.544444060884</c:v>
                </c:pt>
                <c:pt idx="660">
                  <c:v>-50510.544444060884</c:v>
                </c:pt>
                <c:pt idx="661">
                  <c:v>-51635.544444060884</c:v>
                </c:pt>
                <c:pt idx="662">
                  <c:v>-50385.544444060884</c:v>
                </c:pt>
                <c:pt idx="663">
                  <c:v>-56730.544444060884</c:v>
                </c:pt>
                <c:pt idx="664">
                  <c:v>-62470.544444060884</c:v>
                </c:pt>
                <c:pt idx="665">
                  <c:v>-62595.544444060884</c:v>
                </c:pt>
                <c:pt idx="666">
                  <c:v>-63095.544444060884</c:v>
                </c:pt>
                <c:pt idx="667">
                  <c:v>-63595.544444060884</c:v>
                </c:pt>
                <c:pt idx="668">
                  <c:v>-66210.544444060884</c:v>
                </c:pt>
                <c:pt idx="669">
                  <c:v>-74210.544444060884</c:v>
                </c:pt>
                <c:pt idx="670">
                  <c:v>-83239.727777969587</c:v>
                </c:pt>
                <c:pt idx="671">
                  <c:v>-81479.727777969587</c:v>
                </c:pt>
                <c:pt idx="672">
                  <c:v>-79220.136111015236</c:v>
                </c:pt>
                <c:pt idx="673">
                  <c:v>-77349.931944492419</c:v>
                </c:pt>
                <c:pt idx="674">
                  <c:v>-81099.931944492419</c:v>
                </c:pt>
                <c:pt idx="675">
                  <c:v>-83660.03402775382</c:v>
                </c:pt>
                <c:pt idx="676">
                  <c:v>-77785.03402775382</c:v>
                </c:pt>
                <c:pt idx="677">
                  <c:v>-77535.03402775382</c:v>
                </c:pt>
                <c:pt idx="678">
                  <c:v>-75942.482986123126</c:v>
                </c:pt>
                <c:pt idx="679">
                  <c:v>-64978.758506938466</c:v>
                </c:pt>
                <c:pt idx="680">
                  <c:v>-69478.758506938466</c:v>
                </c:pt>
                <c:pt idx="681">
                  <c:v>-100718.75850693847</c:v>
                </c:pt>
                <c:pt idx="682">
                  <c:v>-92673.758506938466</c:v>
                </c:pt>
                <c:pt idx="683">
                  <c:v>-91673.758506938466</c:v>
                </c:pt>
                <c:pt idx="684">
                  <c:v>-90048.758506938466</c:v>
                </c:pt>
                <c:pt idx="685">
                  <c:v>-89923.758506938466</c:v>
                </c:pt>
                <c:pt idx="686">
                  <c:v>-89278.758506938466</c:v>
                </c:pt>
                <c:pt idx="687">
                  <c:v>-89583.758506938466</c:v>
                </c:pt>
                <c:pt idx="688">
                  <c:v>-92458.758506938466</c:v>
                </c:pt>
                <c:pt idx="689">
                  <c:v>-90208.758506938466</c:v>
                </c:pt>
                <c:pt idx="690">
                  <c:v>-93443.758506938466</c:v>
                </c:pt>
                <c:pt idx="691">
                  <c:v>-93818.758506938466</c:v>
                </c:pt>
                <c:pt idx="692">
                  <c:v>-93568.758506938466</c:v>
                </c:pt>
                <c:pt idx="693">
                  <c:v>-92443.758506938466</c:v>
                </c:pt>
                <c:pt idx="694">
                  <c:v>-93068.758506938466</c:v>
                </c:pt>
                <c:pt idx="695">
                  <c:v>-95438.758506938466</c:v>
                </c:pt>
                <c:pt idx="696">
                  <c:v>-96813.758506938466</c:v>
                </c:pt>
                <c:pt idx="697">
                  <c:v>-99298.758506938466</c:v>
                </c:pt>
                <c:pt idx="698">
                  <c:v>-98268.758506938466</c:v>
                </c:pt>
                <c:pt idx="699">
                  <c:v>-97768.758506938466</c:v>
                </c:pt>
                <c:pt idx="700">
                  <c:v>-95475.620746530796</c:v>
                </c:pt>
                <c:pt idx="701">
                  <c:v>-94350.620746530796</c:v>
                </c:pt>
                <c:pt idx="702">
                  <c:v>-91555.620746530796</c:v>
                </c:pt>
                <c:pt idx="703">
                  <c:v>-88180.620746530796</c:v>
                </c:pt>
                <c:pt idx="704">
                  <c:v>-67655.620746530796</c:v>
                </c:pt>
                <c:pt idx="705">
                  <c:v>-70905.620746530796</c:v>
                </c:pt>
                <c:pt idx="706">
                  <c:v>-75655.620746530796</c:v>
                </c:pt>
                <c:pt idx="707">
                  <c:v>-81645.620746530796</c:v>
                </c:pt>
                <c:pt idx="708">
                  <c:v>-87605.620746530796</c:v>
                </c:pt>
                <c:pt idx="709">
                  <c:v>-81355.620746530796</c:v>
                </c:pt>
                <c:pt idx="710">
                  <c:v>-85230.620746530796</c:v>
                </c:pt>
                <c:pt idx="711">
                  <c:v>-82220.620746530796</c:v>
                </c:pt>
                <c:pt idx="712">
                  <c:v>-84220.620746530796</c:v>
                </c:pt>
                <c:pt idx="713">
                  <c:v>-76835.620746530796</c:v>
                </c:pt>
                <c:pt idx="714">
                  <c:v>-78585.620746530796</c:v>
                </c:pt>
                <c:pt idx="715">
                  <c:v>-76335.620746530796</c:v>
                </c:pt>
                <c:pt idx="716">
                  <c:v>-76960.620746530796</c:v>
                </c:pt>
                <c:pt idx="717">
                  <c:v>-69960.620746530796</c:v>
                </c:pt>
                <c:pt idx="718">
                  <c:v>-69479.689626734631</c:v>
                </c:pt>
                <c:pt idx="719">
                  <c:v>-63970.155186632706</c:v>
                </c:pt>
                <c:pt idx="720">
                  <c:v>-62569.922406683676</c:v>
                </c:pt>
                <c:pt idx="721">
                  <c:v>-64444.922406683676</c:v>
                </c:pt>
                <c:pt idx="722">
                  <c:v>-70914.922406683676</c:v>
                </c:pt>
                <c:pt idx="723">
                  <c:v>-85484.922406683676</c:v>
                </c:pt>
                <c:pt idx="724">
                  <c:v>-86324.922406683676</c:v>
                </c:pt>
                <c:pt idx="725">
                  <c:v>-81324.922406683676</c:v>
                </c:pt>
                <c:pt idx="726">
                  <c:v>-86889.922406683676</c:v>
                </c:pt>
                <c:pt idx="727">
                  <c:v>-85009.922406683676</c:v>
                </c:pt>
                <c:pt idx="728">
                  <c:v>-86884.922406683676</c:v>
                </c:pt>
                <c:pt idx="729">
                  <c:v>-82884.922406683676</c:v>
                </c:pt>
                <c:pt idx="730">
                  <c:v>-85052.538796658191</c:v>
                </c:pt>
                <c:pt idx="731">
                  <c:v>-85512.538796658191</c:v>
                </c:pt>
                <c:pt idx="732">
                  <c:v>-86992.538796658191</c:v>
                </c:pt>
                <c:pt idx="733">
                  <c:v>-88117.538796658191</c:v>
                </c:pt>
                <c:pt idx="734">
                  <c:v>-81112.538796658191</c:v>
                </c:pt>
                <c:pt idx="735">
                  <c:v>-84232.538796658191</c:v>
                </c:pt>
                <c:pt idx="736">
                  <c:v>-88982.538796658191</c:v>
                </c:pt>
                <c:pt idx="737">
                  <c:v>-84607.538796658191</c:v>
                </c:pt>
                <c:pt idx="738">
                  <c:v>-82327.538796658191</c:v>
                </c:pt>
                <c:pt idx="739">
                  <c:v>-81452.538796658191</c:v>
                </c:pt>
                <c:pt idx="740">
                  <c:v>-81077.538796658191</c:v>
                </c:pt>
                <c:pt idx="741">
                  <c:v>-80192.538796658191</c:v>
                </c:pt>
                <c:pt idx="742">
                  <c:v>-86507.538796658191</c:v>
                </c:pt>
                <c:pt idx="743">
                  <c:v>-89932.538796658191</c:v>
                </c:pt>
                <c:pt idx="744">
                  <c:v>-83172.538796658191</c:v>
                </c:pt>
                <c:pt idx="745">
                  <c:v>-75438.730601670934</c:v>
                </c:pt>
                <c:pt idx="746">
                  <c:v>-81495.63469916457</c:v>
                </c:pt>
                <c:pt idx="747">
                  <c:v>-80745.63469916457</c:v>
                </c:pt>
                <c:pt idx="748">
                  <c:v>-87120.63469916457</c:v>
                </c:pt>
                <c:pt idx="749">
                  <c:v>-87495.63469916457</c:v>
                </c:pt>
                <c:pt idx="750">
                  <c:v>-83745.63469916457</c:v>
                </c:pt>
                <c:pt idx="751">
                  <c:v>-80465.63469916457</c:v>
                </c:pt>
                <c:pt idx="752">
                  <c:v>-75405.63469916457</c:v>
                </c:pt>
                <c:pt idx="753">
                  <c:v>-75760.63469916457</c:v>
                </c:pt>
                <c:pt idx="754">
                  <c:v>-68385.63469916457</c:v>
                </c:pt>
                <c:pt idx="755">
                  <c:v>-70385.63469916457</c:v>
                </c:pt>
                <c:pt idx="756">
                  <c:v>-67287.182650417744</c:v>
                </c:pt>
                <c:pt idx="757">
                  <c:v>-65961.408674791164</c:v>
                </c:pt>
                <c:pt idx="758">
                  <c:v>-74374.295662604447</c:v>
                </c:pt>
                <c:pt idx="759">
                  <c:v>-65249.295662604447</c:v>
                </c:pt>
                <c:pt idx="760">
                  <c:v>-63600.352168697806</c:v>
                </c:pt>
                <c:pt idx="761">
                  <c:v>-67725.352168697806</c:v>
                </c:pt>
                <c:pt idx="762">
                  <c:v>-59225.352168697806</c:v>
                </c:pt>
                <c:pt idx="763">
                  <c:v>-55107.323915651126</c:v>
                </c:pt>
                <c:pt idx="764">
                  <c:v>-61916.338042174466</c:v>
                </c:pt>
                <c:pt idx="765">
                  <c:v>-61886.830978912796</c:v>
                </c:pt>
                <c:pt idx="766">
                  <c:v>-60386.830978912796</c:v>
                </c:pt>
                <c:pt idx="767">
                  <c:v>-53401.584510543631</c:v>
                </c:pt>
                <c:pt idx="768">
                  <c:v>-58894.207744728221</c:v>
                </c:pt>
                <c:pt idx="769">
                  <c:v>-53894.207744728221</c:v>
                </c:pt>
                <c:pt idx="770">
                  <c:v>-53644.207744728221</c:v>
                </c:pt>
                <c:pt idx="771">
                  <c:v>-64864.207744728221</c:v>
                </c:pt>
                <c:pt idx="772">
                  <c:v>-62239.207744728221</c:v>
                </c:pt>
                <c:pt idx="773">
                  <c:v>-62114.207744728221</c:v>
                </c:pt>
                <c:pt idx="774">
                  <c:v>-60864.207744728221</c:v>
                </c:pt>
                <c:pt idx="775">
                  <c:v>-66819.207744728221</c:v>
                </c:pt>
                <c:pt idx="776">
                  <c:v>-68619.207744728221</c:v>
                </c:pt>
                <c:pt idx="777">
                  <c:v>-28744.207744728221</c:v>
                </c:pt>
                <c:pt idx="778">
                  <c:v>-72322.896127635933</c:v>
                </c:pt>
                <c:pt idx="779">
                  <c:v>-71417.896127635933</c:v>
                </c:pt>
                <c:pt idx="780">
                  <c:v>-70667.896127635933</c:v>
                </c:pt>
                <c:pt idx="781">
                  <c:v>-71792.896127635933</c:v>
                </c:pt>
                <c:pt idx="782">
                  <c:v>-72417.896127635933</c:v>
                </c:pt>
                <c:pt idx="783">
                  <c:v>-71912.896127635933</c:v>
                </c:pt>
                <c:pt idx="784">
                  <c:v>-82107.896127635933</c:v>
                </c:pt>
                <c:pt idx="785">
                  <c:v>-82202.896127635933</c:v>
                </c:pt>
                <c:pt idx="786">
                  <c:v>-80327.896127635933</c:v>
                </c:pt>
                <c:pt idx="787">
                  <c:v>-81952.896127635933</c:v>
                </c:pt>
                <c:pt idx="788">
                  <c:v>-77452.896127635933</c:v>
                </c:pt>
                <c:pt idx="789">
                  <c:v>-80702.896127635933</c:v>
                </c:pt>
                <c:pt idx="790">
                  <c:v>-72312.896127635933</c:v>
                </c:pt>
                <c:pt idx="791">
                  <c:v>-66667.896127635933</c:v>
                </c:pt>
                <c:pt idx="792">
                  <c:v>-63667.896127635933</c:v>
                </c:pt>
                <c:pt idx="793">
                  <c:v>-58167.896127635933</c:v>
                </c:pt>
                <c:pt idx="794">
                  <c:v>-55167.896127635933</c:v>
                </c:pt>
                <c:pt idx="795">
                  <c:v>-51157.896127635933</c:v>
                </c:pt>
                <c:pt idx="796">
                  <c:v>-50387.896127635933</c:v>
                </c:pt>
                <c:pt idx="797">
                  <c:v>-48857.896127635933</c:v>
                </c:pt>
                <c:pt idx="798">
                  <c:v>-46097.896127635933</c:v>
                </c:pt>
                <c:pt idx="799">
                  <c:v>-44347.896127635933</c:v>
                </c:pt>
                <c:pt idx="800">
                  <c:v>-43222.896127635933</c:v>
                </c:pt>
                <c:pt idx="801">
                  <c:v>-41597.896127635933</c:v>
                </c:pt>
                <c:pt idx="802">
                  <c:v>-44347.896127635933</c:v>
                </c:pt>
                <c:pt idx="803">
                  <c:v>-40222.896127635933</c:v>
                </c:pt>
                <c:pt idx="804">
                  <c:v>-39342.896127635933</c:v>
                </c:pt>
                <c:pt idx="805">
                  <c:v>-37717.896127635933</c:v>
                </c:pt>
                <c:pt idx="806">
                  <c:v>-37092.896127635933</c:v>
                </c:pt>
                <c:pt idx="807">
                  <c:v>-37217.896127635933</c:v>
                </c:pt>
                <c:pt idx="808">
                  <c:v>-39207.896127635933</c:v>
                </c:pt>
                <c:pt idx="809">
                  <c:v>-42572.896127635933</c:v>
                </c:pt>
                <c:pt idx="810">
                  <c:v>-45902.896127635933</c:v>
                </c:pt>
                <c:pt idx="811">
                  <c:v>-43402.896127635933</c:v>
                </c:pt>
                <c:pt idx="812">
                  <c:v>-43277.896127635933</c:v>
                </c:pt>
                <c:pt idx="813">
                  <c:v>-42402.896127635933</c:v>
                </c:pt>
                <c:pt idx="814">
                  <c:v>-40277.896127635933</c:v>
                </c:pt>
                <c:pt idx="815">
                  <c:v>-42652.896127635933</c:v>
                </c:pt>
                <c:pt idx="816">
                  <c:v>-47712.896127635933</c:v>
                </c:pt>
                <c:pt idx="817">
                  <c:v>-48297.896127635933</c:v>
                </c:pt>
                <c:pt idx="818">
                  <c:v>-49517.896127635933</c:v>
                </c:pt>
                <c:pt idx="819">
                  <c:v>-44767.896127635933</c:v>
                </c:pt>
                <c:pt idx="820">
                  <c:v>-50892.896127635933</c:v>
                </c:pt>
                <c:pt idx="821">
                  <c:v>-53017.896127635933</c:v>
                </c:pt>
                <c:pt idx="822">
                  <c:v>-59612.896127635933</c:v>
                </c:pt>
                <c:pt idx="823">
                  <c:v>-62827.896127635933</c:v>
                </c:pt>
                <c:pt idx="824">
                  <c:v>-62577.896127635933</c:v>
                </c:pt>
                <c:pt idx="825">
                  <c:v>-61697.896127635933</c:v>
                </c:pt>
                <c:pt idx="826">
                  <c:v>-62072.896127635933</c:v>
                </c:pt>
                <c:pt idx="827">
                  <c:v>-61437.896127635933</c:v>
                </c:pt>
                <c:pt idx="828">
                  <c:v>-64417.896127635933</c:v>
                </c:pt>
                <c:pt idx="829">
                  <c:v>-65352.896127635933</c:v>
                </c:pt>
                <c:pt idx="830">
                  <c:v>-65727.896127635933</c:v>
                </c:pt>
                <c:pt idx="831">
                  <c:v>-65977.896127635933</c:v>
                </c:pt>
                <c:pt idx="832">
                  <c:v>-61602.896127635933</c:v>
                </c:pt>
                <c:pt idx="833">
                  <c:v>-60457.896127635933</c:v>
                </c:pt>
                <c:pt idx="834">
                  <c:v>-56457.896127635933</c:v>
                </c:pt>
                <c:pt idx="835">
                  <c:v>-56447.896127635933</c:v>
                </c:pt>
                <c:pt idx="836">
                  <c:v>-56672.896127635933</c:v>
                </c:pt>
                <c:pt idx="837">
                  <c:v>-56662.896127635933</c:v>
                </c:pt>
                <c:pt idx="838">
                  <c:v>-58537.896127635933</c:v>
                </c:pt>
                <c:pt idx="839">
                  <c:v>-54787.896127635933</c:v>
                </c:pt>
                <c:pt idx="840">
                  <c:v>-54902.896127635933</c:v>
                </c:pt>
                <c:pt idx="841">
                  <c:v>-56402.896127635933</c:v>
                </c:pt>
                <c:pt idx="842">
                  <c:v>-55027.896127635933</c:v>
                </c:pt>
                <c:pt idx="843">
                  <c:v>-54152.896127635933</c:v>
                </c:pt>
                <c:pt idx="844">
                  <c:v>-52767.896127635933</c:v>
                </c:pt>
                <c:pt idx="845">
                  <c:v>-52392.896127635933</c:v>
                </c:pt>
                <c:pt idx="846">
                  <c:v>-55362.896127635933</c:v>
                </c:pt>
                <c:pt idx="847">
                  <c:v>-63397.896127635933</c:v>
                </c:pt>
                <c:pt idx="848">
                  <c:v>-64232.896127635933</c:v>
                </c:pt>
                <c:pt idx="849">
                  <c:v>-58952.896127635933</c:v>
                </c:pt>
                <c:pt idx="850">
                  <c:v>-56437.896127635933</c:v>
                </c:pt>
                <c:pt idx="851">
                  <c:v>-51422.896127635933</c:v>
                </c:pt>
                <c:pt idx="852">
                  <c:v>-43172.896127635933</c:v>
                </c:pt>
                <c:pt idx="853">
                  <c:v>-41797.896127635933</c:v>
                </c:pt>
                <c:pt idx="854">
                  <c:v>-52547.896127635933</c:v>
                </c:pt>
                <c:pt idx="855">
                  <c:v>-46672.896127635933</c:v>
                </c:pt>
                <c:pt idx="856">
                  <c:v>-25017.896127635933</c:v>
                </c:pt>
                <c:pt idx="857">
                  <c:v>-26517.896127635933</c:v>
                </c:pt>
                <c:pt idx="858">
                  <c:v>-13972.896127635933</c:v>
                </c:pt>
                <c:pt idx="859">
                  <c:v>-11528.551936182048</c:v>
                </c:pt>
                <c:pt idx="860">
                  <c:v>2749.2759680910094</c:v>
                </c:pt>
                <c:pt idx="861">
                  <c:v>24340.362015954481</c:v>
                </c:pt>
                <c:pt idx="862">
                  <c:v>5369.8189920227451</c:v>
                </c:pt>
                <c:pt idx="863">
                  <c:v>-43715.181007977255</c:v>
                </c:pt>
                <c:pt idx="864">
                  <c:v>-18590.181007977255</c:v>
                </c:pt>
                <c:pt idx="865">
                  <c:v>-24670.181007977255</c:v>
                </c:pt>
                <c:pt idx="866">
                  <c:v>-27795.181007977255</c:v>
                </c:pt>
                <c:pt idx="867">
                  <c:v>-11545.181007977255</c:v>
                </c:pt>
                <c:pt idx="868">
                  <c:v>-10360.181007977255</c:v>
                </c:pt>
                <c:pt idx="869">
                  <c:v>-15105.181007977255</c:v>
                </c:pt>
                <c:pt idx="870">
                  <c:v>-51055.181007977255</c:v>
                </c:pt>
                <c:pt idx="871">
                  <c:v>-54045.181007977255</c:v>
                </c:pt>
                <c:pt idx="872">
                  <c:v>-64215.181007977255</c:v>
                </c:pt>
                <c:pt idx="873">
                  <c:v>-63840.181007977255</c:v>
                </c:pt>
                <c:pt idx="874">
                  <c:v>-67840.181007977255</c:v>
                </c:pt>
                <c:pt idx="875">
                  <c:v>-63200.181007977255</c:v>
                </c:pt>
                <c:pt idx="876">
                  <c:v>-62700.181007977255</c:v>
                </c:pt>
                <c:pt idx="877">
                  <c:v>-58035.181007977255</c:v>
                </c:pt>
                <c:pt idx="878">
                  <c:v>-54270.181007977255</c:v>
                </c:pt>
                <c:pt idx="879">
                  <c:v>-50380.181007977255</c:v>
                </c:pt>
                <c:pt idx="880">
                  <c:v>-44505.181007977255</c:v>
                </c:pt>
                <c:pt idx="881">
                  <c:v>-42005.181007977255</c:v>
                </c:pt>
                <c:pt idx="882">
                  <c:v>-54930.181007977255</c:v>
                </c:pt>
                <c:pt idx="883">
                  <c:v>-49930.181007977255</c:v>
                </c:pt>
                <c:pt idx="884">
                  <c:v>-42025.181007977255</c:v>
                </c:pt>
                <c:pt idx="885">
                  <c:v>-33650.181007977255</c:v>
                </c:pt>
                <c:pt idx="886">
                  <c:v>-24275.181007977255</c:v>
                </c:pt>
                <c:pt idx="887">
                  <c:v>-19485.181007977255</c:v>
                </c:pt>
                <c:pt idx="888">
                  <c:v>-17605.181007977255</c:v>
                </c:pt>
                <c:pt idx="889">
                  <c:v>-14480.181007977255</c:v>
                </c:pt>
                <c:pt idx="890">
                  <c:v>-21080.181007977255</c:v>
                </c:pt>
                <c:pt idx="891">
                  <c:v>-18580.181007977255</c:v>
                </c:pt>
                <c:pt idx="892">
                  <c:v>-18580.181007977255</c:v>
                </c:pt>
                <c:pt idx="893">
                  <c:v>-8330.1810079772549</c:v>
                </c:pt>
                <c:pt idx="894">
                  <c:v>-19325.181007977255</c:v>
                </c:pt>
                <c:pt idx="895">
                  <c:v>-20950.181007977255</c:v>
                </c:pt>
                <c:pt idx="896">
                  <c:v>-23325.181007977255</c:v>
                </c:pt>
                <c:pt idx="897">
                  <c:v>-17825.181007977255</c:v>
                </c:pt>
                <c:pt idx="898">
                  <c:v>-15825.181007977255</c:v>
                </c:pt>
                <c:pt idx="899">
                  <c:v>-20200.181007977255</c:v>
                </c:pt>
                <c:pt idx="900">
                  <c:v>-24200.181007977255</c:v>
                </c:pt>
                <c:pt idx="901">
                  <c:v>-22075.181007977255</c:v>
                </c:pt>
                <c:pt idx="902">
                  <c:v>-17200.181007977255</c:v>
                </c:pt>
                <c:pt idx="903">
                  <c:v>-24825.181007977255</c:v>
                </c:pt>
                <c:pt idx="904">
                  <c:v>-15575.181007977255</c:v>
                </c:pt>
                <c:pt idx="905">
                  <c:v>-1440.1810079772549</c:v>
                </c:pt>
                <c:pt idx="906">
                  <c:v>-4220.1810079772549</c:v>
                </c:pt>
                <c:pt idx="907">
                  <c:v>-9315.1810079772549</c:v>
                </c:pt>
                <c:pt idx="908">
                  <c:v>-15040.181007977255</c:v>
                </c:pt>
                <c:pt idx="909">
                  <c:v>-12290.181007977255</c:v>
                </c:pt>
                <c:pt idx="910">
                  <c:v>-10415.181007977255</c:v>
                </c:pt>
                <c:pt idx="911">
                  <c:v>-17635.181007977255</c:v>
                </c:pt>
                <c:pt idx="912">
                  <c:v>-21510.181007977255</c:v>
                </c:pt>
                <c:pt idx="913">
                  <c:v>-23120.181007977255</c:v>
                </c:pt>
                <c:pt idx="914">
                  <c:v>-30370.181007977255</c:v>
                </c:pt>
                <c:pt idx="915">
                  <c:v>-32370.181007977255</c:v>
                </c:pt>
                <c:pt idx="916">
                  <c:v>-37120.181007977255</c:v>
                </c:pt>
                <c:pt idx="917">
                  <c:v>-41965.181007977255</c:v>
                </c:pt>
                <c:pt idx="918">
                  <c:v>-27090.181007977255</c:v>
                </c:pt>
                <c:pt idx="919">
                  <c:v>-34215.181007977255</c:v>
                </c:pt>
                <c:pt idx="920">
                  <c:v>-27965.181007977255</c:v>
                </c:pt>
                <c:pt idx="921">
                  <c:v>-15465.181007977255</c:v>
                </c:pt>
                <c:pt idx="922">
                  <c:v>-22177.409496011416</c:v>
                </c:pt>
                <c:pt idx="923">
                  <c:v>-28552.409496011416</c:v>
                </c:pt>
                <c:pt idx="924">
                  <c:v>-26552.409496011416</c:v>
                </c:pt>
                <c:pt idx="925">
                  <c:v>-38177.409496011416</c:v>
                </c:pt>
                <c:pt idx="926">
                  <c:v>-49302.409496011416</c:v>
                </c:pt>
                <c:pt idx="927">
                  <c:v>-49427.409496011416</c:v>
                </c:pt>
                <c:pt idx="928">
                  <c:v>-49302.409496011416</c:v>
                </c:pt>
                <c:pt idx="929">
                  <c:v>-50177.409496011416</c:v>
                </c:pt>
                <c:pt idx="930">
                  <c:v>-51427.409496011416</c:v>
                </c:pt>
                <c:pt idx="931">
                  <c:v>-49177.409496011416</c:v>
                </c:pt>
                <c:pt idx="932">
                  <c:v>-51802.409496011416</c:v>
                </c:pt>
                <c:pt idx="933">
                  <c:v>-50302.409496011416</c:v>
                </c:pt>
                <c:pt idx="934">
                  <c:v>-52302.409496011416</c:v>
                </c:pt>
                <c:pt idx="935">
                  <c:v>-55927.409496011416</c:v>
                </c:pt>
                <c:pt idx="936">
                  <c:v>-54196.295251994306</c:v>
                </c:pt>
                <c:pt idx="937">
                  <c:v>-55071.295251994306</c:v>
                </c:pt>
                <c:pt idx="938">
                  <c:v>-54946.295251994306</c:v>
                </c:pt>
                <c:pt idx="939">
                  <c:v>-54071.295251994306</c:v>
                </c:pt>
                <c:pt idx="940">
                  <c:v>-54321.295251994306</c:v>
                </c:pt>
                <c:pt idx="941">
                  <c:v>-54071.295251994306</c:v>
                </c:pt>
                <c:pt idx="942">
                  <c:v>-55571.295251994306</c:v>
                </c:pt>
                <c:pt idx="943">
                  <c:v>-57994.35237400289</c:v>
                </c:pt>
                <c:pt idx="944">
                  <c:v>-56517.823812998569</c:v>
                </c:pt>
                <c:pt idx="945">
                  <c:v>-56142.823812998569</c:v>
                </c:pt>
                <c:pt idx="946">
                  <c:v>-55517.823812998569</c:v>
                </c:pt>
                <c:pt idx="947">
                  <c:v>-53267.823812998569</c:v>
                </c:pt>
                <c:pt idx="948">
                  <c:v>-49267.823812998569</c:v>
                </c:pt>
                <c:pt idx="949">
                  <c:v>-50892.823812998569</c:v>
                </c:pt>
                <c:pt idx="950">
                  <c:v>-55017.823812998569</c:v>
                </c:pt>
                <c:pt idx="951">
                  <c:v>-57747.823812998569</c:v>
                </c:pt>
                <c:pt idx="952">
                  <c:v>-64297.823812998569</c:v>
                </c:pt>
                <c:pt idx="953">
                  <c:v>-62475.323812998569</c:v>
                </c:pt>
                <c:pt idx="954">
                  <c:v>-62695.323812998569</c:v>
                </c:pt>
                <c:pt idx="955">
                  <c:v>-68704.83809350073</c:v>
                </c:pt>
                <c:pt idx="956">
                  <c:v>-70454.83809350073</c:v>
                </c:pt>
                <c:pt idx="957">
                  <c:v>-69824.83809350073</c:v>
                </c:pt>
                <c:pt idx="958">
                  <c:v>-67324.83809350073</c:v>
                </c:pt>
                <c:pt idx="959">
                  <c:v>-66449.83809350073</c:v>
                </c:pt>
                <c:pt idx="960">
                  <c:v>-67949.83809350073</c:v>
                </c:pt>
                <c:pt idx="961">
                  <c:v>-64449.83809350073</c:v>
                </c:pt>
                <c:pt idx="962">
                  <c:v>-61059.83809350073</c:v>
                </c:pt>
                <c:pt idx="963">
                  <c:v>-59684.83809350073</c:v>
                </c:pt>
                <c:pt idx="964">
                  <c:v>-61434.83809350073</c:v>
                </c:pt>
                <c:pt idx="965">
                  <c:v>-62519.83809350073</c:v>
                </c:pt>
                <c:pt idx="966">
                  <c:v>-63894.83809350073</c:v>
                </c:pt>
                <c:pt idx="967">
                  <c:v>-64739.83809350073</c:v>
                </c:pt>
                <c:pt idx="968">
                  <c:v>-55724.83809350073</c:v>
                </c:pt>
                <c:pt idx="969">
                  <c:v>-57474.83809350073</c:v>
                </c:pt>
                <c:pt idx="970">
                  <c:v>-49839.83809350073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913-4EDB-ACF6-1DF62B894534}"/>
            </c:ext>
          </c:extLst>
        </c:ser>
        <c:ser>
          <c:idx val="1"/>
          <c:order val="1"/>
          <c:tx>
            <c:strRef>
              <c:f>Data!$M$11</c:f>
              <c:strCache>
                <c:ptCount val="1"/>
                <c:pt idx="0">
                  <c:v>Corn Futures To Compare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Data!$M$12:$M$982</c:f>
              <c:numCache>
                <c:formatCode>General</c:formatCode>
                <c:ptCount val="971"/>
                <c:pt idx="0">
                  <c:v>0</c:v>
                </c:pt>
                <c:pt idx="1">
                  <c:v>-17000</c:v>
                </c:pt>
                <c:pt idx="2">
                  <c:v>-16000</c:v>
                </c:pt>
                <c:pt idx="3">
                  <c:v>-23500</c:v>
                </c:pt>
                <c:pt idx="4">
                  <c:v>-21750</c:v>
                </c:pt>
                <c:pt idx="5">
                  <c:v>-15000</c:v>
                </c:pt>
                <c:pt idx="6">
                  <c:v>-12500</c:v>
                </c:pt>
                <c:pt idx="7">
                  <c:v>-8750</c:v>
                </c:pt>
                <c:pt idx="8">
                  <c:v>8250</c:v>
                </c:pt>
                <c:pt idx="9">
                  <c:v>16000</c:v>
                </c:pt>
                <c:pt idx="10">
                  <c:v>25000</c:v>
                </c:pt>
                <c:pt idx="11">
                  <c:v>22500</c:v>
                </c:pt>
                <c:pt idx="12">
                  <c:v>20750</c:v>
                </c:pt>
                <c:pt idx="13">
                  <c:v>21750</c:v>
                </c:pt>
                <c:pt idx="14">
                  <c:v>21250</c:v>
                </c:pt>
                <c:pt idx="15">
                  <c:v>23750</c:v>
                </c:pt>
                <c:pt idx="16">
                  <c:v>16750</c:v>
                </c:pt>
                <c:pt idx="17">
                  <c:v>14750</c:v>
                </c:pt>
                <c:pt idx="18">
                  <c:v>14000</c:v>
                </c:pt>
                <c:pt idx="19">
                  <c:v>17000</c:v>
                </c:pt>
                <c:pt idx="20">
                  <c:v>24250</c:v>
                </c:pt>
                <c:pt idx="21">
                  <c:v>33750</c:v>
                </c:pt>
                <c:pt idx="22">
                  <c:v>33000</c:v>
                </c:pt>
                <c:pt idx="23">
                  <c:v>31260</c:v>
                </c:pt>
                <c:pt idx="24">
                  <c:v>26510</c:v>
                </c:pt>
                <c:pt idx="25">
                  <c:v>20260</c:v>
                </c:pt>
                <c:pt idx="26">
                  <c:v>16510</c:v>
                </c:pt>
                <c:pt idx="27">
                  <c:v>7510</c:v>
                </c:pt>
                <c:pt idx="28">
                  <c:v>5510</c:v>
                </c:pt>
                <c:pt idx="29">
                  <c:v>-4990</c:v>
                </c:pt>
                <c:pt idx="30">
                  <c:v>-12990</c:v>
                </c:pt>
                <c:pt idx="31">
                  <c:v>-13990</c:v>
                </c:pt>
                <c:pt idx="32">
                  <c:v>-15990</c:v>
                </c:pt>
                <c:pt idx="33">
                  <c:v>-9490</c:v>
                </c:pt>
                <c:pt idx="34">
                  <c:v>-7740</c:v>
                </c:pt>
                <c:pt idx="35">
                  <c:v>-13490</c:v>
                </c:pt>
                <c:pt idx="36">
                  <c:v>-7740</c:v>
                </c:pt>
                <c:pt idx="37">
                  <c:v>-14740</c:v>
                </c:pt>
                <c:pt idx="38">
                  <c:v>-15990</c:v>
                </c:pt>
                <c:pt idx="39">
                  <c:v>-15490</c:v>
                </c:pt>
                <c:pt idx="40">
                  <c:v>-8990</c:v>
                </c:pt>
                <c:pt idx="41">
                  <c:v>-5740</c:v>
                </c:pt>
                <c:pt idx="42">
                  <c:v>2510</c:v>
                </c:pt>
                <c:pt idx="43">
                  <c:v>6270</c:v>
                </c:pt>
                <c:pt idx="44">
                  <c:v>-2730</c:v>
                </c:pt>
                <c:pt idx="45">
                  <c:v>5020</c:v>
                </c:pt>
                <c:pt idx="46">
                  <c:v>-8480</c:v>
                </c:pt>
                <c:pt idx="47">
                  <c:v>-16730</c:v>
                </c:pt>
                <c:pt idx="48">
                  <c:v>-2730</c:v>
                </c:pt>
                <c:pt idx="49">
                  <c:v>11020</c:v>
                </c:pt>
                <c:pt idx="50">
                  <c:v>13520</c:v>
                </c:pt>
                <c:pt idx="51">
                  <c:v>7270</c:v>
                </c:pt>
                <c:pt idx="52">
                  <c:v>13020</c:v>
                </c:pt>
                <c:pt idx="53">
                  <c:v>14270</c:v>
                </c:pt>
                <c:pt idx="54">
                  <c:v>14520</c:v>
                </c:pt>
                <c:pt idx="55">
                  <c:v>23520</c:v>
                </c:pt>
                <c:pt idx="56">
                  <c:v>28770</c:v>
                </c:pt>
                <c:pt idx="57">
                  <c:v>31770</c:v>
                </c:pt>
                <c:pt idx="58">
                  <c:v>24770</c:v>
                </c:pt>
                <c:pt idx="59">
                  <c:v>28520</c:v>
                </c:pt>
                <c:pt idx="60">
                  <c:v>26020</c:v>
                </c:pt>
                <c:pt idx="61">
                  <c:v>34020</c:v>
                </c:pt>
                <c:pt idx="62">
                  <c:v>-6980</c:v>
                </c:pt>
                <c:pt idx="63">
                  <c:v>-27980</c:v>
                </c:pt>
                <c:pt idx="64">
                  <c:v>-55980</c:v>
                </c:pt>
                <c:pt idx="65">
                  <c:v>-67230</c:v>
                </c:pt>
                <c:pt idx="66">
                  <c:v>-62730</c:v>
                </c:pt>
                <c:pt idx="67">
                  <c:v>-69730</c:v>
                </c:pt>
                <c:pt idx="68">
                  <c:v>-72730</c:v>
                </c:pt>
                <c:pt idx="69">
                  <c:v>-69480</c:v>
                </c:pt>
                <c:pt idx="70">
                  <c:v>-58730</c:v>
                </c:pt>
                <c:pt idx="71">
                  <c:v>-56980</c:v>
                </c:pt>
                <c:pt idx="72">
                  <c:v>-48980</c:v>
                </c:pt>
                <c:pt idx="73">
                  <c:v>-45730</c:v>
                </c:pt>
                <c:pt idx="74">
                  <c:v>-53230</c:v>
                </c:pt>
                <c:pt idx="75">
                  <c:v>-41980</c:v>
                </c:pt>
                <c:pt idx="76">
                  <c:v>-42730</c:v>
                </c:pt>
                <c:pt idx="77">
                  <c:v>-56230</c:v>
                </c:pt>
                <c:pt idx="78">
                  <c:v>-51980</c:v>
                </c:pt>
                <c:pt idx="79">
                  <c:v>-56980</c:v>
                </c:pt>
                <c:pt idx="80">
                  <c:v>-61730</c:v>
                </c:pt>
                <c:pt idx="81">
                  <c:v>-64480</c:v>
                </c:pt>
                <c:pt idx="82">
                  <c:v>-58230</c:v>
                </c:pt>
                <c:pt idx="83">
                  <c:v>-61730</c:v>
                </c:pt>
                <c:pt idx="84">
                  <c:v>-22730</c:v>
                </c:pt>
                <c:pt idx="85">
                  <c:v>-27730</c:v>
                </c:pt>
                <c:pt idx="86">
                  <c:v>-32970</c:v>
                </c:pt>
                <c:pt idx="87">
                  <c:v>-21720</c:v>
                </c:pt>
                <c:pt idx="88">
                  <c:v>-20720</c:v>
                </c:pt>
                <c:pt idx="89">
                  <c:v>-44720</c:v>
                </c:pt>
                <c:pt idx="90">
                  <c:v>-38970</c:v>
                </c:pt>
                <c:pt idx="91">
                  <c:v>-50220</c:v>
                </c:pt>
                <c:pt idx="92">
                  <c:v>-30720</c:v>
                </c:pt>
                <c:pt idx="93">
                  <c:v>-46470</c:v>
                </c:pt>
                <c:pt idx="94">
                  <c:v>-26720</c:v>
                </c:pt>
                <c:pt idx="95">
                  <c:v>-31220</c:v>
                </c:pt>
                <c:pt idx="96">
                  <c:v>-32970</c:v>
                </c:pt>
                <c:pt idx="97">
                  <c:v>-39970</c:v>
                </c:pt>
                <c:pt idx="98">
                  <c:v>-29970</c:v>
                </c:pt>
                <c:pt idx="99">
                  <c:v>-34470</c:v>
                </c:pt>
                <c:pt idx="100">
                  <c:v>-45470</c:v>
                </c:pt>
                <c:pt idx="101">
                  <c:v>-26220</c:v>
                </c:pt>
                <c:pt idx="102">
                  <c:v>-19720</c:v>
                </c:pt>
                <c:pt idx="103">
                  <c:v>-22970</c:v>
                </c:pt>
                <c:pt idx="104">
                  <c:v>-24970</c:v>
                </c:pt>
                <c:pt idx="105">
                  <c:v>-16970</c:v>
                </c:pt>
                <c:pt idx="106">
                  <c:v>-17470</c:v>
                </c:pt>
                <c:pt idx="107">
                  <c:v>-29470</c:v>
                </c:pt>
                <c:pt idx="108">
                  <c:v>-19720</c:v>
                </c:pt>
                <c:pt idx="109">
                  <c:v>-23470</c:v>
                </c:pt>
                <c:pt idx="110">
                  <c:v>-26970</c:v>
                </c:pt>
                <c:pt idx="111">
                  <c:v>-20970</c:v>
                </c:pt>
                <c:pt idx="112">
                  <c:v>-20970</c:v>
                </c:pt>
                <c:pt idx="113">
                  <c:v>-16720</c:v>
                </c:pt>
                <c:pt idx="114">
                  <c:v>-32970</c:v>
                </c:pt>
                <c:pt idx="115">
                  <c:v>-26220</c:v>
                </c:pt>
                <c:pt idx="116">
                  <c:v>-32720</c:v>
                </c:pt>
                <c:pt idx="117">
                  <c:v>-37970</c:v>
                </c:pt>
                <c:pt idx="118">
                  <c:v>-27720</c:v>
                </c:pt>
                <c:pt idx="119">
                  <c:v>-17970</c:v>
                </c:pt>
                <c:pt idx="120">
                  <c:v>-11970</c:v>
                </c:pt>
                <c:pt idx="121">
                  <c:v>-970</c:v>
                </c:pt>
                <c:pt idx="122">
                  <c:v>-8470</c:v>
                </c:pt>
                <c:pt idx="123">
                  <c:v>-11470</c:v>
                </c:pt>
                <c:pt idx="124">
                  <c:v>-26720</c:v>
                </c:pt>
                <c:pt idx="125">
                  <c:v>-29470</c:v>
                </c:pt>
                <c:pt idx="126">
                  <c:v>-31970</c:v>
                </c:pt>
                <c:pt idx="127">
                  <c:v>-35720</c:v>
                </c:pt>
                <c:pt idx="128">
                  <c:v>-56970</c:v>
                </c:pt>
                <c:pt idx="129">
                  <c:v>-74460</c:v>
                </c:pt>
                <c:pt idx="130">
                  <c:v>-75210</c:v>
                </c:pt>
                <c:pt idx="131">
                  <c:v>-74960</c:v>
                </c:pt>
                <c:pt idx="132">
                  <c:v>-72210</c:v>
                </c:pt>
                <c:pt idx="133">
                  <c:v>-79960</c:v>
                </c:pt>
                <c:pt idx="134">
                  <c:v>-72460</c:v>
                </c:pt>
                <c:pt idx="135">
                  <c:v>-59710</c:v>
                </c:pt>
                <c:pt idx="136">
                  <c:v>-55960</c:v>
                </c:pt>
                <c:pt idx="137">
                  <c:v>-46960</c:v>
                </c:pt>
                <c:pt idx="138">
                  <c:v>-58710</c:v>
                </c:pt>
                <c:pt idx="139">
                  <c:v>-70460</c:v>
                </c:pt>
                <c:pt idx="140">
                  <c:v>-62960</c:v>
                </c:pt>
                <c:pt idx="141">
                  <c:v>-68460</c:v>
                </c:pt>
                <c:pt idx="142">
                  <c:v>-66710</c:v>
                </c:pt>
                <c:pt idx="143">
                  <c:v>-63210</c:v>
                </c:pt>
                <c:pt idx="144">
                  <c:v>-65960</c:v>
                </c:pt>
                <c:pt idx="145">
                  <c:v>-83460</c:v>
                </c:pt>
                <c:pt idx="146">
                  <c:v>-98710</c:v>
                </c:pt>
                <c:pt idx="147">
                  <c:v>-111460</c:v>
                </c:pt>
                <c:pt idx="148">
                  <c:v>-113210</c:v>
                </c:pt>
                <c:pt idx="149">
                  <c:v>-118710</c:v>
                </c:pt>
                <c:pt idx="150">
                  <c:v>-114710</c:v>
                </c:pt>
                <c:pt idx="151">
                  <c:v>-108460</c:v>
                </c:pt>
                <c:pt idx="152">
                  <c:v>-119960</c:v>
                </c:pt>
                <c:pt idx="153">
                  <c:v>-129210</c:v>
                </c:pt>
                <c:pt idx="154">
                  <c:v>-138710</c:v>
                </c:pt>
                <c:pt idx="155">
                  <c:v>-135710</c:v>
                </c:pt>
                <c:pt idx="156">
                  <c:v>-138710</c:v>
                </c:pt>
                <c:pt idx="157">
                  <c:v>-136210</c:v>
                </c:pt>
                <c:pt idx="158">
                  <c:v>-139710</c:v>
                </c:pt>
                <c:pt idx="159">
                  <c:v>-133460</c:v>
                </c:pt>
                <c:pt idx="160">
                  <c:v>-148710</c:v>
                </c:pt>
                <c:pt idx="161">
                  <c:v>-144960</c:v>
                </c:pt>
                <c:pt idx="162">
                  <c:v>-128710</c:v>
                </c:pt>
                <c:pt idx="163">
                  <c:v>-133960</c:v>
                </c:pt>
                <c:pt idx="164">
                  <c:v>-117960</c:v>
                </c:pt>
                <c:pt idx="165">
                  <c:v>-120960</c:v>
                </c:pt>
                <c:pt idx="166">
                  <c:v>-108710</c:v>
                </c:pt>
                <c:pt idx="167">
                  <c:v>-126210</c:v>
                </c:pt>
                <c:pt idx="168">
                  <c:v>-121710</c:v>
                </c:pt>
                <c:pt idx="169">
                  <c:v>-86460</c:v>
                </c:pt>
                <c:pt idx="170">
                  <c:v>-101210</c:v>
                </c:pt>
                <c:pt idx="171">
                  <c:v>-111960</c:v>
                </c:pt>
                <c:pt idx="172">
                  <c:v>-112210</c:v>
                </c:pt>
                <c:pt idx="173">
                  <c:v>-114210</c:v>
                </c:pt>
                <c:pt idx="174">
                  <c:v>-110950</c:v>
                </c:pt>
                <c:pt idx="175">
                  <c:v>-120200</c:v>
                </c:pt>
                <c:pt idx="176">
                  <c:v>-124700</c:v>
                </c:pt>
                <c:pt idx="177">
                  <c:v>-133700</c:v>
                </c:pt>
                <c:pt idx="178">
                  <c:v>-125700</c:v>
                </c:pt>
                <c:pt idx="179">
                  <c:v>-129450</c:v>
                </c:pt>
                <c:pt idx="180">
                  <c:v>-124450</c:v>
                </c:pt>
                <c:pt idx="181">
                  <c:v>-123450</c:v>
                </c:pt>
                <c:pt idx="182">
                  <c:v>-132450</c:v>
                </c:pt>
                <c:pt idx="183">
                  <c:v>-132700</c:v>
                </c:pt>
                <c:pt idx="184">
                  <c:v>-136450</c:v>
                </c:pt>
                <c:pt idx="185">
                  <c:v>-137200</c:v>
                </c:pt>
                <c:pt idx="186">
                  <c:v>-138700</c:v>
                </c:pt>
                <c:pt idx="187">
                  <c:v>-135700</c:v>
                </c:pt>
                <c:pt idx="188">
                  <c:v>-141700</c:v>
                </c:pt>
                <c:pt idx="189">
                  <c:v>-140700</c:v>
                </c:pt>
                <c:pt idx="190">
                  <c:v>-144450</c:v>
                </c:pt>
                <c:pt idx="191">
                  <c:v>-136450</c:v>
                </c:pt>
                <c:pt idx="192">
                  <c:v>-137700</c:v>
                </c:pt>
                <c:pt idx="193">
                  <c:v>-138450</c:v>
                </c:pt>
                <c:pt idx="194">
                  <c:v>-148200</c:v>
                </c:pt>
                <c:pt idx="195">
                  <c:v>-155450</c:v>
                </c:pt>
                <c:pt idx="196">
                  <c:v>-153450</c:v>
                </c:pt>
                <c:pt idx="197">
                  <c:v>-151450</c:v>
                </c:pt>
                <c:pt idx="198">
                  <c:v>-149200</c:v>
                </c:pt>
                <c:pt idx="199">
                  <c:v>-144950</c:v>
                </c:pt>
                <c:pt idx="200">
                  <c:v>-151200</c:v>
                </c:pt>
                <c:pt idx="201">
                  <c:v>-149200</c:v>
                </c:pt>
                <c:pt idx="202">
                  <c:v>-154950</c:v>
                </c:pt>
                <c:pt idx="203">
                  <c:v>-158450</c:v>
                </c:pt>
                <c:pt idx="204">
                  <c:v>-156700</c:v>
                </c:pt>
                <c:pt idx="205">
                  <c:v>-149950</c:v>
                </c:pt>
                <c:pt idx="206">
                  <c:v>-150450</c:v>
                </c:pt>
                <c:pt idx="207">
                  <c:v>-150450</c:v>
                </c:pt>
                <c:pt idx="208">
                  <c:v>-149700</c:v>
                </c:pt>
                <c:pt idx="209">
                  <c:v>-149450</c:v>
                </c:pt>
                <c:pt idx="210">
                  <c:v>-152450</c:v>
                </c:pt>
                <c:pt idx="211">
                  <c:v>-149450</c:v>
                </c:pt>
                <c:pt idx="212">
                  <c:v>-152950</c:v>
                </c:pt>
                <c:pt idx="213">
                  <c:v>-152200</c:v>
                </c:pt>
                <c:pt idx="214">
                  <c:v>-161450</c:v>
                </c:pt>
                <c:pt idx="215">
                  <c:v>-161950</c:v>
                </c:pt>
                <c:pt idx="216">
                  <c:v>-161950</c:v>
                </c:pt>
                <c:pt idx="217">
                  <c:v>-165450</c:v>
                </c:pt>
                <c:pt idx="218">
                  <c:v>-164950</c:v>
                </c:pt>
                <c:pt idx="219">
                  <c:v>-165950</c:v>
                </c:pt>
                <c:pt idx="220">
                  <c:v>-167950</c:v>
                </c:pt>
                <c:pt idx="221">
                  <c:v>-171450</c:v>
                </c:pt>
                <c:pt idx="222">
                  <c:v>-171450</c:v>
                </c:pt>
                <c:pt idx="223">
                  <c:v>-167950</c:v>
                </c:pt>
                <c:pt idx="224">
                  <c:v>-156450</c:v>
                </c:pt>
                <c:pt idx="225">
                  <c:v>-158700</c:v>
                </c:pt>
                <c:pt idx="226">
                  <c:v>-162450</c:v>
                </c:pt>
                <c:pt idx="227">
                  <c:v>-166700</c:v>
                </c:pt>
                <c:pt idx="228">
                  <c:v>-168450</c:v>
                </c:pt>
                <c:pt idx="229">
                  <c:v>-179450</c:v>
                </c:pt>
                <c:pt idx="230">
                  <c:v>-177200</c:v>
                </c:pt>
                <c:pt idx="231">
                  <c:v>-175200</c:v>
                </c:pt>
                <c:pt idx="232">
                  <c:v>-171950</c:v>
                </c:pt>
                <c:pt idx="233">
                  <c:v>-171200</c:v>
                </c:pt>
                <c:pt idx="234">
                  <c:v>-170950</c:v>
                </c:pt>
                <c:pt idx="235">
                  <c:v>-176200</c:v>
                </c:pt>
                <c:pt idx="236">
                  <c:v>-174200</c:v>
                </c:pt>
                <c:pt idx="237">
                  <c:v>-175450</c:v>
                </c:pt>
                <c:pt idx="238">
                  <c:v>-176450</c:v>
                </c:pt>
                <c:pt idx="239">
                  <c:v>-177440</c:v>
                </c:pt>
                <c:pt idx="240">
                  <c:v>-170690</c:v>
                </c:pt>
                <c:pt idx="241">
                  <c:v>-165190</c:v>
                </c:pt>
                <c:pt idx="242">
                  <c:v>-166440</c:v>
                </c:pt>
                <c:pt idx="243">
                  <c:v>-169190</c:v>
                </c:pt>
                <c:pt idx="244">
                  <c:v>-163690</c:v>
                </c:pt>
                <c:pt idx="245">
                  <c:v>-165440</c:v>
                </c:pt>
                <c:pt idx="246">
                  <c:v>-162440</c:v>
                </c:pt>
                <c:pt idx="247">
                  <c:v>-168190</c:v>
                </c:pt>
                <c:pt idx="248">
                  <c:v>-174940</c:v>
                </c:pt>
                <c:pt idx="249">
                  <c:v>-176190</c:v>
                </c:pt>
                <c:pt idx="250">
                  <c:v>-174190</c:v>
                </c:pt>
                <c:pt idx="251">
                  <c:v>-176190</c:v>
                </c:pt>
                <c:pt idx="252">
                  <c:v>-171940</c:v>
                </c:pt>
                <c:pt idx="253">
                  <c:v>-168690</c:v>
                </c:pt>
                <c:pt idx="254">
                  <c:v>-166940</c:v>
                </c:pt>
                <c:pt idx="255">
                  <c:v>-166690</c:v>
                </c:pt>
                <c:pt idx="256">
                  <c:v>-172440</c:v>
                </c:pt>
                <c:pt idx="257">
                  <c:v>-173940</c:v>
                </c:pt>
                <c:pt idx="258">
                  <c:v>-174190</c:v>
                </c:pt>
                <c:pt idx="259">
                  <c:v>-177690</c:v>
                </c:pt>
                <c:pt idx="260">
                  <c:v>-178690</c:v>
                </c:pt>
                <c:pt idx="261">
                  <c:v>-179180</c:v>
                </c:pt>
                <c:pt idx="262">
                  <c:v>-182930</c:v>
                </c:pt>
                <c:pt idx="263">
                  <c:v>-177930</c:v>
                </c:pt>
                <c:pt idx="264">
                  <c:v>-174930</c:v>
                </c:pt>
                <c:pt idx="265">
                  <c:v>-174680</c:v>
                </c:pt>
                <c:pt idx="266">
                  <c:v>-182680</c:v>
                </c:pt>
                <c:pt idx="267">
                  <c:v>-190180</c:v>
                </c:pt>
                <c:pt idx="268">
                  <c:v>-172930</c:v>
                </c:pt>
                <c:pt idx="269">
                  <c:v>-167180</c:v>
                </c:pt>
                <c:pt idx="270">
                  <c:v>-170680</c:v>
                </c:pt>
                <c:pt idx="271">
                  <c:v>-174930</c:v>
                </c:pt>
                <c:pt idx="272">
                  <c:v>-174930</c:v>
                </c:pt>
                <c:pt idx="273">
                  <c:v>-177680</c:v>
                </c:pt>
                <c:pt idx="274">
                  <c:v>-177430</c:v>
                </c:pt>
                <c:pt idx="275">
                  <c:v>-177930</c:v>
                </c:pt>
                <c:pt idx="276">
                  <c:v>-175430</c:v>
                </c:pt>
                <c:pt idx="277">
                  <c:v>-172180</c:v>
                </c:pt>
                <c:pt idx="278">
                  <c:v>-171930</c:v>
                </c:pt>
                <c:pt idx="279">
                  <c:v>-169680</c:v>
                </c:pt>
                <c:pt idx="280">
                  <c:v>-168930</c:v>
                </c:pt>
                <c:pt idx="281">
                  <c:v>-173680</c:v>
                </c:pt>
                <c:pt idx="282">
                  <c:v>-168430</c:v>
                </c:pt>
                <c:pt idx="283">
                  <c:v>-169680</c:v>
                </c:pt>
                <c:pt idx="284">
                  <c:v>-165670</c:v>
                </c:pt>
                <c:pt idx="285">
                  <c:v>-160920</c:v>
                </c:pt>
                <c:pt idx="286">
                  <c:v>-158170</c:v>
                </c:pt>
                <c:pt idx="287">
                  <c:v>-158920</c:v>
                </c:pt>
                <c:pt idx="288">
                  <c:v>-158170</c:v>
                </c:pt>
                <c:pt idx="289">
                  <c:v>-160670</c:v>
                </c:pt>
                <c:pt idx="290">
                  <c:v>-159920</c:v>
                </c:pt>
                <c:pt idx="291">
                  <c:v>-161670</c:v>
                </c:pt>
                <c:pt idx="292">
                  <c:v>-162420</c:v>
                </c:pt>
                <c:pt idx="293">
                  <c:v>-157670</c:v>
                </c:pt>
                <c:pt idx="294">
                  <c:v>-156420</c:v>
                </c:pt>
                <c:pt idx="295">
                  <c:v>-153420</c:v>
                </c:pt>
                <c:pt idx="296">
                  <c:v>-148420</c:v>
                </c:pt>
                <c:pt idx="297">
                  <c:v>-146420</c:v>
                </c:pt>
                <c:pt idx="298">
                  <c:v>-147420</c:v>
                </c:pt>
                <c:pt idx="299">
                  <c:v>-151670</c:v>
                </c:pt>
                <c:pt idx="300">
                  <c:v>-149420</c:v>
                </c:pt>
                <c:pt idx="301">
                  <c:v>-144670</c:v>
                </c:pt>
                <c:pt idx="302">
                  <c:v>-151170</c:v>
                </c:pt>
                <c:pt idx="303">
                  <c:v>-144670</c:v>
                </c:pt>
                <c:pt idx="304">
                  <c:v>-141660</c:v>
                </c:pt>
                <c:pt idx="305">
                  <c:v>-127910</c:v>
                </c:pt>
                <c:pt idx="306">
                  <c:v>-127160</c:v>
                </c:pt>
                <c:pt idx="307">
                  <c:v>-116410</c:v>
                </c:pt>
                <c:pt idx="308">
                  <c:v>-118160</c:v>
                </c:pt>
                <c:pt idx="309">
                  <c:v>-129410</c:v>
                </c:pt>
                <c:pt idx="310">
                  <c:v>-126160</c:v>
                </c:pt>
                <c:pt idx="311">
                  <c:v>-121410</c:v>
                </c:pt>
                <c:pt idx="312">
                  <c:v>-122160</c:v>
                </c:pt>
                <c:pt idx="313">
                  <c:v>-126160</c:v>
                </c:pt>
                <c:pt idx="314">
                  <c:v>-128160</c:v>
                </c:pt>
                <c:pt idx="315">
                  <c:v>-121910</c:v>
                </c:pt>
                <c:pt idx="316">
                  <c:v>-118660</c:v>
                </c:pt>
                <c:pt idx="317">
                  <c:v>-129660</c:v>
                </c:pt>
                <c:pt idx="318">
                  <c:v>-128160</c:v>
                </c:pt>
                <c:pt idx="319">
                  <c:v>-119660</c:v>
                </c:pt>
                <c:pt idx="320">
                  <c:v>-122660</c:v>
                </c:pt>
                <c:pt idx="321">
                  <c:v>-124910</c:v>
                </c:pt>
                <c:pt idx="322">
                  <c:v>-116910</c:v>
                </c:pt>
                <c:pt idx="323">
                  <c:v>-114910</c:v>
                </c:pt>
                <c:pt idx="324">
                  <c:v>-107410</c:v>
                </c:pt>
                <c:pt idx="325">
                  <c:v>-100660</c:v>
                </c:pt>
                <c:pt idx="326">
                  <c:v>-114160</c:v>
                </c:pt>
                <c:pt idx="327">
                  <c:v>-111410</c:v>
                </c:pt>
                <c:pt idx="328">
                  <c:v>-109160</c:v>
                </c:pt>
                <c:pt idx="329">
                  <c:v>-110410</c:v>
                </c:pt>
                <c:pt idx="330">
                  <c:v>-101660</c:v>
                </c:pt>
                <c:pt idx="331">
                  <c:v>-104160</c:v>
                </c:pt>
                <c:pt idx="332">
                  <c:v>-106160</c:v>
                </c:pt>
                <c:pt idx="333">
                  <c:v>-109410</c:v>
                </c:pt>
                <c:pt idx="334">
                  <c:v>-104410</c:v>
                </c:pt>
                <c:pt idx="335">
                  <c:v>-105660</c:v>
                </c:pt>
                <c:pt idx="336">
                  <c:v>-111910</c:v>
                </c:pt>
                <c:pt idx="337">
                  <c:v>-114910</c:v>
                </c:pt>
                <c:pt idx="338">
                  <c:v>-115660</c:v>
                </c:pt>
                <c:pt idx="339">
                  <c:v>-121160</c:v>
                </c:pt>
                <c:pt idx="340">
                  <c:v>-110410</c:v>
                </c:pt>
                <c:pt idx="341">
                  <c:v>-105910</c:v>
                </c:pt>
                <c:pt idx="342">
                  <c:v>-107660</c:v>
                </c:pt>
                <c:pt idx="343">
                  <c:v>-101660</c:v>
                </c:pt>
                <c:pt idx="344">
                  <c:v>-100410</c:v>
                </c:pt>
                <c:pt idx="345">
                  <c:v>-94410</c:v>
                </c:pt>
                <c:pt idx="346">
                  <c:v>-96660</c:v>
                </c:pt>
                <c:pt idx="347">
                  <c:v>-107650</c:v>
                </c:pt>
                <c:pt idx="348">
                  <c:v>-116900</c:v>
                </c:pt>
                <c:pt idx="349">
                  <c:v>-106150</c:v>
                </c:pt>
                <c:pt idx="350">
                  <c:v>-97400</c:v>
                </c:pt>
                <c:pt idx="351">
                  <c:v>-104150</c:v>
                </c:pt>
                <c:pt idx="352">
                  <c:v>-98900</c:v>
                </c:pt>
                <c:pt idx="353">
                  <c:v>-104650</c:v>
                </c:pt>
                <c:pt idx="354">
                  <c:v>-115650</c:v>
                </c:pt>
                <c:pt idx="355">
                  <c:v>-113650</c:v>
                </c:pt>
                <c:pt idx="356">
                  <c:v>-118900</c:v>
                </c:pt>
                <c:pt idx="357">
                  <c:v>-130900</c:v>
                </c:pt>
                <c:pt idx="358">
                  <c:v>-132900</c:v>
                </c:pt>
                <c:pt idx="359">
                  <c:v>-137900</c:v>
                </c:pt>
                <c:pt idx="360">
                  <c:v>-140900</c:v>
                </c:pt>
                <c:pt idx="361">
                  <c:v>-140650</c:v>
                </c:pt>
                <c:pt idx="362">
                  <c:v>-139400</c:v>
                </c:pt>
                <c:pt idx="363">
                  <c:v>-137650</c:v>
                </c:pt>
                <c:pt idx="364">
                  <c:v>-136900</c:v>
                </c:pt>
                <c:pt idx="365">
                  <c:v>-144650</c:v>
                </c:pt>
                <c:pt idx="366">
                  <c:v>-143150</c:v>
                </c:pt>
                <c:pt idx="367">
                  <c:v>-146400</c:v>
                </c:pt>
                <c:pt idx="368">
                  <c:v>-148150</c:v>
                </c:pt>
                <c:pt idx="369">
                  <c:v>-148150</c:v>
                </c:pt>
                <c:pt idx="370">
                  <c:v>-157650</c:v>
                </c:pt>
                <c:pt idx="371">
                  <c:v>-158650</c:v>
                </c:pt>
                <c:pt idx="372">
                  <c:v>-164650</c:v>
                </c:pt>
                <c:pt idx="373">
                  <c:v>-158150</c:v>
                </c:pt>
                <c:pt idx="374">
                  <c:v>-167650</c:v>
                </c:pt>
                <c:pt idx="375">
                  <c:v>-168650</c:v>
                </c:pt>
                <c:pt idx="376">
                  <c:v>-174900</c:v>
                </c:pt>
                <c:pt idx="377">
                  <c:v>-172650</c:v>
                </c:pt>
                <c:pt idx="378">
                  <c:v>-170150</c:v>
                </c:pt>
                <c:pt idx="379">
                  <c:v>-173650</c:v>
                </c:pt>
                <c:pt idx="380">
                  <c:v>-176150</c:v>
                </c:pt>
                <c:pt idx="381">
                  <c:v>-172650</c:v>
                </c:pt>
                <c:pt idx="382">
                  <c:v>-166150</c:v>
                </c:pt>
                <c:pt idx="383">
                  <c:v>-162150</c:v>
                </c:pt>
                <c:pt idx="384">
                  <c:v>-169400</c:v>
                </c:pt>
                <c:pt idx="385">
                  <c:v>-173150</c:v>
                </c:pt>
                <c:pt idx="386">
                  <c:v>-174150</c:v>
                </c:pt>
                <c:pt idx="387">
                  <c:v>-168650</c:v>
                </c:pt>
                <c:pt idx="388">
                  <c:v>-168150</c:v>
                </c:pt>
                <c:pt idx="389">
                  <c:v>-189650</c:v>
                </c:pt>
                <c:pt idx="390">
                  <c:v>-194390</c:v>
                </c:pt>
                <c:pt idx="391">
                  <c:v>-197390</c:v>
                </c:pt>
                <c:pt idx="392">
                  <c:v>-199890</c:v>
                </c:pt>
                <c:pt idx="393">
                  <c:v>-207140</c:v>
                </c:pt>
                <c:pt idx="394">
                  <c:v>-208640</c:v>
                </c:pt>
                <c:pt idx="395">
                  <c:v>-211890</c:v>
                </c:pt>
                <c:pt idx="396">
                  <c:v>-219390</c:v>
                </c:pt>
                <c:pt idx="397">
                  <c:v>-223390</c:v>
                </c:pt>
                <c:pt idx="398">
                  <c:v>-230390</c:v>
                </c:pt>
                <c:pt idx="399">
                  <c:v>-228390</c:v>
                </c:pt>
                <c:pt idx="400">
                  <c:v>-234640</c:v>
                </c:pt>
                <c:pt idx="401">
                  <c:v>-233390</c:v>
                </c:pt>
                <c:pt idx="402">
                  <c:v>-229890</c:v>
                </c:pt>
                <c:pt idx="403">
                  <c:v>-237390</c:v>
                </c:pt>
                <c:pt idx="404">
                  <c:v>-244390</c:v>
                </c:pt>
                <c:pt idx="405">
                  <c:v>-248390</c:v>
                </c:pt>
                <c:pt idx="406">
                  <c:v>-247390</c:v>
                </c:pt>
                <c:pt idx="407">
                  <c:v>-248890</c:v>
                </c:pt>
                <c:pt idx="408">
                  <c:v>-247140</c:v>
                </c:pt>
                <c:pt idx="409">
                  <c:v>-241390</c:v>
                </c:pt>
                <c:pt idx="410">
                  <c:v>-248390</c:v>
                </c:pt>
                <c:pt idx="411">
                  <c:v>-248890</c:v>
                </c:pt>
                <c:pt idx="412">
                  <c:v>-251640</c:v>
                </c:pt>
                <c:pt idx="413">
                  <c:v>-255390</c:v>
                </c:pt>
                <c:pt idx="414">
                  <c:v>-250140</c:v>
                </c:pt>
                <c:pt idx="415">
                  <c:v>-254640</c:v>
                </c:pt>
                <c:pt idx="416">
                  <c:v>-247640</c:v>
                </c:pt>
                <c:pt idx="417">
                  <c:v>-251640</c:v>
                </c:pt>
                <c:pt idx="418">
                  <c:v>-257390</c:v>
                </c:pt>
                <c:pt idx="419">
                  <c:v>-253890</c:v>
                </c:pt>
                <c:pt idx="420">
                  <c:v>-250390</c:v>
                </c:pt>
                <c:pt idx="421">
                  <c:v>-251140</c:v>
                </c:pt>
                <c:pt idx="422">
                  <c:v>-247390</c:v>
                </c:pt>
                <c:pt idx="423">
                  <c:v>-243640</c:v>
                </c:pt>
                <c:pt idx="424">
                  <c:v>-248140</c:v>
                </c:pt>
                <c:pt idx="425">
                  <c:v>-247890</c:v>
                </c:pt>
                <c:pt idx="426">
                  <c:v>-250890</c:v>
                </c:pt>
                <c:pt idx="427">
                  <c:v>-248140</c:v>
                </c:pt>
                <c:pt idx="428">
                  <c:v>-245390</c:v>
                </c:pt>
                <c:pt idx="429">
                  <c:v>-249890</c:v>
                </c:pt>
                <c:pt idx="430">
                  <c:v>-254140</c:v>
                </c:pt>
                <c:pt idx="431">
                  <c:v>-253390</c:v>
                </c:pt>
                <c:pt idx="432">
                  <c:v>-248390</c:v>
                </c:pt>
                <c:pt idx="433">
                  <c:v>-254640</c:v>
                </c:pt>
                <c:pt idx="434">
                  <c:v>-253130</c:v>
                </c:pt>
                <c:pt idx="435">
                  <c:v>-254130</c:v>
                </c:pt>
                <c:pt idx="436">
                  <c:v>-264880</c:v>
                </c:pt>
                <c:pt idx="437">
                  <c:v>-271880</c:v>
                </c:pt>
                <c:pt idx="438">
                  <c:v>-263130</c:v>
                </c:pt>
                <c:pt idx="439">
                  <c:v>-270380</c:v>
                </c:pt>
                <c:pt idx="440">
                  <c:v>-273380</c:v>
                </c:pt>
                <c:pt idx="441">
                  <c:v>-271380</c:v>
                </c:pt>
                <c:pt idx="442">
                  <c:v>-278880</c:v>
                </c:pt>
                <c:pt idx="443">
                  <c:v>-279630</c:v>
                </c:pt>
                <c:pt idx="444">
                  <c:v>-275130</c:v>
                </c:pt>
                <c:pt idx="445">
                  <c:v>-273380</c:v>
                </c:pt>
                <c:pt idx="446">
                  <c:v>-276630</c:v>
                </c:pt>
                <c:pt idx="447">
                  <c:v>-279380</c:v>
                </c:pt>
                <c:pt idx="448">
                  <c:v>-285380</c:v>
                </c:pt>
                <c:pt idx="449">
                  <c:v>-287630</c:v>
                </c:pt>
                <c:pt idx="450">
                  <c:v>-292380</c:v>
                </c:pt>
                <c:pt idx="451">
                  <c:v>-288630</c:v>
                </c:pt>
                <c:pt idx="452">
                  <c:v>-292130</c:v>
                </c:pt>
                <c:pt idx="453">
                  <c:v>-294630</c:v>
                </c:pt>
                <c:pt idx="454">
                  <c:v>-292630</c:v>
                </c:pt>
                <c:pt idx="455">
                  <c:v>-296380</c:v>
                </c:pt>
                <c:pt idx="456">
                  <c:v>-296880</c:v>
                </c:pt>
                <c:pt idx="457">
                  <c:v>-296630</c:v>
                </c:pt>
                <c:pt idx="458">
                  <c:v>-295130</c:v>
                </c:pt>
                <c:pt idx="459">
                  <c:v>-286130</c:v>
                </c:pt>
                <c:pt idx="460">
                  <c:v>-278630</c:v>
                </c:pt>
                <c:pt idx="461">
                  <c:v>-275880</c:v>
                </c:pt>
                <c:pt idx="462">
                  <c:v>-272630</c:v>
                </c:pt>
                <c:pt idx="463">
                  <c:v>-285380</c:v>
                </c:pt>
                <c:pt idx="464">
                  <c:v>-273130</c:v>
                </c:pt>
                <c:pt idx="465">
                  <c:v>-263380</c:v>
                </c:pt>
                <c:pt idx="466">
                  <c:v>-269630</c:v>
                </c:pt>
                <c:pt idx="467">
                  <c:v>-266880</c:v>
                </c:pt>
                <c:pt idx="468">
                  <c:v>-270380</c:v>
                </c:pt>
                <c:pt idx="469">
                  <c:v>-270880</c:v>
                </c:pt>
                <c:pt idx="470">
                  <c:v>-261380</c:v>
                </c:pt>
                <c:pt idx="471">
                  <c:v>-264630</c:v>
                </c:pt>
                <c:pt idx="472">
                  <c:v>-258880</c:v>
                </c:pt>
                <c:pt idx="473">
                  <c:v>-264880</c:v>
                </c:pt>
                <c:pt idx="474">
                  <c:v>-257380</c:v>
                </c:pt>
                <c:pt idx="475">
                  <c:v>-253880</c:v>
                </c:pt>
                <c:pt idx="476">
                  <c:v>-245380</c:v>
                </c:pt>
                <c:pt idx="477">
                  <c:v>-242380</c:v>
                </c:pt>
                <c:pt idx="478">
                  <c:v>-245380</c:v>
                </c:pt>
                <c:pt idx="479">
                  <c:v>-246630</c:v>
                </c:pt>
                <c:pt idx="480">
                  <c:v>-252380</c:v>
                </c:pt>
                <c:pt idx="481">
                  <c:v>-248880</c:v>
                </c:pt>
                <c:pt idx="482">
                  <c:v>-246380</c:v>
                </c:pt>
                <c:pt idx="483">
                  <c:v>-249880</c:v>
                </c:pt>
                <c:pt idx="484">
                  <c:v>-247380</c:v>
                </c:pt>
                <c:pt idx="485">
                  <c:v>-245630</c:v>
                </c:pt>
                <c:pt idx="486">
                  <c:v>-240130</c:v>
                </c:pt>
                <c:pt idx="487">
                  <c:v>-234880</c:v>
                </c:pt>
                <c:pt idx="488">
                  <c:v>-234880</c:v>
                </c:pt>
                <c:pt idx="489">
                  <c:v>-240880</c:v>
                </c:pt>
                <c:pt idx="490">
                  <c:v>-244630</c:v>
                </c:pt>
                <c:pt idx="491">
                  <c:v>-254380</c:v>
                </c:pt>
                <c:pt idx="492">
                  <c:v>-244880</c:v>
                </c:pt>
                <c:pt idx="493">
                  <c:v>-241130</c:v>
                </c:pt>
                <c:pt idx="494">
                  <c:v>-251130</c:v>
                </c:pt>
                <c:pt idx="495">
                  <c:v>-245630</c:v>
                </c:pt>
                <c:pt idx="496">
                  <c:v>-239630</c:v>
                </c:pt>
                <c:pt idx="497">
                  <c:v>-242130</c:v>
                </c:pt>
                <c:pt idx="498">
                  <c:v>-241880</c:v>
                </c:pt>
                <c:pt idx="499">
                  <c:v>-243120</c:v>
                </c:pt>
                <c:pt idx="500">
                  <c:v>-248620</c:v>
                </c:pt>
                <c:pt idx="501">
                  <c:v>-250620</c:v>
                </c:pt>
                <c:pt idx="502">
                  <c:v>-241370</c:v>
                </c:pt>
                <c:pt idx="503">
                  <c:v>-235870</c:v>
                </c:pt>
                <c:pt idx="504">
                  <c:v>-238370</c:v>
                </c:pt>
                <c:pt idx="505">
                  <c:v>-236370</c:v>
                </c:pt>
                <c:pt idx="506">
                  <c:v>-238870</c:v>
                </c:pt>
                <c:pt idx="507">
                  <c:v>-234120</c:v>
                </c:pt>
                <c:pt idx="508">
                  <c:v>-221370</c:v>
                </c:pt>
                <c:pt idx="509">
                  <c:v>-222870</c:v>
                </c:pt>
                <c:pt idx="510">
                  <c:v>-224370</c:v>
                </c:pt>
                <c:pt idx="511">
                  <c:v>-223120</c:v>
                </c:pt>
                <c:pt idx="512">
                  <c:v>-220120</c:v>
                </c:pt>
                <c:pt idx="513">
                  <c:v>-222120</c:v>
                </c:pt>
                <c:pt idx="514">
                  <c:v>-218870</c:v>
                </c:pt>
                <c:pt idx="515">
                  <c:v>-217370</c:v>
                </c:pt>
                <c:pt idx="516">
                  <c:v>-223120</c:v>
                </c:pt>
                <c:pt idx="517">
                  <c:v>-220370</c:v>
                </c:pt>
                <c:pt idx="518">
                  <c:v>-217870</c:v>
                </c:pt>
                <c:pt idx="519">
                  <c:v>-218620</c:v>
                </c:pt>
                <c:pt idx="520">
                  <c:v>-224370</c:v>
                </c:pt>
                <c:pt idx="521">
                  <c:v>-234370</c:v>
                </c:pt>
                <c:pt idx="522">
                  <c:v>-232860</c:v>
                </c:pt>
                <c:pt idx="523">
                  <c:v>-235610</c:v>
                </c:pt>
                <c:pt idx="524">
                  <c:v>-225610</c:v>
                </c:pt>
                <c:pt idx="525">
                  <c:v>-226360</c:v>
                </c:pt>
                <c:pt idx="526">
                  <c:v>-234610</c:v>
                </c:pt>
                <c:pt idx="527">
                  <c:v>-236610</c:v>
                </c:pt>
                <c:pt idx="528">
                  <c:v>-230360</c:v>
                </c:pt>
                <c:pt idx="529">
                  <c:v>-228360</c:v>
                </c:pt>
                <c:pt idx="530">
                  <c:v>-244860</c:v>
                </c:pt>
                <c:pt idx="531">
                  <c:v>-251360</c:v>
                </c:pt>
                <c:pt idx="532">
                  <c:v>-252860</c:v>
                </c:pt>
                <c:pt idx="533">
                  <c:v>-244110</c:v>
                </c:pt>
                <c:pt idx="534">
                  <c:v>-244110</c:v>
                </c:pt>
                <c:pt idx="535">
                  <c:v>-241610</c:v>
                </c:pt>
                <c:pt idx="536">
                  <c:v>-243360</c:v>
                </c:pt>
                <c:pt idx="537">
                  <c:v>-247360</c:v>
                </c:pt>
                <c:pt idx="538">
                  <c:v>-245610</c:v>
                </c:pt>
                <c:pt idx="539">
                  <c:v>-246610</c:v>
                </c:pt>
                <c:pt idx="540">
                  <c:v>-248360</c:v>
                </c:pt>
                <c:pt idx="541">
                  <c:v>-254860</c:v>
                </c:pt>
                <c:pt idx="542">
                  <c:v>-260860</c:v>
                </c:pt>
                <c:pt idx="543">
                  <c:v>-261110</c:v>
                </c:pt>
                <c:pt idx="544">
                  <c:v>-260850</c:v>
                </c:pt>
                <c:pt idx="545">
                  <c:v>-245350</c:v>
                </c:pt>
                <c:pt idx="546">
                  <c:v>-250600</c:v>
                </c:pt>
                <c:pt idx="547">
                  <c:v>-247600</c:v>
                </c:pt>
                <c:pt idx="548">
                  <c:v>-248850</c:v>
                </c:pt>
                <c:pt idx="549">
                  <c:v>-240850</c:v>
                </c:pt>
                <c:pt idx="550">
                  <c:v>-244350</c:v>
                </c:pt>
                <c:pt idx="551">
                  <c:v>-244350</c:v>
                </c:pt>
                <c:pt idx="552">
                  <c:v>-248600</c:v>
                </c:pt>
                <c:pt idx="553">
                  <c:v>-246100</c:v>
                </c:pt>
                <c:pt idx="554">
                  <c:v>-244100</c:v>
                </c:pt>
                <c:pt idx="555">
                  <c:v>-242600</c:v>
                </c:pt>
                <c:pt idx="556">
                  <c:v>-247850</c:v>
                </c:pt>
                <c:pt idx="557">
                  <c:v>-242850</c:v>
                </c:pt>
                <c:pt idx="558">
                  <c:v>-247850</c:v>
                </c:pt>
                <c:pt idx="559">
                  <c:v>-252100</c:v>
                </c:pt>
                <c:pt idx="560">
                  <c:v>-253100</c:v>
                </c:pt>
                <c:pt idx="561">
                  <c:v>-258600</c:v>
                </c:pt>
                <c:pt idx="562">
                  <c:v>-251100</c:v>
                </c:pt>
                <c:pt idx="563">
                  <c:v>-243850</c:v>
                </c:pt>
                <c:pt idx="564">
                  <c:v>-251840</c:v>
                </c:pt>
                <c:pt idx="565">
                  <c:v>-249840</c:v>
                </c:pt>
                <c:pt idx="566">
                  <c:v>-250340</c:v>
                </c:pt>
                <c:pt idx="567">
                  <c:v>-249090</c:v>
                </c:pt>
                <c:pt idx="568">
                  <c:v>-256340</c:v>
                </c:pt>
                <c:pt idx="569">
                  <c:v>-250590</c:v>
                </c:pt>
                <c:pt idx="570">
                  <c:v>-253340</c:v>
                </c:pt>
                <c:pt idx="571">
                  <c:v>-248590</c:v>
                </c:pt>
                <c:pt idx="572">
                  <c:v>-250590</c:v>
                </c:pt>
                <c:pt idx="573">
                  <c:v>-258840</c:v>
                </c:pt>
                <c:pt idx="574">
                  <c:v>-261340</c:v>
                </c:pt>
                <c:pt idx="575">
                  <c:v>-269340</c:v>
                </c:pt>
                <c:pt idx="576">
                  <c:v>-267340</c:v>
                </c:pt>
                <c:pt idx="577">
                  <c:v>-267340</c:v>
                </c:pt>
                <c:pt idx="578">
                  <c:v>-253840</c:v>
                </c:pt>
                <c:pt idx="579">
                  <c:v>-249090</c:v>
                </c:pt>
                <c:pt idx="580">
                  <c:v>-247090</c:v>
                </c:pt>
                <c:pt idx="581">
                  <c:v>-244590</c:v>
                </c:pt>
                <c:pt idx="582">
                  <c:v>-248840</c:v>
                </c:pt>
                <c:pt idx="583">
                  <c:v>-249090</c:v>
                </c:pt>
                <c:pt idx="584">
                  <c:v>-246090</c:v>
                </c:pt>
                <c:pt idx="585">
                  <c:v>-263090</c:v>
                </c:pt>
                <c:pt idx="586">
                  <c:v>-258590</c:v>
                </c:pt>
                <c:pt idx="587">
                  <c:v>-252840</c:v>
                </c:pt>
                <c:pt idx="588">
                  <c:v>-250590</c:v>
                </c:pt>
                <c:pt idx="589">
                  <c:v>-254590</c:v>
                </c:pt>
                <c:pt idx="590">
                  <c:v>-257090</c:v>
                </c:pt>
                <c:pt idx="591">
                  <c:v>-261840</c:v>
                </c:pt>
                <c:pt idx="592">
                  <c:v>-261340</c:v>
                </c:pt>
                <c:pt idx="593">
                  <c:v>-263840</c:v>
                </c:pt>
                <c:pt idx="594">
                  <c:v>-268090</c:v>
                </c:pt>
                <c:pt idx="595">
                  <c:v>-265590</c:v>
                </c:pt>
                <c:pt idx="596">
                  <c:v>-264590</c:v>
                </c:pt>
                <c:pt idx="597">
                  <c:v>-262340</c:v>
                </c:pt>
                <c:pt idx="598">
                  <c:v>-261340</c:v>
                </c:pt>
                <c:pt idx="599">
                  <c:v>-261090</c:v>
                </c:pt>
                <c:pt idx="600">
                  <c:v>-266840</c:v>
                </c:pt>
                <c:pt idx="601">
                  <c:v>-267340</c:v>
                </c:pt>
                <c:pt idx="602">
                  <c:v>-264840</c:v>
                </c:pt>
                <c:pt idx="603">
                  <c:v>-275840</c:v>
                </c:pt>
                <c:pt idx="604">
                  <c:v>-281340</c:v>
                </c:pt>
                <c:pt idx="605">
                  <c:v>-280590</c:v>
                </c:pt>
                <c:pt idx="606">
                  <c:v>-279090</c:v>
                </c:pt>
                <c:pt idx="607">
                  <c:v>-281090</c:v>
                </c:pt>
                <c:pt idx="608">
                  <c:v>-284330</c:v>
                </c:pt>
                <c:pt idx="609">
                  <c:v>-283580</c:v>
                </c:pt>
                <c:pt idx="610">
                  <c:v>-286830</c:v>
                </c:pt>
                <c:pt idx="611">
                  <c:v>-281580</c:v>
                </c:pt>
                <c:pt idx="612">
                  <c:v>-285080</c:v>
                </c:pt>
                <c:pt idx="613">
                  <c:v>-284830</c:v>
                </c:pt>
                <c:pt idx="614">
                  <c:v>-287580</c:v>
                </c:pt>
                <c:pt idx="615">
                  <c:v>-283830</c:v>
                </c:pt>
                <c:pt idx="616">
                  <c:v>-285580</c:v>
                </c:pt>
                <c:pt idx="617">
                  <c:v>-279080</c:v>
                </c:pt>
                <c:pt idx="618">
                  <c:v>-282080</c:v>
                </c:pt>
                <c:pt idx="619">
                  <c:v>-276580</c:v>
                </c:pt>
                <c:pt idx="620">
                  <c:v>-284830</c:v>
                </c:pt>
                <c:pt idx="621">
                  <c:v>-286830</c:v>
                </c:pt>
                <c:pt idx="622">
                  <c:v>-281830</c:v>
                </c:pt>
                <c:pt idx="623">
                  <c:v>-285830</c:v>
                </c:pt>
                <c:pt idx="624">
                  <c:v>-286580</c:v>
                </c:pt>
                <c:pt idx="625">
                  <c:v>-292580</c:v>
                </c:pt>
                <c:pt idx="626">
                  <c:v>-296580</c:v>
                </c:pt>
                <c:pt idx="627">
                  <c:v>-292830</c:v>
                </c:pt>
                <c:pt idx="628">
                  <c:v>-296080</c:v>
                </c:pt>
                <c:pt idx="629">
                  <c:v>-294580</c:v>
                </c:pt>
                <c:pt idx="630">
                  <c:v>-287330</c:v>
                </c:pt>
                <c:pt idx="631">
                  <c:v>-289080</c:v>
                </c:pt>
                <c:pt idx="632">
                  <c:v>-283080</c:v>
                </c:pt>
                <c:pt idx="633">
                  <c:v>-286330</c:v>
                </c:pt>
                <c:pt idx="634">
                  <c:v>-282080</c:v>
                </c:pt>
                <c:pt idx="635">
                  <c:v>-281330</c:v>
                </c:pt>
                <c:pt idx="636">
                  <c:v>-287330</c:v>
                </c:pt>
                <c:pt idx="637">
                  <c:v>-291330</c:v>
                </c:pt>
                <c:pt idx="638">
                  <c:v>-293330</c:v>
                </c:pt>
                <c:pt idx="639">
                  <c:v>-298830</c:v>
                </c:pt>
                <c:pt idx="640">
                  <c:v>-295080</c:v>
                </c:pt>
                <c:pt idx="641">
                  <c:v>-288580</c:v>
                </c:pt>
                <c:pt idx="642">
                  <c:v>-287580</c:v>
                </c:pt>
                <c:pt idx="643">
                  <c:v>-292080</c:v>
                </c:pt>
                <c:pt idx="644">
                  <c:v>-288330</c:v>
                </c:pt>
                <c:pt idx="645">
                  <c:v>-279830</c:v>
                </c:pt>
                <c:pt idx="646">
                  <c:v>-279080</c:v>
                </c:pt>
                <c:pt idx="647">
                  <c:v>-270580</c:v>
                </c:pt>
                <c:pt idx="648">
                  <c:v>-259330</c:v>
                </c:pt>
                <c:pt idx="649">
                  <c:v>-258080</c:v>
                </c:pt>
                <c:pt idx="650">
                  <c:v>-233580</c:v>
                </c:pt>
                <c:pt idx="651">
                  <c:v>-235820</c:v>
                </c:pt>
                <c:pt idx="652">
                  <c:v>-223320</c:v>
                </c:pt>
                <c:pt idx="653">
                  <c:v>-224320</c:v>
                </c:pt>
                <c:pt idx="654">
                  <c:v>-225570</c:v>
                </c:pt>
                <c:pt idx="655">
                  <c:v>-230320</c:v>
                </c:pt>
                <c:pt idx="656">
                  <c:v>-228070</c:v>
                </c:pt>
                <c:pt idx="657">
                  <c:v>-220820</c:v>
                </c:pt>
                <c:pt idx="658">
                  <c:v>-216820</c:v>
                </c:pt>
                <c:pt idx="659">
                  <c:v>-210320</c:v>
                </c:pt>
                <c:pt idx="660">
                  <c:v>-220070</c:v>
                </c:pt>
                <c:pt idx="661">
                  <c:v>-224070</c:v>
                </c:pt>
                <c:pt idx="662">
                  <c:v>-220820</c:v>
                </c:pt>
                <c:pt idx="663">
                  <c:v>-231570</c:v>
                </c:pt>
                <c:pt idx="664">
                  <c:v>-245320</c:v>
                </c:pt>
                <c:pt idx="665">
                  <c:v>-244070</c:v>
                </c:pt>
                <c:pt idx="666">
                  <c:v>-249320</c:v>
                </c:pt>
                <c:pt idx="667">
                  <c:v>-250570</c:v>
                </c:pt>
                <c:pt idx="668">
                  <c:v>-256820</c:v>
                </c:pt>
                <c:pt idx="669">
                  <c:v>-274570</c:v>
                </c:pt>
                <c:pt idx="670">
                  <c:v>-280570</c:v>
                </c:pt>
                <c:pt idx="671">
                  <c:v>-282570</c:v>
                </c:pt>
                <c:pt idx="672">
                  <c:v>-280570</c:v>
                </c:pt>
                <c:pt idx="673">
                  <c:v>-277070</c:v>
                </c:pt>
                <c:pt idx="674">
                  <c:v>-283070</c:v>
                </c:pt>
                <c:pt idx="675">
                  <c:v>-284570</c:v>
                </c:pt>
                <c:pt idx="676">
                  <c:v>-279570</c:v>
                </c:pt>
                <c:pt idx="677">
                  <c:v>-280320</c:v>
                </c:pt>
                <c:pt idx="678">
                  <c:v>-278820</c:v>
                </c:pt>
                <c:pt idx="679">
                  <c:v>-265070</c:v>
                </c:pt>
                <c:pt idx="680">
                  <c:v>-271320</c:v>
                </c:pt>
                <c:pt idx="681">
                  <c:v>-294320</c:v>
                </c:pt>
                <c:pt idx="682">
                  <c:v>-290070</c:v>
                </c:pt>
                <c:pt idx="683">
                  <c:v>-288820</c:v>
                </c:pt>
                <c:pt idx="684">
                  <c:v>-287820</c:v>
                </c:pt>
                <c:pt idx="685">
                  <c:v>-285570</c:v>
                </c:pt>
                <c:pt idx="686">
                  <c:v>-284320</c:v>
                </c:pt>
                <c:pt idx="687">
                  <c:v>-281070</c:v>
                </c:pt>
                <c:pt idx="688">
                  <c:v>-286570</c:v>
                </c:pt>
                <c:pt idx="689">
                  <c:v>-283320</c:v>
                </c:pt>
                <c:pt idx="690">
                  <c:v>-287070</c:v>
                </c:pt>
                <c:pt idx="691">
                  <c:v>-289570</c:v>
                </c:pt>
                <c:pt idx="692">
                  <c:v>-289820</c:v>
                </c:pt>
                <c:pt idx="693">
                  <c:v>-287820</c:v>
                </c:pt>
                <c:pt idx="694">
                  <c:v>-289570</c:v>
                </c:pt>
                <c:pt idx="695">
                  <c:v>-294810</c:v>
                </c:pt>
                <c:pt idx="696">
                  <c:v>-298060</c:v>
                </c:pt>
                <c:pt idx="697">
                  <c:v>-302060</c:v>
                </c:pt>
                <c:pt idx="698">
                  <c:v>-300560</c:v>
                </c:pt>
                <c:pt idx="699">
                  <c:v>-301060</c:v>
                </c:pt>
                <c:pt idx="700">
                  <c:v>-297560</c:v>
                </c:pt>
                <c:pt idx="701">
                  <c:v>-294560</c:v>
                </c:pt>
                <c:pt idx="702">
                  <c:v>-289560</c:v>
                </c:pt>
                <c:pt idx="703">
                  <c:v>-279810</c:v>
                </c:pt>
                <c:pt idx="704">
                  <c:v>-270560</c:v>
                </c:pt>
                <c:pt idx="705">
                  <c:v>-272560</c:v>
                </c:pt>
                <c:pt idx="706">
                  <c:v>-277560</c:v>
                </c:pt>
                <c:pt idx="707">
                  <c:v>-282060</c:v>
                </c:pt>
                <c:pt idx="708">
                  <c:v>-285560</c:v>
                </c:pt>
                <c:pt idx="709">
                  <c:v>-279560</c:v>
                </c:pt>
                <c:pt idx="710">
                  <c:v>-283810</c:v>
                </c:pt>
                <c:pt idx="711">
                  <c:v>-281310</c:v>
                </c:pt>
                <c:pt idx="712">
                  <c:v>-283060</c:v>
                </c:pt>
                <c:pt idx="713">
                  <c:v>-275560</c:v>
                </c:pt>
                <c:pt idx="714">
                  <c:v>-277560</c:v>
                </c:pt>
                <c:pt idx="715">
                  <c:v>-275060</c:v>
                </c:pt>
                <c:pt idx="716">
                  <c:v>-278310</c:v>
                </c:pt>
                <c:pt idx="717">
                  <c:v>-273560</c:v>
                </c:pt>
                <c:pt idx="718">
                  <c:v>-273560</c:v>
                </c:pt>
                <c:pt idx="719">
                  <c:v>-270810</c:v>
                </c:pt>
                <c:pt idx="720">
                  <c:v>-266060</c:v>
                </c:pt>
                <c:pt idx="721">
                  <c:v>-267810</c:v>
                </c:pt>
                <c:pt idx="722">
                  <c:v>-271810</c:v>
                </c:pt>
                <c:pt idx="723">
                  <c:v>-278310</c:v>
                </c:pt>
                <c:pt idx="724">
                  <c:v>-282560</c:v>
                </c:pt>
                <c:pt idx="725">
                  <c:v>-279560</c:v>
                </c:pt>
                <c:pt idx="726">
                  <c:v>-284560</c:v>
                </c:pt>
                <c:pt idx="727">
                  <c:v>-288060</c:v>
                </c:pt>
                <c:pt idx="728">
                  <c:v>-287560</c:v>
                </c:pt>
                <c:pt idx="729">
                  <c:v>-290060</c:v>
                </c:pt>
                <c:pt idx="730">
                  <c:v>-288560</c:v>
                </c:pt>
                <c:pt idx="731">
                  <c:v>-283310</c:v>
                </c:pt>
                <c:pt idx="732">
                  <c:v>-284560</c:v>
                </c:pt>
                <c:pt idx="733">
                  <c:v>-285560</c:v>
                </c:pt>
                <c:pt idx="734">
                  <c:v>-279560</c:v>
                </c:pt>
                <c:pt idx="735">
                  <c:v>-282310</c:v>
                </c:pt>
                <c:pt idx="736">
                  <c:v>-287560</c:v>
                </c:pt>
                <c:pt idx="737">
                  <c:v>-284310</c:v>
                </c:pt>
                <c:pt idx="738">
                  <c:v>-281560</c:v>
                </c:pt>
                <c:pt idx="739">
                  <c:v>-287060</c:v>
                </c:pt>
                <c:pt idx="740">
                  <c:v>-284060</c:v>
                </c:pt>
                <c:pt idx="741">
                  <c:v>-280310</c:v>
                </c:pt>
                <c:pt idx="742">
                  <c:v>-288060</c:v>
                </c:pt>
                <c:pt idx="743">
                  <c:v>-290310</c:v>
                </c:pt>
                <c:pt idx="744">
                  <c:v>-294810</c:v>
                </c:pt>
                <c:pt idx="745">
                  <c:v>-305310</c:v>
                </c:pt>
                <c:pt idx="746">
                  <c:v>-302060</c:v>
                </c:pt>
                <c:pt idx="747">
                  <c:v>-302310</c:v>
                </c:pt>
                <c:pt idx="748">
                  <c:v>-304560</c:v>
                </c:pt>
                <c:pt idx="749">
                  <c:v>-304810</c:v>
                </c:pt>
                <c:pt idx="750">
                  <c:v>-303560</c:v>
                </c:pt>
                <c:pt idx="751">
                  <c:v>-302060</c:v>
                </c:pt>
                <c:pt idx="752">
                  <c:v>-299810</c:v>
                </c:pt>
                <c:pt idx="753">
                  <c:v>-300060</c:v>
                </c:pt>
                <c:pt idx="754">
                  <c:v>-297560</c:v>
                </c:pt>
                <c:pt idx="755">
                  <c:v>-300310</c:v>
                </c:pt>
                <c:pt idx="756">
                  <c:v>-298560</c:v>
                </c:pt>
                <c:pt idx="757">
                  <c:v>-298060</c:v>
                </c:pt>
                <c:pt idx="758">
                  <c:v>-302810</c:v>
                </c:pt>
                <c:pt idx="759">
                  <c:v>-298560</c:v>
                </c:pt>
                <c:pt idx="760">
                  <c:v>-296800</c:v>
                </c:pt>
                <c:pt idx="761">
                  <c:v>-299550</c:v>
                </c:pt>
                <c:pt idx="762">
                  <c:v>-293300</c:v>
                </c:pt>
                <c:pt idx="763">
                  <c:v>-289800</c:v>
                </c:pt>
                <c:pt idx="764">
                  <c:v>-296800</c:v>
                </c:pt>
                <c:pt idx="765">
                  <c:v>-296550</c:v>
                </c:pt>
                <c:pt idx="766">
                  <c:v>-297050</c:v>
                </c:pt>
                <c:pt idx="767">
                  <c:v>-291800</c:v>
                </c:pt>
                <c:pt idx="768">
                  <c:v>-295300</c:v>
                </c:pt>
                <c:pt idx="769">
                  <c:v>-291800</c:v>
                </c:pt>
                <c:pt idx="770">
                  <c:v>-291550</c:v>
                </c:pt>
                <c:pt idx="771">
                  <c:v>-300300</c:v>
                </c:pt>
                <c:pt idx="772">
                  <c:v>-297050</c:v>
                </c:pt>
                <c:pt idx="773">
                  <c:v>-295800</c:v>
                </c:pt>
                <c:pt idx="774">
                  <c:v>-298800</c:v>
                </c:pt>
                <c:pt idx="775">
                  <c:v>-303800</c:v>
                </c:pt>
                <c:pt idx="776">
                  <c:v>-304800</c:v>
                </c:pt>
                <c:pt idx="777">
                  <c:v>-305800</c:v>
                </c:pt>
                <c:pt idx="778">
                  <c:v>-306800</c:v>
                </c:pt>
                <c:pt idx="779">
                  <c:v>-309550</c:v>
                </c:pt>
                <c:pt idx="780">
                  <c:v>-308550</c:v>
                </c:pt>
                <c:pt idx="781">
                  <c:v>-311050</c:v>
                </c:pt>
                <c:pt idx="782">
                  <c:v>-311800</c:v>
                </c:pt>
                <c:pt idx="783">
                  <c:v>-310790</c:v>
                </c:pt>
                <c:pt idx="784">
                  <c:v>-318790</c:v>
                </c:pt>
                <c:pt idx="785">
                  <c:v>-317290</c:v>
                </c:pt>
                <c:pt idx="786">
                  <c:v>-316290</c:v>
                </c:pt>
                <c:pt idx="787">
                  <c:v>-318040</c:v>
                </c:pt>
                <c:pt idx="788">
                  <c:v>-314040</c:v>
                </c:pt>
                <c:pt idx="789">
                  <c:v>-319540</c:v>
                </c:pt>
                <c:pt idx="790">
                  <c:v>-312540</c:v>
                </c:pt>
                <c:pt idx="791">
                  <c:v>-311790</c:v>
                </c:pt>
                <c:pt idx="792">
                  <c:v>-311790</c:v>
                </c:pt>
                <c:pt idx="793">
                  <c:v>-308290</c:v>
                </c:pt>
                <c:pt idx="794">
                  <c:v>-307290</c:v>
                </c:pt>
                <c:pt idx="795">
                  <c:v>-302040</c:v>
                </c:pt>
                <c:pt idx="796">
                  <c:v>-302540</c:v>
                </c:pt>
                <c:pt idx="797">
                  <c:v>-303040</c:v>
                </c:pt>
                <c:pt idx="798">
                  <c:v>-300790</c:v>
                </c:pt>
                <c:pt idx="799">
                  <c:v>-301040</c:v>
                </c:pt>
                <c:pt idx="800">
                  <c:v>-301540</c:v>
                </c:pt>
                <c:pt idx="801">
                  <c:v>-300540</c:v>
                </c:pt>
                <c:pt idx="802">
                  <c:v>-304540</c:v>
                </c:pt>
                <c:pt idx="803">
                  <c:v>-299790</c:v>
                </c:pt>
                <c:pt idx="804">
                  <c:v>-300530</c:v>
                </c:pt>
                <c:pt idx="805">
                  <c:v>-299030</c:v>
                </c:pt>
                <c:pt idx="806">
                  <c:v>-300280</c:v>
                </c:pt>
                <c:pt idx="807">
                  <c:v>-302030</c:v>
                </c:pt>
                <c:pt idx="808">
                  <c:v>-304530</c:v>
                </c:pt>
                <c:pt idx="809">
                  <c:v>-309280</c:v>
                </c:pt>
                <c:pt idx="810">
                  <c:v>-310280</c:v>
                </c:pt>
                <c:pt idx="811">
                  <c:v>-310530</c:v>
                </c:pt>
                <c:pt idx="812">
                  <c:v>-311030</c:v>
                </c:pt>
                <c:pt idx="813">
                  <c:v>-312280</c:v>
                </c:pt>
                <c:pt idx="814">
                  <c:v>-311780</c:v>
                </c:pt>
                <c:pt idx="815">
                  <c:v>-309780</c:v>
                </c:pt>
                <c:pt idx="816">
                  <c:v>-304030</c:v>
                </c:pt>
                <c:pt idx="817">
                  <c:v>-305030</c:v>
                </c:pt>
                <c:pt idx="818">
                  <c:v>-306030</c:v>
                </c:pt>
                <c:pt idx="819">
                  <c:v>-303280</c:v>
                </c:pt>
                <c:pt idx="820">
                  <c:v>-308780</c:v>
                </c:pt>
                <c:pt idx="821">
                  <c:v>-310030</c:v>
                </c:pt>
                <c:pt idx="822">
                  <c:v>-314530</c:v>
                </c:pt>
                <c:pt idx="823">
                  <c:v>-316780</c:v>
                </c:pt>
                <c:pt idx="824">
                  <c:v>-318280</c:v>
                </c:pt>
                <c:pt idx="825">
                  <c:v>-319020</c:v>
                </c:pt>
                <c:pt idx="826">
                  <c:v>-320020</c:v>
                </c:pt>
                <c:pt idx="827">
                  <c:v>-320020</c:v>
                </c:pt>
                <c:pt idx="828">
                  <c:v>-317770</c:v>
                </c:pt>
                <c:pt idx="829">
                  <c:v>-315770</c:v>
                </c:pt>
                <c:pt idx="830">
                  <c:v>-316020</c:v>
                </c:pt>
                <c:pt idx="831">
                  <c:v>-316270</c:v>
                </c:pt>
                <c:pt idx="832">
                  <c:v>-313020</c:v>
                </c:pt>
                <c:pt idx="833">
                  <c:v>-310770</c:v>
                </c:pt>
                <c:pt idx="834">
                  <c:v>-306770</c:v>
                </c:pt>
                <c:pt idx="835">
                  <c:v>-307020</c:v>
                </c:pt>
                <c:pt idx="836">
                  <c:v>-308020</c:v>
                </c:pt>
                <c:pt idx="837">
                  <c:v>-307520</c:v>
                </c:pt>
                <c:pt idx="838">
                  <c:v>-309020</c:v>
                </c:pt>
                <c:pt idx="839">
                  <c:v>-306270</c:v>
                </c:pt>
                <c:pt idx="840">
                  <c:v>-306020</c:v>
                </c:pt>
                <c:pt idx="841">
                  <c:v>-307520</c:v>
                </c:pt>
                <c:pt idx="842">
                  <c:v>-306020</c:v>
                </c:pt>
                <c:pt idx="843">
                  <c:v>-305020</c:v>
                </c:pt>
                <c:pt idx="844">
                  <c:v>-304270</c:v>
                </c:pt>
                <c:pt idx="845">
                  <c:v>-303520</c:v>
                </c:pt>
                <c:pt idx="846">
                  <c:v>-306270</c:v>
                </c:pt>
                <c:pt idx="847">
                  <c:v>-327270</c:v>
                </c:pt>
                <c:pt idx="848">
                  <c:v>-324270</c:v>
                </c:pt>
                <c:pt idx="849">
                  <c:v>-321020</c:v>
                </c:pt>
                <c:pt idx="850">
                  <c:v>-320020</c:v>
                </c:pt>
                <c:pt idx="851">
                  <c:v>-317520</c:v>
                </c:pt>
                <c:pt idx="852">
                  <c:v>-314270</c:v>
                </c:pt>
                <c:pt idx="853">
                  <c:v>-313770</c:v>
                </c:pt>
                <c:pt idx="854">
                  <c:v>-319020</c:v>
                </c:pt>
                <c:pt idx="855">
                  <c:v>-316270</c:v>
                </c:pt>
                <c:pt idx="856">
                  <c:v>-301770</c:v>
                </c:pt>
                <c:pt idx="857">
                  <c:v>-301770</c:v>
                </c:pt>
                <c:pt idx="858">
                  <c:v>-295770</c:v>
                </c:pt>
                <c:pt idx="859">
                  <c:v>-294520</c:v>
                </c:pt>
                <c:pt idx="860">
                  <c:v>-291020</c:v>
                </c:pt>
                <c:pt idx="861">
                  <c:v>-284520</c:v>
                </c:pt>
                <c:pt idx="862">
                  <c:v>-285520</c:v>
                </c:pt>
                <c:pt idx="863">
                  <c:v>-303020</c:v>
                </c:pt>
                <c:pt idx="864">
                  <c:v>-295770</c:v>
                </c:pt>
                <c:pt idx="865">
                  <c:v>-295770</c:v>
                </c:pt>
                <c:pt idx="866">
                  <c:v>-298020</c:v>
                </c:pt>
                <c:pt idx="867">
                  <c:v>-290270</c:v>
                </c:pt>
                <c:pt idx="868">
                  <c:v>-290020</c:v>
                </c:pt>
                <c:pt idx="869">
                  <c:v>-292260</c:v>
                </c:pt>
                <c:pt idx="870">
                  <c:v>-302760</c:v>
                </c:pt>
                <c:pt idx="871">
                  <c:v>-303010</c:v>
                </c:pt>
                <c:pt idx="872">
                  <c:v>-307260</c:v>
                </c:pt>
                <c:pt idx="873">
                  <c:v>-303760</c:v>
                </c:pt>
                <c:pt idx="874">
                  <c:v>-310760</c:v>
                </c:pt>
                <c:pt idx="875">
                  <c:v>-303010</c:v>
                </c:pt>
                <c:pt idx="876">
                  <c:v>-305260</c:v>
                </c:pt>
                <c:pt idx="877">
                  <c:v>-294010</c:v>
                </c:pt>
                <c:pt idx="878">
                  <c:v>-291010</c:v>
                </c:pt>
                <c:pt idx="879">
                  <c:v>-289260</c:v>
                </c:pt>
                <c:pt idx="880">
                  <c:v>-284510</c:v>
                </c:pt>
                <c:pt idx="881">
                  <c:v>-282010</c:v>
                </c:pt>
                <c:pt idx="882">
                  <c:v>-292260</c:v>
                </c:pt>
                <c:pt idx="883">
                  <c:v>-288510</c:v>
                </c:pt>
                <c:pt idx="884">
                  <c:v>-284260</c:v>
                </c:pt>
                <c:pt idx="885">
                  <c:v>-281010</c:v>
                </c:pt>
                <c:pt idx="886">
                  <c:v>-277260</c:v>
                </c:pt>
                <c:pt idx="887">
                  <c:v>-273510</c:v>
                </c:pt>
                <c:pt idx="888">
                  <c:v>-269260</c:v>
                </c:pt>
                <c:pt idx="889">
                  <c:v>-267760</c:v>
                </c:pt>
                <c:pt idx="890">
                  <c:v>-275510</c:v>
                </c:pt>
                <c:pt idx="891">
                  <c:v>-268760</c:v>
                </c:pt>
                <c:pt idx="892">
                  <c:v>-264510</c:v>
                </c:pt>
                <c:pt idx="893">
                  <c:v>-263760</c:v>
                </c:pt>
                <c:pt idx="894">
                  <c:v>-254010</c:v>
                </c:pt>
                <c:pt idx="895">
                  <c:v>-254260</c:v>
                </c:pt>
                <c:pt idx="896">
                  <c:v>-248760</c:v>
                </c:pt>
                <c:pt idx="897">
                  <c:v>-255260</c:v>
                </c:pt>
                <c:pt idx="898">
                  <c:v>-258760</c:v>
                </c:pt>
                <c:pt idx="899">
                  <c:v>-252010</c:v>
                </c:pt>
                <c:pt idx="900">
                  <c:v>-247510</c:v>
                </c:pt>
                <c:pt idx="901">
                  <c:v>-250260</c:v>
                </c:pt>
                <c:pt idx="902">
                  <c:v>-256510</c:v>
                </c:pt>
                <c:pt idx="903">
                  <c:v>-247010</c:v>
                </c:pt>
                <c:pt idx="904">
                  <c:v>-258260</c:v>
                </c:pt>
                <c:pt idx="905">
                  <c:v>-283760</c:v>
                </c:pt>
                <c:pt idx="906">
                  <c:v>-284010</c:v>
                </c:pt>
                <c:pt idx="907">
                  <c:v>-293510</c:v>
                </c:pt>
                <c:pt idx="908">
                  <c:v>-299760</c:v>
                </c:pt>
                <c:pt idx="909">
                  <c:v>-298010</c:v>
                </c:pt>
                <c:pt idx="910">
                  <c:v>-297010</c:v>
                </c:pt>
                <c:pt idx="911">
                  <c:v>-307760</c:v>
                </c:pt>
                <c:pt idx="912">
                  <c:v>-318760</c:v>
                </c:pt>
                <c:pt idx="913">
                  <c:v>-326250</c:v>
                </c:pt>
                <c:pt idx="914">
                  <c:v>-334750</c:v>
                </c:pt>
                <c:pt idx="915">
                  <c:v>-336500</c:v>
                </c:pt>
                <c:pt idx="916">
                  <c:v>-342500</c:v>
                </c:pt>
                <c:pt idx="917">
                  <c:v>-345250</c:v>
                </c:pt>
                <c:pt idx="918">
                  <c:v>-332750</c:v>
                </c:pt>
                <c:pt idx="919">
                  <c:v>-340000</c:v>
                </c:pt>
                <c:pt idx="920">
                  <c:v>-334250</c:v>
                </c:pt>
                <c:pt idx="921">
                  <c:v>-324500</c:v>
                </c:pt>
                <c:pt idx="922">
                  <c:v>-328250</c:v>
                </c:pt>
                <c:pt idx="923">
                  <c:v>-333500</c:v>
                </c:pt>
                <c:pt idx="924">
                  <c:v>-331250</c:v>
                </c:pt>
                <c:pt idx="925">
                  <c:v>-343000</c:v>
                </c:pt>
                <c:pt idx="926">
                  <c:v>-351000</c:v>
                </c:pt>
                <c:pt idx="927">
                  <c:v>-351500</c:v>
                </c:pt>
                <c:pt idx="928">
                  <c:v>-351250</c:v>
                </c:pt>
                <c:pt idx="929">
                  <c:v>-352750</c:v>
                </c:pt>
                <c:pt idx="930">
                  <c:v>-355000</c:v>
                </c:pt>
                <c:pt idx="931">
                  <c:v>-350500</c:v>
                </c:pt>
                <c:pt idx="932">
                  <c:v>-356750</c:v>
                </c:pt>
                <c:pt idx="933">
                  <c:v>-353000</c:v>
                </c:pt>
                <c:pt idx="934">
                  <c:v>-358250</c:v>
                </c:pt>
                <c:pt idx="935">
                  <c:v>-365000</c:v>
                </c:pt>
                <c:pt idx="936">
                  <c:v>-361500</c:v>
                </c:pt>
                <c:pt idx="937">
                  <c:v>-364000</c:v>
                </c:pt>
                <c:pt idx="938">
                  <c:v>-363750</c:v>
                </c:pt>
                <c:pt idx="939">
                  <c:v>-361750</c:v>
                </c:pt>
                <c:pt idx="940">
                  <c:v>-362250</c:v>
                </c:pt>
                <c:pt idx="941">
                  <c:v>-361750</c:v>
                </c:pt>
                <c:pt idx="942">
                  <c:v>-365000</c:v>
                </c:pt>
                <c:pt idx="943">
                  <c:v>-367750</c:v>
                </c:pt>
                <c:pt idx="944">
                  <c:v>-359250</c:v>
                </c:pt>
                <c:pt idx="945">
                  <c:v>-358500</c:v>
                </c:pt>
                <c:pt idx="946">
                  <c:v>-358000</c:v>
                </c:pt>
                <c:pt idx="947">
                  <c:v>-355750</c:v>
                </c:pt>
                <c:pt idx="948">
                  <c:v>-352000</c:v>
                </c:pt>
                <c:pt idx="949">
                  <c:v>-353250</c:v>
                </c:pt>
                <c:pt idx="950">
                  <c:v>-357250</c:v>
                </c:pt>
                <c:pt idx="951">
                  <c:v>-359500</c:v>
                </c:pt>
                <c:pt idx="952">
                  <c:v>-363500</c:v>
                </c:pt>
                <c:pt idx="953">
                  <c:v>-368750</c:v>
                </c:pt>
                <c:pt idx="954">
                  <c:v>-375250</c:v>
                </c:pt>
                <c:pt idx="955">
                  <c:v>-378250</c:v>
                </c:pt>
                <c:pt idx="956">
                  <c:v>-378750</c:v>
                </c:pt>
                <c:pt idx="957">
                  <c:v>-373490</c:v>
                </c:pt>
                <c:pt idx="958">
                  <c:v>-366990</c:v>
                </c:pt>
                <c:pt idx="959">
                  <c:v>-366990</c:v>
                </c:pt>
                <c:pt idx="960">
                  <c:v>-368240</c:v>
                </c:pt>
                <c:pt idx="961">
                  <c:v>-363490</c:v>
                </c:pt>
                <c:pt idx="962">
                  <c:v>-357240</c:v>
                </c:pt>
                <c:pt idx="963">
                  <c:v>-353990</c:v>
                </c:pt>
                <c:pt idx="964">
                  <c:v>-355740</c:v>
                </c:pt>
                <c:pt idx="965">
                  <c:v>-365240</c:v>
                </c:pt>
                <c:pt idx="966">
                  <c:v>-364740</c:v>
                </c:pt>
                <c:pt idx="967">
                  <c:v>-366490</c:v>
                </c:pt>
                <c:pt idx="968">
                  <c:v>-358490</c:v>
                </c:pt>
                <c:pt idx="969">
                  <c:v>-360740</c:v>
                </c:pt>
                <c:pt idx="970">
                  <c:v>-355240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E913-4EDB-ACF6-1DF62B894534}"/>
            </c:ext>
          </c:extLst>
        </c:ser>
        <c:ser>
          <c:idx val="2"/>
          <c:order val="2"/>
          <c:tx>
            <c:strRef>
              <c:f>Data!$R$11</c:f>
              <c:strCache>
                <c:ptCount val="1"/>
                <c:pt idx="0">
                  <c:v>DHP + Long Futures Before Profit Fees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Data!$R$12:$R$982</c:f>
              <c:numCache>
                <c:formatCode>General</c:formatCode>
                <c:ptCount val="971"/>
                <c:pt idx="0">
                  <c:v>0</c:v>
                </c:pt>
                <c:pt idx="1">
                  <c:v>2125</c:v>
                </c:pt>
                <c:pt idx="2">
                  <c:v>6000</c:v>
                </c:pt>
                <c:pt idx="3">
                  <c:v>8000</c:v>
                </c:pt>
                <c:pt idx="4">
                  <c:v>10125</c:v>
                </c:pt>
                <c:pt idx="5">
                  <c:v>7250</c:v>
                </c:pt>
                <c:pt idx="6">
                  <c:v>6375</c:v>
                </c:pt>
                <c:pt idx="7">
                  <c:v>3535</c:v>
                </c:pt>
                <c:pt idx="8">
                  <c:v>3075</c:v>
                </c:pt>
                <c:pt idx="9">
                  <c:v>23825</c:v>
                </c:pt>
                <c:pt idx="10">
                  <c:v>25450</c:v>
                </c:pt>
                <c:pt idx="11">
                  <c:v>26700</c:v>
                </c:pt>
                <c:pt idx="12">
                  <c:v>27575</c:v>
                </c:pt>
                <c:pt idx="13">
                  <c:v>28700</c:v>
                </c:pt>
                <c:pt idx="14">
                  <c:v>30700</c:v>
                </c:pt>
                <c:pt idx="15">
                  <c:v>30450</c:v>
                </c:pt>
                <c:pt idx="16">
                  <c:v>31985</c:v>
                </c:pt>
                <c:pt idx="17">
                  <c:v>33525</c:v>
                </c:pt>
                <c:pt idx="18">
                  <c:v>29775</c:v>
                </c:pt>
                <c:pt idx="19">
                  <c:v>35525</c:v>
                </c:pt>
                <c:pt idx="20">
                  <c:v>39650</c:v>
                </c:pt>
                <c:pt idx="21">
                  <c:v>45025</c:v>
                </c:pt>
                <c:pt idx="22">
                  <c:v>44525</c:v>
                </c:pt>
                <c:pt idx="23">
                  <c:v>45655</c:v>
                </c:pt>
                <c:pt idx="24">
                  <c:v>46405</c:v>
                </c:pt>
                <c:pt idx="25">
                  <c:v>44280</c:v>
                </c:pt>
                <c:pt idx="26">
                  <c:v>42795</c:v>
                </c:pt>
                <c:pt idx="27">
                  <c:v>33235</c:v>
                </c:pt>
                <c:pt idx="28">
                  <c:v>33235</c:v>
                </c:pt>
                <c:pt idx="29">
                  <c:v>30255</c:v>
                </c:pt>
                <c:pt idx="30">
                  <c:v>31005</c:v>
                </c:pt>
                <c:pt idx="31">
                  <c:v>30130</c:v>
                </c:pt>
                <c:pt idx="32">
                  <c:v>28895</c:v>
                </c:pt>
                <c:pt idx="33">
                  <c:v>30270</c:v>
                </c:pt>
                <c:pt idx="34">
                  <c:v>33145</c:v>
                </c:pt>
                <c:pt idx="35">
                  <c:v>34520</c:v>
                </c:pt>
                <c:pt idx="36">
                  <c:v>34290</c:v>
                </c:pt>
                <c:pt idx="37">
                  <c:v>31610</c:v>
                </c:pt>
                <c:pt idx="38">
                  <c:v>30110</c:v>
                </c:pt>
                <c:pt idx="39">
                  <c:v>29260</c:v>
                </c:pt>
                <c:pt idx="40">
                  <c:v>27510</c:v>
                </c:pt>
                <c:pt idx="41">
                  <c:v>23080</c:v>
                </c:pt>
                <c:pt idx="42">
                  <c:v>27970</c:v>
                </c:pt>
                <c:pt idx="43">
                  <c:v>31600</c:v>
                </c:pt>
                <c:pt idx="44">
                  <c:v>26490</c:v>
                </c:pt>
                <c:pt idx="45">
                  <c:v>26625</c:v>
                </c:pt>
                <c:pt idx="46">
                  <c:v>26000</c:v>
                </c:pt>
                <c:pt idx="47">
                  <c:v>21070</c:v>
                </c:pt>
                <c:pt idx="48">
                  <c:v>12920</c:v>
                </c:pt>
                <c:pt idx="49">
                  <c:v>560</c:v>
                </c:pt>
                <c:pt idx="50">
                  <c:v>-815</c:v>
                </c:pt>
                <c:pt idx="51">
                  <c:v>1185</c:v>
                </c:pt>
                <c:pt idx="52">
                  <c:v>-930</c:v>
                </c:pt>
                <c:pt idx="53">
                  <c:v>-1415</c:v>
                </c:pt>
                <c:pt idx="54">
                  <c:v>-1665</c:v>
                </c:pt>
                <c:pt idx="55">
                  <c:v>-5510</c:v>
                </c:pt>
                <c:pt idx="56">
                  <c:v>-5745</c:v>
                </c:pt>
                <c:pt idx="57">
                  <c:v>-5995</c:v>
                </c:pt>
                <c:pt idx="58">
                  <c:v>-9495</c:v>
                </c:pt>
                <c:pt idx="59">
                  <c:v>-7620</c:v>
                </c:pt>
                <c:pt idx="60">
                  <c:v>-8870</c:v>
                </c:pt>
                <c:pt idx="61">
                  <c:v>-4870</c:v>
                </c:pt>
                <c:pt idx="62">
                  <c:v>-25370</c:v>
                </c:pt>
                <c:pt idx="63">
                  <c:v>-35870</c:v>
                </c:pt>
                <c:pt idx="64">
                  <c:v>-23955</c:v>
                </c:pt>
                <c:pt idx="65">
                  <c:v>-32520</c:v>
                </c:pt>
                <c:pt idx="66">
                  <c:v>-25020</c:v>
                </c:pt>
                <c:pt idx="67">
                  <c:v>-39530</c:v>
                </c:pt>
                <c:pt idx="68">
                  <c:v>-43780</c:v>
                </c:pt>
                <c:pt idx="69">
                  <c:v>-39780</c:v>
                </c:pt>
                <c:pt idx="70">
                  <c:v>-25405</c:v>
                </c:pt>
                <c:pt idx="71">
                  <c:v>-23155</c:v>
                </c:pt>
                <c:pt idx="72">
                  <c:v>-13365</c:v>
                </c:pt>
                <c:pt idx="73">
                  <c:v>-5365</c:v>
                </c:pt>
                <c:pt idx="74">
                  <c:v>-21335</c:v>
                </c:pt>
                <c:pt idx="75">
                  <c:v>-3960</c:v>
                </c:pt>
                <c:pt idx="76">
                  <c:v>-3710</c:v>
                </c:pt>
                <c:pt idx="77">
                  <c:v>-26585</c:v>
                </c:pt>
                <c:pt idx="78">
                  <c:v>-20570</c:v>
                </c:pt>
                <c:pt idx="79">
                  <c:v>-28195</c:v>
                </c:pt>
                <c:pt idx="80">
                  <c:v>-36810</c:v>
                </c:pt>
                <c:pt idx="81">
                  <c:v>-41790</c:v>
                </c:pt>
                <c:pt idx="82">
                  <c:v>-34187.5</c:v>
                </c:pt>
                <c:pt idx="83">
                  <c:v>-34312.5</c:v>
                </c:pt>
                <c:pt idx="84">
                  <c:v>-26577.5</c:v>
                </c:pt>
                <c:pt idx="85">
                  <c:v>-25827.5</c:v>
                </c:pt>
                <c:pt idx="86">
                  <c:v>-23807.5</c:v>
                </c:pt>
                <c:pt idx="87">
                  <c:v>-32787.5</c:v>
                </c:pt>
                <c:pt idx="88">
                  <c:v>-34992.5</c:v>
                </c:pt>
                <c:pt idx="89">
                  <c:v>-31992.5</c:v>
                </c:pt>
                <c:pt idx="90">
                  <c:v>-30242.5</c:v>
                </c:pt>
                <c:pt idx="91">
                  <c:v>-25367.5</c:v>
                </c:pt>
                <c:pt idx="92">
                  <c:v>-29742.5</c:v>
                </c:pt>
                <c:pt idx="93">
                  <c:v>-25867.5</c:v>
                </c:pt>
                <c:pt idx="94">
                  <c:v>-29942.5</c:v>
                </c:pt>
                <c:pt idx="95">
                  <c:v>-33682.5</c:v>
                </c:pt>
                <c:pt idx="96">
                  <c:v>-33807.5</c:v>
                </c:pt>
                <c:pt idx="97">
                  <c:v>-34432.5</c:v>
                </c:pt>
                <c:pt idx="98">
                  <c:v>-31432.5</c:v>
                </c:pt>
                <c:pt idx="99">
                  <c:v>-30182.5</c:v>
                </c:pt>
                <c:pt idx="100">
                  <c:v>-30807.5</c:v>
                </c:pt>
                <c:pt idx="101">
                  <c:v>-27542.5</c:v>
                </c:pt>
                <c:pt idx="102">
                  <c:v>-26667.5</c:v>
                </c:pt>
                <c:pt idx="103">
                  <c:v>-27417.5</c:v>
                </c:pt>
                <c:pt idx="104">
                  <c:v>-25667.5</c:v>
                </c:pt>
                <c:pt idx="105">
                  <c:v>-25042.5</c:v>
                </c:pt>
                <c:pt idx="106">
                  <c:v>-25167.5</c:v>
                </c:pt>
                <c:pt idx="107">
                  <c:v>-25917.5</c:v>
                </c:pt>
                <c:pt idx="108">
                  <c:v>-22657.5</c:v>
                </c:pt>
                <c:pt idx="109">
                  <c:v>-21532.5</c:v>
                </c:pt>
                <c:pt idx="110">
                  <c:v>-20767.5</c:v>
                </c:pt>
                <c:pt idx="111">
                  <c:v>-21767.5</c:v>
                </c:pt>
                <c:pt idx="112">
                  <c:v>-22132.5</c:v>
                </c:pt>
                <c:pt idx="113">
                  <c:v>-24122.5</c:v>
                </c:pt>
                <c:pt idx="114">
                  <c:v>-17247.5</c:v>
                </c:pt>
                <c:pt idx="115">
                  <c:v>-15247.5</c:v>
                </c:pt>
                <c:pt idx="116">
                  <c:v>-15862.5</c:v>
                </c:pt>
                <c:pt idx="117">
                  <c:v>-16112.5</c:v>
                </c:pt>
                <c:pt idx="118">
                  <c:v>-13357.5</c:v>
                </c:pt>
                <c:pt idx="119">
                  <c:v>-14732.5</c:v>
                </c:pt>
                <c:pt idx="120">
                  <c:v>-17732.5</c:v>
                </c:pt>
                <c:pt idx="121">
                  <c:v>-12207.5</c:v>
                </c:pt>
                <c:pt idx="122">
                  <c:v>-20042.5</c:v>
                </c:pt>
                <c:pt idx="123">
                  <c:v>-23662.5</c:v>
                </c:pt>
                <c:pt idx="124">
                  <c:v>-37282.5</c:v>
                </c:pt>
                <c:pt idx="125">
                  <c:v>-40907.5</c:v>
                </c:pt>
                <c:pt idx="126">
                  <c:v>-42157.5</c:v>
                </c:pt>
                <c:pt idx="127">
                  <c:v>-44032.5</c:v>
                </c:pt>
                <c:pt idx="128">
                  <c:v>-54657.5</c:v>
                </c:pt>
                <c:pt idx="129">
                  <c:v>-63402.5</c:v>
                </c:pt>
                <c:pt idx="130">
                  <c:v>-63777.5</c:v>
                </c:pt>
                <c:pt idx="131">
                  <c:v>-64027.5</c:v>
                </c:pt>
                <c:pt idx="132">
                  <c:v>-63777.5</c:v>
                </c:pt>
                <c:pt idx="133">
                  <c:v>-63527.5</c:v>
                </c:pt>
                <c:pt idx="134">
                  <c:v>-63527.5</c:v>
                </c:pt>
                <c:pt idx="135">
                  <c:v>-65472.5</c:v>
                </c:pt>
                <c:pt idx="136">
                  <c:v>-63972.5</c:v>
                </c:pt>
                <c:pt idx="137">
                  <c:v>-52287.5</c:v>
                </c:pt>
                <c:pt idx="138">
                  <c:v>-59872.5</c:v>
                </c:pt>
                <c:pt idx="139">
                  <c:v>-75092.5</c:v>
                </c:pt>
                <c:pt idx="140">
                  <c:v>-67217.5</c:v>
                </c:pt>
                <c:pt idx="141">
                  <c:v>-71217.5</c:v>
                </c:pt>
                <c:pt idx="142">
                  <c:v>-69217.5</c:v>
                </c:pt>
                <c:pt idx="143">
                  <c:v>-64592.5</c:v>
                </c:pt>
                <c:pt idx="144">
                  <c:v>-67957.5</c:v>
                </c:pt>
                <c:pt idx="145">
                  <c:v>-86537.5</c:v>
                </c:pt>
                <c:pt idx="146">
                  <c:v>-100757.5</c:v>
                </c:pt>
                <c:pt idx="147">
                  <c:v>-113632.5</c:v>
                </c:pt>
                <c:pt idx="148">
                  <c:v>-115632.5</c:v>
                </c:pt>
                <c:pt idx="149">
                  <c:v>-121757.5</c:v>
                </c:pt>
                <c:pt idx="150">
                  <c:v>-119382.5</c:v>
                </c:pt>
                <c:pt idx="151">
                  <c:v>-112757.5</c:v>
                </c:pt>
                <c:pt idx="152">
                  <c:v>-123632.5</c:v>
                </c:pt>
                <c:pt idx="153">
                  <c:v>-131382.5</c:v>
                </c:pt>
                <c:pt idx="154">
                  <c:v>-137382.5</c:v>
                </c:pt>
                <c:pt idx="155">
                  <c:v>-135632.5</c:v>
                </c:pt>
                <c:pt idx="156">
                  <c:v>-137257.5</c:v>
                </c:pt>
                <c:pt idx="157">
                  <c:v>-136007.5</c:v>
                </c:pt>
                <c:pt idx="158">
                  <c:v>-137882.5</c:v>
                </c:pt>
                <c:pt idx="159">
                  <c:v>-134257.5</c:v>
                </c:pt>
                <c:pt idx="160">
                  <c:v>-143757.5</c:v>
                </c:pt>
                <c:pt idx="161">
                  <c:v>-142242.5</c:v>
                </c:pt>
                <c:pt idx="162">
                  <c:v>-132367.5</c:v>
                </c:pt>
                <c:pt idx="163">
                  <c:v>-135742.5</c:v>
                </c:pt>
                <c:pt idx="164">
                  <c:v>-125992.5</c:v>
                </c:pt>
                <c:pt idx="165">
                  <c:v>-128242.5</c:v>
                </c:pt>
                <c:pt idx="166">
                  <c:v>-116222.5</c:v>
                </c:pt>
                <c:pt idx="167">
                  <c:v>-125745</c:v>
                </c:pt>
                <c:pt idx="168">
                  <c:v>-127090</c:v>
                </c:pt>
                <c:pt idx="169">
                  <c:v>-116800</c:v>
                </c:pt>
                <c:pt idx="170">
                  <c:v>-126550</c:v>
                </c:pt>
                <c:pt idx="171">
                  <c:v>-131535</c:v>
                </c:pt>
                <c:pt idx="172">
                  <c:v>-131160</c:v>
                </c:pt>
                <c:pt idx="173">
                  <c:v>-129395</c:v>
                </c:pt>
                <c:pt idx="174">
                  <c:v>-132015</c:v>
                </c:pt>
                <c:pt idx="175">
                  <c:v>-124640</c:v>
                </c:pt>
                <c:pt idx="176">
                  <c:v>-121320</c:v>
                </c:pt>
                <c:pt idx="177">
                  <c:v>-123445</c:v>
                </c:pt>
                <c:pt idx="178">
                  <c:v>-129070</c:v>
                </c:pt>
                <c:pt idx="179">
                  <c:v>-124890</c:v>
                </c:pt>
                <c:pt idx="180">
                  <c:v>-131255</c:v>
                </c:pt>
                <c:pt idx="181">
                  <c:v>-132225</c:v>
                </c:pt>
                <c:pt idx="182">
                  <c:v>-126810</c:v>
                </c:pt>
                <c:pt idx="183">
                  <c:v>-116685</c:v>
                </c:pt>
                <c:pt idx="184">
                  <c:v>-110160</c:v>
                </c:pt>
                <c:pt idx="185">
                  <c:v>-109655</c:v>
                </c:pt>
                <c:pt idx="186">
                  <c:v>-102780</c:v>
                </c:pt>
                <c:pt idx="187">
                  <c:v>-109280</c:v>
                </c:pt>
                <c:pt idx="188">
                  <c:v>-96280</c:v>
                </c:pt>
                <c:pt idx="189">
                  <c:v>-97750</c:v>
                </c:pt>
                <c:pt idx="190">
                  <c:v>-90125</c:v>
                </c:pt>
                <c:pt idx="191">
                  <c:v>-99605</c:v>
                </c:pt>
                <c:pt idx="192">
                  <c:v>-102225</c:v>
                </c:pt>
                <c:pt idx="193">
                  <c:v>-97710</c:v>
                </c:pt>
                <c:pt idx="194">
                  <c:v>-79585</c:v>
                </c:pt>
                <c:pt idx="195">
                  <c:v>-72335</c:v>
                </c:pt>
                <c:pt idx="196">
                  <c:v>-71895</c:v>
                </c:pt>
                <c:pt idx="197">
                  <c:v>-69270</c:v>
                </c:pt>
                <c:pt idx="198">
                  <c:v>-67270</c:v>
                </c:pt>
                <c:pt idx="199">
                  <c:v>-69770</c:v>
                </c:pt>
                <c:pt idx="200">
                  <c:v>-68895</c:v>
                </c:pt>
                <c:pt idx="201">
                  <c:v>-67645</c:v>
                </c:pt>
                <c:pt idx="202">
                  <c:v>-67895</c:v>
                </c:pt>
                <c:pt idx="203">
                  <c:v>-69270</c:v>
                </c:pt>
                <c:pt idx="204">
                  <c:v>-68520</c:v>
                </c:pt>
                <c:pt idx="205">
                  <c:v>-67645</c:v>
                </c:pt>
                <c:pt idx="206">
                  <c:v>-67145</c:v>
                </c:pt>
                <c:pt idx="207">
                  <c:v>-67020</c:v>
                </c:pt>
                <c:pt idx="208">
                  <c:v>-67270</c:v>
                </c:pt>
                <c:pt idx="209">
                  <c:v>-65895</c:v>
                </c:pt>
                <c:pt idx="210">
                  <c:v>-61770</c:v>
                </c:pt>
                <c:pt idx="211">
                  <c:v>-63145</c:v>
                </c:pt>
                <c:pt idx="212">
                  <c:v>-64395</c:v>
                </c:pt>
                <c:pt idx="213">
                  <c:v>-63270</c:v>
                </c:pt>
                <c:pt idx="214">
                  <c:v>-67270</c:v>
                </c:pt>
                <c:pt idx="215">
                  <c:v>-67270</c:v>
                </c:pt>
                <c:pt idx="216">
                  <c:v>-66020</c:v>
                </c:pt>
                <c:pt idx="217">
                  <c:v>-68020</c:v>
                </c:pt>
                <c:pt idx="218">
                  <c:v>-67270</c:v>
                </c:pt>
                <c:pt idx="219">
                  <c:v>-65895</c:v>
                </c:pt>
                <c:pt idx="220">
                  <c:v>-68520</c:v>
                </c:pt>
                <c:pt idx="221">
                  <c:v>-71270</c:v>
                </c:pt>
                <c:pt idx="222">
                  <c:v>-71645</c:v>
                </c:pt>
                <c:pt idx="223">
                  <c:v>-65270</c:v>
                </c:pt>
                <c:pt idx="224">
                  <c:v>-51980</c:v>
                </c:pt>
                <c:pt idx="225">
                  <c:v>-55230</c:v>
                </c:pt>
                <c:pt idx="226">
                  <c:v>-61605</c:v>
                </c:pt>
                <c:pt idx="227">
                  <c:v>-68730</c:v>
                </c:pt>
                <c:pt idx="228">
                  <c:v>-71730</c:v>
                </c:pt>
                <c:pt idx="229">
                  <c:v>-89355</c:v>
                </c:pt>
                <c:pt idx="230">
                  <c:v>-85355</c:v>
                </c:pt>
                <c:pt idx="231">
                  <c:v>-83335</c:v>
                </c:pt>
                <c:pt idx="232">
                  <c:v>-82327.5</c:v>
                </c:pt>
                <c:pt idx="233">
                  <c:v>-81077.5</c:v>
                </c:pt>
                <c:pt idx="234">
                  <c:v>-79452.5</c:v>
                </c:pt>
                <c:pt idx="235">
                  <c:v>-79187.5</c:v>
                </c:pt>
                <c:pt idx="236">
                  <c:v>-79922.5</c:v>
                </c:pt>
                <c:pt idx="237">
                  <c:v>-80547.5</c:v>
                </c:pt>
                <c:pt idx="238">
                  <c:v>-81047.5</c:v>
                </c:pt>
                <c:pt idx="239">
                  <c:v>-81167.5</c:v>
                </c:pt>
                <c:pt idx="240">
                  <c:v>-77792.5</c:v>
                </c:pt>
                <c:pt idx="241">
                  <c:v>-78867.5</c:v>
                </c:pt>
                <c:pt idx="242">
                  <c:v>-78197.5</c:v>
                </c:pt>
                <c:pt idx="243">
                  <c:v>-76932.5</c:v>
                </c:pt>
                <c:pt idx="244">
                  <c:v>-83682.5</c:v>
                </c:pt>
                <c:pt idx="245">
                  <c:v>-82932.5</c:v>
                </c:pt>
                <c:pt idx="246">
                  <c:v>-88182.5</c:v>
                </c:pt>
                <c:pt idx="247">
                  <c:v>-63307.5</c:v>
                </c:pt>
                <c:pt idx="248">
                  <c:v>-46182.5</c:v>
                </c:pt>
                <c:pt idx="249">
                  <c:v>-45307.5</c:v>
                </c:pt>
                <c:pt idx="250">
                  <c:v>-46307.5</c:v>
                </c:pt>
                <c:pt idx="251">
                  <c:v>-44182.5</c:v>
                </c:pt>
                <c:pt idx="252">
                  <c:v>-46557.5</c:v>
                </c:pt>
                <c:pt idx="253">
                  <c:v>-46892.5</c:v>
                </c:pt>
                <c:pt idx="254">
                  <c:v>-45482.5</c:v>
                </c:pt>
                <c:pt idx="255">
                  <c:v>-45572.5</c:v>
                </c:pt>
                <c:pt idx="256">
                  <c:v>-49152.5</c:v>
                </c:pt>
                <c:pt idx="257">
                  <c:v>-51612.5</c:v>
                </c:pt>
                <c:pt idx="258">
                  <c:v>-51967.5</c:v>
                </c:pt>
                <c:pt idx="259">
                  <c:v>-52822.5</c:v>
                </c:pt>
                <c:pt idx="260">
                  <c:v>-53447.5</c:v>
                </c:pt>
                <c:pt idx="261">
                  <c:v>-54057.5</c:v>
                </c:pt>
                <c:pt idx="262">
                  <c:v>-55332.5</c:v>
                </c:pt>
                <c:pt idx="263">
                  <c:v>-61427.5</c:v>
                </c:pt>
                <c:pt idx="264">
                  <c:v>-56107.5</c:v>
                </c:pt>
                <c:pt idx="265">
                  <c:v>-53342.5</c:v>
                </c:pt>
                <c:pt idx="266">
                  <c:v>-90732.5</c:v>
                </c:pt>
                <c:pt idx="267">
                  <c:v>-107837.5</c:v>
                </c:pt>
                <c:pt idx="268">
                  <c:v>-95252.5</c:v>
                </c:pt>
                <c:pt idx="269">
                  <c:v>-95677.5</c:v>
                </c:pt>
                <c:pt idx="270">
                  <c:v>-91162.5</c:v>
                </c:pt>
                <c:pt idx="271">
                  <c:v>-84257.5</c:v>
                </c:pt>
                <c:pt idx="272">
                  <c:v>-85257.5</c:v>
                </c:pt>
                <c:pt idx="273">
                  <c:v>-78117.5</c:v>
                </c:pt>
                <c:pt idx="274">
                  <c:v>-77117.5</c:v>
                </c:pt>
                <c:pt idx="275">
                  <c:v>-77617.5</c:v>
                </c:pt>
                <c:pt idx="276">
                  <c:v>-81347.5</c:v>
                </c:pt>
                <c:pt idx="277">
                  <c:v>-91182.5</c:v>
                </c:pt>
                <c:pt idx="278">
                  <c:v>-91777.5</c:v>
                </c:pt>
                <c:pt idx="279">
                  <c:v>-86777.5</c:v>
                </c:pt>
                <c:pt idx="280">
                  <c:v>-85777.5</c:v>
                </c:pt>
                <c:pt idx="281">
                  <c:v>-90527.5</c:v>
                </c:pt>
                <c:pt idx="282">
                  <c:v>-82142.5</c:v>
                </c:pt>
                <c:pt idx="283">
                  <c:v>-84517.5</c:v>
                </c:pt>
                <c:pt idx="284">
                  <c:v>-80107.5</c:v>
                </c:pt>
                <c:pt idx="285">
                  <c:v>-72482.5</c:v>
                </c:pt>
                <c:pt idx="286">
                  <c:v>-70857.5</c:v>
                </c:pt>
                <c:pt idx="287">
                  <c:v>-72232.5</c:v>
                </c:pt>
                <c:pt idx="288">
                  <c:v>-70347.5</c:v>
                </c:pt>
                <c:pt idx="289">
                  <c:v>-70472.5</c:v>
                </c:pt>
                <c:pt idx="290">
                  <c:v>-71847.5</c:v>
                </c:pt>
                <c:pt idx="291">
                  <c:v>-70582.5</c:v>
                </c:pt>
                <c:pt idx="292">
                  <c:v>-67957.5</c:v>
                </c:pt>
                <c:pt idx="293">
                  <c:v>-61302.5</c:v>
                </c:pt>
                <c:pt idx="294">
                  <c:v>-60287.5</c:v>
                </c:pt>
                <c:pt idx="295">
                  <c:v>-52912.5</c:v>
                </c:pt>
                <c:pt idx="296">
                  <c:v>-45497.5</c:v>
                </c:pt>
                <c:pt idx="297">
                  <c:v>-44250</c:v>
                </c:pt>
                <c:pt idx="298">
                  <c:v>-48125</c:v>
                </c:pt>
                <c:pt idx="299">
                  <c:v>-57125</c:v>
                </c:pt>
                <c:pt idx="300">
                  <c:v>-52250</c:v>
                </c:pt>
                <c:pt idx="301">
                  <c:v>-38875</c:v>
                </c:pt>
                <c:pt idx="302">
                  <c:v>-55625</c:v>
                </c:pt>
                <c:pt idx="303">
                  <c:v>-33250</c:v>
                </c:pt>
                <c:pt idx="304">
                  <c:v>-26870</c:v>
                </c:pt>
                <c:pt idx="305">
                  <c:v>-5610</c:v>
                </c:pt>
                <c:pt idx="306">
                  <c:v>-8345</c:v>
                </c:pt>
                <c:pt idx="307">
                  <c:v>2780</c:v>
                </c:pt>
                <c:pt idx="308">
                  <c:v>60</c:v>
                </c:pt>
                <c:pt idx="309">
                  <c:v>-6190</c:v>
                </c:pt>
                <c:pt idx="310">
                  <c:v>-2440</c:v>
                </c:pt>
                <c:pt idx="311">
                  <c:v>-1565</c:v>
                </c:pt>
                <c:pt idx="312">
                  <c:v>-3190</c:v>
                </c:pt>
                <c:pt idx="313">
                  <c:v>-4565</c:v>
                </c:pt>
                <c:pt idx="314">
                  <c:v>-5815</c:v>
                </c:pt>
                <c:pt idx="315">
                  <c:v>-1190</c:v>
                </c:pt>
                <c:pt idx="316">
                  <c:v>310</c:v>
                </c:pt>
                <c:pt idx="317">
                  <c:v>-5160</c:v>
                </c:pt>
                <c:pt idx="318">
                  <c:v>-3410</c:v>
                </c:pt>
                <c:pt idx="319">
                  <c:v>-2025</c:v>
                </c:pt>
                <c:pt idx="320">
                  <c:v>-2900</c:v>
                </c:pt>
                <c:pt idx="321">
                  <c:v>-4025</c:v>
                </c:pt>
                <c:pt idx="322">
                  <c:v>-4275</c:v>
                </c:pt>
                <c:pt idx="323">
                  <c:v>-6025</c:v>
                </c:pt>
                <c:pt idx="324">
                  <c:v>-5460</c:v>
                </c:pt>
                <c:pt idx="325">
                  <c:v>-10030</c:v>
                </c:pt>
                <c:pt idx="326">
                  <c:v>-4280</c:v>
                </c:pt>
                <c:pt idx="327">
                  <c:v>-4280</c:v>
                </c:pt>
                <c:pt idx="328">
                  <c:v>-4655</c:v>
                </c:pt>
                <c:pt idx="329">
                  <c:v>-3280</c:v>
                </c:pt>
                <c:pt idx="330">
                  <c:v>-8155</c:v>
                </c:pt>
                <c:pt idx="331">
                  <c:v>-7155</c:v>
                </c:pt>
                <c:pt idx="332">
                  <c:v>-5280</c:v>
                </c:pt>
                <c:pt idx="333">
                  <c:v>-2780</c:v>
                </c:pt>
                <c:pt idx="334">
                  <c:v>-6530</c:v>
                </c:pt>
                <c:pt idx="335">
                  <c:v>-6030</c:v>
                </c:pt>
                <c:pt idx="336">
                  <c:v>-1155</c:v>
                </c:pt>
                <c:pt idx="337">
                  <c:v>1345</c:v>
                </c:pt>
                <c:pt idx="338">
                  <c:v>2345</c:v>
                </c:pt>
                <c:pt idx="339">
                  <c:v>7470</c:v>
                </c:pt>
                <c:pt idx="340">
                  <c:v>-2655</c:v>
                </c:pt>
                <c:pt idx="341">
                  <c:v>-7260</c:v>
                </c:pt>
                <c:pt idx="342">
                  <c:v>-9810</c:v>
                </c:pt>
                <c:pt idx="343">
                  <c:v>-5925</c:v>
                </c:pt>
                <c:pt idx="344">
                  <c:v>-4550</c:v>
                </c:pt>
                <c:pt idx="345">
                  <c:v>-300</c:v>
                </c:pt>
                <c:pt idx="346">
                  <c:v>-425</c:v>
                </c:pt>
                <c:pt idx="347">
                  <c:v>-8410</c:v>
                </c:pt>
                <c:pt idx="348">
                  <c:v>-16365</c:v>
                </c:pt>
                <c:pt idx="349">
                  <c:v>-13430</c:v>
                </c:pt>
                <c:pt idx="350">
                  <c:v>-11805</c:v>
                </c:pt>
                <c:pt idx="351">
                  <c:v>-13055</c:v>
                </c:pt>
                <c:pt idx="352">
                  <c:v>-10430</c:v>
                </c:pt>
                <c:pt idx="353">
                  <c:v>-13305</c:v>
                </c:pt>
                <c:pt idx="354">
                  <c:v>-18805</c:v>
                </c:pt>
                <c:pt idx="355">
                  <c:v>-17805</c:v>
                </c:pt>
                <c:pt idx="356">
                  <c:v>-13545</c:v>
                </c:pt>
                <c:pt idx="357">
                  <c:v>-3410</c:v>
                </c:pt>
                <c:pt idx="358">
                  <c:v>-4910</c:v>
                </c:pt>
                <c:pt idx="359">
                  <c:v>-410</c:v>
                </c:pt>
                <c:pt idx="360">
                  <c:v>1215</c:v>
                </c:pt>
                <c:pt idx="361">
                  <c:v>230</c:v>
                </c:pt>
                <c:pt idx="362">
                  <c:v>-1270</c:v>
                </c:pt>
                <c:pt idx="363">
                  <c:v>855</c:v>
                </c:pt>
                <c:pt idx="364">
                  <c:v>1025</c:v>
                </c:pt>
                <c:pt idx="365">
                  <c:v>-2305</c:v>
                </c:pt>
                <c:pt idx="366">
                  <c:v>-3180</c:v>
                </c:pt>
                <c:pt idx="367">
                  <c:v>1820</c:v>
                </c:pt>
                <c:pt idx="368">
                  <c:v>2205</c:v>
                </c:pt>
                <c:pt idx="369">
                  <c:v>5330</c:v>
                </c:pt>
                <c:pt idx="370">
                  <c:v>205</c:v>
                </c:pt>
                <c:pt idx="371">
                  <c:v>205</c:v>
                </c:pt>
                <c:pt idx="372">
                  <c:v>-3795</c:v>
                </c:pt>
                <c:pt idx="373">
                  <c:v>955</c:v>
                </c:pt>
                <c:pt idx="374">
                  <c:v>-6795</c:v>
                </c:pt>
                <c:pt idx="375">
                  <c:v>-7265</c:v>
                </c:pt>
                <c:pt idx="376">
                  <c:v>-14515</c:v>
                </c:pt>
                <c:pt idx="377">
                  <c:v>-11140</c:v>
                </c:pt>
                <c:pt idx="378">
                  <c:v>-7890</c:v>
                </c:pt>
                <c:pt idx="379">
                  <c:v>-12265</c:v>
                </c:pt>
                <c:pt idx="380">
                  <c:v>-15640</c:v>
                </c:pt>
                <c:pt idx="381">
                  <c:v>-10745</c:v>
                </c:pt>
                <c:pt idx="382">
                  <c:v>-6987.5</c:v>
                </c:pt>
                <c:pt idx="383">
                  <c:v>-4977.5</c:v>
                </c:pt>
                <c:pt idx="384">
                  <c:v>-8602.5</c:v>
                </c:pt>
                <c:pt idx="385">
                  <c:v>-10477.5</c:v>
                </c:pt>
                <c:pt idx="386">
                  <c:v>-10727.5</c:v>
                </c:pt>
                <c:pt idx="387">
                  <c:v>-6852.5</c:v>
                </c:pt>
                <c:pt idx="388">
                  <c:v>-6852.5</c:v>
                </c:pt>
                <c:pt idx="389">
                  <c:v>-23962.5</c:v>
                </c:pt>
                <c:pt idx="390">
                  <c:v>-25207.5</c:v>
                </c:pt>
                <c:pt idx="391">
                  <c:v>-25582.5</c:v>
                </c:pt>
                <c:pt idx="392">
                  <c:v>-27082.5</c:v>
                </c:pt>
                <c:pt idx="393">
                  <c:v>-34332.5</c:v>
                </c:pt>
                <c:pt idx="394">
                  <c:v>-36457.5</c:v>
                </c:pt>
                <c:pt idx="395">
                  <c:v>-39582.5</c:v>
                </c:pt>
                <c:pt idx="396">
                  <c:v>-44457.5</c:v>
                </c:pt>
                <c:pt idx="397">
                  <c:v>-48082.5</c:v>
                </c:pt>
                <c:pt idx="398">
                  <c:v>-53442.5</c:v>
                </c:pt>
                <c:pt idx="399">
                  <c:v>-51692.5</c:v>
                </c:pt>
                <c:pt idx="400">
                  <c:v>-56692.5</c:v>
                </c:pt>
                <c:pt idx="401">
                  <c:v>-55692.5</c:v>
                </c:pt>
                <c:pt idx="402">
                  <c:v>-52817.5</c:v>
                </c:pt>
                <c:pt idx="403">
                  <c:v>-59192.5</c:v>
                </c:pt>
                <c:pt idx="404">
                  <c:v>-65692.5</c:v>
                </c:pt>
                <c:pt idx="405">
                  <c:v>-69317.5</c:v>
                </c:pt>
                <c:pt idx="406">
                  <c:v>-68817.5</c:v>
                </c:pt>
                <c:pt idx="407">
                  <c:v>-69942.5</c:v>
                </c:pt>
                <c:pt idx="408">
                  <c:v>-68317.5</c:v>
                </c:pt>
                <c:pt idx="409">
                  <c:v>-63317.5</c:v>
                </c:pt>
                <c:pt idx="410">
                  <c:v>-69567.5</c:v>
                </c:pt>
                <c:pt idx="411">
                  <c:v>-70692.5</c:v>
                </c:pt>
                <c:pt idx="412">
                  <c:v>-73192.5</c:v>
                </c:pt>
                <c:pt idx="413">
                  <c:v>-76567.5</c:v>
                </c:pt>
                <c:pt idx="414">
                  <c:v>-72317.5</c:v>
                </c:pt>
                <c:pt idx="415">
                  <c:v>-74567.5</c:v>
                </c:pt>
                <c:pt idx="416">
                  <c:v>-71067.5</c:v>
                </c:pt>
                <c:pt idx="417">
                  <c:v>-73067.5</c:v>
                </c:pt>
                <c:pt idx="418">
                  <c:v>-75942.5</c:v>
                </c:pt>
                <c:pt idx="419">
                  <c:v>-74192.5</c:v>
                </c:pt>
                <c:pt idx="420">
                  <c:v>-72442.5</c:v>
                </c:pt>
                <c:pt idx="421">
                  <c:v>-72817.5</c:v>
                </c:pt>
                <c:pt idx="422">
                  <c:v>-70942.5</c:v>
                </c:pt>
                <c:pt idx="423">
                  <c:v>-69067.5</c:v>
                </c:pt>
                <c:pt idx="424">
                  <c:v>-71317.5</c:v>
                </c:pt>
                <c:pt idx="425">
                  <c:v>-70942.5</c:v>
                </c:pt>
                <c:pt idx="426">
                  <c:v>-74422.5</c:v>
                </c:pt>
                <c:pt idx="427">
                  <c:v>-71235</c:v>
                </c:pt>
                <c:pt idx="428">
                  <c:v>-69860</c:v>
                </c:pt>
                <c:pt idx="429">
                  <c:v>-72110</c:v>
                </c:pt>
                <c:pt idx="430">
                  <c:v>-74235</c:v>
                </c:pt>
                <c:pt idx="431">
                  <c:v>-72830</c:v>
                </c:pt>
                <c:pt idx="432">
                  <c:v>-79055</c:v>
                </c:pt>
                <c:pt idx="433">
                  <c:v>-72555</c:v>
                </c:pt>
                <c:pt idx="434">
                  <c:v>-74880</c:v>
                </c:pt>
                <c:pt idx="435">
                  <c:v>-74380</c:v>
                </c:pt>
                <c:pt idx="436">
                  <c:v>-52255</c:v>
                </c:pt>
                <c:pt idx="437">
                  <c:v>-44445</c:v>
                </c:pt>
                <c:pt idx="438">
                  <c:v>-49260</c:v>
                </c:pt>
                <c:pt idx="439">
                  <c:v>-56260</c:v>
                </c:pt>
                <c:pt idx="440">
                  <c:v>-58760</c:v>
                </c:pt>
                <c:pt idx="441">
                  <c:v>-56635</c:v>
                </c:pt>
                <c:pt idx="442">
                  <c:v>-63760</c:v>
                </c:pt>
                <c:pt idx="443">
                  <c:v>-63760</c:v>
                </c:pt>
                <c:pt idx="444">
                  <c:v>-57885</c:v>
                </c:pt>
                <c:pt idx="445">
                  <c:v>-55635</c:v>
                </c:pt>
                <c:pt idx="446">
                  <c:v>-59135</c:v>
                </c:pt>
                <c:pt idx="447">
                  <c:v>-62135</c:v>
                </c:pt>
                <c:pt idx="448">
                  <c:v>-70135</c:v>
                </c:pt>
                <c:pt idx="449">
                  <c:v>-73885</c:v>
                </c:pt>
                <c:pt idx="450">
                  <c:v>-80760</c:v>
                </c:pt>
                <c:pt idx="451">
                  <c:v>-75760</c:v>
                </c:pt>
                <c:pt idx="452">
                  <c:v>-80635</c:v>
                </c:pt>
                <c:pt idx="453">
                  <c:v>-84385</c:v>
                </c:pt>
                <c:pt idx="454">
                  <c:v>-81135</c:v>
                </c:pt>
                <c:pt idx="455">
                  <c:v>-86385</c:v>
                </c:pt>
                <c:pt idx="456">
                  <c:v>-87635</c:v>
                </c:pt>
                <c:pt idx="457">
                  <c:v>-87260</c:v>
                </c:pt>
                <c:pt idx="458">
                  <c:v>-84635</c:v>
                </c:pt>
                <c:pt idx="459">
                  <c:v>-70635</c:v>
                </c:pt>
                <c:pt idx="460">
                  <c:v>-59760</c:v>
                </c:pt>
                <c:pt idx="461">
                  <c:v>-56760</c:v>
                </c:pt>
                <c:pt idx="462">
                  <c:v>-52355</c:v>
                </c:pt>
                <c:pt idx="463">
                  <c:v>-78950</c:v>
                </c:pt>
                <c:pt idx="464">
                  <c:v>-41200</c:v>
                </c:pt>
                <c:pt idx="465">
                  <c:v>-17190</c:v>
                </c:pt>
                <c:pt idx="466">
                  <c:v>-31660</c:v>
                </c:pt>
                <c:pt idx="467">
                  <c:v>-31010</c:v>
                </c:pt>
                <c:pt idx="468">
                  <c:v>-35495</c:v>
                </c:pt>
                <c:pt idx="469">
                  <c:v>-34495</c:v>
                </c:pt>
                <c:pt idx="470">
                  <c:v>-23995</c:v>
                </c:pt>
                <c:pt idx="471">
                  <c:v>-27985</c:v>
                </c:pt>
                <c:pt idx="472">
                  <c:v>-20360</c:v>
                </c:pt>
                <c:pt idx="473">
                  <c:v>-27350</c:v>
                </c:pt>
                <c:pt idx="474">
                  <c:v>-15225</c:v>
                </c:pt>
                <c:pt idx="475">
                  <c:v>-10975</c:v>
                </c:pt>
                <c:pt idx="476">
                  <c:v>-3225</c:v>
                </c:pt>
                <c:pt idx="477">
                  <c:v>-225</c:v>
                </c:pt>
                <c:pt idx="478">
                  <c:v>-1100</c:v>
                </c:pt>
                <c:pt idx="479">
                  <c:v>-225</c:v>
                </c:pt>
                <c:pt idx="480">
                  <c:v>-5850</c:v>
                </c:pt>
                <c:pt idx="481">
                  <c:v>1055</c:v>
                </c:pt>
                <c:pt idx="482">
                  <c:v>2430</c:v>
                </c:pt>
                <c:pt idx="483">
                  <c:v>2680</c:v>
                </c:pt>
                <c:pt idx="484">
                  <c:v>5180</c:v>
                </c:pt>
                <c:pt idx="485">
                  <c:v>8680</c:v>
                </c:pt>
                <c:pt idx="486">
                  <c:v>7695</c:v>
                </c:pt>
                <c:pt idx="487">
                  <c:v>8570</c:v>
                </c:pt>
                <c:pt idx="488">
                  <c:v>7320</c:v>
                </c:pt>
                <c:pt idx="489">
                  <c:v>11320</c:v>
                </c:pt>
                <c:pt idx="490">
                  <c:v>10835</c:v>
                </c:pt>
                <c:pt idx="491">
                  <c:v>10985</c:v>
                </c:pt>
                <c:pt idx="492">
                  <c:v>15025</c:v>
                </c:pt>
                <c:pt idx="493">
                  <c:v>16785</c:v>
                </c:pt>
                <c:pt idx="494">
                  <c:v>5785</c:v>
                </c:pt>
                <c:pt idx="495">
                  <c:v>14785</c:v>
                </c:pt>
                <c:pt idx="496">
                  <c:v>21785</c:v>
                </c:pt>
                <c:pt idx="497">
                  <c:v>19540</c:v>
                </c:pt>
                <c:pt idx="498">
                  <c:v>21165</c:v>
                </c:pt>
                <c:pt idx="499">
                  <c:v>17700</c:v>
                </c:pt>
                <c:pt idx="500">
                  <c:v>13210</c:v>
                </c:pt>
                <c:pt idx="501">
                  <c:v>12350</c:v>
                </c:pt>
                <c:pt idx="502">
                  <c:v>23115</c:v>
                </c:pt>
                <c:pt idx="503">
                  <c:v>25770</c:v>
                </c:pt>
                <c:pt idx="504">
                  <c:v>19555</c:v>
                </c:pt>
                <c:pt idx="505">
                  <c:v>27305</c:v>
                </c:pt>
                <c:pt idx="506">
                  <c:v>22680</c:v>
                </c:pt>
                <c:pt idx="507">
                  <c:v>38085</c:v>
                </c:pt>
                <c:pt idx="508">
                  <c:v>54615</c:v>
                </c:pt>
                <c:pt idx="509">
                  <c:v>54250</c:v>
                </c:pt>
                <c:pt idx="510">
                  <c:v>52875</c:v>
                </c:pt>
                <c:pt idx="511">
                  <c:v>55750</c:v>
                </c:pt>
                <c:pt idx="512">
                  <c:v>58125</c:v>
                </c:pt>
                <c:pt idx="513">
                  <c:v>58000</c:v>
                </c:pt>
                <c:pt idx="514">
                  <c:v>62000</c:v>
                </c:pt>
                <c:pt idx="515">
                  <c:v>62800</c:v>
                </c:pt>
                <c:pt idx="516">
                  <c:v>61152.5</c:v>
                </c:pt>
                <c:pt idx="517">
                  <c:v>64277.5</c:v>
                </c:pt>
                <c:pt idx="518">
                  <c:v>66527.5</c:v>
                </c:pt>
                <c:pt idx="519">
                  <c:v>66027.5</c:v>
                </c:pt>
                <c:pt idx="520">
                  <c:v>62152.5</c:v>
                </c:pt>
                <c:pt idx="521">
                  <c:v>49492.5</c:v>
                </c:pt>
                <c:pt idx="522">
                  <c:v>50747.5</c:v>
                </c:pt>
                <c:pt idx="523">
                  <c:v>49872.5</c:v>
                </c:pt>
                <c:pt idx="524">
                  <c:v>58047.5</c:v>
                </c:pt>
                <c:pt idx="525">
                  <c:v>56672.5</c:v>
                </c:pt>
                <c:pt idx="526">
                  <c:v>43182.5</c:v>
                </c:pt>
                <c:pt idx="527">
                  <c:v>40182.5</c:v>
                </c:pt>
                <c:pt idx="528">
                  <c:v>40822.5</c:v>
                </c:pt>
                <c:pt idx="529">
                  <c:v>42212.5</c:v>
                </c:pt>
                <c:pt idx="530">
                  <c:v>31667.5</c:v>
                </c:pt>
                <c:pt idx="531">
                  <c:v>35837.5</c:v>
                </c:pt>
                <c:pt idx="532">
                  <c:v>34212.5</c:v>
                </c:pt>
                <c:pt idx="533">
                  <c:v>37602.5</c:v>
                </c:pt>
                <c:pt idx="534">
                  <c:v>38727.5</c:v>
                </c:pt>
                <c:pt idx="535">
                  <c:v>39007.5</c:v>
                </c:pt>
                <c:pt idx="536">
                  <c:v>35412.5</c:v>
                </c:pt>
                <c:pt idx="537">
                  <c:v>29030</c:v>
                </c:pt>
                <c:pt idx="538">
                  <c:v>29780</c:v>
                </c:pt>
                <c:pt idx="539">
                  <c:v>30405</c:v>
                </c:pt>
                <c:pt idx="540">
                  <c:v>29280</c:v>
                </c:pt>
                <c:pt idx="541">
                  <c:v>25340</c:v>
                </c:pt>
                <c:pt idx="542">
                  <c:v>29730</c:v>
                </c:pt>
                <c:pt idx="543">
                  <c:v>30605</c:v>
                </c:pt>
                <c:pt idx="544">
                  <c:v>29985</c:v>
                </c:pt>
                <c:pt idx="545">
                  <c:v>16785</c:v>
                </c:pt>
                <c:pt idx="546">
                  <c:v>10160</c:v>
                </c:pt>
                <c:pt idx="547">
                  <c:v>11660</c:v>
                </c:pt>
                <c:pt idx="548">
                  <c:v>11035</c:v>
                </c:pt>
                <c:pt idx="549">
                  <c:v>15035</c:v>
                </c:pt>
                <c:pt idx="550">
                  <c:v>13285</c:v>
                </c:pt>
                <c:pt idx="551">
                  <c:v>13285</c:v>
                </c:pt>
                <c:pt idx="552">
                  <c:v>11160</c:v>
                </c:pt>
                <c:pt idx="553">
                  <c:v>12410</c:v>
                </c:pt>
                <c:pt idx="554">
                  <c:v>13410</c:v>
                </c:pt>
                <c:pt idx="555">
                  <c:v>12910</c:v>
                </c:pt>
                <c:pt idx="556">
                  <c:v>5180</c:v>
                </c:pt>
                <c:pt idx="557">
                  <c:v>15230</c:v>
                </c:pt>
                <c:pt idx="558">
                  <c:v>12730</c:v>
                </c:pt>
                <c:pt idx="559">
                  <c:v>4325</c:v>
                </c:pt>
                <c:pt idx="560">
                  <c:v>2400</c:v>
                </c:pt>
                <c:pt idx="561">
                  <c:v>12305</c:v>
                </c:pt>
                <c:pt idx="562">
                  <c:v>15305</c:v>
                </c:pt>
                <c:pt idx="563">
                  <c:v>-4455</c:v>
                </c:pt>
                <c:pt idx="564">
                  <c:v>-9950</c:v>
                </c:pt>
                <c:pt idx="565">
                  <c:v>-8950</c:v>
                </c:pt>
                <c:pt idx="566">
                  <c:v>-9200</c:v>
                </c:pt>
                <c:pt idx="567">
                  <c:v>-8575</c:v>
                </c:pt>
                <c:pt idx="568">
                  <c:v>-12200</c:v>
                </c:pt>
                <c:pt idx="569">
                  <c:v>-9325</c:v>
                </c:pt>
                <c:pt idx="570">
                  <c:v>-10700</c:v>
                </c:pt>
                <c:pt idx="571">
                  <c:v>-8325</c:v>
                </c:pt>
                <c:pt idx="572">
                  <c:v>-9325</c:v>
                </c:pt>
                <c:pt idx="573">
                  <c:v>-13450</c:v>
                </c:pt>
                <c:pt idx="574">
                  <c:v>-14700</c:v>
                </c:pt>
                <c:pt idx="575">
                  <c:v>-18700</c:v>
                </c:pt>
                <c:pt idx="576">
                  <c:v>-17700</c:v>
                </c:pt>
                <c:pt idx="577">
                  <c:v>-17700</c:v>
                </c:pt>
                <c:pt idx="578">
                  <c:v>-10950</c:v>
                </c:pt>
                <c:pt idx="579">
                  <c:v>-8575</c:v>
                </c:pt>
                <c:pt idx="580">
                  <c:v>-7575</c:v>
                </c:pt>
                <c:pt idx="581">
                  <c:v>-6325</c:v>
                </c:pt>
                <c:pt idx="582">
                  <c:v>-8450</c:v>
                </c:pt>
                <c:pt idx="583">
                  <c:v>-8575</c:v>
                </c:pt>
                <c:pt idx="584">
                  <c:v>-7075</c:v>
                </c:pt>
                <c:pt idx="585">
                  <c:v>-15575</c:v>
                </c:pt>
                <c:pt idx="586">
                  <c:v>-11675</c:v>
                </c:pt>
                <c:pt idx="587">
                  <c:v>-8800</c:v>
                </c:pt>
                <c:pt idx="588">
                  <c:v>-7675</c:v>
                </c:pt>
                <c:pt idx="589">
                  <c:v>-9675</c:v>
                </c:pt>
                <c:pt idx="590">
                  <c:v>-10925</c:v>
                </c:pt>
                <c:pt idx="591">
                  <c:v>-13300</c:v>
                </c:pt>
                <c:pt idx="592">
                  <c:v>-13050</c:v>
                </c:pt>
                <c:pt idx="593">
                  <c:v>-14300</c:v>
                </c:pt>
                <c:pt idx="594">
                  <c:v>-16425</c:v>
                </c:pt>
                <c:pt idx="595">
                  <c:v>-15175</c:v>
                </c:pt>
                <c:pt idx="596">
                  <c:v>-14675</c:v>
                </c:pt>
                <c:pt idx="597">
                  <c:v>-13550</c:v>
                </c:pt>
                <c:pt idx="598">
                  <c:v>-13050</c:v>
                </c:pt>
                <c:pt idx="599">
                  <c:v>-12925</c:v>
                </c:pt>
                <c:pt idx="600">
                  <c:v>-15800</c:v>
                </c:pt>
                <c:pt idx="601">
                  <c:v>-16050</c:v>
                </c:pt>
                <c:pt idx="602">
                  <c:v>-14800</c:v>
                </c:pt>
                <c:pt idx="603">
                  <c:v>-20300</c:v>
                </c:pt>
                <c:pt idx="604">
                  <c:v>-23050</c:v>
                </c:pt>
                <c:pt idx="605">
                  <c:v>-22550</c:v>
                </c:pt>
                <c:pt idx="606">
                  <c:v>-20425</c:v>
                </c:pt>
                <c:pt idx="607">
                  <c:v>-21675</c:v>
                </c:pt>
                <c:pt idx="608">
                  <c:v>-26795</c:v>
                </c:pt>
                <c:pt idx="609">
                  <c:v>-25545</c:v>
                </c:pt>
                <c:pt idx="610">
                  <c:v>-28410</c:v>
                </c:pt>
                <c:pt idx="611">
                  <c:v>-25285</c:v>
                </c:pt>
                <c:pt idx="612">
                  <c:v>-26910</c:v>
                </c:pt>
                <c:pt idx="613">
                  <c:v>-26535</c:v>
                </c:pt>
                <c:pt idx="614">
                  <c:v>-27410</c:v>
                </c:pt>
                <c:pt idx="615">
                  <c:v>-25285</c:v>
                </c:pt>
                <c:pt idx="616">
                  <c:v>-25910</c:v>
                </c:pt>
                <c:pt idx="617">
                  <c:v>-21910</c:v>
                </c:pt>
                <c:pt idx="618">
                  <c:v>-23285</c:v>
                </c:pt>
                <c:pt idx="619">
                  <c:v>-17025</c:v>
                </c:pt>
                <c:pt idx="620">
                  <c:v>-23900</c:v>
                </c:pt>
                <c:pt idx="621">
                  <c:v>-25650</c:v>
                </c:pt>
                <c:pt idx="622">
                  <c:v>-21400</c:v>
                </c:pt>
                <c:pt idx="623">
                  <c:v>-25275</c:v>
                </c:pt>
                <c:pt idx="624">
                  <c:v>-24650</c:v>
                </c:pt>
                <c:pt idx="625">
                  <c:v>-31875</c:v>
                </c:pt>
                <c:pt idx="626">
                  <c:v>-32750</c:v>
                </c:pt>
                <c:pt idx="627">
                  <c:v>-30975</c:v>
                </c:pt>
                <c:pt idx="628">
                  <c:v>-34850</c:v>
                </c:pt>
                <c:pt idx="629">
                  <c:v>-32725</c:v>
                </c:pt>
                <c:pt idx="630">
                  <c:v>-24840</c:v>
                </c:pt>
                <c:pt idx="631">
                  <c:v>-26840</c:v>
                </c:pt>
                <c:pt idx="632">
                  <c:v>-20150</c:v>
                </c:pt>
                <c:pt idx="633">
                  <c:v>-21515</c:v>
                </c:pt>
                <c:pt idx="634">
                  <c:v>-21880</c:v>
                </c:pt>
                <c:pt idx="635">
                  <c:v>-21380</c:v>
                </c:pt>
                <c:pt idx="636">
                  <c:v>-16505</c:v>
                </c:pt>
                <c:pt idx="637">
                  <c:v>-15880</c:v>
                </c:pt>
                <c:pt idx="638">
                  <c:v>-11755</c:v>
                </c:pt>
                <c:pt idx="639">
                  <c:v>-9870</c:v>
                </c:pt>
                <c:pt idx="640">
                  <c:v>-17620</c:v>
                </c:pt>
                <c:pt idx="641">
                  <c:v>-20850</c:v>
                </c:pt>
                <c:pt idx="642">
                  <c:v>-19435</c:v>
                </c:pt>
                <c:pt idx="643">
                  <c:v>-25685</c:v>
                </c:pt>
                <c:pt idx="644">
                  <c:v>-19685</c:v>
                </c:pt>
                <c:pt idx="645">
                  <c:v>-8900</c:v>
                </c:pt>
                <c:pt idx="646">
                  <c:v>-7130</c:v>
                </c:pt>
                <c:pt idx="647">
                  <c:v>485</c:v>
                </c:pt>
                <c:pt idx="648">
                  <c:v>7575</c:v>
                </c:pt>
                <c:pt idx="649">
                  <c:v>2470</c:v>
                </c:pt>
                <c:pt idx="650">
                  <c:v>18445</c:v>
                </c:pt>
                <c:pt idx="651">
                  <c:v>8340</c:v>
                </c:pt>
                <c:pt idx="652">
                  <c:v>31590</c:v>
                </c:pt>
                <c:pt idx="653">
                  <c:v>29090</c:v>
                </c:pt>
                <c:pt idx="654">
                  <c:v>30465</c:v>
                </c:pt>
                <c:pt idx="655">
                  <c:v>23350</c:v>
                </c:pt>
                <c:pt idx="656">
                  <c:v>28225</c:v>
                </c:pt>
                <c:pt idx="657">
                  <c:v>42225</c:v>
                </c:pt>
                <c:pt idx="658">
                  <c:v>51005</c:v>
                </c:pt>
                <c:pt idx="659">
                  <c:v>59130</c:v>
                </c:pt>
                <c:pt idx="660">
                  <c:v>46890</c:v>
                </c:pt>
                <c:pt idx="661">
                  <c:v>45765</c:v>
                </c:pt>
                <c:pt idx="662">
                  <c:v>47015</c:v>
                </c:pt>
                <c:pt idx="663">
                  <c:v>40670</c:v>
                </c:pt>
                <c:pt idx="664">
                  <c:v>34930</c:v>
                </c:pt>
                <c:pt idx="665">
                  <c:v>34805</c:v>
                </c:pt>
                <c:pt idx="666">
                  <c:v>34305</c:v>
                </c:pt>
                <c:pt idx="667">
                  <c:v>33805</c:v>
                </c:pt>
                <c:pt idx="668">
                  <c:v>31190</c:v>
                </c:pt>
                <c:pt idx="669">
                  <c:v>23190</c:v>
                </c:pt>
                <c:pt idx="670">
                  <c:v>16940</c:v>
                </c:pt>
                <c:pt idx="671">
                  <c:v>18700</c:v>
                </c:pt>
                <c:pt idx="672">
                  <c:v>21325</c:v>
                </c:pt>
                <c:pt idx="673">
                  <c:v>23325</c:v>
                </c:pt>
                <c:pt idx="674">
                  <c:v>19575</c:v>
                </c:pt>
                <c:pt idx="675">
                  <c:v>17325</c:v>
                </c:pt>
                <c:pt idx="676">
                  <c:v>23200</c:v>
                </c:pt>
                <c:pt idx="677">
                  <c:v>23450</c:v>
                </c:pt>
                <c:pt idx="678">
                  <c:v>25450</c:v>
                </c:pt>
                <c:pt idx="679">
                  <c:v>36460</c:v>
                </c:pt>
                <c:pt idx="680">
                  <c:v>31960</c:v>
                </c:pt>
                <c:pt idx="681">
                  <c:v>720</c:v>
                </c:pt>
                <c:pt idx="682">
                  <c:v>8765</c:v>
                </c:pt>
                <c:pt idx="683">
                  <c:v>9765</c:v>
                </c:pt>
                <c:pt idx="684">
                  <c:v>11390</c:v>
                </c:pt>
                <c:pt idx="685">
                  <c:v>11515</c:v>
                </c:pt>
                <c:pt idx="686">
                  <c:v>12160</c:v>
                </c:pt>
                <c:pt idx="687">
                  <c:v>11855</c:v>
                </c:pt>
                <c:pt idx="688">
                  <c:v>8980</c:v>
                </c:pt>
                <c:pt idx="689">
                  <c:v>11230</c:v>
                </c:pt>
                <c:pt idx="690">
                  <c:v>7995</c:v>
                </c:pt>
                <c:pt idx="691">
                  <c:v>7620</c:v>
                </c:pt>
                <c:pt idx="692">
                  <c:v>7870</c:v>
                </c:pt>
                <c:pt idx="693">
                  <c:v>8995</c:v>
                </c:pt>
                <c:pt idx="694">
                  <c:v>8370</c:v>
                </c:pt>
                <c:pt idx="695">
                  <c:v>6000</c:v>
                </c:pt>
                <c:pt idx="696">
                  <c:v>4625</c:v>
                </c:pt>
                <c:pt idx="697">
                  <c:v>2140</c:v>
                </c:pt>
                <c:pt idx="698">
                  <c:v>3170</c:v>
                </c:pt>
                <c:pt idx="699">
                  <c:v>3670</c:v>
                </c:pt>
                <c:pt idx="700">
                  <c:v>6170</c:v>
                </c:pt>
                <c:pt idx="701">
                  <c:v>7295</c:v>
                </c:pt>
                <c:pt idx="702">
                  <c:v>10090</c:v>
                </c:pt>
                <c:pt idx="703">
                  <c:v>13465</c:v>
                </c:pt>
                <c:pt idx="704">
                  <c:v>33990</c:v>
                </c:pt>
                <c:pt idx="705">
                  <c:v>30740</c:v>
                </c:pt>
                <c:pt idx="706">
                  <c:v>25990</c:v>
                </c:pt>
                <c:pt idx="707">
                  <c:v>20000</c:v>
                </c:pt>
                <c:pt idx="708">
                  <c:v>14040</c:v>
                </c:pt>
                <c:pt idx="709">
                  <c:v>20290</c:v>
                </c:pt>
                <c:pt idx="710">
                  <c:v>16415</c:v>
                </c:pt>
                <c:pt idx="711">
                  <c:v>19425</c:v>
                </c:pt>
                <c:pt idx="712">
                  <c:v>17425</c:v>
                </c:pt>
                <c:pt idx="713">
                  <c:v>24810</c:v>
                </c:pt>
                <c:pt idx="714">
                  <c:v>23060</c:v>
                </c:pt>
                <c:pt idx="715">
                  <c:v>25310</c:v>
                </c:pt>
                <c:pt idx="716">
                  <c:v>24685</c:v>
                </c:pt>
                <c:pt idx="717">
                  <c:v>31685</c:v>
                </c:pt>
                <c:pt idx="718">
                  <c:v>32320</c:v>
                </c:pt>
                <c:pt idx="719">
                  <c:v>38070</c:v>
                </c:pt>
                <c:pt idx="720">
                  <c:v>40850</c:v>
                </c:pt>
                <c:pt idx="721">
                  <c:v>38975</c:v>
                </c:pt>
                <c:pt idx="722">
                  <c:v>32505</c:v>
                </c:pt>
                <c:pt idx="723">
                  <c:v>17935</c:v>
                </c:pt>
                <c:pt idx="724">
                  <c:v>17095</c:v>
                </c:pt>
                <c:pt idx="725">
                  <c:v>22095</c:v>
                </c:pt>
                <c:pt idx="726">
                  <c:v>16530</c:v>
                </c:pt>
                <c:pt idx="727">
                  <c:v>18410</c:v>
                </c:pt>
                <c:pt idx="728">
                  <c:v>16535</c:v>
                </c:pt>
                <c:pt idx="729">
                  <c:v>20535</c:v>
                </c:pt>
                <c:pt idx="730">
                  <c:v>18535</c:v>
                </c:pt>
                <c:pt idx="731">
                  <c:v>18075</c:v>
                </c:pt>
                <c:pt idx="732">
                  <c:v>16595</c:v>
                </c:pt>
                <c:pt idx="733">
                  <c:v>15470</c:v>
                </c:pt>
                <c:pt idx="734">
                  <c:v>22475</c:v>
                </c:pt>
                <c:pt idx="735">
                  <c:v>19355</c:v>
                </c:pt>
                <c:pt idx="736">
                  <c:v>14605</c:v>
                </c:pt>
                <c:pt idx="737">
                  <c:v>18980</c:v>
                </c:pt>
                <c:pt idx="738">
                  <c:v>21260</c:v>
                </c:pt>
                <c:pt idx="739">
                  <c:v>22135</c:v>
                </c:pt>
                <c:pt idx="740">
                  <c:v>22510</c:v>
                </c:pt>
                <c:pt idx="741">
                  <c:v>23395</c:v>
                </c:pt>
                <c:pt idx="742">
                  <c:v>17080</c:v>
                </c:pt>
                <c:pt idx="743">
                  <c:v>13655</c:v>
                </c:pt>
                <c:pt idx="744">
                  <c:v>20415</c:v>
                </c:pt>
                <c:pt idx="745">
                  <c:v>30380</c:v>
                </c:pt>
                <c:pt idx="746">
                  <c:v>33440</c:v>
                </c:pt>
                <c:pt idx="747">
                  <c:v>34190</c:v>
                </c:pt>
                <c:pt idx="748">
                  <c:v>27815</c:v>
                </c:pt>
                <c:pt idx="749">
                  <c:v>27440</c:v>
                </c:pt>
                <c:pt idx="750">
                  <c:v>31190</c:v>
                </c:pt>
                <c:pt idx="751">
                  <c:v>34470</c:v>
                </c:pt>
                <c:pt idx="752">
                  <c:v>39530</c:v>
                </c:pt>
                <c:pt idx="753">
                  <c:v>39175</c:v>
                </c:pt>
                <c:pt idx="754">
                  <c:v>46550</c:v>
                </c:pt>
                <c:pt idx="755">
                  <c:v>44550</c:v>
                </c:pt>
                <c:pt idx="756">
                  <c:v>47675</c:v>
                </c:pt>
                <c:pt idx="757">
                  <c:v>49675</c:v>
                </c:pt>
                <c:pt idx="758">
                  <c:v>41675</c:v>
                </c:pt>
                <c:pt idx="759">
                  <c:v>50800</c:v>
                </c:pt>
                <c:pt idx="760">
                  <c:v>53055</c:v>
                </c:pt>
                <c:pt idx="761">
                  <c:v>48930</c:v>
                </c:pt>
                <c:pt idx="762">
                  <c:v>57430</c:v>
                </c:pt>
                <c:pt idx="763">
                  <c:v>61930</c:v>
                </c:pt>
                <c:pt idx="764">
                  <c:v>55430</c:v>
                </c:pt>
                <c:pt idx="765">
                  <c:v>55555</c:v>
                </c:pt>
                <c:pt idx="766">
                  <c:v>57055</c:v>
                </c:pt>
                <c:pt idx="767">
                  <c:v>64930</c:v>
                </c:pt>
                <c:pt idx="768">
                  <c:v>60305</c:v>
                </c:pt>
                <c:pt idx="769">
                  <c:v>65305</c:v>
                </c:pt>
                <c:pt idx="770">
                  <c:v>65555</c:v>
                </c:pt>
                <c:pt idx="771">
                  <c:v>54335</c:v>
                </c:pt>
                <c:pt idx="772">
                  <c:v>56960</c:v>
                </c:pt>
                <c:pt idx="773">
                  <c:v>57085</c:v>
                </c:pt>
                <c:pt idx="774">
                  <c:v>58335</c:v>
                </c:pt>
                <c:pt idx="775">
                  <c:v>52380</c:v>
                </c:pt>
                <c:pt idx="776">
                  <c:v>50580</c:v>
                </c:pt>
                <c:pt idx="777">
                  <c:v>90455</c:v>
                </c:pt>
                <c:pt idx="778">
                  <c:v>66205</c:v>
                </c:pt>
                <c:pt idx="779">
                  <c:v>67110</c:v>
                </c:pt>
                <c:pt idx="780">
                  <c:v>67860</c:v>
                </c:pt>
                <c:pt idx="781">
                  <c:v>66735</c:v>
                </c:pt>
                <c:pt idx="782">
                  <c:v>66110</c:v>
                </c:pt>
                <c:pt idx="783">
                  <c:v>66615</c:v>
                </c:pt>
                <c:pt idx="784">
                  <c:v>56420</c:v>
                </c:pt>
                <c:pt idx="785">
                  <c:v>56325</c:v>
                </c:pt>
                <c:pt idx="786">
                  <c:v>58200</c:v>
                </c:pt>
                <c:pt idx="787">
                  <c:v>56575</c:v>
                </c:pt>
                <c:pt idx="788">
                  <c:v>61075</c:v>
                </c:pt>
                <c:pt idx="789">
                  <c:v>57825</c:v>
                </c:pt>
                <c:pt idx="790">
                  <c:v>66215</c:v>
                </c:pt>
                <c:pt idx="791">
                  <c:v>71860</c:v>
                </c:pt>
                <c:pt idx="792">
                  <c:v>74860</c:v>
                </c:pt>
                <c:pt idx="793">
                  <c:v>80360</c:v>
                </c:pt>
                <c:pt idx="794">
                  <c:v>83360</c:v>
                </c:pt>
                <c:pt idx="795">
                  <c:v>87370</c:v>
                </c:pt>
                <c:pt idx="796">
                  <c:v>88140</c:v>
                </c:pt>
                <c:pt idx="797">
                  <c:v>89670</c:v>
                </c:pt>
                <c:pt idx="798">
                  <c:v>92430</c:v>
                </c:pt>
                <c:pt idx="799">
                  <c:v>94180</c:v>
                </c:pt>
                <c:pt idx="800">
                  <c:v>95305</c:v>
                </c:pt>
                <c:pt idx="801">
                  <c:v>96930</c:v>
                </c:pt>
                <c:pt idx="802">
                  <c:v>94180</c:v>
                </c:pt>
                <c:pt idx="803">
                  <c:v>98305</c:v>
                </c:pt>
                <c:pt idx="804">
                  <c:v>99185</c:v>
                </c:pt>
                <c:pt idx="805">
                  <c:v>100810</c:v>
                </c:pt>
                <c:pt idx="806">
                  <c:v>101435</c:v>
                </c:pt>
                <c:pt idx="807">
                  <c:v>101310</c:v>
                </c:pt>
                <c:pt idx="808">
                  <c:v>99320</c:v>
                </c:pt>
                <c:pt idx="809">
                  <c:v>95955</c:v>
                </c:pt>
                <c:pt idx="810">
                  <c:v>92625</c:v>
                </c:pt>
                <c:pt idx="811">
                  <c:v>95125</c:v>
                </c:pt>
                <c:pt idx="812">
                  <c:v>95250</c:v>
                </c:pt>
                <c:pt idx="813">
                  <c:v>96125</c:v>
                </c:pt>
                <c:pt idx="814">
                  <c:v>98250</c:v>
                </c:pt>
                <c:pt idx="815">
                  <c:v>95875</c:v>
                </c:pt>
                <c:pt idx="816">
                  <c:v>90815</c:v>
                </c:pt>
                <c:pt idx="817">
                  <c:v>90230</c:v>
                </c:pt>
                <c:pt idx="818">
                  <c:v>89010</c:v>
                </c:pt>
                <c:pt idx="819">
                  <c:v>93760</c:v>
                </c:pt>
                <c:pt idx="820">
                  <c:v>87635</c:v>
                </c:pt>
                <c:pt idx="821">
                  <c:v>85510</c:v>
                </c:pt>
                <c:pt idx="822">
                  <c:v>78915</c:v>
                </c:pt>
                <c:pt idx="823">
                  <c:v>75700</c:v>
                </c:pt>
                <c:pt idx="824">
                  <c:v>75950</c:v>
                </c:pt>
                <c:pt idx="825">
                  <c:v>76830</c:v>
                </c:pt>
                <c:pt idx="826">
                  <c:v>76455</c:v>
                </c:pt>
                <c:pt idx="827">
                  <c:v>77090</c:v>
                </c:pt>
                <c:pt idx="828">
                  <c:v>74110</c:v>
                </c:pt>
                <c:pt idx="829">
                  <c:v>73175</c:v>
                </c:pt>
                <c:pt idx="830">
                  <c:v>72800</c:v>
                </c:pt>
                <c:pt idx="831">
                  <c:v>72550</c:v>
                </c:pt>
                <c:pt idx="832">
                  <c:v>76925</c:v>
                </c:pt>
                <c:pt idx="833">
                  <c:v>78070</c:v>
                </c:pt>
                <c:pt idx="834">
                  <c:v>82070</c:v>
                </c:pt>
                <c:pt idx="835">
                  <c:v>82080</c:v>
                </c:pt>
                <c:pt idx="836">
                  <c:v>81855</c:v>
                </c:pt>
                <c:pt idx="837">
                  <c:v>81865</c:v>
                </c:pt>
                <c:pt idx="838">
                  <c:v>79990</c:v>
                </c:pt>
                <c:pt idx="839">
                  <c:v>83740</c:v>
                </c:pt>
                <c:pt idx="840">
                  <c:v>83625</c:v>
                </c:pt>
                <c:pt idx="841">
                  <c:v>82125</c:v>
                </c:pt>
                <c:pt idx="842">
                  <c:v>83500</c:v>
                </c:pt>
                <c:pt idx="843">
                  <c:v>84375</c:v>
                </c:pt>
                <c:pt idx="844">
                  <c:v>85760</c:v>
                </c:pt>
                <c:pt idx="845">
                  <c:v>86135</c:v>
                </c:pt>
                <c:pt idx="846">
                  <c:v>83165</c:v>
                </c:pt>
                <c:pt idx="847">
                  <c:v>75130</c:v>
                </c:pt>
                <c:pt idx="848">
                  <c:v>74295</c:v>
                </c:pt>
                <c:pt idx="849">
                  <c:v>79575</c:v>
                </c:pt>
                <c:pt idx="850">
                  <c:v>82090</c:v>
                </c:pt>
                <c:pt idx="851">
                  <c:v>87105</c:v>
                </c:pt>
                <c:pt idx="852">
                  <c:v>95355</c:v>
                </c:pt>
                <c:pt idx="853">
                  <c:v>96730</c:v>
                </c:pt>
                <c:pt idx="854">
                  <c:v>85980</c:v>
                </c:pt>
                <c:pt idx="855">
                  <c:v>91855</c:v>
                </c:pt>
                <c:pt idx="856">
                  <c:v>113510</c:v>
                </c:pt>
                <c:pt idx="857">
                  <c:v>112010</c:v>
                </c:pt>
                <c:pt idx="858">
                  <c:v>124555</c:v>
                </c:pt>
                <c:pt idx="859">
                  <c:v>129370</c:v>
                </c:pt>
                <c:pt idx="860">
                  <c:v>144245</c:v>
                </c:pt>
                <c:pt idx="861">
                  <c:v>171225</c:v>
                </c:pt>
                <c:pt idx="862">
                  <c:v>159800</c:v>
                </c:pt>
                <c:pt idx="863">
                  <c:v>110715</c:v>
                </c:pt>
                <c:pt idx="864">
                  <c:v>135840</c:v>
                </c:pt>
                <c:pt idx="865">
                  <c:v>129760</c:v>
                </c:pt>
                <c:pt idx="866">
                  <c:v>126635</c:v>
                </c:pt>
                <c:pt idx="867">
                  <c:v>142885</c:v>
                </c:pt>
                <c:pt idx="868">
                  <c:v>144070</c:v>
                </c:pt>
                <c:pt idx="869">
                  <c:v>139325</c:v>
                </c:pt>
                <c:pt idx="870">
                  <c:v>103375</c:v>
                </c:pt>
                <c:pt idx="871">
                  <c:v>100385</c:v>
                </c:pt>
                <c:pt idx="872">
                  <c:v>90215</c:v>
                </c:pt>
                <c:pt idx="873">
                  <c:v>90590</c:v>
                </c:pt>
                <c:pt idx="874">
                  <c:v>86590</c:v>
                </c:pt>
                <c:pt idx="875">
                  <c:v>91230</c:v>
                </c:pt>
                <c:pt idx="876">
                  <c:v>91730</c:v>
                </c:pt>
                <c:pt idx="877">
                  <c:v>96395</c:v>
                </c:pt>
                <c:pt idx="878">
                  <c:v>100160</c:v>
                </c:pt>
                <c:pt idx="879">
                  <c:v>104050</c:v>
                </c:pt>
                <c:pt idx="880">
                  <c:v>109925</c:v>
                </c:pt>
                <c:pt idx="881">
                  <c:v>112425</c:v>
                </c:pt>
                <c:pt idx="882">
                  <c:v>99500</c:v>
                </c:pt>
                <c:pt idx="883">
                  <c:v>104500</c:v>
                </c:pt>
                <c:pt idx="884">
                  <c:v>112405</c:v>
                </c:pt>
                <c:pt idx="885">
                  <c:v>120780</c:v>
                </c:pt>
                <c:pt idx="886">
                  <c:v>130155</c:v>
                </c:pt>
                <c:pt idx="887">
                  <c:v>134945</c:v>
                </c:pt>
                <c:pt idx="888">
                  <c:v>136825</c:v>
                </c:pt>
                <c:pt idx="889">
                  <c:v>139950</c:v>
                </c:pt>
                <c:pt idx="890">
                  <c:v>133350</c:v>
                </c:pt>
                <c:pt idx="891">
                  <c:v>135850</c:v>
                </c:pt>
                <c:pt idx="892">
                  <c:v>135850</c:v>
                </c:pt>
                <c:pt idx="893">
                  <c:v>146100</c:v>
                </c:pt>
                <c:pt idx="894">
                  <c:v>135105</c:v>
                </c:pt>
                <c:pt idx="895">
                  <c:v>133480</c:v>
                </c:pt>
                <c:pt idx="896">
                  <c:v>131105</c:v>
                </c:pt>
                <c:pt idx="897">
                  <c:v>136605</c:v>
                </c:pt>
                <c:pt idx="898">
                  <c:v>138605</c:v>
                </c:pt>
                <c:pt idx="899">
                  <c:v>134230</c:v>
                </c:pt>
                <c:pt idx="900">
                  <c:v>130230</c:v>
                </c:pt>
                <c:pt idx="901">
                  <c:v>132355</c:v>
                </c:pt>
                <c:pt idx="902">
                  <c:v>137230</c:v>
                </c:pt>
                <c:pt idx="903">
                  <c:v>129605</c:v>
                </c:pt>
                <c:pt idx="904">
                  <c:v>138855</c:v>
                </c:pt>
                <c:pt idx="905">
                  <c:v>152990</c:v>
                </c:pt>
                <c:pt idx="906">
                  <c:v>150210</c:v>
                </c:pt>
                <c:pt idx="907">
                  <c:v>145115</c:v>
                </c:pt>
                <c:pt idx="908">
                  <c:v>139390</c:v>
                </c:pt>
                <c:pt idx="909">
                  <c:v>142140</c:v>
                </c:pt>
                <c:pt idx="910">
                  <c:v>144015</c:v>
                </c:pt>
                <c:pt idx="911">
                  <c:v>136795</c:v>
                </c:pt>
                <c:pt idx="912">
                  <c:v>132920</c:v>
                </c:pt>
                <c:pt idx="913">
                  <c:v>131310</c:v>
                </c:pt>
                <c:pt idx="914">
                  <c:v>124060</c:v>
                </c:pt>
                <c:pt idx="915">
                  <c:v>122060</c:v>
                </c:pt>
                <c:pt idx="916">
                  <c:v>117310</c:v>
                </c:pt>
                <c:pt idx="917">
                  <c:v>112465</c:v>
                </c:pt>
                <c:pt idx="918">
                  <c:v>127340</c:v>
                </c:pt>
                <c:pt idx="919">
                  <c:v>120215</c:v>
                </c:pt>
                <c:pt idx="920">
                  <c:v>126465</c:v>
                </c:pt>
                <c:pt idx="921">
                  <c:v>138965</c:v>
                </c:pt>
                <c:pt idx="922">
                  <c:v>132340</c:v>
                </c:pt>
                <c:pt idx="923">
                  <c:v>125965</c:v>
                </c:pt>
                <c:pt idx="924">
                  <c:v>127965</c:v>
                </c:pt>
                <c:pt idx="925">
                  <c:v>116340</c:v>
                </c:pt>
                <c:pt idx="926">
                  <c:v>105215</c:v>
                </c:pt>
                <c:pt idx="927">
                  <c:v>105090</c:v>
                </c:pt>
                <c:pt idx="928">
                  <c:v>105215</c:v>
                </c:pt>
                <c:pt idx="929">
                  <c:v>104340</c:v>
                </c:pt>
                <c:pt idx="930">
                  <c:v>103090</c:v>
                </c:pt>
                <c:pt idx="931">
                  <c:v>105340</c:v>
                </c:pt>
                <c:pt idx="932">
                  <c:v>102715</c:v>
                </c:pt>
                <c:pt idx="933">
                  <c:v>104215</c:v>
                </c:pt>
                <c:pt idx="934">
                  <c:v>102215</c:v>
                </c:pt>
                <c:pt idx="935">
                  <c:v>98590</c:v>
                </c:pt>
                <c:pt idx="936">
                  <c:v>100340</c:v>
                </c:pt>
                <c:pt idx="937">
                  <c:v>99465</c:v>
                </c:pt>
                <c:pt idx="938">
                  <c:v>99590</c:v>
                </c:pt>
                <c:pt idx="939">
                  <c:v>100465</c:v>
                </c:pt>
                <c:pt idx="940">
                  <c:v>100215</c:v>
                </c:pt>
                <c:pt idx="941">
                  <c:v>100465</c:v>
                </c:pt>
                <c:pt idx="942">
                  <c:v>98965</c:v>
                </c:pt>
                <c:pt idx="943">
                  <c:v>96720</c:v>
                </c:pt>
                <c:pt idx="944">
                  <c:v>98360</c:v>
                </c:pt>
                <c:pt idx="945">
                  <c:v>98735</c:v>
                </c:pt>
                <c:pt idx="946">
                  <c:v>99360</c:v>
                </c:pt>
                <c:pt idx="947">
                  <c:v>101610</c:v>
                </c:pt>
                <c:pt idx="948">
                  <c:v>105610</c:v>
                </c:pt>
                <c:pt idx="949">
                  <c:v>103985</c:v>
                </c:pt>
                <c:pt idx="950">
                  <c:v>99860</c:v>
                </c:pt>
                <c:pt idx="951">
                  <c:v>97130</c:v>
                </c:pt>
                <c:pt idx="952">
                  <c:v>90580</c:v>
                </c:pt>
                <c:pt idx="953">
                  <c:v>92402.5</c:v>
                </c:pt>
                <c:pt idx="954">
                  <c:v>92182.5</c:v>
                </c:pt>
                <c:pt idx="955">
                  <c:v>87572.5</c:v>
                </c:pt>
                <c:pt idx="956">
                  <c:v>85822.5</c:v>
                </c:pt>
                <c:pt idx="957">
                  <c:v>86452.5</c:v>
                </c:pt>
                <c:pt idx="958">
                  <c:v>88952.5</c:v>
                </c:pt>
                <c:pt idx="959">
                  <c:v>89827.5</c:v>
                </c:pt>
                <c:pt idx="960">
                  <c:v>88327.5</c:v>
                </c:pt>
                <c:pt idx="961">
                  <c:v>91827.5</c:v>
                </c:pt>
                <c:pt idx="962">
                  <c:v>95217.5</c:v>
                </c:pt>
                <c:pt idx="963">
                  <c:v>96592.5</c:v>
                </c:pt>
                <c:pt idx="964">
                  <c:v>94842.5</c:v>
                </c:pt>
                <c:pt idx="965">
                  <c:v>93757.5</c:v>
                </c:pt>
                <c:pt idx="966">
                  <c:v>92382.5</c:v>
                </c:pt>
                <c:pt idx="967">
                  <c:v>91537.5</c:v>
                </c:pt>
                <c:pt idx="968">
                  <c:v>100552.5</c:v>
                </c:pt>
                <c:pt idx="969">
                  <c:v>98802.5</c:v>
                </c:pt>
                <c:pt idx="970">
                  <c:v>106437.5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65D-4F26-99F6-1E0731DAF39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20416208"/>
        <c:axId val="520418504"/>
      </c:lineChart>
      <c:catAx>
        <c:axId val="520416208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0418504"/>
        <c:crosses val="autoZero"/>
        <c:auto val="1"/>
        <c:lblAlgn val="ctr"/>
        <c:lblOffset val="100"/>
        <c:noMultiLvlLbl val="0"/>
      </c:catAx>
      <c:valAx>
        <c:axId val="5204185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041620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chart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chart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chart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chartsheets/sheet1.xml><?xml version="1.0" encoding="utf-8"?>
<chartsheet xmlns="http://schemas.openxmlformats.org/spreadsheetml/2006/main" xmlns:r="http://schemas.openxmlformats.org/officeDocument/2006/relationships">
  <sheetPr codeName="Chart2"/>
  <sheetViews>
    <sheetView zoomScale="97" workbookViewId="0" zoomToFit="1"/>
  </sheetViews>
  <pageMargins left="0.7" right="0.7" top="0.75" bottom="0.75" header="0.3" footer="0.3"/>
  <drawing r:id="rId1"/>
</chartsheet>
</file>

<file path=xl/chartsheets/sheet2.xml><?xml version="1.0" encoding="utf-8"?>
<chartsheet xmlns="http://schemas.openxmlformats.org/spreadsheetml/2006/main" xmlns:r="http://schemas.openxmlformats.org/officeDocument/2006/relationships">
  <sheetPr codeName="Chart7"/>
  <sheetViews>
    <sheetView zoomScale="97" workbookViewId="0" zoomToFit="1"/>
  </sheetViews>
  <pageMargins left="0.7" right="0.7" top="0.75" bottom="0.75" header="0.3" footer="0.3"/>
  <drawing r:id="rId1"/>
</chartsheet>
</file>

<file path=xl/chartsheets/sheet3.xml><?xml version="1.0" encoding="utf-8"?>
<chartsheet xmlns="http://schemas.openxmlformats.org/spreadsheetml/2006/main" xmlns:r="http://schemas.openxmlformats.org/officeDocument/2006/relationships">
  <sheetPr codeName="Chart6"/>
  <sheetViews>
    <sheetView zoomScale="97" workbookViewId="0" zoomToFit="1"/>
  </sheetViews>
  <pageMargins left="0.7" right="0.7" top="0.75" bottom="0.75" header="0.3" footer="0.3"/>
  <drawing r:id="rId1"/>
</chartsheet>
</file>

<file path=xl/chartsheets/sheet4.xml><?xml version="1.0" encoding="utf-8"?>
<chartsheet xmlns="http://schemas.openxmlformats.org/spreadsheetml/2006/main" xmlns:r="http://schemas.openxmlformats.org/officeDocument/2006/relationships">
  <sheetPr codeName="Chart5"/>
  <sheetViews>
    <sheetView zoomScale="92" workbookViewId="0" zoomToFit="1"/>
  </sheetViews>
  <pageMargins left="0.7" right="0.7" top="0.75" bottom="0.75" header="0.3" footer="0.3"/>
  <drawing r:id="rId1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6.xml"/><Relationship Id="rId1" Type="http://schemas.openxmlformats.org/officeDocument/2006/relationships/chart" Target="../charts/chart5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8660876" cy="6294356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.xml><?xml version="1.0" encoding="utf-8"?>
<xdr:wsDr xmlns:xdr="http://schemas.openxmlformats.org/drawingml/2006/spreadsheetDrawing" xmlns:a="http://schemas.openxmlformats.org/drawingml/2006/main">
  <xdr:absoluteAnchor>
    <xdr:pos x="0" y="0"/>
    <xdr:ext cx="8660876" cy="6294356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3.xml><?xml version="1.0" encoding="utf-8"?>
<xdr:wsDr xmlns:xdr="http://schemas.openxmlformats.org/drawingml/2006/spreadsheetDrawing" xmlns:a="http://schemas.openxmlformats.org/drawingml/2006/main">
  <xdr:absoluteAnchor>
    <xdr:pos x="0" y="0"/>
    <xdr:ext cx="8660876" cy="6294356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4.xml><?xml version="1.0" encoding="utf-8"?>
<xdr:wsDr xmlns:xdr="http://schemas.openxmlformats.org/drawingml/2006/spreadsheetDrawing" xmlns:a="http://schemas.openxmlformats.org/drawingml/2006/main">
  <xdr:absoluteAnchor>
    <xdr:pos x="0" y="0"/>
    <xdr:ext cx="8656236" cy="6280220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57150</xdr:colOff>
          <xdr:row>0</xdr:row>
          <xdr:rowOff>57150</xdr:rowOff>
        </xdr:from>
        <xdr:to>
          <xdr:col>0</xdr:col>
          <xdr:colOff>1171575</xdr:colOff>
          <xdr:row>0</xdr:row>
          <xdr:rowOff>342900</xdr:rowOff>
        </xdr:to>
        <xdr:sp macro="" textlink="">
          <xdr:nvSpPr>
            <xdr:cNvPr id="1028" name="refreshDataButton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5</xdr:col>
      <xdr:colOff>180976</xdr:colOff>
      <xdr:row>0</xdr:row>
      <xdr:rowOff>123824</xdr:rowOff>
    </xdr:from>
    <xdr:to>
      <xdr:col>9</xdr:col>
      <xdr:colOff>371476</xdr:colOff>
      <xdr:row>9</xdr:row>
      <xdr:rowOff>95249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400050</xdr:colOff>
      <xdr:row>0</xdr:row>
      <xdr:rowOff>114300</xdr:rowOff>
    </xdr:from>
    <xdr:to>
      <xdr:col>13</xdr:col>
      <xdr:colOff>571500</xdr:colOff>
      <xdr:row>9</xdr:row>
      <xdr:rowOff>95250</xdr:rowOff>
    </xdr:to>
    <xdr:graphicFrame macro="">
      <xdr:nvGraphicFramePr>
        <xdr:cNvPr id="5" name="Chart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5.xml"/><Relationship Id="rId4" Type="http://schemas.openxmlformats.org/officeDocument/2006/relationships/image" Target="../media/image1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R982"/>
  <sheetViews>
    <sheetView tabSelected="1" workbookViewId="0">
      <selection activeCell="P4" sqref="P4"/>
    </sheetView>
  </sheetViews>
  <sheetFormatPr defaultRowHeight="15" x14ac:dyDescent="0.25"/>
  <cols>
    <col min="1" max="1" width="20.5" bestFit="1" customWidth="1"/>
    <col min="2" max="2" width="8.125" bestFit="1" customWidth="1"/>
    <col min="3" max="3" width="4.25" customWidth="1"/>
    <col min="4" max="4" width="15.875" customWidth="1"/>
    <col min="5" max="5" width="10.125" style="10" bestFit="1" customWidth="1"/>
    <col min="6" max="6" width="10.375" bestFit="1" customWidth="1"/>
    <col min="7" max="7" width="8.5" bestFit="1" customWidth="1"/>
    <col min="8" max="8" width="10.375" bestFit="1" customWidth="1"/>
    <col min="9" max="9" width="13" bestFit="1" customWidth="1"/>
    <col min="10" max="10" width="12.25" bestFit="1" customWidth="1"/>
    <col min="11" max="11" width="12.875" style="9" customWidth="1"/>
  </cols>
  <sheetData>
    <row r="1" spans="1:18" ht="30" customHeight="1" thickBot="1" x14ac:dyDescent="0.3">
      <c r="B1" s="4" t="s">
        <v>27</v>
      </c>
    </row>
    <row r="2" spans="1:18" ht="15.75" thickBot="1" x14ac:dyDescent="0.3">
      <c r="A2" t="s">
        <v>6</v>
      </c>
      <c r="B2" t="s">
        <v>16</v>
      </c>
      <c r="D2" s="1" t="s">
        <v>7</v>
      </c>
      <c r="E2" s="15">
        <v>0</v>
      </c>
      <c r="F2" s="1"/>
    </row>
    <row r="3" spans="1:18" ht="15.75" thickBot="1" x14ac:dyDescent="0.3">
      <c r="A3" t="s">
        <v>22</v>
      </c>
      <c r="B3" t="s">
        <v>30</v>
      </c>
      <c r="C3" s="1"/>
      <c r="D3" s="1" t="s">
        <v>44</v>
      </c>
      <c r="E3" s="15">
        <v>0.5</v>
      </c>
      <c r="F3" s="1"/>
    </row>
    <row r="4" spans="1:18" ht="15.75" thickBot="1" x14ac:dyDescent="0.3">
      <c r="A4" s="1" t="s">
        <v>0</v>
      </c>
      <c r="B4" s="2">
        <f>VLOOKUP(B3,DHP,2,FALSE)</f>
        <v>185</v>
      </c>
      <c r="C4" s="1" t="s">
        <v>27</v>
      </c>
      <c r="D4" s="1" t="s">
        <v>45</v>
      </c>
      <c r="E4" s="10">
        <f>SUM(P:P)</f>
        <v>156277.3380935007</v>
      </c>
      <c r="F4" s="1"/>
    </row>
    <row r="5" spans="1:18" ht="15.75" thickBot="1" x14ac:dyDescent="0.3">
      <c r="A5" t="s">
        <v>1</v>
      </c>
      <c r="B5" s="3">
        <f>VLOOKUP(B2,Outright,2,FALSE)</f>
        <v>444</v>
      </c>
      <c r="C5" s="1" t="s">
        <v>27</v>
      </c>
      <c r="D5" s="16" t="s">
        <v>48</v>
      </c>
      <c r="E5" s="17">
        <v>15828</v>
      </c>
      <c r="F5" s="1"/>
    </row>
    <row r="6" spans="1:18" x14ac:dyDescent="0.25">
      <c r="A6" t="s">
        <v>2</v>
      </c>
      <c r="C6" s="1"/>
      <c r="D6" s="18" t="s">
        <v>46</v>
      </c>
      <c r="E6" s="19">
        <f>E5/12</f>
        <v>1319</v>
      </c>
      <c r="F6" s="1"/>
    </row>
    <row r="7" spans="1:18" ht="15.75" thickBot="1" x14ac:dyDescent="0.3">
      <c r="A7" s="1" t="s">
        <v>4</v>
      </c>
      <c r="B7">
        <v>0</v>
      </c>
      <c r="C7" s="1"/>
      <c r="D7" s="18" t="s">
        <v>47</v>
      </c>
      <c r="E7" s="20">
        <v>0.03</v>
      </c>
      <c r="F7" s="1"/>
    </row>
    <row r="8" spans="1:18" ht="15.75" thickBot="1" x14ac:dyDescent="0.3">
      <c r="A8" s="1" t="s">
        <v>3</v>
      </c>
      <c r="B8" s="2">
        <v>10</v>
      </c>
      <c r="C8" s="1" t="s">
        <v>27</v>
      </c>
      <c r="D8" s="21" t="s">
        <v>49</v>
      </c>
      <c r="E8" s="22">
        <f>E6*E7</f>
        <v>39.57</v>
      </c>
      <c r="F8" s="1"/>
    </row>
    <row r="9" spans="1:18" ht="15.75" thickBot="1" x14ac:dyDescent="0.3">
      <c r="A9" s="1" t="s">
        <v>26</v>
      </c>
      <c r="B9" s="3">
        <v>10</v>
      </c>
      <c r="C9" s="1" t="s">
        <v>27</v>
      </c>
      <c r="D9" s="1"/>
      <c r="F9" s="1"/>
    </row>
    <row r="10" spans="1:18" ht="15.75" thickBot="1" x14ac:dyDescent="0.3">
      <c r="A10" s="12" t="s">
        <v>43</v>
      </c>
      <c r="B10" s="15">
        <v>20</v>
      </c>
      <c r="D10" s="1"/>
      <c r="F10" s="1"/>
    </row>
    <row r="11" spans="1:18" ht="75" x14ac:dyDescent="0.25">
      <c r="C11" s="11"/>
      <c r="D11" s="1">
        <v>41275</v>
      </c>
      <c r="E11" s="10">
        <v>29025</v>
      </c>
      <c r="F11" s="1"/>
      <c r="G11">
        <v>971</v>
      </c>
      <c r="H11" t="s">
        <v>5</v>
      </c>
      <c r="I11" s="13" t="str">
        <f xml:space="preserve"> dhpName</f>
        <v>Corn DHP</v>
      </c>
      <c r="J11" s="13" t="str">
        <f xml:space="preserve"> CONCATENATE("Long ", underlyingName," Futures")</f>
        <v>Long Corn Futures</v>
      </c>
      <c r="K11" s="14" t="str">
        <f xml:space="preserve"> CONCATENATE("Short ", underlyingName," Futures")</f>
        <v>Short Corn Futures</v>
      </c>
      <c r="L11" s="13" t="s">
        <v>50</v>
      </c>
      <c r="M11" s="13" t="str">
        <f xml:space="preserve"> CONCATENATE(underlyingName," Futures To Compare")</f>
        <v>Corn Futures To Compare</v>
      </c>
      <c r="N11" s="13"/>
      <c r="O11" s="13"/>
      <c r="R11" t="s">
        <v>51</v>
      </c>
    </row>
    <row r="12" spans="1:18" x14ac:dyDescent="0.25">
      <c r="A12" s="1"/>
      <c r="C12" s="1"/>
      <c r="D12" s="1">
        <v>41275</v>
      </c>
      <c r="E12" s="10">
        <v>29025</v>
      </c>
      <c r="F12" s="1">
        <v>41275</v>
      </c>
      <c r="G12">
        <v>4638.5</v>
      </c>
      <c r="H12" s="1">
        <f>D11</f>
        <v>41275</v>
      </c>
      <c r="I12">
        <f>startingDHPDollars</f>
        <v>0</v>
      </c>
      <c r="J12">
        <f>startingDHPDollars</f>
        <v>0</v>
      </c>
      <c r="K12" s="9">
        <f>startingDHPDollars</f>
        <v>0</v>
      </c>
      <c r="L12">
        <f>startingDHPDollars</f>
        <v>0</v>
      </c>
      <c r="M12">
        <f>startingDHPDollars</f>
        <v>0</v>
      </c>
      <c r="N12">
        <f>IF(MyRowHidden(ROW())=TRUE,0,L12-M12)</f>
        <v>0</v>
      </c>
      <c r="O12">
        <f>MAX(N$12:N12)</f>
        <v>0</v>
      </c>
      <c r="P12">
        <f t="shared" ref="P12:P75" si="0">IF(O12&gt;O11,(O12-O11)*percentSavingsParticipation,0)</f>
        <v>0</v>
      </c>
      <c r="Q12">
        <f>P12+Q11</f>
        <v>0</v>
      </c>
      <c r="R12">
        <f>I12+J12</f>
        <v>0</v>
      </c>
    </row>
    <row r="13" spans="1:18" x14ac:dyDescent="0.25">
      <c r="A13" s="1"/>
      <c r="C13" s="1"/>
      <c r="D13" s="1">
        <v>41276</v>
      </c>
      <c r="E13" s="10">
        <v>30087.5</v>
      </c>
      <c r="F13" s="1">
        <v>41276</v>
      </c>
      <c r="G13">
        <v>3788.5</v>
      </c>
      <c r="H13" s="1">
        <f t="shared" ref="H13:H76" si="1">D13</f>
        <v>41276</v>
      </c>
      <c r="I13">
        <f>IF(AND(MyRowHidden(ROW())=FALSE,MyRowHidden(ROW()-1)=TRUE),0,(E13-E12)*unitsOfDHp+I12)</f>
        <v>10625</v>
      </c>
      <c r="J13">
        <f>IF(AND(MyRowHidden(ROW())=FALSE,MyRowHidden(ROW()-1)=TRUE),0,(G13-G12)*unitsOfExo+J12)</f>
        <v>-8500</v>
      </c>
      <c r="K13" s="9">
        <f t="shared" ref="K13:K76" si="2">-(J13-J12)+K12</f>
        <v>8500</v>
      </c>
      <c r="L13">
        <f t="shared" ref="L13:L76" si="3">I13-I12+J13-J12+L12-P12</f>
        <v>2125</v>
      </c>
      <c r="M13">
        <f>IF(AND(MyRowHidden(ROW())=FALSE,MyRowHidden(ROW()-1)=TRUE),0,(G13-G12)*unitsFuturesCompare+M12)</f>
        <v>-17000</v>
      </c>
      <c r="N13">
        <f>IF(MyRowHidden(ROW())=TRUE,0,L13-M13)</f>
        <v>19125</v>
      </c>
      <c r="O13">
        <f>MAX(N$12:N13)</f>
        <v>19125</v>
      </c>
      <c r="P13">
        <f>IF(O13&gt;O12,(O13-O12)*percentSavingsParticipation,0)</f>
        <v>9562.5</v>
      </c>
      <c r="Q13">
        <f t="shared" ref="Q13:Q76" si="4">P13+Q12</f>
        <v>9562.5</v>
      </c>
      <c r="R13">
        <f t="shared" ref="R13:R76" si="5">I13+J13</f>
        <v>2125</v>
      </c>
    </row>
    <row r="14" spans="1:18" x14ac:dyDescent="0.25">
      <c r="A14" s="1"/>
      <c r="C14" s="1"/>
      <c r="D14" s="1">
        <v>41277</v>
      </c>
      <c r="E14" s="10">
        <v>30425</v>
      </c>
      <c r="F14" s="1">
        <v>41277</v>
      </c>
      <c r="G14">
        <v>3838.5</v>
      </c>
      <c r="H14" s="1">
        <f t="shared" si="1"/>
        <v>41277</v>
      </c>
      <c r="I14">
        <f>IF(AND(MyRowHidden(ROW())=FALSE,MyRowHidden(ROW()-1)=TRUE),0,(E14-E13)*unitsOfDHp+I13)</f>
        <v>14000</v>
      </c>
      <c r="J14">
        <f>IF(AND(MyRowHidden(ROW())=FALSE,MyRowHidden(ROW()-1)=TRUE),0,(G14-G13)*unitsOfExo+J13)</f>
        <v>-8000</v>
      </c>
      <c r="K14" s="9">
        <f t="shared" si="2"/>
        <v>8000</v>
      </c>
      <c r="L14">
        <f t="shared" si="3"/>
        <v>-3562.5</v>
      </c>
      <c r="M14">
        <f>IF(AND(MyRowHidden(ROW())=FALSE,MyRowHidden(ROW()-1)=TRUE),0,(G14-G13)*unitsFuturesCompare+M13)</f>
        <v>-16000</v>
      </c>
      <c r="N14">
        <f>IF(MyRowHidden(ROW())=TRUE,0,L14-M14)</f>
        <v>12437.5</v>
      </c>
      <c r="O14">
        <f>MAX(N$12:N14)</f>
        <v>19125</v>
      </c>
      <c r="P14">
        <f>IF(O14&gt;O13,(O14-O13)*percentSavingsParticipation,0)</f>
        <v>0</v>
      </c>
      <c r="Q14">
        <f t="shared" si="4"/>
        <v>9562.5</v>
      </c>
      <c r="R14">
        <f t="shared" si="5"/>
        <v>6000</v>
      </c>
    </row>
    <row r="15" spans="1:18" x14ac:dyDescent="0.25">
      <c r="A15" s="6">
        <f>unitsOfDHp*B15</f>
        <v>220000</v>
      </c>
      <c r="B15" s="5">
        <v>22000</v>
      </c>
      <c r="C15" s="1"/>
      <c r="D15" s="1">
        <v>41278</v>
      </c>
      <c r="E15" s="10">
        <v>31000</v>
      </c>
      <c r="F15" s="1">
        <v>41278</v>
      </c>
      <c r="G15">
        <v>3463.5</v>
      </c>
      <c r="H15" s="1">
        <f t="shared" si="1"/>
        <v>41278</v>
      </c>
      <c r="I15">
        <f>IF(AND(MyRowHidden(ROW())=FALSE,MyRowHidden(ROW()-1)=TRUE),0,(E15-E14)*unitsOfDHp+I14)</f>
        <v>19750</v>
      </c>
      <c r="J15">
        <f>IF(AND(MyRowHidden(ROW())=FALSE,MyRowHidden(ROW()-1)=TRUE),0,(G15-G14)*unitsOfExo+J14)</f>
        <v>-11750</v>
      </c>
      <c r="K15" s="9">
        <f t="shared" si="2"/>
        <v>11750</v>
      </c>
      <c r="L15">
        <f t="shared" si="3"/>
        <v>-1562.5</v>
      </c>
      <c r="M15">
        <f>IF(AND(MyRowHidden(ROW())=FALSE,MyRowHidden(ROW()-1)=TRUE),0,(G15-G14)*unitsFuturesCompare+M14)</f>
        <v>-23500</v>
      </c>
      <c r="N15">
        <f>IF(MyRowHidden(ROW())=TRUE,0,L15-M15)</f>
        <v>21937.5</v>
      </c>
      <c r="O15">
        <f>MAX(N$12:N15)</f>
        <v>21937.5</v>
      </c>
      <c r="P15">
        <f>IF(O15&gt;O14,(O15-O14)*percentSavingsParticipation,0)</f>
        <v>1406.25</v>
      </c>
      <c r="Q15">
        <f t="shared" si="4"/>
        <v>10968.75</v>
      </c>
      <c r="R15">
        <f t="shared" si="5"/>
        <v>8000</v>
      </c>
    </row>
    <row r="16" spans="1:18" x14ac:dyDescent="0.25">
      <c r="A16" s="1"/>
      <c r="C16" s="1"/>
      <c r="D16" s="1">
        <v>41281</v>
      </c>
      <c r="E16" s="10">
        <v>31125</v>
      </c>
      <c r="F16" s="1">
        <v>41281</v>
      </c>
      <c r="G16">
        <v>3551</v>
      </c>
      <c r="H16" s="1">
        <f t="shared" si="1"/>
        <v>41281</v>
      </c>
      <c r="I16">
        <f>IF(AND(MyRowHidden(ROW())=FALSE,MyRowHidden(ROW()-1)=TRUE),0,(E16-E15)*unitsOfDHp+I15)</f>
        <v>21000</v>
      </c>
      <c r="J16">
        <f>IF(AND(MyRowHidden(ROW())=FALSE,MyRowHidden(ROW()-1)=TRUE),0,(G16-G15)*unitsOfExo+J15)</f>
        <v>-10875</v>
      </c>
      <c r="K16" s="9">
        <f t="shared" si="2"/>
        <v>10875</v>
      </c>
      <c r="L16">
        <f t="shared" si="3"/>
        <v>-843.75</v>
      </c>
      <c r="M16">
        <f>IF(AND(MyRowHidden(ROW())=FALSE,MyRowHidden(ROW()-1)=TRUE),0,(G16-G15)*unitsFuturesCompare+M15)</f>
        <v>-21750</v>
      </c>
      <c r="N16">
        <f>IF(MyRowHidden(ROW())=TRUE,0,L16-M16)</f>
        <v>20906.25</v>
      </c>
      <c r="O16">
        <f>MAX(N$12:N16)</f>
        <v>21937.5</v>
      </c>
      <c r="P16">
        <f>IF(O16&gt;O15,(O16-O15)*percentSavingsParticipation,0)</f>
        <v>0</v>
      </c>
      <c r="Q16">
        <f t="shared" si="4"/>
        <v>10968.75</v>
      </c>
      <c r="R16">
        <f t="shared" si="5"/>
        <v>10125</v>
      </c>
    </row>
    <row r="17" spans="1:18" x14ac:dyDescent="0.25">
      <c r="A17" s="6">
        <f>unitsOfExo*B17</f>
        <v>33000</v>
      </c>
      <c r="B17">
        <f>825*4</f>
        <v>3300</v>
      </c>
      <c r="C17" s="1"/>
      <c r="D17" s="1">
        <v>41282</v>
      </c>
      <c r="E17" s="10">
        <v>30500</v>
      </c>
      <c r="F17" s="1">
        <v>41282</v>
      </c>
      <c r="G17">
        <v>3888.5</v>
      </c>
      <c r="H17" s="1">
        <f t="shared" si="1"/>
        <v>41282</v>
      </c>
      <c r="I17">
        <f>IF(AND(MyRowHidden(ROW())=FALSE,MyRowHidden(ROW()-1)=TRUE),0,(E17-E16)*unitsOfDHp+I16)</f>
        <v>14750</v>
      </c>
      <c r="J17">
        <f>IF(AND(MyRowHidden(ROW())=FALSE,MyRowHidden(ROW()-1)=TRUE),0,(G17-G16)*unitsOfExo+J16)</f>
        <v>-7500</v>
      </c>
      <c r="K17" s="9">
        <f t="shared" si="2"/>
        <v>7500</v>
      </c>
      <c r="L17">
        <f t="shared" si="3"/>
        <v>-3718.75</v>
      </c>
      <c r="M17">
        <f>IF(AND(MyRowHidden(ROW())=FALSE,MyRowHidden(ROW()-1)=TRUE),0,(G17-G16)*unitsFuturesCompare+M16)</f>
        <v>-15000</v>
      </c>
      <c r="N17">
        <f>IF(MyRowHidden(ROW())=TRUE,0,L17-M17)</f>
        <v>11281.25</v>
      </c>
      <c r="O17">
        <f>MAX(N$12:N17)</f>
        <v>21937.5</v>
      </c>
      <c r="P17">
        <f>IF(O17&gt;O16,(O17-O16)*percentSavingsParticipation,0)</f>
        <v>0</v>
      </c>
      <c r="Q17">
        <f t="shared" si="4"/>
        <v>10968.75</v>
      </c>
      <c r="R17">
        <f t="shared" si="5"/>
        <v>7250</v>
      </c>
    </row>
    <row r="18" spans="1:18" x14ac:dyDescent="0.25">
      <c r="A18" s="6">
        <f>100*B18</f>
        <v>75000</v>
      </c>
      <c r="B18">
        <v>750</v>
      </c>
      <c r="C18" s="1"/>
      <c r="D18" s="1">
        <v>41283</v>
      </c>
      <c r="E18" s="10">
        <v>30287.5</v>
      </c>
      <c r="F18" s="1">
        <v>41283</v>
      </c>
      <c r="G18">
        <v>4013.5</v>
      </c>
      <c r="H18" s="1">
        <f t="shared" si="1"/>
        <v>41283</v>
      </c>
      <c r="I18">
        <f>IF(AND(MyRowHidden(ROW())=FALSE,MyRowHidden(ROW()-1)=TRUE),0,(E18-E17)*unitsOfDHp+I17)</f>
        <v>12625</v>
      </c>
      <c r="J18">
        <f>IF(AND(MyRowHidden(ROW())=FALSE,MyRowHidden(ROW()-1)=TRUE),0,(G18-G17)*unitsOfExo+J17)</f>
        <v>-6250</v>
      </c>
      <c r="K18" s="9">
        <f t="shared" si="2"/>
        <v>6250</v>
      </c>
      <c r="L18">
        <f t="shared" si="3"/>
        <v>-4593.75</v>
      </c>
      <c r="M18">
        <f>IF(AND(MyRowHidden(ROW())=FALSE,MyRowHidden(ROW()-1)=TRUE),0,(G18-G17)*unitsFuturesCompare+M17)</f>
        <v>-12500</v>
      </c>
      <c r="N18">
        <f>IF(MyRowHidden(ROW())=TRUE,0,L18-M18)</f>
        <v>7906.25</v>
      </c>
      <c r="O18">
        <f>MAX(N$12:N18)</f>
        <v>21937.5</v>
      </c>
      <c r="P18">
        <f>IF(O18&gt;O17,(O18-O17)*percentSavingsParticipation,0)</f>
        <v>0</v>
      </c>
      <c r="Q18">
        <f t="shared" si="4"/>
        <v>10968.75</v>
      </c>
      <c r="R18">
        <f t="shared" si="5"/>
        <v>6375</v>
      </c>
    </row>
    <row r="19" spans="1:18" x14ac:dyDescent="0.25">
      <c r="A19" s="7">
        <f>A17-A18</f>
        <v>-42000</v>
      </c>
      <c r="C19" s="1"/>
      <c r="D19" s="1">
        <v>41284</v>
      </c>
      <c r="E19" s="10">
        <v>29816</v>
      </c>
      <c r="F19" s="1">
        <v>41284</v>
      </c>
      <c r="G19">
        <v>4201</v>
      </c>
      <c r="H19" s="1">
        <f t="shared" si="1"/>
        <v>41284</v>
      </c>
      <c r="I19">
        <f>IF(AND(MyRowHidden(ROW())=FALSE,MyRowHidden(ROW()-1)=TRUE),0,(E19-E18)*unitsOfDHp+I18)</f>
        <v>7910</v>
      </c>
      <c r="J19">
        <f>IF(AND(MyRowHidden(ROW())=FALSE,MyRowHidden(ROW()-1)=TRUE),0,(G19-G18)*unitsOfExo+J18)</f>
        <v>-4375</v>
      </c>
      <c r="K19" s="9">
        <f t="shared" si="2"/>
        <v>4375</v>
      </c>
      <c r="L19">
        <f t="shared" si="3"/>
        <v>-7433.75</v>
      </c>
      <c r="M19">
        <f>IF(AND(MyRowHidden(ROW())=FALSE,MyRowHidden(ROW()-1)=TRUE),0,(G19-G18)*unitsFuturesCompare+M18)</f>
        <v>-8750</v>
      </c>
      <c r="N19">
        <f>IF(MyRowHidden(ROW())=TRUE,0,L19-M19)</f>
        <v>1316.25</v>
      </c>
      <c r="O19">
        <f>MAX(N$12:N19)</f>
        <v>21937.5</v>
      </c>
      <c r="P19">
        <f>IF(O19&gt;O18,(O19-O18)*percentSavingsParticipation,0)</f>
        <v>0</v>
      </c>
      <c r="Q19">
        <f t="shared" si="4"/>
        <v>10968.75</v>
      </c>
      <c r="R19">
        <f t="shared" si="5"/>
        <v>3535</v>
      </c>
    </row>
    <row r="20" spans="1:18" x14ac:dyDescent="0.25">
      <c r="A20" s="1"/>
      <c r="C20" s="1"/>
      <c r="D20" s="1">
        <v>41285</v>
      </c>
      <c r="E20" s="10">
        <v>28920</v>
      </c>
      <c r="F20" s="1">
        <v>41285</v>
      </c>
      <c r="G20">
        <v>5051</v>
      </c>
      <c r="H20" s="1">
        <f t="shared" si="1"/>
        <v>41285</v>
      </c>
      <c r="I20">
        <f>IF(AND(MyRowHidden(ROW())=FALSE,MyRowHidden(ROW()-1)=TRUE),0,(E20-E19)*unitsOfDHp+I19)</f>
        <v>-1050</v>
      </c>
      <c r="J20">
        <f>IF(AND(MyRowHidden(ROW())=FALSE,MyRowHidden(ROW()-1)=TRUE),0,(G20-G19)*unitsOfExo+J19)</f>
        <v>4125</v>
      </c>
      <c r="K20" s="9">
        <f t="shared" si="2"/>
        <v>-4125</v>
      </c>
      <c r="L20">
        <f t="shared" si="3"/>
        <v>-7893.75</v>
      </c>
      <c r="M20">
        <f>IF(AND(MyRowHidden(ROW())=FALSE,MyRowHidden(ROW()-1)=TRUE),0,(G20-G19)*unitsFuturesCompare+M19)</f>
        <v>8250</v>
      </c>
      <c r="N20">
        <f>IF(MyRowHidden(ROW())=TRUE,0,L20-M20)</f>
        <v>-16143.75</v>
      </c>
      <c r="O20">
        <f>MAX(N$12:N20)</f>
        <v>21937.5</v>
      </c>
      <c r="P20">
        <f>IF(O20&gt;O19,(O20-O19)*percentSavingsParticipation,0)</f>
        <v>0</v>
      </c>
      <c r="Q20">
        <f t="shared" si="4"/>
        <v>10968.75</v>
      </c>
      <c r="R20">
        <f t="shared" si="5"/>
        <v>3075</v>
      </c>
    </row>
    <row r="21" spans="1:18" x14ac:dyDescent="0.25">
      <c r="A21" s="1"/>
      <c r="C21" s="1"/>
      <c r="D21" s="1">
        <v>41288</v>
      </c>
      <c r="E21" s="10">
        <v>30607.5</v>
      </c>
      <c r="F21" s="1">
        <v>41288</v>
      </c>
      <c r="G21">
        <v>5438.5</v>
      </c>
      <c r="H21" s="1">
        <f t="shared" si="1"/>
        <v>41288</v>
      </c>
      <c r="I21">
        <f>IF(AND(MyRowHidden(ROW())=FALSE,MyRowHidden(ROW()-1)=TRUE),0,(E21-E20)*unitsOfDHp+I20)</f>
        <v>15825</v>
      </c>
      <c r="J21">
        <f>IF(AND(MyRowHidden(ROW())=FALSE,MyRowHidden(ROW()-1)=TRUE),0,(G21-G20)*unitsOfExo+J20)</f>
        <v>8000</v>
      </c>
      <c r="K21" s="9">
        <f t="shared" si="2"/>
        <v>-8000</v>
      </c>
      <c r="L21">
        <f t="shared" si="3"/>
        <v>12856.25</v>
      </c>
      <c r="M21">
        <f>IF(AND(MyRowHidden(ROW())=FALSE,MyRowHidden(ROW()-1)=TRUE),0,(G21-G20)*unitsFuturesCompare+M20)</f>
        <v>16000</v>
      </c>
      <c r="N21">
        <f>IF(MyRowHidden(ROW())=TRUE,0,L21-M21)</f>
        <v>-3143.75</v>
      </c>
      <c r="O21">
        <f>MAX(N$12:N21)</f>
        <v>21937.5</v>
      </c>
      <c r="P21">
        <f>IF(O21&gt;O20,(O21-O20)*percentSavingsParticipation,0)</f>
        <v>0</v>
      </c>
      <c r="Q21">
        <f t="shared" si="4"/>
        <v>10968.75</v>
      </c>
      <c r="R21">
        <f t="shared" si="5"/>
        <v>23825</v>
      </c>
    </row>
    <row r="22" spans="1:18" x14ac:dyDescent="0.25">
      <c r="A22" s="8">
        <f>1500000/A19</f>
        <v>-35.714285714285715</v>
      </c>
      <c r="C22" s="1"/>
      <c r="D22" s="1">
        <v>41289</v>
      </c>
      <c r="E22" s="10">
        <v>30320</v>
      </c>
      <c r="F22" s="1">
        <v>41289</v>
      </c>
      <c r="G22">
        <v>5888.5</v>
      </c>
      <c r="H22" s="1">
        <f t="shared" si="1"/>
        <v>41289</v>
      </c>
      <c r="I22">
        <f>IF(AND(MyRowHidden(ROW())=FALSE,MyRowHidden(ROW()-1)=TRUE),0,(E22-E21)*unitsOfDHp+I21)</f>
        <v>12950</v>
      </c>
      <c r="J22">
        <f>IF(AND(MyRowHidden(ROW())=FALSE,MyRowHidden(ROW()-1)=TRUE),0,(G22-G21)*unitsOfExo+J21)</f>
        <v>12500</v>
      </c>
      <c r="K22" s="9">
        <f t="shared" si="2"/>
        <v>-12500</v>
      </c>
      <c r="L22">
        <f t="shared" si="3"/>
        <v>14481.25</v>
      </c>
      <c r="M22">
        <f>IF(AND(MyRowHidden(ROW())=FALSE,MyRowHidden(ROW()-1)=TRUE),0,(G22-G21)*unitsFuturesCompare+M21)</f>
        <v>25000</v>
      </c>
      <c r="N22">
        <f>IF(MyRowHidden(ROW())=TRUE,0,L22-M22)</f>
        <v>-10518.75</v>
      </c>
      <c r="O22">
        <f>MAX(N$12:N22)</f>
        <v>21937.5</v>
      </c>
      <c r="P22">
        <f>IF(O22&gt;O21,(O22-O21)*percentSavingsParticipation,0)</f>
        <v>0</v>
      </c>
      <c r="Q22">
        <f t="shared" si="4"/>
        <v>10968.75</v>
      </c>
      <c r="R22">
        <f t="shared" si="5"/>
        <v>25450</v>
      </c>
    </row>
    <row r="23" spans="1:18" x14ac:dyDescent="0.25">
      <c r="A23" s="8">
        <f>A19*A22</f>
        <v>1500000</v>
      </c>
      <c r="C23" s="1"/>
      <c r="D23" s="1">
        <v>41290</v>
      </c>
      <c r="E23" s="10">
        <v>30570</v>
      </c>
      <c r="F23" s="1">
        <v>41290</v>
      </c>
      <c r="G23">
        <v>5763.5</v>
      </c>
      <c r="H23" s="1">
        <f t="shared" si="1"/>
        <v>41290</v>
      </c>
      <c r="I23">
        <f>IF(AND(MyRowHidden(ROW())=FALSE,MyRowHidden(ROW()-1)=TRUE),0,(E23-E22)*unitsOfDHp+I22)</f>
        <v>15450</v>
      </c>
      <c r="J23">
        <f>IF(AND(MyRowHidden(ROW())=FALSE,MyRowHidden(ROW()-1)=TRUE),0,(G23-G22)*unitsOfExo+J22)</f>
        <v>11250</v>
      </c>
      <c r="K23" s="9">
        <f t="shared" si="2"/>
        <v>-11250</v>
      </c>
      <c r="L23">
        <f t="shared" si="3"/>
        <v>15731.25</v>
      </c>
      <c r="M23">
        <f>IF(AND(MyRowHidden(ROW())=FALSE,MyRowHidden(ROW()-1)=TRUE),0,(G23-G22)*unitsFuturesCompare+M22)</f>
        <v>22500</v>
      </c>
      <c r="N23">
        <f>IF(MyRowHidden(ROW())=TRUE,0,L23-M23)</f>
        <v>-6768.75</v>
      </c>
      <c r="O23">
        <f>MAX(N$12:N23)</f>
        <v>21937.5</v>
      </c>
      <c r="P23">
        <f>IF(O23&gt;O22,(O23-O22)*percentSavingsParticipation,0)</f>
        <v>0</v>
      </c>
      <c r="Q23">
        <f t="shared" si="4"/>
        <v>10968.75</v>
      </c>
      <c r="R23">
        <f t="shared" si="5"/>
        <v>26700</v>
      </c>
    </row>
    <row r="24" spans="1:18" x14ac:dyDescent="0.25">
      <c r="A24" s="1"/>
      <c r="C24" s="1"/>
      <c r="D24" s="1">
        <v>41291</v>
      </c>
      <c r="E24" s="10">
        <v>30745</v>
      </c>
      <c r="F24" s="1">
        <v>41291</v>
      </c>
      <c r="G24">
        <v>5676</v>
      </c>
      <c r="H24" s="1">
        <f t="shared" si="1"/>
        <v>41291</v>
      </c>
      <c r="I24">
        <f>IF(AND(MyRowHidden(ROW())=FALSE,MyRowHidden(ROW()-1)=TRUE),0,(E24-E23)*unitsOfDHp+I23)</f>
        <v>17200</v>
      </c>
      <c r="J24">
        <f>IF(AND(MyRowHidden(ROW())=FALSE,MyRowHidden(ROW()-1)=TRUE),0,(G24-G23)*unitsOfExo+J23)</f>
        <v>10375</v>
      </c>
      <c r="K24" s="9">
        <f t="shared" si="2"/>
        <v>-10375</v>
      </c>
      <c r="L24">
        <f t="shared" si="3"/>
        <v>16606.25</v>
      </c>
      <c r="M24">
        <f>IF(AND(MyRowHidden(ROW())=FALSE,MyRowHidden(ROW()-1)=TRUE),0,(G24-G23)*unitsFuturesCompare+M23)</f>
        <v>20750</v>
      </c>
      <c r="N24">
        <f>IF(MyRowHidden(ROW())=TRUE,0,L24-M24)</f>
        <v>-4143.75</v>
      </c>
      <c r="O24">
        <f>MAX(N$12:N24)</f>
        <v>21937.5</v>
      </c>
      <c r="P24">
        <f>IF(O24&gt;O23,(O24-O23)*percentSavingsParticipation,0)</f>
        <v>0</v>
      </c>
      <c r="Q24">
        <f t="shared" si="4"/>
        <v>10968.75</v>
      </c>
      <c r="R24">
        <f t="shared" si="5"/>
        <v>27575</v>
      </c>
    </row>
    <row r="25" spans="1:18" x14ac:dyDescent="0.25">
      <c r="A25" s="1"/>
      <c r="C25" s="1"/>
      <c r="D25" s="1">
        <v>41292</v>
      </c>
      <c r="E25" s="10">
        <v>30807.5</v>
      </c>
      <c r="F25" s="1">
        <v>41292</v>
      </c>
      <c r="G25">
        <v>5726</v>
      </c>
      <c r="H25" s="1">
        <f t="shared" si="1"/>
        <v>41292</v>
      </c>
      <c r="I25">
        <f>IF(AND(MyRowHidden(ROW())=FALSE,MyRowHidden(ROW()-1)=TRUE),0,(E25-E24)*unitsOfDHp+I24)</f>
        <v>17825</v>
      </c>
      <c r="J25">
        <f>IF(AND(MyRowHidden(ROW())=FALSE,MyRowHidden(ROW()-1)=TRUE),0,(G25-G24)*unitsOfExo+J24)</f>
        <v>10875</v>
      </c>
      <c r="K25" s="9">
        <f t="shared" si="2"/>
        <v>-10875</v>
      </c>
      <c r="L25">
        <f t="shared" si="3"/>
        <v>17731.25</v>
      </c>
      <c r="M25">
        <f>IF(AND(MyRowHidden(ROW())=FALSE,MyRowHidden(ROW()-1)=TRUE),0,(G25-G24)*unitsFuturesCompare+M24)</f>
        <v>21750</v>
      </c>
      <c r="N25">
        <f>IF(MyRowHidden(ROW())=TRUE,0,L25-M25)</f>
        <v>-4018.75</v>
      </c>
      <c r="O25">
        <f>MAX(N$12:N25)</f>
        <v>21937.5</v>
      </c>
      <c r="P25">
        <f>IF(O25&gt;O24,(O25-O24)*percentSavingsParticipation,0)</f>
        <v>0</v>
      </c>
      <c r="Q25">
        <f t="shared" si="4"/>
        <v>10968.75</v>
      </c>
      <c r="R25">
        <f t="shared" si="5"/>
        <v>28700</v>
      </c>
    </row>
    <row r="26" spans="1:18" x14ac:dyDescent="0.25">
      <c r="A26" s="1"/>
      <c r="C26" s="1"/>
      <c r="D26" s="1">
        <v>41295</v>
      </c>
      <c r="E26" s="10">
        <v>31032.5</v>
      </c>
      <c r="F26" s="1">
        <v>41295</v>
      </c>
      <c r="G26">
        <v>5701</v>
      </c>
      <c r="H26" s="1">
        <f t="shared" si="1"/>
        <v>41295</v>
      </c>
      <c r="I26">
        <f>IF(AND(MyRowHidden(ROW())=FALSE,MyRowHidden(ROW()-1)=TRUE),0,(E26-E25)*unitsOfDHp+I25)</f>
        <v>20075</v>
      </c>
      <c r="J26">
        <f>IF(AND(MyRowHidden(ROW())=FALSE,MyRowHidden(ROW()-1)=TRUE),0,(G26-G25)*unitsOfExo+J25)</f>
        <v>10625</v>
      </c>
      <c r="K26" s="9">
        <f t="shared" si="2"/>
        <v>-10625</v>
      </c>
      <c r="L26">
        <f t="shared" si="3"/>
        <v>19731.25</v>
      </c>
      <c r="M26">
        <f>IF(AND(MyRowHidden(ROW())=FALSE,MyRowHidden(ROW()-1)=TRUE),0,(G26-G25)*unitsFuturesCompare+M25)</f>
        <v>21250</v>
      </c>
      <c r="N26">
        <f>IF(MyRowHidden(ROW())=TRUE,0,L26-M26)</f>
        <v>-1518.75</v>
      </c>
      <c r="O26">
        <f>MAX(N$12:N26)</f>
        <v>21937.5</v>
      </c>
      <c r="P26">
        <f>IF(O26&gt;O25,(O26-O25)*percentSavingsParticipation,0)</f>
        <v>0</v>
      </c>
      <c r="Q26">
        <f t="shared" si="4"/>
        <v>10968.75</v>
      </c>
      <c r="R26">
        <f t="shared" si="5"/>
        <v>30700</v>
      </c>
    </row>
    <row r="27" spans="1:18" x14ac:dyDescent="0.25">
      <c r="A27" s="1"/>
      <c r="C27" s="1"/>
      <c r="D27" s="1">
        <v>41296</v>
      </c>
      <c r="E27" s="10">
        <v>30882.5</v>
      </c>
      <c r="F27" s="1">
        <v>41296</v>
      </c>
      <c r="G27">
        <v>5826</v>
      </c>
      <c r="H27" s="1">
        <f t="shared" si="1"/>
        <v>41296</v>
      </c>
      <c r="I27">
        <f>IF(AND(MyRowHidden(ROW())=FALSE,MyRowHidden(ROW()-1)=TRUE),0,(E27-E26)*unitsOfDHp+I26)</f>
        <v>18575</v>
      </c>
      <c r="J27">
        <f>IF(AND(MyRowHidden(ROW())=FALSE,MyRowHidden(ROW()-1)=TRUE),0,(G27-G26)*unitsOfExo+J26)</f>
        <v>11875</v>
      </c>
      <c r="K27" s="9">
        <f t="shared" si="2"/>
        <v>-11875</v>
      </c>
      <c r="L27">
        <f t="shared" si="3"/>
        <v>19481.25</v>
      </c>
      <c r="M27">
        <f>IF(AND(MyRowHidden(ROW())=FALSE,MyRowHidden(ROW()-1)=TRUE),0,(G27-G26)*unitsFuturesCompare+M26)</f>
        <v>23750</v>
      </c>
      <c r="N27">
        <f>IF(MyRowHidden(ROW())=TRUE,0,L27-M27)</f>
        <v>-4268.75</v>
      </c>
      <c r="O27">
        <f>MAX(N$12:N27)</f>
        <v>21937.5</v>
      </c>
      <c r="P27">
        <f>IF(O27&gt;O26,(O27-O26)*percentSavingsParticipation,0)</f>
        <v>0</v>
      </c>
      <c r="Q27">
        <f t="shared" si="4"/>
        <v>10968.75</v>
      </c>
      <c r="R27">
        <f t="shared" si="5"/>
        <v>30450</v>
      </c>
    </row>
    <row r="28" spans="1:18" x14ac:dyDescent="0.25">
      <c r="A28" s="1"/>
      <c r="C28" s="1"/>
      <c r="D28" s="1">
        <v>41297</v>
      </c>
      <c r="E28" s="10">
        <v>31386</v>
      </c>
      <c r="F28" s="1">
        <v>41297</v>
      </c>
      <c r="G28">
        <v>5476</v>
      </c>
      <c r="H28" s="1">
        <f t="shared" si="1"/>
        <v>41297</v>
      </c>
      <c r="I28">
        <f>IF(AND(MyRowHidden(ROW())=FALSE,MyRowHidden(ROW()-1)=TRUE),0,(E28-E27)*unitsOfDHp+I27)</f>
        <v>23610</v>
      </c>
      <c r="J28">
        <f>IF(AND(MyRowHidden(ROW())=FALSE,MyRowHidden(ROW()-1)=TRUE),0,(G28-G27)*unitsOfExo+J27)</f>
        <v>8375</v>
      </c>
      <c r="K28" s="9">
        <f t="shared" si="2"/>
        <v>-8375</v>
      </c>
      <c r="L28">
        <f t="shared" si="3"/>
        <v>21016.25</v>
      </c>
      <c r="M28">
        <f>IF(AND(MyRowHidden(ROW())=FALSE,MyRowHidden(ROW()-1)=TRUE),0,(G28-G27)*unitsFuturesCompare+M27)</f>
        <v>16750</v>
      </c>
      <c r="N28">
        <f>IF(MyRowHidden(ROW())=TRUE,0,L28-M28)</f>
        <v>4266.25</v>
      </c>
      <c r="O28">
        <f>MAX(N$12:N28)</f>
        <v>21937.5</v>
      </c>
      <c r="P28">
        <f>IF(O28&gt;O27,(O28-O27)*percentSavingsParticipation,0)</f>
        <v>0</v>
      </c>
      <c r="Q28">
        <f t="shared" si="4"/>
        <v>10968.75</v>
      </c>
      <c r="R28">
        <f t="shared" si="5"/>
        <v>31985</v>
      </c>
    </row>
    <row r="29" spans="1:18" x14ac:dyDescent="0.25">
      <c r="A29" s="1"/>
      <c r="C29" s="1"/>
      <c r="D29" s="1">
        <v>41298</v>
      </c>
      <c r="E29" s="10">
        <v>31640</v>
      </c>
      <c r="F29" s="1">
        <v>41298</v>
      </c>
      <c r="G29">
        <v>5376</v>
      </c>
      <c r="H29" s="1">
        <f t="shared" si="1"/>
        <v>41298</v>
      </c>
      <c r="I29">
        <f>IF(AND(MyRowHidden(ROW())=FALSE,MyRowHidden(ROW()-1)=TRUE),0,(E29-E28)*unitsOfDHp+I28)</f>
        <v>26150</v>
      </c>
      <c r="J29">
        <f>IF(AND(MyRowHidden(ROW())=FALSE,MyRowHidden(ROW()-1)=TRUE),0,(G29-G28)*unitsOfExo+J28)</f>
        <v>7375</v>
      </c>
      <c r="K29" s="9">
        <f t="shared" si="2"/>
        <v>-7375</v>
      </c>
      <c r="L29">
        <f t="shared" si="3"/>
        <v>22556.25</v>
      </c>
      <c r="M29">
        <f>IF(AND(MyRowHidden(ROW())=FALSE,MyRowHidden(ROW()-1)=TRUE),0,(G29-G28)*unitsFuturesCompare+M28)</f>
        <v>14750</v>
      </c>
      <c r="N29">
        <f>IF(MyRowHidden(ROW())=TRUE,0,L29-M29)</f>
        <v>7806.25</v>
      </c>
      <c r="O29">
        <f>MAX(N$12:N29)</f>
        <v>21937.5</v>
      </c>
      <c r="P29">
        <f>IF(O29&gt;O28,(O29-O28)*percentSavingsParticipation,0)</f>
        <v>0</v>
      </c>
      <c r="Q29">
        <f t="shared" si="4"/>
        <v>10968.75</v>
      </c>
      <c r="R29">
        <f t="shared" si="5"/>
        <v>33525</v>
      </c>
    </row>
    <row r="30" spans="1:18" x14ac:dyDescent="0.25">
      <c r="A30" s="1"/>
      <c r="C30" s="1"/>
      <c r="D30" s="1">
        <v>41299</v>
      </c>
      <c r="E30" s="10">
        <v>31302.5</v>
      </c>
      <c r="F30" s="1">
        <v>41299</v>
      </c>
      <c r="G30">
        <v>5338.5</v>
      </c>
      <c r="H30" s="1">
        <f t="shared" si="1"/>
        <v>41299</v>
      </c>
      <c r="I30">
        <f>IF(AND(MyRowHidden(ROW())=FALSE,MyRowHidden(ROW()-1)=TRUE),0,(E30-E29)*unitsOfDHp+I29)</f>
        <v>22775</v>
      </c>
      <c r="J30">
        <f>IF(AND(MyRowHidden(ROW())=FALSE,MyRowHidden(ROW()-1)=TRUE),0,(G30-G29)*unitsOfExo+J29)</f>
        <v>7000</v>
      </c>
      <c r="K30" s="9">
        <f t="shared" si="2"/>
        <v>-7000</v>
      </c>
      <c r="L30">
        <f t="shared" si="3"/>
        <v>18806.25</v>
      </c>
      <c r="M30">
        <f>IF(AND(MyRowHidden(ROW())=FALSE,MyRowHidden(ROW()-1)=TRUE),0,(G30-G29)*unitsFuturesCompare+M29)</f>
        <v>14000</v>
      </c>
      <c r="N30">
        <f>IF(MyRowHidden(ROW())=TRUE,0,L30-M30)</f>
        <v>4806.25</v>
      </c>
      <c r="O30">
        <f>MAX(N$12:N30)</f>
        <v>21937.5</v>
      </c>
      <c r="P30">
        <f>IF(O30&gt;O29,(O30-O29)*percentSavingsParticipation,0)</f>
        <v>0</v>
      </c>
      <c r="Q30">
        <f t="shared" si="4"/>
        <v>10968.75</v>
      </c>
      <c r="R30">
        <f t="shared" si="5"/>
        <v>29775</v>
      </c>
    </row>
    <row r="31" spans="1:18" x14ac:dyDescent="0.25">
      <c r="A31" s="1"/>
      <c r="C31" s="1"/>
      <c r="D31" s="1">
        <v>41302</v>
      </c>
      <c r="E31" s="10">
        <v>31727.5</v>
      </c>
      <c r="F31" s="1">
        <v>41302</v>
      </c>
      <c r="G31">
        <v>5488.5</v>
      </c>
      <c r="H31" s="1">
        <f t="shared" si="1"/>
        <v>41302</v>
      </c>
      <c r="I31">
        <f>IF(AND(MyRowHidden(ROW())=FALSE,MyRowHidden(ROW()-1)=TRUE),0,(E31-E30)*unitsOfDHp+I30)</f>
        <v>27025</v>
      </c>
      <c r="J31">
        <f>IF(AND(MyRowHidden(ROW())=FALSE,MyRowHidden(ROW()-1)=TRUE),0,(G31-G30)*unitsOfExo+J30)</f>
        <v>8500</v>
      </c>
      <c r="K31" s="9">
        <f t="shared" si="2"/>
        <v>-8500</v>
      </c>
      <c r="L31">
        <f t="shared" si="3"/>
        <v>24556.25</v>
      </c>
      <c r="M31">
        <f>IF(AND(MyRowHidden(ROW())=FALSE,MyRowHidden(ROW()-1)=TRUE),0,(G31-G30)*unitsFuturesCompare+M30)</f>
        <v>17000</v>
      </c>
      <c r="N31">
        <f>IF(MyRowHidden(ROW())=TRUE,0,L31-M31)</f>
        <v>7556.25</v>
      </c>
      <c r="O31">
        <f>MAX(N$12:N31)</f>
        <v>21937.5</v>
      </c>
      <c r="P31">
        <f>IF(O31&gt;O30,(O31-O30)*percentSavingsParticipation,0)</f>
        <v>0</v>
      </c>
      <c r="Q31">
        <f t="shared" si="4"/>
        <v>10968.75</v>
      </c>
      <c r="R31">
        <f t="shared" si="5"/>
        <v>35525</v>
      </c>
    </row>
    <row r="32" spans="1:18" x14ac:dyDescent="0.25">
      <c r="A32" s="1"/>
      <c r="C32" s="1"/>
      <c r="D32" s="1">
        <v>41303</v>
      </c>
      <c r="E32" s="10">
        <v>31777.5</v>
      </c>
      <c r="F32" s="1">
        <v>41303</v>
      </c>
      <c r="G32">
        <v>5851</v>
      </c>
      <c r="H32" s="1">
        <f t="shared" si="1"/>
        <v>41303</v>
      </c>
      <c r="I32">
        <f>IF(AND(MyRowHidden(ROW())=FALSE,MyRowHidden(ROW()-1)=TRUE),0,(E32-E31)*unitsOfDHp+I31)</f>
        <v>27525</v>
      </c>
      <c r="J32">
        <f>IF(AND(MyRowHidden(ROW())=FALSE,MyRowHidden(ROW()-1)=TRUE),0,(G32-G31)*unitsOfExo+J31)</f>
        <v>12125</v>
      </c>
      <c r="K32" s="9">
        <f t="shared" si="2"/>
        <v>-12125</v>
      </c>
      <c r="L32">
        <f t="shared" si="3"/>
        <v>28681.25</v>
      </c>
      <c r="M32">
        <f>IF(AND(MyRowHidden(ROW())=FALSE,MyRowHidden(ROW()-1)=TRUE),0,(G32-G31)*unitsFuturesCompare+M31)</f>
        <v>24250</v>
      </c>
      <c r="N32">
        <f>IF(MyRowHidden(ROW())=TRUE,0,L32-M32)</f>
        <v>4431.25</v>
      </c>
      <c r="O32">
        <f>MAX(N$12:N32)</f>
        <v>21937.5</v>
      </c>
      <c r="P32">
        <f>IF(O32&gt;O31,(O32-O31)*percentSavingsParticipation,0)</f>
        <v>0</v>
      </c>
      <c r="Q32">
        <f t="shared" si="4"/>
        <v>10968.75</v>
      </c>
      <c r="R32">
        <f t="shared" si="5"/>
        <v>39650</v>
      </c>
    </row>
    <row r="33" spans="1:18" x14ac:dyDescent="0.25">
      <c r="A33" s="1"/>
      <c r="C33" s="1"/>
      <c r="D33" s="1">
        <v>41304</v>
      </c>
      <c r="E33" s="10">
        <v>31840</v>
      </c>
      <c r="F33" s="1">
        <v>41304</v>
      </c>
      <c r="G33">
        <v>6326</v>
      </c>
      <c r="H33" s="1">
        <f t="shared" si="1"/>
        <v>41304</v>
      </c>
      <c r="I33">
        <f>IF(AND(MyRowHidden(ROW())=FALSE,MyRowHidden(ROW()-1)=TRUE),0,(E33-E32)*unitsOfDHp+I32)</f>
        <v>28150</v>
      </c>
      <c r="J33">
        <f>IF(AND(MyRowHidden(ROW())=FALSE,MyRowHidden(ROW()-1)=TRUE),0,(G33-G32)*unitsOfExo+J32)</f>
        <v>16875</v>
      </c>
      <c r="K33" s="9">
        <f t="shared" si="2"/>
        <v>-16875</v>
      </c>
      <c r="L33">
        <f t="shared" si="3"/>
        <v>34056.25</v>
      </c>
      <c r="M33">
        <f>IF(AND(MyRowHidden(ROW())=FALSE,MyRowHidden(ROW()-1)=TRUE),0,(G33-G32)*unitsFuturesCompare+M32)</f>
        <v>33750</v>
      </c>
      <c r="N33">
        <f>IF(MyRowHidden(ROW())=TRUE,0,L33-M33)</f>
        <v>306.25</v>
      </c>
      <c r="O33">
        <f>MAX(N$12:N33)</f>
        <v>21937.5</v>
      </c>
      <c r="P33">
        <f>IF(O33&gt;O32,(O33-O32)*percentSavingsParticipation,0)</f>
        <v>0</v>
      </c>
      <c r="Q33">
        <f t="shared" si="4"/>
        <v>10968.75</v>
      </c>
      <c r="R33">
        <f t="shared" si="5"/>
        <v>45025</v>
      </c>
    </row>
    <row r="34" spans="1:18" x14ac:dyDescent="0.25">
      <c r="A34" s="1"/>
      <c r="C34" s="1"/>
      <c r="D34" s="1">
        <v>41305</v>
      </c>
      <c r="E34" s="10">
        <v>31827.5</v>
      </c>
      <c r="F34" s="1">
        <v>41305</v>
      </c>
      <c r="G34">
        <v>6288.5</v>
      </c>
      <c r="H34" s="1">
        <f t="shared" si="1"/>
        <v>41305</v>
      </c>
      <c r="I34">
        <f>IF(AND(MyRowHidden(ROW())=FALSE,MyRowHidden(ROW()-1)=TRUE),0,(E34-E33)*unitsOfDHp+I33)</f>
        <v>28025</v>
      </c>
      <c r="J34">
        <f>IF(AND(MyRowHidden(ROW())=FALSE,MyRowHidden(ROW()-1)=TRUE),0,(G34-G33)*unitsOfExo+J33)</f>
        <v>16500</v>
      </c>
      <c r="K34" s="9">
        <f t="shared" si="2"/>
        <v>-16500</v>
      </c>
      <c r="L34">
        <f t="shared" si="3"/>
        <v>33556.25</v>
      </c>
      <c r="M34">
        <f>IF(AND(MyRowHidden(ROW())=FALSE,MyRowHidden(ROW()-1)=TRUE),0,(G34-G33)*unitsFuturesCompare+M33)</f>
        <v>33000</v>
      </c>
      <c r="N34">
        <f>IF(MyRowHidden(ROW())=TRUE,0,L34-M34)</f>
        <v>556.25</v>
      </c>
      <c r="O34">
        <f>MAX(N$12:N34)</f>
        <v>21937.5</v>
      </c>
      <c r="P34">
        <f>IF(O34&gt;O33,(O34-O33)*percentSavingsParticipation,0)</f>
        <v>0</v>
      </c>
      <c r="Q34">
        <f t="shared" si="4"/>
        <v>10968.75</v>
      </c>
      <c r="R34">
        <f t="shared" si="5"/>
        <v>44525</v>
      </c>
    </row>
    <row r="35" spans="1:18" x14ac:dyDescent="0.25">
      <c r="A35" s="1"/>
      <c r="C35" s="1"/>
      <c r="D35" s="1">
        <v>41306</v>
      </c>
      <c r="E35" s="10">
        <v>32027.5</v>
      </c>
      <c r="F35" s="1">
        <v>41306</v>
      </c>
      <c r="G35">
        <v>6201.5</v>
      </c>
      <c r="H35" s="1">
        <f t="shared" si="1"/>
        <v>41306</v>
      </c>
      <c r="I35">
        <f>IF(AND(MyRowHidden(ROW())=FALSE,MyRowHidden(ROW()-1)=TRUE),0,(E35-E34)*unitsOfDHp+I34)</f>
        <v>30025</v>
      </c>
      <c r="J35">
        <f>IF(AND(MyRowHidden(ROW())=FALSE,MyRowHidden(ROW()-1)=TRUE),0,(G35-G34)*unitsOfExo+J34)</f>
        <v>15630</v>
      </c>
      <c r="K35" s="9">
        <f t="shared" si="2"/>
        <v>-15630</v>
      </c>
      <c r="L35">
        <f t="shared" si="3"/>
        <v>34686.25</v>
      </c>
      <c r="M35">
        <f>IF(AND(MyRowHidden(ROW())=FALSE,MyRowHidden(ROW()-1)=TRUE),0,(G35-G34)*unitsFuturesCompare+M34)</f>
        <v>31260</v>
      </c>
      <c r="N35">
        <f>IF(MyRowHidden(ROW())=TRUE,0,L35-M35)</f>
        <v>3426.25</v>
      </c>
      <c r="O35">
        <f>MAX(N$12:N35)</f>
        <v>21937.5</v>
      </c>
      <c r="P35">
        <f>IF(O35&gt;O34,(O35-O34)*percentSavingsParticipation,0)</f>
        <v>0</v>
      </c>
      <c r="Q35">
        <f t="shared" si="4"/>
        <v>10968.75</v>
      </c>
      <c r="R35">
        <f t="shared" si="5"/>
        <v>45655</v>
      </c>
    </row>
    <row r="36" spans="1:18" x14ac:dyDescent="0.25">
      <c r="A36" s="1"/>
      <c r="C36" s="1"/>
      <c r="D36" s="1">
        <v>41309</v>
      </c>
      <c r="E36" s="10">
        <v>32340</v>
      </c>
      <c r="F36" s="1">
        <v>41309</v>
      </c>
      <c r="G36">
        <v>5964</v>
      </c>
      <c r="H36" s="1">
        <f t="shared" si="1"/>
        <v>41309</v>
      </c>
      <c r="I36">
        <f>IF(AND(MyRowHidden(ROW())=FALSE,MyRowHidden(ROW()-1)=TRUE),0,(E36-E35)*unitsOfDHp+I35)</f>
        <v>33150</v>
      </c>
      <c r="J36">
        <f>IF(AND(MyRowHidden(ROW())=FALSE,MyRowHidden(ROW()-1)=TRUE),0,(G36-G35)*unitsOfExo+J35)</f>
        <v>13255</v>
      </c>
      <c r="K36" s="9">
        <f t="shared" si="2"/>
        <v>-13255</v>
      </c>
      <c r="L36">
        <f t="shared" si="3"/>
        <v>35436.25</v>
      </c>
      <c r="M36">
        <f>IF(AND(MyRowHidden(ROW())=FALSE,MyRowHidden(ROW()-1)=TRUE),0,(G36-G35)*unitsFuturesCompare+M35)</f>
        <v>26510</v>
      </c>
      <c r="N36">
        <f>IF(MyRowHidden(ROW())=TRUE,0,L36-M36)</f>
        <v>8926.25</v>
      </c>
      <c r="O36">
        <f>MAX(N$12:N36)</f>
        <v>21937.5</v>
      </c>
      <c r="P36">
        <f>IF(O36&gt;O35,(O36-O35)*percentSavingsParticipation,0)</f>
        <v>0</v>
      </c>
      <c r="Q36">
        <f t="shared" si="4"/>
        <v>10968.75</v>
      </c>
      <c r="R36">
        <f t="shared" si="5"/>
        <v>46405</v>
      </c>
    </row>
    <row r="37" spans="1:18" x14ac:dyDescent="0.25">
      <c r="A37" s="1"/>
      <c r="C37" s="1"/>
      <c r="D37" s="1">
        <v>41310</v>
      </c>
      <c r="E37" s="10">
        <v>32440</v>
      </c>
      <c r="F37" s="1">
        <v>41310</v>
      </c>
      <c r="G37">
        <v>5651.5</v>
      </c>
      <c r="H37" s="1">
        <f t="shared" si="1"/>
        <v>41310</v>
      </c>
      <c r="I37">
        <f>IF(AND(MyRowHidden(ROW())=FALSE,MyRowHidden(ROW()-1)=TRUE),0,(E37-E36)*unitsOfDHp+I36)</f>
        <v>34150</v>
      </c>
      <c r="J37">
        <f>IF(AND(MyRowHidden(ROW())=FALSE,MyRowHidden(ROW()-1)=TRUE),0,(G37-G36)*unitsOfExo+J36)</f>
        <v>10130</v>
      </c>
      <c r="K37" s="9">
        <f t="shared" si="2"/>
        <v>-10130</v>
      </c>
      <c r="L37">
        <f t="shared" si="3"/>
        <v>33311.25</v>
      </c>
      <c r="M37">
        <f>IF(AND(MyRowHidden(ROW())=FALSE,MyRowHidden(ROW()-1)=TRUE),0,(G37-G36)*unitsFuturesCompare+M36)</f>
        <v>20260</v>
      </c>
      <c r="N37">
        <f>IF(MyRowHidden(ROW())=TRUE,0,L37-M37)</f>
        <v>13051.25</v>
      </c>
      <c r="O37">
        <f>MAX(N$12:N37)</f>
        <v>21937.5</v>
      </c>
      <c r="P37">
        <f>IF(O37&gt;O36,(O37-O36)*percentSavingsParticipation,0)</f>
        <v>0</v>
      </c>
      <c r="Q37">
        <f t="shared" si="4"/>
        <v>10968.75</v>
      </c>
      <c r="R37">
        <f t="shared" si="5"/>
        <v>44280</v>
      </c>
    </row>
    <row r="38" spans="1:18" x14ac:dyDescent="0.25">
      <c r="A38" s="1"/>
      <c r="C38" s="1"/>
      <c r="D38" s="1">
        <v>41311</v>
      </c>
      <c r="E38" s="10">
        <v>32479</v>
      </c>
      <c r="F38" s="1">
        <v>41311</v>
      </c>
      <c r="G38">
        <v>5464</v>
      </c>
      <c r="H38" s="1">
        <f t="shared" si="1"/>
        <v>41311</v>
      </c>
      <c r="I38">
        <f>IF(AND(MyRowHidden(ROW())=FALSE,MyRowHidden(ROW()-1)=TRUE),0,(E38-E37)*unitsOfDHp+I37)</f>
        <v>34540</v>
      </c>
      <c r="J38">
        <f>IF(AND(MyRowHidden(ROW())=FALSE,MyRowHidden(ROW()-1)=TRUE),0,(G38-G37)*unitsOfExo+J37)</f>
        <v>8255</v>
      </c>
      <c r="K38" s="9">
        <f t="shared" si="2"/>
        <v>-8255</v>
      </c>
      <c r="L38">
        <f t="shared" si="3"/>
        <v>31826.25</v>
      </c>
      <c r="M38">
        <f>IF(AND(MyRowHidden(ROW())=FALSE,MyRowHidden(ROW()-1)=TRUE),0,(G38-G37)*unitsFuturesCompare+M37)</f>
        <v>16510</v>
      </c>
      <c r="N38">
        <f>IF(MyRowHidden(ROW())=TRUE,0,L38-M38)</f>
        <v>15316.25</v>
      </c>
      <c r="O38">
        <f>MAX(N$12:N38)</f>
        <v>21937.5</v>
      </c>
      <c r="P38">
        <f>IF(O38&gt;O37,(O38-O37)*percentSavingsParticipation,0)</f>
        <v>0</v>
      </c>
      <c r="Q38">
        <f t="shared" si="4"/>
        <v>10968.75</v>
      </c>
      <c r="R38">
        <f t="shared" si="5"/>
        <v>42795</v>
      </c>
    </row>
    <row r="39" spans="1:18" x14ac:dyDescent="0.25">
      <c r="A39" s="1"/>
      <c r="C39" s="1"/>
      <c r="D39" s="1">
        <v>41312</v>
      </c>
      <c r="E39" s="10">
        <v>31973</v>
      </c>
      <c r="F39" s="1">
        <v>41312</v>
      </c>
      <c r="G39">
        <v>5014</v>
      </c>
      <c r="H39" s="1">
        <f t="shared" si="1"/>
        <v>41312</v>
      </c>
      <c r="I39">
        <f>IF(AND(MyRowHidden(ROW())=FALSE,MyRowHidden(ROW()-1)=TRUE),0,(E39-E38)*unitsOfDHp+I38)</f>
        <v>29480</v>
      </c>
      <c r="J39">
        <f>IF(AND(MyRowHidden(ROW())=FALSE,MyRowHidden(ROW()-1)=TRUE),0,(G39-G38)*unitsOfExo+J38)</f>
        <v>3755</v>
      </c>
      <c r="K39" s="9">
        <f t="shared" si="2"/>
        <v>-3755</v>
      </c>
      <c r="L39">
        <f t="shared" si="3"/>
        <v>22266.25</v>
      </c>
      <c r="M39">
        <f>IF(AND(MyRowHidden(ROW())=FALSE,MyRowHidden(ROW()-1)=TRUE),0,(G39-G38)*unitsFuturesCompare+M38)</f>
        <v>7510</v>
      </c>
      <c r="N39">
        <f>IF(MyRowHidden(ROW())=TRUE,0,L39-M39)</f>
        <v>14756.25</v>
      </c>
      <c r="O39">
        <f>MAX(N$12:N39)</f>
        <v>21937.5</v>
      </c>
      <c r="P39">
        <f>IF(O39&gt;O38,(O39-O38)*percentSavingsParticipation,0)</f>
        <v>0</v>
      </c>
      <c r="Q39">
        <f t="shared" si="4"/>
        <v>10968.75</v>
      </c>
      <c r="R39">
        <f t="shared" si="5"/>
        <v>33235</v>
      </c>
    </row>
    <row r="40" spans="1:18" x14ac:dyDescent="0.25">
      <c r="A40" s="1"/>
      <c r="C40" s="1"/>
      <c r="D40" s="1">
        <v>41313</v>
      </c>
      <c r="E40" s="10">
        <v>32073</v>
      </c>
      <c r="F40" s="1">
        <v>41313</v>
      </c>
      <c r="G40">
        <v>4914</v>
      </c>
      <c r="H40" s="1">
        <f t="shared" si="1"/>
        <v>41313</v>
      </c>
      <c r="I40">
        <f>IF(AND(MyRowHidden(ROW())=FALSE,MyRowHidden(ROW()-1)=TRUE),0,(E40-E39)*unitsOfDHp+I39)</f>
        <v>30480</v>
      </c>
      <c r="J40">
        <f>IF(AND(MyRowHidden(ROW())=FALSE,MyRowHidden(ROW()-1)=TRUE),0,(G40-G39)*unitsOfExo+J39)</f>
        <v>2755</v>
      </c>
      <c r="K40" s="9">
        <f t="shared" si="2"/>
        <v>-2755</v>
      </c>
      <c r="L40">
        <f t="shared" si="3"/>
        <v>22266.25</v>
      </c>
      <c r="M40">
        <f>IF(AND(MyRowHidden(ROW())=FALSE,MyRowHidden(ROW()-1)=TRUE),0,(G40-G39)*unitsFuturesCompare+M39)</f>
        <v>5510</v>
      </c>
      <c r="N40">
        <f>IF(MyRowHidden(ROW())=TRUE,0,L40-M40)</f>
        <v>16756.25</v>
      </c>
      <c r="O40">
        <f>MAX(N$12:N40)</f>
        <v>21937.5</v>
      </c>
      <c r="P40">
        <f>IF(O40&gt;O39,(O40-O39)*percentSavingsParticipation,0)</f>
        <v>0</v>
      </c>
      <c r="Q40">
        <f t="shared" si="4"/>
        <v>10968.75</v>
      </c>
      <c r="R40">
        <f t="shared" si="5"/>
        <v>33235</v>
      </c>
    </row>
    <row r="41" spans="1:18" x14ac:dyDescent="0.25">
      <c r="A41" s="1"/>
      <c r="C41" s="1"/>
      <c r="D41" s="1">
        <v>41316</v>
      </c>
      <c r="E41" s="10">
        <v>32300</v>
      </c>
      <c r="F41" s="1">
        <v>41316</v>
      </c>
      <c r="G41">
        <v>4389</v>
      </c>
      <c r="H41" s="1">
        <f t="shared" si="1"/>
        <v>41316</v>
      </c>
      <c r="I41">
        <f>IF(AND(MyRowHidden(ROW())=FALSE,MyRowHidden(ROW()-1)=TRUE),0,(E41-E40)*unitsOfDHp+I40)</f>
        <v>32750</v>
      </c>
      <c r="J41">
        <f>IF(AND(MyRowHidden(ROW())=FALSE,MyRowHidden(ROW()-1)=TRUE),0,(G41-G40)*unitsOfExo+J40)</f>
        <v>-2495</v>
      </c>
      <c r="K41" s="9">
        <f t="shared" si="2"/>
        <v>2495</v>
      </c>
      <c r="L41">
        <f t="shared" si="3"/>
        <v>19286.25</v>
      </c>
      <c r="M41">
        <f>IF(AND(MyRowHidden(ROW())=FALSE,MyRowHidden(ROW()-1)=TRUE),0,(G41-G40)*unitsFuturesCompare+M40)</f>
        <v>-4990</v>
      </c>
      <c r="N41">
        <f>IF(MyRowHidden(ROW())=TRUE,0,L41-M41)</f>
        <v>24276.25</v>
      </c>
      <c r="O41">
        <f>MAX(N$12:N41)</f>
        <v>24276.25</v>
      </c>
      <c r="P41">
        <f>IF(O41&gt;O40,(O41-O40)*percentSavingsParticipation,0)</f>
        <v>1169.375</v>
      </c>
      <c r="Q41">
        <f t="shared" si="4"/>
        <v>12138.125</v>
      </c>
      <c r="R41">
        <f t="shared" si="5"/>
        <v>30255</v>
      </c>
    </row>
    <row r="42" spans="1:18" x14ac:dyDescent="0.25">
      <c r="A42" s="1"/>
      <c r="C42" s="1"/>
      <c r="D42" s="1">
        <v>41317</v>
      </c>
      <c r="E42" s="10">
        <v>32775</v>
      </c>
      <c r="F42" s="1">
        <v>41317</v>
      </c>
      <c r="G42">
        <v>3989</v>
      </c>
      <c r="H42" s="1">
        <f t="shared" si="1"/>
        <v>41317</v>
      </c>
      <c r="I42">
        <f>IF(AND(MyRowHidden(ROW())=FALSE,MyRowHidden(ROW()-1)=TRUE),0,(E42-E41)*unitsOfDHp+I41)</f>
        <v>37500</v>
      </c>
      <c r="J42">
        <f>IF(AND(MyRowHidden(ROW())=FALSE,MyRowHidden(ROW()-1)=TRUE),0,(G42-G41)*unitsOfExo+J41)</f>
        <v>-6495</v>
      </c>
      <c r="K42" s="9">
        <f t="shared" si="2"/>
        <v>6495</v>
      </c>
      <c r="L42">
        <f t="shared" si="3"/>
        <v>18866.875</v>
      </c>
      <c r="M42">
        <f>IF(AND(MyRowHidden(ROW())=FALSE,MyRowHidden(ROW()-1)=TRUE),0,(G42-G41)*unitsFuturesCompare+M41)</f>
        <v>-12990</v>
      </c>
      <c r="N42">
        <f>IF(MyRowHidden(ROW())=TRUE,0,L42-M42)</f>
        <v>31856.875</v>
      </c>
      <c r="O42">
        <f>MAX(N$12:N42)</f>
        <v>31856.875</v>
      </c>
      <c r="P42">
        <f>IF(O42&gt;O41,(O42-O41)*percentSavingsParticipation,0)</f>
        <v>3790.3125</v>
      </c>
      <c r="Q42">
        <f t="shared" si="4"/>
        <v>15928.4375</v>
      </c>
      <c r="R42">
        <f t="shared" si="5"/>
        <v>31005</v>
      </c>
    </row>
    <row r="43" spans="1:18" x14ac:dyDescent="0.25">
      <c r="A43" s="1"/>
      <c r="C43" s="1"/>
      <c r="D43" s="1">
        <v>41318</v>
      </c>
      <c r="E43" s="10">
        <v>32737.5</v>
      </c>
      <c r="F43" s="1">
        <v>41318</v>
      </c>
      <c r="G43">
        <v>3939</v>
      </c>
      <c r="H43" s="1">
        <f t="shared" si="1"/>
        <v>41318</v>
      </c>
      <c r="I43">
        <f>IF(AND(MyRowHidden(ROW())=FALSE,MyRowHidden(ROW()-1)=TRUE),0,(E43-E42)*unitsOfDHp+I42)</f>
        <v>37125</v>
      </c>
      <c r="J43">
        <f>IF(AND(MyRowHidden(ROW())=FALSE,MyRowHidden(ROW()-1)=TRUE),0,(G43-G42)*unitsOfExo+J42)</f>
        <v>-6995</v>
      </c>
      <c r="K43" s="9">
        <f t="shared" si="2"/>
        <v>6995</v>
      </c>
      <c r="L43">
        <f t="shared" si="3"/>
        <v>14201.5625</v>
      </c>
      <c r="M43">
        <f>IF(AND(MyRowHidden(ROW())=FALSE,MyRowHidden(ROW()-1)=TRUE),0,(G43-G42)*unitsFuturesCompare+M42)</f>
        <v>-13990</v>
      </c>
      <c r="N43">
        <f>IF(MyRowHidden(ROW())=TRUE,0,L43-M43)</f>
        <v>28191.5625</v>
      </c>
      <c r="O43">
        <f>MAX(N$12:N43)</f>
        <v>31856.875</v>
      </c>
      <c r="P43">
        <f>IF(O43&gt;O42,(O43-O42)*percentSavingsParticipation,0)</f>
        <v>0</v>
      </c>
      <c r="Q43">
        <f t="shared" si="4"/>
        <v>15928.4375</v>
      </c>
      <c r="R43">
        <f t="shared" si="5"/>
        <v>30130</v>
      </c>
    </row>
    <row r="44" spans="1:18" x14ac:dyDescent="0.25">
      <c r="A44" s="1"/>
      <c r="C44" s="1"/>
      <c r="D44" s="1">
        <v>41319</v>
      </c>
      <c r="E44" s="10">
        <v>32714</v>
      </c>
      <c r="F44" s="1">
        <v>41319</v>
      </c>
      <c r="G44">
        <v>3839</v>
      </c>
      <c r="H44" s="1">
        <f t="shared" si="1"/>
        <v>41319</v>
      </c>
      <c r="I44">
        <f>IF(AND(MyRowHidden(ROW())=FALSE,MyRowHidden(ROW()-1)=TRUE),0,(E44-E43)*unitsOfDHp+I43)</f>
        <v>36890</v>
      </c>
      <c r="J44">
        <f>IF(AND(MyRowHidden(ROW())=FALSE,MyRowHidden(ROW()-1)=TRUE),0,(G44-G43)*unitsOfExo+J43)</f>
        <v>-7995</v>
      </c>
      <c r="K44" s="9">
        <f t="shared" si="2"/>
        <v>7995</v>
      </c>
      <c r="L44">
        <f t="shared" si="3"/>
        <v>12966.5625</v>
      </c>
      <c r="M44">
        <f>IF(AND(MyRowHidden(ROW())=FALSE,MyRowHidden(ROW()-1)=TRUE),0,(G44-G43)*unitsFuturesCompare+M43)</f>
        <v>-15990</v>
      </c>
      <c r="N44">
        <f>IF(MyRowHidden(ROW())=TRUE,0,L44-M44)</f>
        <v>28956.5625</v>
      </c>
      <c r="O44">
        <f>MAX(N$12:N44)</f>
        <v>31856.875</v>
      </c>
      <c r="P44">
        <f>IF(O44&gt;O43,(O44-O43)*percentSavingsParticipation,0)</f>
        <v>0</v>
      </c>
      <c r="Q44">
        <f t="shared" si="4"/>
        <v>15928.4375</v>
      </c>
      <c r="R44">
        <f t="shared" si="5"/>
        <v>28895</v>
      </c>
    </row>
    <row r="45" spans="1:18" x14ac:dyDescent="0.25">
      <c r="A45" s="1"/>
      <c r="C45" s="1"/>
      <c r="D45" s="1">
        <v>41320</v>
      </c>
      <c r="E45" s="10">
        <v>32526.5</v>
      </c>
      <c r="F45" s="1">
        <v>41320</v>
      </c>
      <c r="G45">
        <v>4164</v>
      </c>
      <c r="H45" s="1">
        <f t="shared" si="1"/>
        <v>41320</v>
      </c>
      <c r="I45">
        <f>IF(AND(MyRowHidden(ROW())=FALSE,MyRowHidden(ROW()-1)=TRUE),0,(E45-E44)*unitsOfDHp+I44)</f>
        <v>35015</v>
      </c>
      <c r="J45">
        <f>IF(AND(MyRowHidden(ROW())=FALSE,MyRowHidden(ROW()-1)=TRUE),0,(G45-G44)*unitsOfExo+J44)</f>
        <v>-4745</v>
      </c>
      <c r="K45" s="9">
        <f t="shared" si="2"/>
        <v>4745</v>
      </c>
      <c r="L45">
        <f t="shared" si="3"/>
        <v>14341.5625</v>
      </c>
      <c r="M45">
        <f>IF(AND(MyRowHidden(ROW())=FALSE,MyRowHidden(ROW()-1)=TRUE),0,(G45-G44)*unitsFuturesCompare+M44)</f>
        <v>-9490</v>
      </c>
      <c r="N45">
        <f>IF(MyRowHidden(ROW())=TRUE,0,L45-M45)</f>
        <v>23831.5625</v>
      </c>
      <c r="O45">
        <f>MAX(N$12:N45)</f>
        <v>31856.875</v>
      </c>
      <c r="P45">
        <f>IF(O45&gt;O44,(O45-O44)*percentSavingsParticipation,0)</f>
        <v>0</v>
      </c>
      <c r="Q45">
        <f t="shared" si="4"/>
        <v>15928.4375</v>
      </c>
      <c r="R45">
        <f t="shared" si="5"/>
        <v>30270</v>
      </c>
    </row>
    <row r="46" spans="1:18" x14ac:dyDescent="0.25">
      <c r="A46" s="1"/>
      <c r="C46" s="1"/>
      <c r="D46" s="1">
        <v>41323</v>
      </c>
      <c r="E46" s="10">
        <v>32726.5</v>
      </c>
      <c r="F46" s="1">
        <v>41323</v>
      </c>
      <c r="G46">
        <v>4251.5</v>
      </c>
      <c r="H46" s="1">
        <f t="shared" si="1"/>
        <v>41323</v>
      </c>
      <c r="I46">
        <f>IF(AND(MyRowHidden(ROW())=FALSE,MyRowHidden(ROW()-1)=TRUE),0,(E46-E45)*unitsOfDHp+I45)</f>
        <v>37015</v>
      </c>
      <c r="J46">
        <f>IF(AND(MyRowHidden(ROW())=FALSE,MyRowHidden(ROW()-1)=TRUE),0,(G46-G45)*unitsOfExo+J45)</f>
        <v>-3870</v>
      </c>
      <c r="K46" s="9">
        <f t="shared" si="2"/>
        <v>3870</v>
      </c>
      <c r="L46">
        <f t="shared" si="3"/>
        <v>17216.5625</v>
      </c>
      <c r="M46">
        <f>IF(AND(MyRowHidden(ROW())=FALSE,MyRowHidden(ROW()-1)=TRUE),0,(G46-G45)*unitsFuturesCompare+M45)</f>
        <v>-7740</v>
      </c>
      <c r="N46">
        <f>IF(MyRowHidden(ROW())=TRUE,0,L46-M46)</f>
        <v>24956.5625</v>
      </c>
      <c r="O46">
        <f>MAX(N$12:N46)</f>
        <v>31856.875</v>
      </c>
      <c r="P46">
        <f>IF(O46&gt;O45,(O46-O45)*percentSavingsParticipation,0)</f>
        <v>0</v>
      </c>
      <c r="Q46">
        <f t="shared" si="4"/>
        <v>15928.4375</v>
      </c>
      <c r="R46">
        <f t="shared" si="5"/>
        <v>33145</v>
      </c>
    </row>
    <row r="47" spans="1:18" x14ac:dyDescent="0.25">
      <c r="A47" s="1"/>
      <c r="C47" s="1"/>
      <c r="D47" s="1">
        <v>41324</v>
      </c>
      <c r="E47" s="10">
        <v>33151.5</v>
      </c>
      <c r="F47" s="1">
        <v>41324</v>
      </c>
      <c r="G47">
        <v>3964</v>
      </c>
      <c r="H47" s="1">
        <f t="shared" si="1"/>
        <v>41324</v>
      </c>
      <c r="I47">
        <f>IF(AND(MyRowHidden(ROW())=FALSE,MyRowHidden(ROW()-1)=TRUE),0,(E47-E46)*unitsOfDHp+I46)</f>
        <v>41265</v>
      </c>
      <c r="J47">
        <f>IF(AND(MyRowHidden(ROW())=FALSE,MyRowHidden(ROW()-1)=TRUE),0,(G47-G46)*unitsOfExo+J46)</f>
        <v>-6745</v>
      </c>
      <c r="K47" s="9">
        <f t="shared" si="2"/>
        <v>6745</v>
      </c>
      <c r="L47">
        <f t="shared" si="3"/>
        <v>18591.5625</v>
      </c>
      <c r="M47">
        <f>IF(AND(MyRowHidden(ROW())=FALSE,MyRowHidden(ROW()-1)=TRUE),0,(G47-G46)*unitsFuturesCompare+M46)</f>
        <v>-13490</v>
      </c>
      <c r="N47">
        <f>IF(MyRowHidden(ROW())=TRUE,0,L47-M47)</f>
        <v>32081.5625</v>
      </c>
      <c r="O47">
        <f>MAX(N$12:N47)</f>
        <v>32081.5625</v>
      </c>
      <c r="P47">
        <f>IF(O47&gt;O46,(O47-O46)*percentSavingsParticipation,0)</f>
        <v>112.34375</v>
      </c>
      <c r="Q47">
        <f t="shared" si="4"/>
        <v>16040.78125</v>
      </c>
      <c r="R47">
        <f t="shared" si="5"/>
        <v>34520</v>
      </c>
    </row>
    <row r="48" spans="1:18" x14ac:dyDescent="0.25">
      <c r="A48" s="1"/>
      <c r="C48" s="1"/>
      <c r="D48" s="1">
        <v>41325</v>
      </c>
      <c r="E48" s="10">
        <v>32841</v>
      </c>
      <c r="F48" s="1">
        <v>41325</v>
      </c>
      <c r="G48">
        <v>4251.5</v>
      </c>
      <c r="H48" s="1">
        <f t="shared" si="1"/>
        <v>41325</v>
      </c>
      <c r="I48">
        <f>IF(AND(MyRowHidden(ROW())=FALSE,MyRowHidden(ROW()-1)=TRUE),0,(E48-E47)*unitsOfDHp+I47)</f>
        <v>38160</v>
      </c>
      <c r="J48">
        <f>IF(AND(MyRowHidden(ROW())=FALSE,MyRowHidden(ROW()-1)=TRUE),0,(G48-G47)*unitsOfExo+J47)</f>
        <v>-3870</v>
      </c>
      <c r="K48" s="9">
        <f t="shared" si="2"/>
        <v>3870</v>
      </c>
      <c r="L48">
        <f t="shared" si="3"/>
        <v>18249.21875</v>
      </c>
      <c r="M48">
        <f>IF(AND(MyRowHidden(ROW())=FALSE,MyRowHidden(ROW()-1)=TRUE),0,(G48-G47)*unitsFuturesCompare+M47)</f>
        <v>-7740</v>
      </c>
      <c r="N48">
        <f>IF(MyRowHidden(ROW())=TRUE,0,L48-M48)</f>
        <v>25989.21875</v>
      </c>
      <c r="O48">
        <f>MAX(N$12:N48)</f>
        <v>32081.5625</v>
      </c>
      <c r="P48">
        <f>IF(O48&gt;O47,(O48-O47)*percentSavingsParticipation,0)</f>
        <v>0</v>
      </c>
      <c r="Q48">
        <f t="shared" si="4"/>
        <v>16040.78125</v>
      </c>
      <c r="R48">
        <f t="shared" si="5"/>
        <v>34290</v>
      </c>
    </row>
    <row r="49" spans="1:18" x14ac:dyDescent="0.25">
      <c r="A49" s="1"/>
      <c r="C49" s="1"/>
      <c r="D49" s="1">
        <v>41326</v>
      </c>
      <c r="E49" s="10">
        <v>32923</v>
      </c>
      <c r="F49" s="1">
        <v>41326</v>
      </c>
      <c r="G49">
        <v>3901.5</v>
      </c>
      <c r="H49" s="1">
        <f t="shared" si="1"/>
        <v>41326</v>
      </c>
      <c r="I49">
        <f>IF(AND(MyRowHidden(ROW())=FALSE,MyRowHidden(ROW()-1)=TRUE),0,(E49-E48)*unitsOfDHp+I48)</f>
        <v>38980</v>
      </c>
      <c r="J49">
        <f>IF(AND(MyRowHidden(ROW())=FALSE,MyRowHidden(ROW()-1)=TRUE),0,(G49-G48)*unitsOfExo+J48)</f>
        <v>-7370</v>
      </c>
      <c r="K49" s="9">
        <f t="shared" si="2"/>
        <v>7370</v>
      </c>
      <c r="L49">
        <f t="shared" si="3"/>
        <v>15569.21875</v>
      </c>
      <c r="M49">
        <f>IF(AND(MyRowHidden(ROW())=FALSE,MyRowHidden(ROW()-1)=TRUE),0,(G49-G48)*unitsFuturesCompare+M48)</f>
        <v>-14740</v>
      </c>
      <c r="N49">
        <f>IF(MyRowHidden(ROW())=TRUE,0,L49-M49)</f>
        <v>30309.21875</v>
      </c>
      <c r="O49">
        <f>MAX(N$12:N49)</f>
        <v>32081.5625</v>
      </c>
      <c r="P49">
        <f>IF(O49&gt;O48,(O49-O48)*percentSavingsParticipation,0)</f>
        <v>0</v>
      </c>
      <c r="Q49">
        <f t="shared" si="4"/>
        <v>16040.78125</v>
      </c>
      <c r="R49">
        <f t="shared" si="5"/>
        <v>31610</v>
      </c>
    </row>
    <row r="50" spans="1:18" x14ac:dyDescent="0.25">
      <c r="A50" s="1"/>
      <c r="C50" s="1"/>
      <c r="D50" s="1">
        <v>41327</v>
      </c>
      <c r="E50" s="10">
        <v>32835.5</v>
      </c>
      <c r="F50" s="1">
        <v>41327</v>
      </c>
      <c r="G50">
        <v>3839</v>
      </c>
      <c r="H50" s="1">
        <f t="shared" si="1"/>
        <v>41327</v>
      </c>
      <c r="I50">
        <f>IF(AND(MyRowHidden(ROW())=FALSE,MyRowHidden(ROW()-1)=TRUE),0,(E50-E49)*unitsOfDHp+I49)</f>
        <v>38105</v>
      </c>
      <c r="J50">
        <f>IF(AND(MyRowHidden(ROW())=FALSE,MyRowHidden(ROW()-1)=TRUE),0,(G50-G49)*unitsOfExo+J49)</f>
        <v>-7995</v>
      </c>
      <c r="K50" s="9">
        <f t="shared" si="2"/>
        <v>7995</v>
      </c>
      <c r="L50">
        <f t="shared" si="3"/>
        <v>14069.21875</v>
      </c>
      <c r="M50">
        <f>IF(AND(MyRowHidden(ROW())=FALSE,MyRowHidden(ROW()-1)=TRUE),0,(G50-G49)*unitsFuturesCompare+M49)</f>
        <v>-15990</v>
      </c>
      <c r="N50">
        <f>IF(MyRowHidden(ROW())=TRUE,0,L50-M50)</f>
        <v>30059.21875</v>
      </c>
      <c r="O50">
        <f>MAX(N$12:N50)</f>
        <v>32081.5625</v>
      </c>
      <c r="P50">
        <f>IF(O50&gt;O49,(O50-O49)*percentSavingsParticipation,0)</f>
        <v>0</v>
      </c>
      <c r="Q50">
        <f t="shared" si="4"/>
        <v>16040.78125</v>
      </c>
      <c r="R50">
        <f t="shared" si="5"/>
        <v>30110</v>
      </c>
    </row>
    <row r="51" spans="1:18" x14ac:dyDescent="0.25">
      <c r="A51" s="1"/>
      <c r="C51" s="1"/>
      <c r="D51" s="1">
        <v>41330</v>
      </c>
      <c r="E51" s="10">
        <v>32725.5</v>
      </c>
      <c r="F51" s="1">
        <v>41330</v>
      </c>
      <c r="G51">
        <v>3864</v>
      </c>
      <c r="H51" s="1">
        <f t="shared" si="1"/>
        <v>41330</v>
      </c>
      <c r="I51">
        <f>IF(AND(MyRowHidden(ROW())=FALSE,MyRowHidden(ROW()-1)=TRUE),0,(E51-E50)*unitsOfDHp+I50)</f>
        <v>37005</v>
      </c>
      <c r="J51">
        <f>IF(AND(MyRowHidden(ROW())=FALSE,MyRowHidden(ROW()-1)=TRUE),0,(G51-G50)*unitsOfExo+J50)</f>
        <v>-7745</v>
      </c>
      <c r="K51" s="9">
        <f t="shared" si="2"/>
        <v>7745</v>
      </c>
      <c r="L51">
        <f t="shared" si="3"/>
        <v>13219.21875</v>
      </c>
      <c r="M51">
        <f>IF(AND(MyRowHidden(ROW())=FALSE,MyRowHidden(ROW()-1)=TRUE),0,(G51-G50)*unitsFuturesCompare+M50)</f>
        <v>-15490</v>
      </c>
      <c r="N51">
        <f>IF(MyRowHidden(ROW())=TRUE,0,L51-M51)</f>
        <v>28709.21875</v>
      </c>
      <c r="O51">
        <f>MAX(N$12:N51)</f>
        <v>32081.5625</v>
      </c>
      <c r="P51">
        <f>IF(O51&gt;O50,(O51-O50)*percentSavingsParticipation,0)</f>
        <v>0</v>
      </c>
      <c r="Q51">
        <f t="shared" si="4"/>
        <v>16040.78125</v>
      </c>
      <c r="R51">
        <f t="shared" si="5"/>
        <v>29260</v>
      </c>
    </row>
    <row r="52" spans="1:18" x14ac:dyDescent="0.25">
      <c r="A52" s="1"/>
      <c r="C52" s="1"/>
      <c r="D52" s="1">
        <v>41331</v>
      </c>
      <c r="E52" s="10">
        <v>32225.5</v>
      </c>
      <c r="F52" s="1">
        <v>41331</v>
      </c>
      <c r="G52">
        <v>4189</v>
      </c>
      <c r="H52" s="1">
        <f t="shared" si="1"/>
        <v>41331</v>
      </c>
      <c r="I52">
        <f>IF(AND(MyRowHidden(ROW())=FALSE,MyRowHidden(ROW()-1)=TRUE),0,(E52-E51)*unitsOfDHp+I51)</f>
        <v>32005</v>
      </c>
      <c r="J52">
        <f>IF(AND(MyRowHidden(ROW())=FALSE,MyRowHidden(ROW()-1)=TRUE),0,(G52-G51)*unitsOfExo+J51)</f>
        <v>-4495</v>
      </c>
      <c r="K52" s="9">
        <f t="shared" si="2"/>
        <v>4495</v>
      </c>
      <c r="L52">
        <f t="shared" si="3"/>
        <v>11469.21875</v>
      </c>
      <c r="M52">
        <f>IF(AND(MyRowHidden(ROW())=FALSE,MyRowHidden(ROW()-1)=TRUE),0,(G52-G51)*unitsFuturesCompare+M51)</f>
        <v>-8990</v>
      </c>
      <c r="N52">
        <f>IF(MyRowHidden(ROW())=TRUE,0,L52-M52)</f>
        <v>20459.21875</v>
      </c>
      <c r="O52">
        <f>MAX(N$12:N52)</f>
        <v>32081.5625</v>
      </c>
      <c r="P52">
        <f>IF(O52&gt;O51,(O52-O51)*percentSavingsParticipation,0)</f>
        <v>0</v>
      </c>
      <c r="Q52">
        <f t="shared" si="4"/>
        <v>16040.78125</v>
      </c>
      <c r="R52">
        <f t="shared" si="5"/>
        <v>27510</v>
      </c>
    </row>
    <row r="53" spans="1:18" x14ac:dyDescent="0.25">
      <c r="A53" s="1"/>
      <c r="C53" s="1"/>
      <c r="D53" s="1">
        <v>41332</v>
      </c>
      <c r="E53" s="10">
        <v>31620</v>
      </c>
      <c r="F53" s="1">
        <v>41332</v>
      </c>
      <c r="G53">
        <v>4351.5</v>
      </c>
      <c r="H53" s="1">
        <f t="shared" si="1"/>
        <v>41332</v>
      </c>
      <c r="I53">
        <f>IF(AND(MyRowHidden(ROW())=FALSE,MyRowHidden(ROW()-1)=TRUE),0,(E53-E52)*unitsOfDHp+I52)</f>
        <v>25950</v>
      </c>
      <c r="J53">
        <f>IF(AND(MyRowHidden(ROW())=FALSE,MyRowHidden(ROW()-1)=TRUE),0,(G53-G52)*unitsOfExo+J52)</f>
        <v>-2870</v>
      </c>
      <c r="K53" s="9">
        <f t="shared" si="2"/>
        <v>2870</v>
      </c>
      <c r="L53">
        <f t="shared" si="3"/>
        <v>7039.21875</v>
      </c>
      <c r="M53">
        <f>IF(AND(MyRowHidden(ROW())=FALSE,MyRowHidden(ROW()-1)=TRUE),0,(G53-G52)*unitsFuturesCompare+M52)</f>
        <v>-5740</v>
      </c>
      <c r="N53">
        <f>IF(MyRowHidden(ROW())=TRUE,0,L53-M53)</f>
        <v>12779.21875</v>
      </c>
      <c r="O53">
        <f>MAX(N$12:N53)</f>
        <v>32081.5625</v>
      </c>
      <c r="P53">
        <f>IF(O53&gt;O52,(O53-O52)*percentSavingsParticipation,0)</f>
        <v>0</v>
      </c>
      <c r="Q53">
        <f t="shared" si="4"/>
        <v>16040.78125</v>
      </c>
      <c r="R53">
        <f t="shared" si="5"/>
        <v>23080</v>
      </c>
    </row>
    <row r="54" spans="1:18" x14ac:dyDescent="0.25">
      <c r="A54" s="1"/>
      <c r="C54" s="1"/>
      <c r="D54" s="1">
        <v>41333</v>
      </c>
      <c r="E54" s="10">
        <v>31696.5</v>
      </c>
      <c r="F54" s="1">
        <v>41333</v>
      </c>
      <c r="G54">
        <v>4764</v>
      </c>
      <c r="H54" s="1">
        <f t="shared" si="1"/>
        <v>41333</v>
      </c>
      <c r="I54">
        <f>IF(AND(MyRowHidden(ROW())=FALSE,MyRowHidden(ROW()-1)=TRUE),0,(E54-E53)*unitsOfDHp+I53)</f>
        <v>26715</v>
      </c>
      <c r="J54">
        <f>IF(AND(MyRowHidden(ROW())=FALSE,MyRowHidden(ROW()-1)=TRUE),0,(G54-G53)*unitsOfExo+J53)</f>
        <v>1255</v>
      </c>
      <c r="K54" s="9">
        <f t="shared" si="2"/>
        <v>-1255</v>
      </c>
      <c r="L54">
        <f t="shared" si="3"/>
        <v>11929.21875</v>
      </c>
      <c r="M54">
        <f>IF(AND(MyRowHidden(ROW())=FALSE,MyRowHidden(ROW()-1)=TRUE),0,(G54-G53)*unitsFuturesCompare+M53)</f>
        <v>2510</v>
      </c>
      <c r="N54">
        <f>IF(MyRowHidden(ROW())=TRUE,0,L54-M54)</f>
        <v>9419.21875</v>
      </c>
      <c r="O54">
        <f>MAX(N$12:N54)</f>
        <v>32081.5625</v>
      </c>
      <c r="P54">
        <f>IF(O54&gt;O53,(O54-O53)*percentSavingsParticipation,0)</f>
        <v>0</v>
      </c>
      <c r="Q54">
        <f t="shared" si="4"/>
        <v>16040.78125</v>
      </c>
      <c r="R54">
        <f t="shared" si="5"/>
        <v>27970</v>
      </c>
    </row>
    <row r="55" spans="1:18" x14ac:dyDescent="0.25">
      <c r="A55" s="1"/>
      <c r="C55" s="1"/>
      <c r="D55" s="1">
        <v>41334</v>
      </c>
      <c r="E55" s="10">
        <v>31871.5</v>
      </c>
      <c r="F55" s="1">
        <v>41334</v>
      </c>
      <c r="G55">
        <v>4952</v>
      </c>
      <c r="H55" s="1">
        <f t="shared" si="1"/>
        <v>41334</v>
      </c>
      <c r="I55">
        <f>IF(AND(MyRowHidden(ROW())=FALSE,MyRowHidden(ROW()-1)=TRUE),0,(E55-E54)*unitsOfDHp+I54)</f>
        <v>28465</v>
      </c>
      <c r="J55">
        <f>IF(AND(MyRowHidden(ROW())=FALSE,MyRowHidden(ROW()-1)=TRUE),0,(G55-G54)*unitsOfExo+J54)</f>
        <v>3135</v>
      </c>
      <c r="K55" s="9">
        <f t="shared" si="2"/>
        <v>-3135</v>
      </c>
      <c r="L55">
        <f t="shared" si="3"/>
        <v>15559.21875</v>
      </c>
      <c r="M55">
        <f>IF(AND(MyRowHidden(ROW())=FALSE,MyRowHidden(ROW()-1)=TRUE),0,(G55-G54)*unitsFuturesCompare+M54)</f>
        <v>6270</v>
      </c>
      <c r="N55">
        <f>IF(MyRowHidden(ROW())=TRUE,0,L55-M55)</f>
        <v>9289.21875</v>
      </c>
      <c r="O55">
        <f>MAX(N$12:N55)</f>
        <v>32081.5625</v>
      </c>
      <c r="P55">
        <f>IF(O55&gt;O54,(O55-O54)*percentSavingsParticipation,0)</f>
        <v>0</v>
      </c>
      <c r="Q55">
        <f t="shared" si="4"/>
        <v>16040.78125</v>
      </c>
      <c r="R55">
        <f t="shared" si="5"/>
        <v>31600</v>
      </c>
    </row>
    <row r="56" spans="1:18" x14ac:dyDescent="0.25">
      <c r="A56" s="1"/>
      <c r="C56" s="1"/>
      <c r="D56" s="1">
        <v>41337</v>
      </c>
      <c r="E56" s="10">
        <v>31810.5</v>
      </c>
      <c r="F56" s="1">
        <v>41337</v>
      </c>
      <c r="G56">
        <v>4502</v>
      </c>
      <c r="H56" s="1">
        <f t="shared" si="1"/>
        <v>41337</v>
      </c>
      <c r="I56">
        <f>IF(AND(MyRowHidden(ROW())=FALSE,MyRowHidden(ROW()-1)=TRUE),0,(E56-E55)*unitsOfDHp+I55)</f>
        <v>27855</v>
      </c>
      <c r="J56">
        <f>IF(AND(MyRowHidden(ROW())=FALSE,MyRowHidden(ROW()-1)=TRUE),0,(G56-G55)*unitsOfExo+J55)</f>
        <v>-1365</v>
      </c>
      <c r="K56" s="9">
        <f t="shared" si="2"/>
        <v>1365</v>
      </c>
      <c r="L56">
        <f t="shared" si="3"/>
        <v>10449.21875</v>
      </c>
      <c r="M56">
        <f>IF(AND(MyRowHidden(ROW())=FALSE,MyRowHidden(ROW()-1)=TRUE),0,(G56-G55)*unitsFuturesCompare+M55)</f>
        <v>-2730</v>
      </c>
      <c r="N56">
        <f>IF(MyRowHidden(ROW())=TRUE,0,L56-M56)</f>
        <v>13179.21875</v>
      </c>
      <c r="O56">
        <f>MAX(N$12:N56)</f>
        <v>32081.5625</v>
      </c>
      <c r="P56">
        <f>IF(O56&gt;O55,(O56-O55)*percentSavingsParticipation,0)</f>
        <v>0</v>
      </c>
      <c r="Q56">
        <f t="shared" si="4"/>
        <v>16040.78125</v>
      </c>
      <c r="R56">
        <f t="shared" si="5"/>
        <v>26490</v>
      </c>
    </row>
    <row r="57" spans="1:18" x14ac:dyDescent="0.25">
      <c r="A57" s="1"/>
      <c r="C57" s="1"/>
      <c r="D57" s="1">
        <v>41338</v>
      </c>
      <c r="E57" s="10">
        <v>31436.5</v>
      </c>
      <c r="F57" s="1">
        <v>41338</v>
      </c>
      <c r="G57">
        <v>4889.5</v>
      </c>
      <c r="H57" s="1">
        <f t="shared" si="1"/>
        <v>41338</v>
      </c>
      <c r="I57">
        <f>IF(AND(MyRowHidden(ROW())=FALSE,MyRowHidden(ROW()-1)=TRUE),0,(E57-E56)*unitsOfDHp+I56)</f>
        <v>24115</v>
      </c>
      <c r="J57">
        <f>IF(AND(MyRowHidden(ROW())=FALSE,MyRowHidden(ROW()-1)=TRUE),0,(G57-G56)*unitsOfExo+J56)</f>
        <v>2510</v>
      </c>
      <c r="K57" s="9">
        <f t="shared" si="2"/>
        <v>-2510</v>
      </c>
      <c r="L57">
        <f t="shared" si="3"/>
        <v>10584.21875</v>
      </c>
      <c r="M57">
        <f>IF(AND(MyRowHidden(ROW())=FALSE,MyRowHidden(ROW()-1)=TRUE),0,(G57-G56)*unitsFuturesCompare+M56)</f>
        <v>5020</v>
      </c>
      <c r="N57">
        <f>IF(MyRowHidden(ROW())=TRUE,0,L57-M57)</f>
        <v>5564.21875</v>
      </c>
      <c r="O57">
        <f>MAX(N$12:N57)</f>
        <v>32081.5625</v>
      </c>
      <c r="P57">
        <f>IF(O57&gt;O56,(O57-O56)*percentSavingsParticipation,0)</f>
        <v>0</v>
      </c>
      <c r="Q57">
        <f t="shared" si="4"/>
        <v>16040.78125</v>
      </c>
      <c r="R57">
        <f t="shared" si="5"/>
        <v>26625</v>
      </c>
    </row>
    <row r="58" spans="1:18" x14ac:dyDescent="0.25">
      <c r="A58" s="1"/>
      <c r="C58" s="1"/>
      <c r="D58" s="1">
        <v>41339</v>
      </c>
      <c r="E58" s="10">
        <v>32049</v>
      </c>
      <c r="F58" s="1">
        <v>41339</v>
      </c>
      <c r="G58">
        <v>4214.5</v>
      </c>
      <c r="H58" s="1">
        <f t="shared" si="1"/>
        <v>41339</v>
      </c>
      <c r="I58">
        <f>IF(AND(MyRowHidden(ROW())=FALSE,MyRowHidden(ROW()-1)=TRUE),0,(E58-E57)*unitsOfDHp+I57)</f>
        <v>30240</v>
      </c>
      <c r="J58">
        <f>IF(AND(MyRowHidden(ROW())=FALSE,MyRowHidden(ROW()-1)=TRUE),0,(G58-G57)*unitsOfExo+J57)</f>
        <v>-4240</v>
      </c>
      <c r="K58" s="9">
        <f t="shared" si="2"/>
        <v>4240</v>
      </c>
      <c r="L58">
        <f t="shared" si="3"/>
        <v>9959.21875</v>
      </c>
      <c r="M58">
        <f>IF(AND(MyRowHidden(ROW())=FALSE,MyRowHidden(ROW()-1)=TRUE),0,(G58-G57)*unitsFuturesCompare+M57)</f>
        <v>-8480</v>
      </c>
      <c r="N58">
        <f>IF(MyRowHidden(ROW())=TRUE,0,L58-M58)</f>
        <v>18439.21875</v>
      </c>
      <c r="O58">
        <f>MAX(N$12:N58)</f>
        <v>32081.5625</v>
      </c>
      <c r="P58">
        <f>IF(O58&gt;O57,(O58-O57)*percentSavingsParticipation,0)</f>
        <v>0</v>
      </c>
      <c r="Q58">
        <f t="shared" si="4"/>
        <v>16040.78125</v>
      </c>
      <c r="R58">
        <f t="shared" si="5"/>
        <v>26000</v>
      </c>
    </row>
    <row r="59" spans="1:18" x14ac:dyDescent="0.25">
      <c r="A59" s="1"/>
      <c r="C59" s="1"/>
      <c r="D59" s="1">
        <v>41340</v>
      </c>
      <c r="E59" s="10">
        <v>31968.5</v>
      </c>
      <c r="F59" s="1">
        <v>41340</v>
      </c>
      <c r="G59">
        <v>3802</v>
      </c>
      <c r="H59" s="1">
        <f t="shared" si="1"/>
        <v>41340</v>
      </c>
      <c r="I59">
        <f>IF(AND(MyRowHidden(ROW())=FALSE,MyRowHidden(ROW()-1)=TRUE),0,(E59-E58)*unitsOfDHp+I58)</f>
        <v>29435</v>
      </c>
      <c r="J59">
        <f>IF(AND(MyRowHidden(ROW())=FALSE,MyRowHidden(ROW()-1)=TRUE),0,(G59-G58)*unitsOfExo+J58)</f>
        <v>-8365</v>
      </c>
      <c r="K59" s="9">
        <f t="shared" si="2"/>
        <v>8365</v>
      </c>
      <c r="L59">
        <f t="shared" si="3"/>
        <v>5029.21875</v>
      </c>
      <c r="M59">
        <f>IF(AND(MyRowHidden(ROW())=FALSE,MyRowHidden(ROW()-1)=TRUE),0,(G59-G58)*unitsFuturesCompare+M58)</f>
        <v>-16730</v>
      </c>
      <c r="N59">
        <f>IF(MyRowHidden(ROW())=TRUE,0,L59-M59)</f>
        <v>21759.21875</v>
      </c>
      <c r="O59">
        <f>MAX(N$12:N59)</f>
        <v>32081.5625</v>
      </c>
      <c r="P59">
        <f>IF(O59&gt;O58,(O59-O58)*percentSavingsParticipation,0)</f>
        <v>0</v>
      </c>
      <c r="Q59">
        <f t="shared" si="4"/>
        <v>16040.78125</v>
      </c>
      <c r="R59">
        <f t="shared" si="5"/>
        <v>21070</v>
      </c>
    </row>
    <row r="60" spans="1:18" x14ac:dyDescent="0.25">
      <c r="A60" s="1"/>
      <c r="C60" s="1"/>
      <c r="D60" s="1">
        <v>41341</v>
      </c>
      <c r="E60" s="10">
        <v>30453.5</v>
      </c>
      <c r="F60" s="1">
        <v>41341</v>
      </c>
      <c r="G60">
        <v>4502</v>
      </c>
      <c r="H60" s="1">
        <f t="shared" si="1"/>
        <v>41341</v>
      </c>
      <c r="I60">
        <f>IF(AND(MyRowHidden(ROW())=FALSE,MyRowHidden(ROW()-1)=TRUE),0,(E60-E59)*unitsOfDHp+I59)</f>
        <v>14285</v>
      </c>
      <c r="J60">
        <f>IF(AND(MyRowHidden(ROW())=FALSE,MyRowHidden(ROW()-1)=TRUE),0,(G60-G59)*unitsOfExo+J59)</f>
        <v>-1365</v>
      </c>
      <c r="K60" s="9">
        <f t="shared" si="2"/>
        <v>1365</v>
      </c>
      <c r="L60">
        <f t="shared" si="3"/>
        <v>-3120.78125</v>
      </c>
      <c r="M60">
        <f>IF(AND(MyRowHidden(ROW())=FALSE,MyRowHidden(ROW()-1)=TRUE),0,(G60-G59)*unitsFuturesCompare+M59)</f>
        <v>-2730</v>
      </c>
      <c r="N60">
        <f>IF(MyRowHidden(ROW())=TRUE,0,L60-M60)</f>
        <v>-390.78125</v>
      </c>
      <c r="O60">
        <f>MAX(N$12:N60)</f>
        <v>32081.5625</v>
      </c>
      <c r="P60">
        <f>IF(O60&gt;O59,(O60-O59)*percentSavingsParticipation,0)</f>
        <v>0</v>
      </c>
      <c r="Q60">
        <f t="shared" si="4"/>
        <v>16040.78125</v>
      </c>
      <c r="R60">
        <f t="shared" si="5"/>
        <v>12920</v>
      </c>
    </row>
    <row r="61" spans="1:18" x14ac:dyDescent="0.25">
      <c r="A61" s="1"/>
      <c r="C61" s="1"/>
      <c r="D61" s="1">
        <v>41344</v>
      </c>
      <c r="E61" s="10">
        <v>28530</v>
      </c>
      <c r="F61" s="1">
        <v>41344</v>
      </c>
      <c r="G61">
        <v>5189.5</v>
      </c>
      <c r="H61" s="1">
        <f t="shared" si="1"/>
        <v>41344</v>
      </c>
      <c r="I61">
        <f>IF(AND(MyRowHidden(ROW())=FALSE,MyRowHidden(ROW()-1)=TRUE),0,(E61-E60)*unitsOfDHp+I60)</f>
        <v>-4950</v>
      </c>
      <c r="J61">
        <f>IF(AND(MyRowHidden(ROW())=FALSE,MyRowHidden(ROW()-1)=TRUE),0,(G61-G60)*unitsOfExo+J60)</f>
        <v>5510</v>
      </c>
      <c r="K61" s="9">
        <f t="shared" si="2"/>
        <v>-5510</v>
      </c>
      <c r="L61">
        <f t="shared" si="3"/>
        <v>-15480.78125</v>
      </c>
      <c r="M61">
        <f>IF(AND(MyRowHidden(ROW())=FALSE,MyRowHidden(ROW()-1)=TRUE),0,(G61-G60)*unitsFuturesCompare+M60)</f>
        <v>11020</v>
      </c>
      <c r="N61">
        <f>IF(MyRowHidden(ROW())=TRUE,0,L61-M61)</f>
        <v>-26500.78125</v>
      </c>
      <c r="O61">
        <f>MAX(N$12:N61)</f>
        <v>32081.5625</v>
      </c>
      <c r="P61">
        <f>IF(O61&gt;O60,(O61-O60)*percentSavingsParticipation,0)</f>
        <v>0</v>
      </c>
      <c r="Q61">
        <f t="shared" si="4"/>
        <v>16040.78125</v>
      </c>
      <c r="R61">
        <f t="shared" si="5"/>
        <v>560</v>
      </c>
    </row>
    <row r="62" spans="1:18" x14ac:dyDescent="0.25">
      <c r="A62" s="1"/>
      <c r="C62" s="1"/>
      <c r="D62" s="1">
        <v>41345</v>
      </c>
      <c r="E62" s="10">
        <v>28267.5</v>
      </c>
      <c r="F62" s="1">
        <v>41345</v>
      </c>
      <c r="G62">
        <v>5314.5</v>
      </c>
      <c r="H62" s="1">
        <f t="shared" si="1"/>
        <v>41345</v>
      </c>
      <c r="I62">
        <f>IF(AND(MyRowHidden(ROW())=FALSE,MyRowHidden(ROW()-1)=TRUE),0,(E62-E61)*unitsOfDHp+I61)</f>
        <v>-7575</v>
      </c>
      <c r="J62">
        <f>IF(AND(MyRowHidden(ROW())=FALSE,MyRowHidden(ROW()-1)=TRUE),0,(G62-G61)*unitsOfExo+J61)</f>
        <v>6760</v>
      </c>
      <c r="K62" s="9">
        <f t="shared" si="2"/>
        <v>-6760</v>
      </c>
      <c r="L62">
        <f t="shared" si="3"/>
        <v>-16855.78125</v>
      </c>
      <c r="M62">
        <f>IF(AND(MyRowHidden(ROW())=FALSE,MyRowHidden(ROW()-1)=TRUE),0,(G62-G61)*unitsFuturesCompare+M61)</f>
        <v>13520</v>
      </c>
      <c r="N62">
        <f>IF(MyRowHidden(ROW())=TRUE,0,L62-M62)</f>
        <v>-30375.78125</v>
      </c>
      <c r="O62">
        <f>MAX(N$12:N62)</f>
        <v>32081.5625</v>
      </c>
      <c r="P62">
        <f>IF(O62&gt;O61,(O62-O61)*percentSavingsParticipation,0)</f>
        <v>0</v>
      </c>
      <c r="Q62">
        <f t="shared" si="4"/>
        <v>16040.78125</v>
      </c>
      <c r="R62">
        <f t="shared" si="5"/>
        <v>-815</v>
      </c>
    </row>
    <row r="63" spans="1:18" x14ac:dyDescent="0.25">
      <c r="A63" s="1"/>
      <c r="C63" s="1"/>
      <c r="D63" s="1">
        <v>41346</v>
      </c>
      <c r="E63" s="10">
        <v>28780</v>
      </c>
      <c r="F63" s="1">
        <v>41346</v>
      </c>
      <c r="G63">
        <v>5002</v>
      </c>
      <c r="H63" s="1">
        <f t="shared" si="1"/>
        <v>41346</v>
      </c>
      <c r="I63">
        <f>IF(AND(MyRowHidden(ROW())=FALSE,MyRowHidden(ROW()-1)=TRUE),0,(E63-E62)*unitsOfDHp+I62)</f>
        <v>-2450</v>
      </c>
      <c r="J63">
        <f>IF(AND(MyRowHidden(ROW())=FALSE,MyRowHidden(ROW()-1)=TRUE),0,(G63-G62)*unitsOfExo+J62)</f>
        <v>3635</v>
      </c>
      <c r="K63" s="9">
        <f t="shared" si="2"/>
        <v>-3635</v>
      </c>
      <c r="L63">
        <f t="shared" si="3"/>
        <v>-14855.78125</v>
      </c>
      <c r="M63">
        <f>IF(AND(MyRowHidden(ROW())=FALSE,MyRowHidden(ROW()-1)=TRUE),0,(G63-G62)*unitsFuturesCompare+M62)</f>
        <v>7270</v>
      </c>
      <c r="N63">
        <f>IF(MyRowHidden(ROW())=TRUE,0,L63-M63)</f>
        <v>-22125.78125</v>
      </c>
      <c r="O63">
        <f>MAX(N$12:N63)</f>
        <v>32081.5625</v>
      </c>
      <c r="P63">
        <f>IF(O63&gt;O62,(O63-O62)*percentSavingsParticipation,0)</f>
        <v>0</v>
      </c>
      <c r="Q63">
        <f t="shared" si="4"/>
        <v>16040.78125</v>
      </c>
      <c r="R63">
        <f t="shared" si="5"/>
        <v>1185</v>
      </c>
    </row>
    <row r="64" spans="1:18" x14ac:dyDescent="0.25">
      <c r="A64" s="1"/>
      <c r="C64" s="1"/>
      <c r="D64" s="1">
        <v>41347</v>
      </c>
      <c r="E64" s="10">
        <v>28281</v>
      </c>
      <c r="F64" s="1">
        <v>41347</v>
      </c>
      <c r="G64">
        <v>5289.5</v>
      </c>
      <c r="H64" s="1">
        <f t="shared" si="1"/>
        <v>41347</v>
      </c>
      <c r="I64">
        <f>IF(AND(MyRowHidden(ROW())=FALSE,MyRowHidden(ROW()-1)=TRUE),0,(E64-E63)*unitsOfDHp+I63)</f>
        <v>-7440</v>
      </c>
      <c r="J64">
        <f>IF(AND(MyRowHidden(ROW())=FALSE,MyRowHidden(ROW()-1)=TRUE),0,(G64-G63)*unitsOfExo+J63)</f>
        <v>6510</v>
      </c>
      <c r="K64" s="9">
        <f t="shared" si="2"/>
        <v>-6510</v>
      </c>
      <c r="L64">
        <f t="shared" si="3"/>
        <v>-16970.78125</v>
      </c>
      <c r="M64">
        <f>IF(AND(MyRowHidden(ROW())=FALSE,MyRowHidden(ROW()-1)=TRUE),0,(G64-G63)*unitsFuturesCompare+M63)</f>
        <v>13020</v>
      </c>
      <c r="N64">
        <f>IF(MyRowHidden(ROW())=TRUE,0,L64-M64)</f>
        <v>-29990.78125</v>
      </c>
      <c r="O64">
        <f>MAX(N$12:N64)</f>
        <v>32081.5625</v>
      </c>
      <c r="P64">
        <f>IF(O64&gt;O63,(O64-O63)*percentSavingsParticipation,0)</f>
        <v>0</v>
      </c>
      <c r="Q64">
        <f t="shared" si="4"/>
        <v>16040.78125</v>
      </c>
      <c r="R64">
        <f t="shared" si="5"/>
        <v>-930</v>
      </c>
    </row>
    <row r="65" spans="1:18" x14ac:dyDescent="0.25">
      <c r="A65" s="1"/>
      <c r="C65" s="1"/>
      <c r="D65" s="1">
        <v>41348</v>
      </c>
      <c r="E65" s="10">
        <v>28170</v>
      </c>
      <c r="F65" s="1">
        <v>41348</v>
      </c>
      <c r="G65">
        <v>5352</v>
      </c>
      <c r="H65" s="1">
        <f t="shared" si="1"/>
        <v>41348</v>
      </c>
      <c r="I65">
        <f>IF(AND(MyRowHidden(ROW())=FALSE,MyRowHidden(ROW()-1)=TRUE),0,(E65-E64)*unitsOfDHp+I64)</f>
        <v>-8550</v>
      </c>
      <c r="J65">
        <f>IF(AND(MyRowHidden(ROW())=FALSE,MyRowHidden(ROW()-1)=TRUE),0,(G65-G64)*unitsOfExo+J64)</f>
        <v>7135</v>
      </c>
      <c r="K65" s="9">
        <f t="shared" si="2"/>
        <v>-7135</v>
      </c>
      <c r="L65">
        <f t="shared" si="3"/>
        <v>-17455.78125</v>
      </c>
      <c r="M65">
        <f>IF(AND(MyRowHidden(ROW())=FALSE,MyRowHidden(ROW()-1)=TRUE),0,(G65-G64)*unitsFuturesCompare+M64)</f>
        <v>14270</v>
      </c>
      <c r="N65">
        <f>IF(MyRowHidden(ROW())=TRUE,0,L65-M65)</f>
        <v>-31725.78125</v>
      </c>
      <c r="O65">
        <f>MAX(N$12:N65)</f>
        <v>32081.5625</v>
      </c>
      <c r="P65">
        <f>IF(O65&gt;O64,(O65-O64)*percentSavingsParticipation,0)</f>
        <v>0</v>
      </c>
      <c r="Q65">
        <f t="shared" si="4"/>
        <v>16040.78125</v>
      </c>
      <c r="R65">
        <f t="shared" si="5"/>
        <v>-1415</v>
      </c>
    </row>
    <row r="66" spans="1:18" x14ac:dyDescent="0.25">
      <c r="A66" s="1"/>
      <c r="C66" s="1"/>
      <c r="D66" s="1">
        <v>41351</v>
      </c>
      <c r="E66" s="10">
        <v>28132.5</v>
      </c>
      <c r="F66" s="1">
        <v>41351</v>
      </c>
      <c r="G66">
        <v>5364.5</v>
      </c>
      <c r="H66" s="1">
        <f t="shared" si="1"/>
        <v>41351</v>
      </c>
      <c r="I66">
        <f>IF(AND(MyRowHidden(ROW())=FALSE,MyRowHidden(ROW()-1)=TRUE),0,(E66-E65)*unitsOfDHp+I65)</f>
        <v>-8925</v>
      </c>
      <c r="J66">
        <f>IF(AND(MyRowHidden(ROW())=FALSE,MyRowHidden(ROW()-1)=TRUE),0,(G66-G65)*unitsOfExo+J65)</f>
        <v>7260</v>
      </c>
      <c r="K66" s="9">
        <f t="shared" si="2"/>
        <v>-7260</v>
      </c>
      <c r="L66">
        <f t="shared" si="3"/>
        <v>-17705.78125</v>
      </c>
      <c r="M66">
        <f>IF(AND(MyRowHidden(ROW())=FALSE,MyRowHidden(ROW()-1)=TRUE),0,(G66-G65)*unitsFuturesCompare+M65)</f>
        <v>14520</v>
      </c>
      <c r="N66">
        <f>IF(MyRowHidden(ROW())=TRUE,0,L66-M66)</f>
        <v>-32225.78125</v>
      </c>
      <c r="O66">
        <f>MAX(N$12:N66)</f>
        <v>32081.5625</v>
      </c>
      <c r="P66">
        <f>IF(O66&gt;O65,(O66-O65)*percentSavingsParticipation,0)</f>
        <v>0</v>
      </c>
      <c r="Q66">
        <f t="shared" si="4"/>
        <v>16040.78125</v>
      </c>
      <c r="R66">
        <f t="shared" si="5"/>
        <v>-1665</v>
      </c>
    </row>
    <row r="67" spans="1:18" x14ac:dyDescent="0.25">
      <c r="A67" s="1"/>
      <c r="C67" s="1"/>
      <c r="D67" s="1">
        <v>41352</v>
      </c>
      <c r="E67" s="10">
        <v>27298</v>
      </c>
      <c r="F67" s="1">
        <v>41352</v>
      </c>
      <c r="G67">
        <v>5814.5</v>
      </c>
      <c r="H67" s="1">
        <f t="shared" si="1"/>
        <v>41352</v>
      </c>
      <c r="I67">
        <f>IF(AND(MyRowHidden(ROW())=FALSE,MyRowHidden(ROW()-1)=TRUE),0,(E67-E66)*unitsOfDHp+I66)</f>
        <v>-17270</v>
      </c>
      <c r="J67">
        <f>IF(AND(MyRowHidden(ROW())=FALSE,MyRowHidden(ROW()-1)=TRUE),0,(G67-G66)*unitsOfExo+J66)</f>
        <v>11760</v>
      </c>
      <c r="K67" s="9">
        <f t="shared" si="2"/>
        <v>-11760</v>
      </c>
      <c r="L67">
        <f t="shared" si="3"/>
        <v>-21550.78125</v>
      </c>
      <c r="M67">
        <f>IF(AND(MyRowHidden(ROW())=FALSE,MyRowHidden(ROW()-1)=TRUE),0,(G67-G66)*unitsFuturesCompare+M66)</f>
        <v>23520</v>
      </c>
      <c r="N67">
        <f>IF(MyRowHidden(ROW())=TRUE,0,L67-M67)</f>
        <v>-45070.78125</v>
      </c>
      <c r="O67">
        <f>MAX(N$12:N67)</f>
        <v>32081.5625</v>
      </c>
      <c r="P67">
        <f>IF(O67&gt;O66,(O67-O66)*percentSavingsParticipation,0)</f>
        <v>0</v>
      </c>
      <c r="Q67">
        <f t="shared" si="4"/>
        <v>16040.78125</v>
      </c>
      <c r="R67">
        <f t="shared" si="5"/>
        <v>-5510</v>
      </c>
    </row>
    <row r="68" spans="1:18" x14ac:dyDescent="0.25">
      <c r="A68" s="1"/>
      <c r="C68" s="1"/>
      <c r="D68" s="1">
        <v>41353</v>
      </c>
      <c r="E68" s="10">
        <v>27012</v>
      </c>
      <c r="F68" s="1">
        <v>41353</v>
      </c>
      <c r="G68">
        <v>6077</v>
      </c>
      <c r="H68" s="1">
        <f t="shared" si="1"/>
        <v>41353</v>
      </c>
      <c r="I68">
        <f>IF(AND(MyRowHidden(ROW())=FALSE,MyRowHidden(ROW()-1)=TRUE),0,(E68-E67)*unitsOfDHp+I67)</f>
        <v>-20130</v>
      </c>
      <c r="J68">
        <f>IF(AND(MyRowHidden(ROW())=FALSE,MyRowHidden(ROW()-1)=TRUE),0,(G68-G67)*unitsOfExo+J67)</f>
        <v>14385</v>
      </c>
      <c r="K68" s="9">
        <f t="shared" si="2"/>
        <v>-14385</v>
      </c>
      <c r="L68">
        <f t="shared" si="3"/>
        <v>-21785.78125</v>
      </c>
      <c r="M68">
        <f>IF(AND(MyRowHidden(ROW())=FALSE,MyRowHidden(ROW()-1)=TRUE),0,(G68-G67)*unitsFuturesCompare+M67)</f>
        <v>28770</v>
      </c>
      <c r="N68">
        <f>IF(MyRowHidden(ROW())=TRUE,0,L68-M68)</f>
        <v>-50555.78125</v>
      </c>
      <c r="O68">
        <f>MAX(N$12:N68)</f>
        <v>32081.5625</v>
      </c>
      <c r="P68">
        <f>IF(O68&gt;O67,(O68-O67)*percentSavingsParticipation,0)</f>
        <v>0</v>
      </c>
      <c r="Q68">
        <f t="shared" si="4"/>
        <v>16040.78125</v>
      </c>
      <c r="R68">
        <f t="shared" si="5"/>
        <v>-5745</v>
      </c>
    </row>
    <row r="69" spans="1:18" x14ac:dyDescent="0.25">
      <c r="A69" s="1"/>
      <c r="C69" s="1"/>
      <c r="D69" s="1">
        <v>41354</v>
      </c>
      <c r="E69" s="10">
        <v>26837</v>
      </c>
      <c r="F69" s="1">
        <v>41354</v>
      </c>
      <c r="G69">
        <v>6227</v>
      </c>
      <c r="H69" s="1">
        <f t="shared" si="1"/>
        <v>41354</v>
      </c>
      <c r="I69">
        <f>IF(AND(MyRowHidden(ROW())=FALSE,MyRowHidden(ROW()-1)=TRUE),0,(E69-E68)*unitsOfDHp+I68)</f>
        <v>-21880</v>
      </c>
      <c r="J69">
        <f>IF(AND(MyRowHidden(ROW())=FALSE,MyRowHidden(ROW()-1)=TRUE),0,(G69-G68)*unitsOfExo+J68)</f>
        <v>15885</v>
      </c>
      <c r="K69" s="9">
        <f t="shared" si="2"/>
        <v>-15885</v>
      </c>
      <c r="L69">
        <f t="shared" si="3"/>
        <v>-22035.78125</v>
      </c>
      <c r="M69">
        <f>IF(AND(MyRowHidden(ROW())=FALSE,MyRowHidden(ROW()-1)=TRUE),0,(G69-G68)*unitsFuturesCompare+M68)</f>
        <v>31770</v>
      </c>
      <c r="N69">
        <f>IF(MyRowHidden(ROW())=TRUE,0,L69-M69)</f>
        <v>-53805.78125</v>
      </c>
      <c r="O69">
        <f>MAX(N$12:N69)</f>
        <v>32081.5625</v>
      </c>
      <c r="P69">
        <f>IF(O69&gt;O68,(O69-O68)*percentSavingsParticipation,0)</f>
        <v>0</v>
      </c>
      <c r="Q69">
        <f t="shared" si="4"/>
        <v>16040.78125</v>
      </c>
      <c r="R69">
        <f t="shared" si="5"/>
        <v>-5995</v>
      </c>
    </row>
    <row r="70" spans="1:18" x14ac:dyDescent="0.25">
      <c r="A70" s="1"/>
      <c r="C70" s="1"/>
      <c r="D70" s="1">
        <v>41355</v>
      </c>
      <c r="E70" s="10">
        <v>26837</v>
      </c>
      <c r="F70" s="1">
        <v>41355</v>
      </c>
      <c r="G70">
        <v>5877</v>
      </c>
      <c r="H70" s="1">
        <f t="shared" si="1"/>
        <v>41355</v>
      </c>
      <c r="I70">
        <f>IF(AND(MyRowHidden(ROW())=FALSE,MyRowHidden(ROW()-1)=TRUE),0,(E70-E69)*unitsOfDHp+I69)</f>
        <v>-21880</v>
      </c>
      <c r="J70">
        <f>IF(AND(MyRowHidden(ROW())=FALSE,MyRowHidden(ROW()-1)=TRUE),0,(G70-G69)*unitsOfExo+J69)</f>
        <v>12385</v>
      </c>
      <c r="K70" s="9">
        <f t="shared" si="2"/>
        <v>-12385</v>
      </c>
      <c r="L70">
        <f t="shared" si="3"/>
        <v>-25535.78125</v>
      </c>
      <c r="M70">
        <f>IF(AND(MyRowHidden(ROW())=FALSE,MyRowHidden(ROW()-1)=TRUE),0,(G70-G69)*unitsFuturesCompare+M69)</f>
        <v>24770</v>
      </c>
      <c r="N70">
        <f>IF(MyRowHidden(ROW())=TRUE,0,L70-M70)</f>
        <v>-50305.78125</v>
      </c>
      <c r="O70">
        <f>MAX(N$12:N70)</f>
        <v>32081.5625</v>
      </c>
      <c r="P70">
        <f>IF(O70&gt;O69,(O70-O69)*percentSavingsParticipation,0)</f>
        <v>0</v>
      </c>
      <c r="Q70">
        <f t="shared" si="4"/>
        <v>16040.78125</v>
      </c>
      <c r="R70">
        <f t="shared" si="5"/>
        <v>-9495</v>
      </c>
    </row>
    <row r="71" spans="1:18" x14ac:dyDescent="0.25">
      <c r="A71" s="1"/>
      <c r="C71" s="1"/>
      <c r="D71" s="1">
        <v>41358</v>
      </c>
      <c r="E71" s="10">
        <v>26837</v>
      </c>
      <c r="F71" s="1">
        <v>41358</v>
      </c>
      <c r="G71">
        <v>6064.5</v>
      </c>
      <c r="H71" s="1">
        <f t="shared" si="1"/>
        <v>41358</v>
      </c>
      <c r="I71">
        <f>IF(AND(MyRowHidden(ROW())=FALSE,MyRowHidden(ROW()-1)=TRUE),0,(E71-E70)*unitsOfDHp+I70)</f>
        <v>-21880</v>
      </c>
      <c r="J71">
        <f>IF(AND(MyRowHidden(ROW())=FALSE,MyRowHidden(ROW()-1)=TRUE),0,(G71-G70)*unitsOfExo+J70)</f>
        <v>14260</v>
      </c>
      <c r="K71" s="9">
        <f t="shared" si="2"/>
        <v>-14260</v>
      </c>
      <c r="L71">
        <f t="shared" si="3"/>
        <v>-23660.78125</v>
      </c>
      <c r="M71">
        <f>IF(AND(MyRowHidden(ROW())=FALSE,MyRowHidden(ROW()-1)=TRUE),0,(G71-G70)*unitsFuturesCompare+M70)</f>
        <v>28520</v>
      </c>
      <c r="N71">
        <f>IF(MyRowHidden(ROW())=TRUE,0,L71-M71)</f>
        <v>-52180.78125</v>
      </c>
      <c r="O71">
        <f>MAX(N$12:N71)</f>
        <v>32081.5625</v>
      </c>
      <c r="P71">
        <f>IF(O71&gt;O70,(O71-O70)*percentSavingsParticipation,0)</f>
        <v>0</v>
      </c>
      <c r="Q71">
        <f t="shared" si="4"/>
        <v>16040.78125</v>
      </c>
      <c r="R71">
        <f t="shared" si="5"/>
        <v>-7620</v>
      </c>
    </row>
    <row r="72" spans="1:18" x14ac:dyDescent="0.25">
      <c r="A72" s="1"/>
      <c r="C72" s="1"/>
      <c r="D72" s="1">
        <v>41359</v>
      </c>
      <c r="E72" s="10">
        <v>26837</v>
      </c>
      <c r="F72" s="1">
        <v>41359</v>
      </c>
      <c r="G72">
        <v>5939.5</v>
      </c>
      <c r="H72" s="1">
        <f t="shared" si="1"/>
        <v>41359</v>
      </c>
      <c r="I72">
        <f>IF(AND(MyRowHidden(ROW())=FALSE,MyRowHidden(ROW()-1)=TRUE),0,(E72-E71)*unitsOfDHp+I71)</f>
        <v>-21880</v>
      </c>
      <c r="J72">
        <f>IF(AND(MyRowHidden(ROW())=FALSE,MyRowHidden(ROW()-1)=TRUE),0,(G72-G71)*unitsOfExo+J71)</f>
        <v>13010</v>
      </c>
      <c r="K72" s="9">
        <f t="shared" si="2"/>
        <v>-13010</v>
      </c>
      <c r="L72">
        <f t="shared" si="3"/>
        <v>-24910.78125</v>
      </c>
      <c r="M72">
        <f>IF(AND(MyRowHidden(ROW())=FALSE,MyRowHidden(ROW()-1)=TRUE),0,(G72-G71)*unitsFuturesCompare+M71)</f>
        <v>26020</v>
      </c>
      <c r="N72">
        <f>IF(MyRowHidden(ROW())=TRUE,0,L72-M72)</f>
        <v>-50930.78125</v>
      </c>
      <c r="O72">
        <f>MAX(N$12:N72)</f>
        <v>32081.5625</v>
      </c>
      <c r="P72">
        <f>IF(O72&gt;O71,(O72-O71)*percentSavingsParticipation,0)</f>
        <v>0</v>
      </c>
      <c r="Q72">
        <f t="shared" si="4"/>
        <v>16040.78125</v>
      </c>
      <c r="R72">
        <f t="shared" si="5"/>
        <v>-8870</v>
      </c>
    </row>
    <row r="73" spans="1:18" x14ac:dyDescent="0.25">
      <c r="A73" s="1"/>
      <c r="C73" s="1"/>
      <c r="D73" s="1">
        <v>41360</v>
      </c>
      <c r="E73" s="10">
        <v>26837</v>
      </c>
      <c r="F73" s="1">
        <v>41360</v>
      </c>
      <c r="G73">
        <v>6339.5</v>
      </c>
      <c r="H73" s="1">
        <f t="shared" si="1"/>
        <v>41360</v>
      </c>
      <c r="I73">
        <f>IF(AND(MyRowHidden(ROW())=FALSE,MyRowHidden(ROW()-1)=TRUE),0,(E73-E72)*unitsOfDHp+I72)</f>
        <v>-21880</v>
      </c>
      <c r="J73">
        <f>IF(AND(MyRowHidden(ROW())=FALSE,MyRowHidden(ROW()-1)=TRUE),0,(G73-G72)*unitsOfExo+J72)</f>
        <v>17010</v>
      </c>
      <c r="K73" s="9">
        <f t="shared" si="2"/>
        <v>-17010</v>
      </c>
      <c r="L73">
        <f t="shared" si="3"/>
        <v>-20910.78125</v>
      </c>
      <c r="M73">
        <f>IF(AND(MyRowHidden(ROW())=FALSE,MyRowHidden(ROW()-1)=TRUE),0,(G73-G72)*unitsFuturesCompare+M72)</f>
        <v>34020</v>
      </c>
      <c r="N73">
        <f>IF(MyRowHidden(ROW())=TRUE,0,L73-M73)</f>
        <v>-54930.78125</v>
      </c>
      <c r="O73">
        <f>MAX(N$12:N73)</f>
        <v>32081.5625</v>
      </c>
      <c r="P73">
        <f>IF(O73&gt;O72,(O73-O72)*percentSavingsParticipation,0)</f>
        <v>0</v>
      </c>
      <c r="Q73">
        <f t="shared" si="4"/>
        <v>16040.78125</v>
      </c>
      <c r="R73">
        <f t="shared" si="5"/>
        <v>-4870</v>
      </c>
    </row>
    <row r="74" spans="1:18" x14ac:dyDescent="0.25">
      <c r="A74" s="1"/>
      <c r="C74" s="1"/>
      <c r="D74" s="1">
        <v>41361</v>
      </c>
      <c r="E74" s="10">
        <v>26837</v>
      </c>
      <c r="F74" s="1">
        <v>41361</v>
      </c>
      <c r="G74">
        <v>4289.5</v>
      </c>
      <c r="H74" s="1">
        <f t="shared" si="1"/>
        <v>41361</v>
      </c>
      <c r="I74">
        <f>IF(AND(MyRowHidden(ROW())=FALSE,MyRowHidden(ROW()-1)=TRUE),0,(E74-E73)*unitsOfDHp+I73)</f>
        <v>-21880</v>
      </c>
      <c r="J74">
        <f>IF(AND(MyRowHidden(ROW())=FALSE,MyRowHidden(ROW()-1)=TRUE),0,(G74-G73)*unitsOfExo+J73)</f>
        <v>-3490</v>
      </c>
      <c r="K74" s="9">
        <f t="shared" si="2"/>
        <v>3490</v>
      </c>
      <c r="L74">
        <f t="shared" si="3"/>
        <v>-41410.78125</v>
      </c>
      <c r="M74">
        <f>IF(AND(MyRowHidden(ROW())=FALSE,MyRowHidden(ROW()-1)=TRUE),0,(G74-G73)*unitsFuturesCompare+M73)</f>
        <v>-6980</v>
      </c>
      <c r="N74">
        <f>IF(MyRowHidden(ROW())=TRUE,0,L74-M74)</f>
        <v>-34430.78125</v>
      </c>
      <c r="O74">
        <f>MAX(N$12:N74)</f>
        <v>32081.5625</v>
      </c>
      <c r="P74">
        <f>IF(O74&gt;O73,(O74-O73)*percentSavingsParticipation,0)</f>
        <v>0</v>
      </c>
      <c r="Q74">
        <f t="shared" si="4"/>
        <v>16040.78125</v>
      </c>
      <c r="R74">
        <f t="shared" si="5"/>
        <v>-25370</v>
      </c>
    </row>
    <row r="75" spans="1:18" x14ac:dyDescent="0.25">
      <c r="A75" s="1"/>
      <c r="C75" s="1"/>
      <c r="D75" s="1">
        <v>41362</v>
      </c>
      <c r="E75" s="10">
        <v>26837</v>
      </c>
      <c r="F75" s="1">
        <v>41362</v>
      </c>
      <c r="G75">
        <v>3239.5</v>
      </c>
      <c r="H75" s="1">
        <f t="shared" si="1"/>
        <v>41362</v>
      </c>
      <c r="I75">
        <f>IF(AND(MyRowHidden(ROW())=FALSE,MyRowHidden(ROW()-1)=TRUE),0,(E75-E74)*unitsOfDHp+I74)</f>
        <v>-21880</v>
      </c>
      <c r="J75">
        <f>IF(AND(MyRowHidden(ROW())=FALSE,MyRowHidden(ROW()-1)=TRUE),0,(G75-G74)*unitsOfExo+J74)</f>
        <v>-13990</v>
      </c>
      <c r="K75" s="9">
        <f t="shared" si="2"/>
        <v>13990</v>
      </c>
      <c r="L75">
        <f t="shared" si="3"/>
        <v>-51910.78125</v>
      </c>
      <c r="M75">
        <f>IF(AND(MyRowHidden(ROW())=FALSE,MyRowHidden(ROW()-1)=TRUE),0,(G75-G74)*unitsFuturesCompare+M74)</f>
        <v>-27980</v>
      </c>
      <c r="N75">
        <f>IF(MyRowHidden(ROW())=TRUE,0,L75-M75)</f>
        <v>-23930.78125</v>
      </c>
      <c r="O75">
        <f>MAX(N$12:N75)</f>
        <v>32081.5625</v>
      </c>
      <c r="P75">
        <f>IF(O75&gt;O74,(O75-O74)*percentSavingsParticipation,0)</f>
        <v>0</v>
      </c>
      <c r="Q75">
        <f t="shared" si="4"/>
        <v>16040.78125</v>
      </c>
      <c r="R75">
        <f t="shared" si="5"/>
        <v>-35870</v>
      </c>
    </row>
    <row r="76" spans="1:18" x14ac:dyDescent="0.25">
      <c r="A76" s="1"/>
      <c r="C76" s="1"/>
      <c r="D76" s="1">
        <v>41365</v>
      </c>
      <c r="E76" s="10">
        <v>29428.5</v>
      </c>
      <c r="F76" s="1">
        <v>41365</v>
      </c>
      <c r="G76">
        <v>1839.5</v>
      </c>
      <c r="H76" s="1">
        <f t="shared" si="1"/>
        <v>41365</v>
      </c>
      <c r="I76">
        <f>IF(AND(MyRowHidden(ROW())=FALSE,MyRowHidden(ROW()-1)=TRUE),0,(E76-E75)*unitsOfDHp+I75)</f>
        <v>4035</v>
      </c>
      <c r="J76">
        <f>IF(AND(MyRowHidden(ROW())=FALSE,MyRowHidden(ROW()-1)=TRUE),0,(G76-G75)*unitsOfExo+J75)</f>
        <v>-27990</v>
      </c>
      <c r="K76" s="9">
        <f t="shared" si="2"/>
        <v>27990</v>
      </c>
      <c r="L76">
        <f t="shared" si="3"/>
        <v>-39995.78125</v>
      </c>
      <c r="M76">
        <f>IF(AND(MyRowHidden(ROW())=FALSE,MyRowHidden(ROW()-1)=TRUE),0,(G76-G75)*unitsFuturesCompare+M75)</f>
        <v>-55980</v>
      </c>
      <c r="N76">
        <f>IF(MyRowHidden(ROW())=TRUE,0,L76-M76)</f>
        <v>15984.21875</v>
      </c>
      <c r="O76">
        <f>MAX(N$12:N76)</f>
        <v>32081.5625</v>
      </c>
      <c r="P76">
        <f>IF(O76&gt;O75,(O76-O75)*percentSavingsParticipation,0)</f>
        <v>0</v>
      </c>
      <c r="Q76">
        <f t="shared" si="4"/>
        <v>16040.78125</v>
      </c>
      <c r="R76">
        <f t="shared" si="5"/>
        <v>-23955</v>
      </c>
    </row>
    <row r="77" spans="1:18" x14ac:dyDescent="0.25">
      <c r="A77" s="1"/>
      <c r="C77" s="1"/>
      <c r="D77" s="1">
        <v>41366</v>
      </c>
      <c r="E77" s="10">
        <v>29134.5</v>
      </c>
      <c r="F77" s="1">
        <v>41366</v>
      </c>
      <c r="G77">
        <v>1277</v>
      </c>
      <c r="H77" s="1">
        <f t="shared" ref="H77:H140" si="6">D77</f>
        <v>41366</v>
      </c>
      <c r="I77">
        <f>IF(AND(MyRowHidden(ROW())=FALSE,MyRowHidden(ROW()-1)=TRUE),0,(E77-E76)*unitsOfDHp+I76)</f>
        <v>1095</v>
      </c>
      <c r="J77">
        <f>IF(AND(MyRowHidden(ROW())=FALSE,MyRowHidden(ROW()-1)=TRUE),0,(G77-G76)*unitsOfExo+J76)</f>
        <v>-33615</v>
      </c>
      <c r="K77" s="9">
        <f t="shared" ref="K77:K140" si="7">-(J77-J76)+K76</f>
        <v>33615</v>
      </c>
      <c r="L77">
        <f t="shared" ref="L77:L140" si="8">I77-I76+J77-J76+L76-P76</f>
        <v>-48560.78125</v>
      </c>
      <c r="M77">
        <f>IF(AND(MyRowHidden(ROW())=FALSE,MyRowHidden(ROW()-1)=TRUE),0,(G77-G76)*unitsFuturesCompare+M76)</f>
        <v>-67230</v>
      </c>
      <c r="N77">
        <f>IF(MyRowHidden(ROW())=TRUE,0,L77-M77)</f>
        <v>18669.21875</v>
      </c>
      <c r="O77">
        <f>MAX(N$12:N77)</f>
        <v>32081.5625</v>
      </c>
      <c r="P77">
        <f>IF(O77&gt;O76,(O77-O76)*percentSavingsParticipation,0)</f>
        <v>0</v>
      </c>
      <c r="Q77">
        <f t="shared" ref="Q77:Q140" si="9">P77+Q76</f>
        <v>16040.78125</v>
      </c>
      <c r="R77">
        <f t="shared" ref="R77:R140" si="10">I77+J77</f>
        <v>-32520</v>
      </c>
    </row>
    <row r="78" spans="1:18" x14ac:dyDescent="0.25">
      <c r="A78" s="1"/>
      <c r="C78" s="1"/>
      <c r="D78" s="1">
        <v>41367</v>
      </c>
      <c r="E78" s="10">
        <v>29659.5</v>
      </c>
      <c r="F78" s="1">
        <v>41367</v>
      </c>
      <c r="G78">
        <v>1502</v>
      </c>
      <c r="H78" s="1">
        <f t="shared" si="6"/>
        <v>41367</v>
      </c>
      <c r="I78">
        <f>IF(AND(MyRowHidden(ROW())=FALSE,MyRowHidden(ROW()-1)=TRUE),0,(E78-E77)*unitsOfDHp+I77)</f>
        <v>6345</v>
      </c>
      <c r="J78">
        <f>IF(AND(MyRowHidden(ROW())=FALSE,MyRowHidden(ROW()-1)=TRUE),0,(G78-G77)*unitsOfExo+J77)</f>
        <v>-31365</v>
      </c>
      <c r="K78" s="9">
        <f t="shared" si="7"/>
        <v>31365</v>
      </c>
      <c r="L78">
        <f t="shared" si="8"/>
        <v>-41060.78125</v>
      </c>
      <c r="M78">
        <f>IF(AND(MyRowHidden(ROW())=FALSE,MyRowHidden(ROW()-1)=TRUE),0,(G78-G77)*unitsFuturesCompare+M77)</f>
        <v>-62730</v>
      </c>
      <c r="N78">
        <f>IF(MyRowHidden(ROW())=TRUE,0,L78-M78)</f>
        <v>21669.21875</v>
      </c>
      <c r="O78">
        <f>MAX(N$12:N78)</f>
        <v>32081.5625</v>
      </c>
      <c r="P78">
        <f>IF(O78&gt;O77,(O78-O77)*percentSavingsParticipation,0)</f>
        <v>0</v>
      </c>
      <c r="Q78">
        <f t="shared" si="9"/>
        <v>16040.78125</v>
      </c>
      <c r="R78">
        <f t="shared" si="10"/>
        <v>-25020</v>
      </c>
    </row>
    <row r="79" spans="1:18" x14ac:dyDescent="0.25">
      <c r="A79" s="1"/>
      <c r="C79" s="1"/>
      <c r="D79" s="1">
        <v>41368</v>
      </c>
      <c r="E79" s="10">
        <v>28558.5</v>
      </c>
      <c r="F79" s="1">
        <v>41368</v>
      </c>
      <c r="G79">
        <v>1152</v>
      </c>
      <c r="H79" s="1">
        <f t="shared" si="6"/>
        <v>41368</v>
      </c>
      <c r="I79">
        <f>IF(AND(MyRowHidden(ROW())=FALSE,MyRowHidden(ROW()-1)=TRUE),0,(E79-E78)*unitsOfDHp+I78)</f>
        <v>-4665</v>
      </c>
      <c r="J79">
        <f>IF(AND(MyRowHidden(ROW())=FALSE,MyRowHidden(ROW()-1)=TRUE),0,(G79-G78)*unitsOfExo+J78)</f>
        <v>-34865</v>
      </c>
      <c r="K79" s="9">
        <f t="shared" si="7"/>
        <v>34865</v>
      </c>
      <c r="L79">
        <f t="shared" si="8"/>
        <v>-55570.78125</v>
      </c>
      <c r="M79">
        <f>IF(AND(MyRowHidden(ROW())=FALSE,MyRowHidden(ROW()-1)=TRUE),0,(G79-G78)*unitsFuturesCompare+M78)</f>
        <v>-69730</v>
      </c>
      <c r="N79">
        <f>IF(MyRowHidden(ROW())=TRUE,0,L79-M79)</f>
        <v>14159.21875</v>
      </c>
      <c r="O79">
        <f>MAX(N$12:N79)</f>
        <v>32081.5625</v>
      </c>
      <c r="P79">
        <f>IF(O79&gt;O78,(O79-O78)*percentSavingsParticipation,0)</f>
        <v>0</v>
      </c>
      <c r="Q79">
        <f t="shared" si="9"/>
        <v>16040.78125</v>
      </c>
      <c r="R79">
        <f t="shared" si="10"/>
        <v>-39530</v>
      </c>
    </row>
    <row r="80" spans="1:18" x14ac:dyDescent="0.25">
      <c r="A80" s="1"/>
      <c r="C80" s="1"/>
      <c r="D80" s="1">
        <v>41369</v>
      </c>
      <c r="E80" s="10">
        <v>28283.5</v>
      </c>
      <c r="F80" s="1">
        <v>41369</v>
      </c>
      <c r="G80">
        <v>1002</v>
      </c>
      <c r="H80" s="1">
        <f t="shared" si="6"/>
        <v>41369</v>
      </c>
      <c r="I80">
        <f>IF(AND(MyRowHidden(ROW())=FALSE,MyRowHidden(ROW()-1)=TRUE),0,(E80-E79)*unitsOfDHp+I79)</f>
        <v>-7415</v>
      </c>
      <c r="J80">
        <f>IF(AND(MyRowHidden(ROW())=FALSE,MyRowHidden(ROW()-1)=TRUE),0,(G80-G79)*unitsOfExo+J79)</f>
        <v>-36365</v>
      </c>
      <c r="K80" s="9">
        <f t="shared" si="7"/>
        <v>36365</v>
      </c>
      <c r="L80">
        <f t="shared" si="8"/>
        <v>-59820.78125</v>
      </c>
      <c r="M80">
        <f>IF(AND(MyRowHidden(ROW())=FALSE,MyRowHidden(ROW()-1)=TRUE),0,(G80-G79)*unitsFuturesCompare+M79)</f>
        <v>-72730</v>
      </c>
      <c r="N80">
        <f>IF(MyRowHidden(ROW())=TRUE,0,L80-M80)</f>
        <v>12909.21875</v>
      </c>
      <c r="O80">
        <f>MAX(N$12:N80)</f>
        <v>32081.5625</v>
      </c>
      <c r="P80">
        <f>IF(O80&gt;O79,(O80-O79)*percentSavingsParticipation,0)</f>
        <v>0</v>
      </c>
      <c r="Q80">
        <f t="shared" si="9"/>
        <v>16040.78125</v>
      </c>
      <c r="R80">
        <f t="shared" si="10"/>
        <v>-43780</v>
      </c>
    </row>
    <row r="81" spans="1:18" x14ac:dyDescent="0.25">
      <c r="A81" s="1"/>
      <c r="C81" s="1"/>
      <c r="D81" s="1">
        <v>41372</v>
      </c>
      <c r="E81" s="10">
        <v>28521</v>
      </c>
      <c r="F81" s="1">
        <v>41372</v>
      </c>
      <c r="G81">
        <v>1164.5</v>
      </c>
      <c r="H81" s="1">
        <f t="shared" si="6"/>
        <v>41372</v>
      </c>
      <c r="I81">
        <f>IF(AND(MyRowHidden(ROW())=FALSE,MyRowHidden(ROW()-1)=TRUE),0,(E81-E80)*unitsOfDHp+I80)</f>
        <v>-5040</v>
      </c>
      <c r="J81">
        <f>IF(AND(MyRowHidden(ROW())=FALSE,MyRowHidden(ROW()-1)=TRUE),0,(G81-G80)*unitsOfExo+J80)</f>
        <v>-34740</v>
      </c>
      <c r="K81" s="9">
        <f t="shared" si="7"/>
        <v>34740</v>
      </c>
      <c r="L81">
        <f t="shared" si="8"/>
        <v>-55820.78125</v>
      </c>
      <c r="M81">
        <f>IF(AND(MyRowHidden(ROW())=FALSE,MyRowHidden(ROW()-1)=TRUE),0,(G81-G80)*unitsFuturesCompare+M80)</f>
        <v>-69480</v>
      </c>
      <c r="N81">
        <f>IF(MyRowHidden(ROW())=TRUE,0,L81-M81)</f>
        <v>13659.21875</v>
      </c>
      <c r="O81">
        <f>MAX(N$12:N81)</f>
        <v>32081.5625</v>
      </c>
      <c r="P81">
        <f>IF(O81&gt;O80,(O81-O80)*percentSavingsParticipation,0)</f>
        <v>0</v>
      </c>
      <c r="Q81">
        <f t="shared" si="9"/>
        <v>16040.78125</v>
      </c>
      <c r="R81">
        <f t="shared" si="10"/>
        <v>-39780</v>
      </c>
    </row>
    <row r="82" spans="1:18" x14ac:dyDescent="0.25">
      <c r="A82" s="1"/>
      <c r="C82" s="1"/>
      <c r="D82" s="1">
        <v>41373</v>
      </c>
      <c r="E82" s="10">
        <v>29421</v>
      </c>
      <c r="F82" s="1">
        <v>41373</v>
      </c>
      <c r="G82">
        <v>1702</v>
      </c>
      <c r="H82" s="1">
        <f t="shared" si="6"/>
        <v>41373</v>
      </c>
      <c r="I82">
        <f>IF(AND(MyRowHidden(ROW())=FALSE,MyRowHidden(ROW()-1)=TRUE),0,(E82-E81)*unitsOfDHp+I81)</f>
        <v>3960</v>
      </c>
      <c r="J82">
        <f>IF(AND(MyRowHidden(ROW())=FALSE,MyRowHidden(ROW()-1)=TRUE),0,(G82-G81)*unitsOfExo+J81)</f>
        <v>-29365</v>
      </c>
      <c r="K82" s="9">
        <f t="shared" si="7"/>
        <v>29365</v>
      </c>
      <c r="L82">
        <f t="shared" si="8"/>
        <v>-41445.78125</v>
      </c>
      <c r="M82">
        <f>IF(AND(MyRowHidden(ROW())=FALSE,MyRowHidden(ROW()-1)=TRUE),0,(G82-G81)*unitsFuturesCompare+M81)</f>
        <v>-58730</v>
      </c>
      <c r="N82">
        <f>IF(MyRowHidden(ROW())=TRUE,0,L82-M82)</f>
        <v>17284.21875</v>
      </c>
      <c r="O82">
        <f>MAX(N$12:N82)</f>
        <v>32081.5625</v>
      </c>
      <c r="P82">
        <f>IF(O82&gt;O81,(O82-O81)*percentSavingsParticipation,0)</f>
        <v>0</v>
      </c>
      <c r="Q82">
        <f t="shared" si="9"/>
        <v>16040.78125</v>
      </c>
      <c r="R82">
        <f t="shared" si="10"/>
        <v>-25405</v>
      </c>
    </row>
    <row r="83" spans="1:18" x14ac:dyDescent="0.25">
      <c r="A83" s="1"/>
      <c r="C83" s="1"/>
      <c r="D83" s="1">
        <v>41374</v>
      </c>
      <c r="E83" s="10">
        <v>29558.5</v>
      </c>
      <c r="F83" s="1">
        <v>41374</v>
      </c>
      <c r="G83">
        <v>1789.5</v>
      </c>
      <c r="H83" s="1">
        <f t="shared" si="6"/>
        <v>41374</v>
      </c>
      <c r="I83">
        <f>IF(AND(MyRowHidden(ROW())=FALSE,MyRowHidden(ROW()-1)=TRUE),0,(E83-E82)*unitsOfDHp+I82)</f>
        <v>5335</v>
      </c>
      <c r="J83">
        <f>IF(AND(MyRowHidden(ROW())=FALSE,MyRowHidden(ROW()-1)=TRUE),0,(G83-G82)*unitsOfExo+J82)</f>
        <v>-28490</v>
      </c>
      <c r="K83" s="9">
        <f t="shared" si="7"/>
        <v>28490</v>
      </c>
      <c r="L83">
        <f t="shared" si="8"/>
        <v>-39195.78125</v>
      </c>
      <c r="M83">
        <f>IF(AND(MyRowHidden(ROW())=FALSE,MyRowHidden(ROW()-1)=TRUE),0,(G83-G82)*unitsFuturesCompare+M82)</f>
        <v>-56980</v>
      </c>
      <c r="N83">
        <f>IF(MyRowHidden(ROW())=TRUE,0,L83-M83)</f>
        <v>17784.21875</v>
      </c>
      <c r="O83">
        <f>MAX(N$12:N83)</f>
        <v>32081.5625</v>
      </c>
      <c r="P83">
        <f>IF(O83&gt;O82,(O83-O82)*percentSavingsParticipation,0)</f>
        <v>0</v>
      </c>
      <c r="Q83">
        <f t="shared" si="9"/>
        <v>16040.78125</v>
      </c>
      <c r="R83">
        <f t="shared" si="10"/>
        <v>-23155</v>
      </c>
    </row>
    <row r="84" spans="1:18" x14ac:dyDescent="0.25">
      <c r="A84" s="1"/>
      <c r="C84" s="1"/>
      <c r="D84" s="1">
        <v>41375</v>
      </c>
      <c r="E84" s="10">
        <v>30137.5</v>
      </c>
      <c r="F84" s="1">
        <v>41375</v>
      </c>
      <c r="G84">
        <v>2189.5</v>
      </c>
      <c r="H84" s="1">
        <f t="shared" si="6"/>
        <v>41375</v>
      </c>
      <c r="I84">
        <f>IF(AND(MyRowHidden(ROW())=FALSE,MyRowHidden(ROW()-1)=TRUE),0,(E84-E83)*unitsOfDHp+I83)</f>
        <v>11125</v>
      </c>
      <c r="J84">
        <f>IF(AND(MyRowHidden(ROW())=FALSE,MyRowHidden(ROW()-1)=TRUE),0,(G84-G83)*unitsOfExo+J83)</f>
        <v>-24490</v>
      </c>
      <c r="K84" s="9">
        <f t="shared" si="7"/>
        <v>24490</v>
      </c>
      <c r="L84">
        <f t="shared" si="8"/>
        <v>-29405.78125</v>
      </c>
      <c r="M84">
        <f>IF(AND(MyRowHidden(ROW())=FALSE,MyRowHidden(ROW()-1)=TRUE),0,(G84-G83)*unitsFuturesCompare+M83)</f>
        <v>-48980</v>
      </c>
      <c r="N84">
        <f>IF(MyRowHidden(ROW())=TRUE,0,L84-M84)</f>
        <v>19574.21875</v>
      </c>
      <c r="O84">
        <f>MAX(N$12:N84)</f>
        <v>32081.5625</v>
      </c>
      <c r="P84">
        <f>IF(O84&gt;O83,(O84-O83)*percentSavingsParticipation,0)</f>
        <v>0</v>
      </c>
      <c r="Q84">
        <f t="shared" si="9"/>
        <v>16040.78125</v>
      </c>
      <c r="R84">
        <f t="shared" si="10"/>
        <v>-13365</v>
      </c>
    </row>
    <row r="85" spans="1:18" x14ac:dyDescent="0.25">
      <c r="A85" s="1"/>
      <c r="C85" s="1"/>
      <c r="D85" s="1">
        <v>41376</v>
      </c>
      <c r="E85" s="10">
        <v>30775</v>
      </c>
      <c r="F85" s="1">
        <v>41376</v>
      </c>
      <c r="G85">
        <v>2352</v>
      </c>
      <c r="H85" s="1">
        <f t="shared" si="6"/>
        <v>41376</v>
      </c>
      <c r="I85">
        <f>IF(AND(MyRowHidden(ROW())=FALSE,MyRowHidden(ROW()-1)=TRUE),0,(E85-E84)*unitsOfDHp+I84)</f>
        <v>17500</v>
      </c>
      <c r="J85">
        <f>IF(AND(MyRowHidden(ROW())=FALSE,MyRowHidden(ROW()-1)=TRUE),0,(G85-G84)*unitsOfExo+J84)</f>
        <v>-22865</v>
      </c>
      <c r="K85" s="9">
        <f t="shared" si="7"/>
        <v>22865</v>
      </c>
      <c r="L85">
        <f t="shared" si="8"/>
        <v>-21405.78125</v>
      </c>
      <c r="M85">
        <f>IF(AND(MyRowHidden(ROW())=FALSE,MyRowHidden(ROW()-1)=TRUE),0,(G85-G84)*unitsFuturesCompare+M84)</f>
        <v>-45730</v>
      </c>
      <c r="N85">
        <f>IF(MyRowHidden(ROW())=TRUE,0,L85-M85)</f>
        <v>24324.21875</v>
      </c>
      <c r="O85">
        <f>MAX(N$12:N85)</f>
        <v>32081.5625</v>
      </c>
      <c r="P85">
        <f>IF(O85&gt;O84,(O85-O84)*percentSavingsParticipation,0)</f>
        <v>0</v>
      </c>
      <c r="Q85">
        <f t="shared" si="9"/>
        <v>16040.78125</v>
      </c>
      <c r="R85">
        <f t="shared" si="10"/>
        <v>-5365</v>
      </c>
    </row>
    <row r="86" spans="1:18" x14ac:dyDescent="0.25">
      <c r="A86" s="1"/>
      <c r="C86" s="1"/>
      <c r="D86" s="1">
        <v>41379</v>
      </c>
      <c r="E86" s="10">
        <v>29553</v>
      </c>
      <c r="F86" s="1">
        <v>41379</v>
      </c>
      <c r="G86">
        <v>1977</v>
      </c>
      <c r="H86" s="1">
        <f t="shared" si="6"/>
        <v>41379</v>
      </c>
      <c r="I86">
        <f>IF(AND(MyRowHidden(ROW())=FALSE,MyRowHidden(ROW()-1)=TRUE),0,(E86-E85)*unitsOfDHp+I85)</f>
        <v>5280</v>
      </c>
      <c r="J86">
        <f>IF(AND(MyRowHidden(ROW())=FALSE,MyRowHidden(ROW()-1)=TRUE),0,(G86-G85)*unitsOfExo+J85)</f>
        <v>-26615</v>
      </c>
      <c r="K86" s="9">
        <f t="shared" si="7"/>
        <v>26615</v>
      </c>
      <c r="L86">
        <f t="shared" si="8"/>
        <v>-37375.78125</v>
      </c>
      <c r="M86">
        <f>IF(AND(MyRowHidden(ROW())=FALSE,MyRowHidden(ROW()-1)=TRUE),0,(G86-G85)*unitsFuturesCompare+M85)</f>
        <v>-53230</v>
      </c>
      <c r="N86">
        <f>IF(MyRowHidden(ROW())=TRUE,0,L86-M86)</f>
        <v>15854.21875</v>
      </c>
      <c r="O86">
        <f>MAX(N$12:N86)</f>
        <v>32081.5625</v>
      </c>
      <c r="P86">
        <f>IF(O86&gt;O85,(O86-O85)*percentSavingsParticipation,0)</f>
        <v>0</v>
      </c>
      <c r="Q86">
        <f t="shared" si="9"/>
        <v>16040.78125</v>
      </c>
      <c r="R86">
        <f t="shared" si="10"/>
        <v>-21335</v>
      </c>
    </row>
    <row r="87" spans="1:18" x14ac:dyDescent="0.25">
      <c r="A87" s="1"/>
      <c r="C87" s="1"/>
      <c r="D87" s="1">
        <v>41380</v>
      </c>
      <c r="E87" s="10">
        <v>30728</v>
      </c>
      <c r="F87" s="1">
        <v>41380</v>
      </c>
      <c r="G87">
        <v>2539.5</v>
      </c>
      <c r="H87" s="1">
        <f t="shared" si="6"/>
        <v>41380</v>
      </c>
      <c r="I87">
        <f>IF(AND(MyRowHidden(ROW())=FALSE,MyRowHidden(ROW()-1)=TRUE),0,(E87-E86)*unitsOfDHp+I86)</f>
        <v>17030</v>
      </c>
      <c r="J87">
        <f>IF(AND(MyRowHidden(ROW())=FALSE,MyRowHidden(ROW()-1)=TRUE),0,(G87-G86)*unitsOfExo+J86)</f>
        <v>-20990</v>
      </c>
      <c r="K87" s="9">
        <f t="shared" si="7"/>
        <v>20990</v>
      </c>
      <c r="L87">
        <f t="shared" si="8"/>
        <v>-20000.78125</v>
      </c>
      <c r="M87">
        <f>IF(AND(MyRowHidden(ROW())=FALSE,MyRowHidden(ROW()-1)=TRUE),0,(G87-G86)*unitsFuturesCompare+M86)</f>
        <v>-41980</v>
      </c>
      <c r="N87">
        <f>IF(MyRowHidden(ROW())=TRUE,0,L87-M87)</f>
        <v>21979.21875</v>
      </c>
      <c r="O87">
        <f>MAX(N$12:N87)</f>
        <v>32081.5625</v>
      </c>
      <c r="P87">
        <f>IF(O87&gt;O86,(O87-O86)*percentSavingsParticipation,0)</f>
        <v>0</v>
      </c>
      <c r="Q87">
        <f t="shared" si="9"/>
        <v>16040.78125</v>
      </c>
      <c r="R87">
        <f t="shared" si="10"/>
        <v>-3960</v>
      </c>
    </row>
    <row r="88" spans="1:18" x14ac:dyDescent="0.25">
      <c r="A88" s="1"/>
      <c r="C88" s="1"/>
      <c r="D88" s="1">
        <v>41381</v>
      </c>
      <c r="E88" s="10">
        <v>30790.5</v>
      </c>
      <c r="F88" s="1">
        <v>41381</v>
      </c>
      <c r="G88">
        <v>2502</v>
      </c>
      <c r="H88" s="1">
        <f t="shared" si="6"/>
        <v>41381</v>
      </c>
      <c r="I88">
        <f>IF(AND(MyRowHidden(ROW())=FALSE,MyRowHidden(ROW()-1)=TRUE),0,(E88-E87)*unitsOfDHp+I87)</f>
        <v>17655</v>
      </c>
      <c r="J88">
        <f>IF(AND(MyRowHidden(ROW())=FALSE,MyRowHidden(ROW()-1)=TRUE),0,(G88-G87)*unitsOfExo+J87)</f>
        <v>-21365</v>
      </c>
      <c r="K88" s="9">
        <f t="shared" si="7"/>
        <v>21365</v>
      </c>
      <c r="L88">
        <f t="shared" si="8"/>
        <v>-19750.78125</v>
      </c>
      <c r="M88">
        <f>IF(AND(MyRowHidden(ROW())=FALSE,MyRowHidden(ROW()-1)=TRUE),0,(G88-G87)*unitsFuturesCompare+M87)</f>
        <v>-42730</v>
      </c>
      <c r="N88">
        <f>IF(MyRowHidden(ROW())=TRUE,0,L88-M88)</f>
        <v>22979.21875</v>
      </c>
      <c r="O88">
        <f>MAX(N$12:N88)</f>
        <v>32081.5625</v>
      </c>
      <c r="P88">
        <f>IF(O88&gt;O87,(O88-O87)*percentSavingsParticipation,0)</f>
        <v>0</v>
      </c>
      <c r="Q88">
        <f t="shared" si="9"/>
        <v>16040.78125</v>
      </c>
      <c r="R88">
        <f t="shared" si="10"/>
        <v>-3710</v>
      </c>
    </row>
    <row r="89" spans="1:18" x14ac:dyDescent="0.25">
      <c r="A89" s="1"/>
      <c r="C89" s="1"/>
      <c r="D89" s="1">
        <v>41382</v>
      </c>
      <c r="E89" s="10">
        <v>29178</v>
      </c>
      <c r="F89" s="1">
        <v>41382</v>
      </c>
      <c r="G89">
        <v>1827</v>
      </c>
      <c r="H89" s="1">
        <f t="shared" si="6"/>
        <v>41382</v>
      </c>
      <c r="I89">
        <f>IF(AND(MyRowHidden(ROW())=FALSE,MyRowHidden(ROW()-1)=TRUE),0,(E89-E88)*unitsOfDHp+I88)</f>
        <v>1530</v>
      </c>
      <c r="J89">
        <f>IF(AND(MyRowHidden(ROW())=FALSE,MyRowHidden(ROW()-1)=TRUE),0,(G89-G88)*unitsOfExo+J88)</f>
        <v>-28115</v>
      </c>
      <c r="K89" s="9">
        <f t="shared" si="7"/>
        <v>28115</v>
      </c>
      <c r="L89">
        <f t="shared" si="8"/>
        <v>-42625.78125</v>
      </c>
      <c r="M89">
        <f>IF(AND(MyRowHidden(ROW())=FALSE,MyRowHidden(ROW()-1)=TRUE),0,(G89-G88)*unitsFuturesCompare+M88)</f>
        <v>-56230</v>
      </c>
      <c r="N89">
        <f>IF(MyRowHidden(ROW())=TRUE,0,L89-M89)</f>
        <v>13604.21875</v>
      </c>
      <c r="O89">
        <f>MAX(N$12:N89)</f>
        <v>32081.5625</v>
      </c>
      <c r="P89">
        <f>IF(O89&gt;O88,(O89-O88)*percentSavingsParticipation,0)</f>
        <v>0</v>
      </c>
      <c r="Q89">
        <f t="shared" si="9"/>
        <v>16040.78125</v>
      </c>
      <c r="R89">
        <f t="shared" si="10"/>
        <v>-26585</v>
      </c>
    </row>
    <row r="90" spans="1:18" x14ac:dyDescent="0.25">
      <c r="A90" s="1"/>
      <c r="C90" s="1"/>
      <c r="D90" s="1">
        <v>41383</v>
      </c>
      <c r="E90" s="10">
        <v>29567</v>
      </c>
      <c r="F90" s="1">
        <v>41383</v>
      </c>
      <c r="G90">
        <v>2039.5</v>
      </c>
      <c r="H90" s="1">
        <f t="shared" si="6"/>
        <v>41383</v>
      </c>
      <c r="I90">
        <f>IF(AND(MyRowHidden(ROW())=FALSE,MyRowHidden(ROW()-1)=TRUE),0,(E90-E89)*unitsOfDHp+I89)</f>
        <v>5420</v>
      </c>
      <c r="J90">
        <f>IF(AND(MyRowHidden(ROW())=FALSE,MyRowHidden(ROW()-1)=TRUE),0,(G90-G89)*unitsOfExo+J89)</f>
        <v>-25990</v>
      </c>
      <c r="K90" s="9">
        <f t="shared" si="7"/>
        <v>25990</v>
      </c>
      <c r="L90">
        <f t="shared" si="8"/>
        <v>-36610.78125</v>
      </c>
      <c r="M90">
        <f>IF(AND(MyRowHidden(ROW())=FALSE,MyRowHidden(ROW()-1)=TRUE),0,(G90-G89)*unitsFuturesCompare+M89)</f>
        <v>-51980</v>
      </c>
      <c r="N90">
        <f>IF(MyRowHidden(ROW())=TRUE,0,L90-M90)</f>
        <v>15369.21875</v>
      </c>
      <c r="O90">
        <f>MAX(N$12:N90)</f>
        <v>32081.5625</v>
      </c>
      <c r="P90">
        <f>IF(O90&gt;O89,(O90-O89)*percentSavingsParticipation,0)</f>
        <v>0</v>
      </c>
      <c r="Q90">
        <f t="shared" si="9"/>
        <v>16040.78125</v>
      </c>
      <c r="R90">
        <f t="shared" si="10"/>
        <v>-20570</v>
      </c>
    </row>
    <row r="91" spans="1:18" x14ac:dyDescent="0.25">
      <c r="A91" s="1"/>
      <c r="C91" s="1"/>
      <c r="D91" s="1">
        <v>41386</v>
      </c>
      <c r="E91" s="10">
        <v>29054.5</v>
      </c>
      <c r="F91" s="1">
        <v>41386</v>
      </c>
      <c r="G91">
        <v>1789.5</v>
      </c>
      <c r="H91" s="1">
        <f t="shared" si="6"/>
        <v>41386</v>
      </c>
      <c r="I91">
        <f>IF(AND(MyRowHidden(ROW())=FALSE,MyRowHidden(ROW()-1)=TRUE),0,(E91-E90)*unitsOfDHp+I90)</f>
        <v>295</v>
      </c>
      <c r="J91">
        <f>IF(AND(MyRowHidden(ROW())=FALSE,MyRowHidden(ROW()-1)=TRUE),0,(G91-G90)*unitsOfExo+J90)</f>
        <v>-28490</v>
      </c>
      <c r="K91" s="9">
        <f t="shared" si="7"/>
        <v>28490</v>
      </c>
      <c r="L91">
        <f t="shared" si="8"/>
        <v>-44235.78125</v>
      </c>
      <c r="M91">
        <f>IF(AND(MyRowHidden(ROW())=FALSE,MyRowHidden(ROW()-1)=TRUE),0,(G91-G90)*unitsFuturesCompare+M90)</f>
        <v>-56980</v>
      </c>
      <c r="N91">
        <f>IF(MyRowHidden(ROW())=TRUE,0,L91-M91)</f>
        <v>12744.21875</v>
      </c>
      <c r="O91">
        <f>MAX(N$12:N91)</f>
        <v>32081.5625</v>
      </c>
      <c r="P91">
        <f>IF(O91&gt;O90,(O91-O90)*percentSavingsParticipation,0)</f>
        <v>0</v>
      </c>
      <c r="Q91">
        <f t="shared" si="9"/>
        <v>16040.78125</v>
      </c>
      <c r="R91">
        <f t="shared" si="10"/>
        <v>-28195</v>
      </c>
    </row>
    <row r="92" spans="1:18" x14ac:dyDescent="0.25">
      <c r="A92" s="1"/>
      <c r="C92" s="1"/>
      <c r="D92" s="1">
        <v>41387</v>
      </c>
      <c r="E92" s="10">
        <v>28430.5</v>
      </c>
      <c r="F92" s="1">
        <v>41387</v>
      </c>
      <c r="G92">
        <v>1552</v>
      </c>
      <c r="H92" s="1">
        <f t="shared" si="6"/>
        <v>41387</v>
      </c>
      <c r="I92">
        <f>IF(AND(MyRowHidden(ROW())=FALSE,MyRowHidden(ROW()-1)=TRUE),0,(E92-E91)*unitsOfDHp+I91)</f>
        <v>-5945</v>
      </c>
      <c r="J92">
        <f>IF(AND(MyRowHidden(ROW())=FALSE,MyRowHidden(ROW()-1)=TRUE),0,(G92-G91)*unitsOfExo+J91)</f>
        <v>-30865</v>
      </c>
      <c r="K92" s="9">
        <f t="shared" si="7"/>
        <v>30865</v>
      </c>
      <c r="L92">
        <f t="shared" si="8"/>
        <v>-52850.78125</v>
      </c>
      <c r="M92">
        <f>IF(AND(MyRowHidden(ROW())=FALSE,MyRowHidden(ROW()-1)=TRUE),0,(G92-G91)*unitsFuturesCompare+M91)</f>
        <v>-61730</v>
      </c>
      <c r="N92">
        <f>IF(MyRowHidden(ROW())=TRUE,0,L92-M92)</f>
        <v>8879.21875</v>
      </c>
      <c r="O92">
        <f>MAX(N$12:N92)</f>
        <v>32081.5625</v>
      </c>
      <c r="P92">
        <f>IF(O92&gt;O91,(O92-O91)*percentSavingsParticipation,0)</f>
        <v>0</v>
      </c>
      <c r="Q92">
        <f t="shared" si="9"/>
        <v>16040.78125</v>
      </c>
      <c r="R92">
        <f t="shared" si="10"/>
        <v>-36810</v>
      </c>
    </row>
    <row r="93" spans="1:18" x14ac:dyDescent="0.25">
      <c r="A93" s="1"/>
      <c r="C93" s="1"/>
      <c r="D93" s="1">
        <v>41388</v>
      </c>
      <c r="E93" s="10">
        <v>28070</v>
      </c>
      <c r="F93" s="1">
        <v>41388</v>
      </c>
      <c r="G93">
        <v>1414.5</v>
      </c>
      <c r="H93" s="1">
        <f t="shared" si="6"/>
        <v>41388</v>
      </c>
      <c r="I93">
        <f>IF(AND(MyRowHidden(ROW())=FALSE,MyRowHidden(ROW()-1)=TRUE),0,(E93-E92)*unitsOfDHp+I92)</f>
        <v>-9550</v>
      </c>
      <c r="J93">
        <f>IF(AND(MyRowHidden(ROW())=FALSE,MyRowHidden(ROW()-1)=TRUE),0,(G93-G92)*unitsOfExo+J92)</f>
        <v>-32240</v>
      </c>
      <c r="K93" s="9">
        <f t="shared" si="7"/>
        <v>32240</v>
      </c>
      <c r="L93">
        <f t="shared" si="8"/>
        <v>-57830.78125</v>
      </c>
      <c r="M93">
        <f>IF(AND(MyRowHidden(ROW())=FALSE,MyRowHidden(ROW()-1)=TRUE),0,(G93-G92)*unitsFuturesCompare+M92)</f>
        <v>-64480</v>
      </c>
      <c r="N93">
        <f>IF(MyRowHidden(ROW())=TRUE,0,L93-M93)</f>
        <v>6649.21875</v>
      </c>
      <c r="O93">
        <f>MAX(N$12:N93)</f>
        <v>32081.5625</v>
      </c>
      <c r="P93">
        <f>IF(O93&gt;O92,(O93-O92)*percentSavingsParticipation,0)</f>
        <v>0</v>
      </c>
      <c r="Q93">
        <f t="shared" si="9"/>
        <v>16040.78125</v>
      </c>
      <c r="R93">
        <f t="shared" si="10"/>
        <v>-41790</v>
      </c>
    </row>
    <row r="94" spans="1:18" x14ac:dyDescent="0.25">
      <c r="A94" s="1"/>
      <c r="C94" s="1"/>
      <c r="D94" s="1">
        <v>41389</v>
      </c>
      <c r="E94" s="10">
        <v>28517.75</v>
      </c>
      <c r="F94" s="1">
        <v>41389</v>
      </c>
      <c r="G94">
        <v>1727</v>
      </c>
      <c r="H94" s="1">
        <f t="shared" si="6"/>
        <v>41389</v>
      </c>
      <c r="I94">
        <f>IF(AND(MyRowHidden(ROW())=FALSE,MyRowHidden(ROW()-1)=TRUE),0,(E94-E93)*unitsOfDHp+I93)</f>
        <v>-5072.5</v>
      </c>
      <c r="J94">
        <f>IF(AND(MyRowHidden(ROW())=FALSE,MyRowHidden(ROW()-1)=TRUE),0,(G94-G93)*unitsOfExo+J93)</f>
        <v>-29115</v>
      </c>
      <c r="K94" s="9">
        <f t="shared" si="7"/>
        <v>29115</v>
      </c>
      <c r="L94">
        <f t="shared" si="8"/>
        <v>-50228.28125</v>
      </c>
      <c r="M94">
        <f>IF(AND(MyRowHidden(ROW())=FALSE,MyRowHidden(ROW()-1)=TRUE),0,(G94-G93)*unitsFuturesCompare+M93)</f>
        <v>-58230</v>
      </c>
      <c r="N94">
        <f>IF(MyRowHidden(ROW())=TRUE,0,L94-M94)</f>
        <v>8001.71875</v>
      </c>
      <c r="O94">
        <f>MAX(N$12:N94)</f>
        <v>32081.5625</v>
      </c>
      <c r="P94">
        <f>IF(O94&gt;O93,(O94-O93)*percentSavingsParticipation,0)</f>
        <v>0</v>
      </c>
      <c r="Q94">
        <f t="shared" si="9"/>
        <v>16040.78125</v>
      </c>
      <c r="R94">
        <f t="shared" si="10"/>
        <v>-34187.5</v>
      </c>
    </row>
    <row r="95" spans="1:18" x14ac:dyDescent="0.25">
      <c r="A95" s="1"/>
      <c r="C95" s="1"/>
      <c r="D95" s="1">
        <v>41390</v>
      </c>
      <c r="E95" s="10">
        <v>28680.25</v>
      </c>
      <c r="F95" s="1">
        <v>41390</v>
      </c>
      <c r="G95">
        <v>1552</v>
      </c>
      <c r="H95" s="1">
        <f t="shared" si="6"/>
        <v>41390</v>
      </c>
      <c r="I95">
        <f>IF(AND(MyRowHidden(ROW())=FALSE,MyRowHidden(ROW()-1)=TRUE),0,(E95-E94)*unitsOfDHp+I94)</f>
        <v>-3447.5</v>
      </c>
      <c r="J95">
        <f>IF(AND(MyRowHidden(ROW())=FALSE,MyRowHidden(ROW()-1)=TRUE),0,(G95-G94)*unitsOfExo+J94)</f>
        <v>-30865</v>
      </c>
      <c r="K95" s="9">
        <f t="shared" si="7"/>
        <v>30865</v>
      </c>
      <c r="L95">
        <f t="shared" si="8"/>
        <v>-50353.28125</v>
      </c>
      <c r="M95">
        <f>IF(AND(MyRowHidden(ROW())=FALSE,MyRowHidden(ROW()-1)=TRUE),0,(G95-G94)*unitsFuturesCompare+M94)</f>
        <v>-61730</v>
      </c>
      <c r="N95">
        <f>IF(MyRowHidden(ROW())=TRUE,0,L95-M95)</f>
        <v>11376.71875</v>
      </c>
      <c r="O95">
        <f>MAX(N$12:N95)</f>
        <v>32081.5625</v>
      </c>
      <c r="P95">
        <f>IF(O95&gt;O94,(O95-O94)*percentSavingsParticipation,0)</f>
        <v>0</v>
      </c>
      <c r="Q95">
        <f t="shared" si="9"/>
        <v>16040.78125</v>
      </c>
      <c r="R95">
        <f t="shared" si="10"/>
        <v>-34312.5</v>
      </c>
    </row>
    <row r="96" spans="1:18" x14ac:dyDescent="0.25">
      <c r="A96" s="1"/>
      <c r="C96" s="1"/>
      <c r="D96" s="1">
        <v>41393</v>
      </c>
      <c r="E96" s="10">
        <v>27503.75</v>
      </c>
      <c r="F96" s="1">
        <v>41393</v>
      </c>
      <c r="G96">
        <v>3502</v>
      </c>
      <c r="H96" s="1">
        <f t="shared" si="6"/>
        <v>41393</v>
      </c>
      <c r="I96">
        <f>IF(AND(MyRowHidden(ROW())=FALSE,MyRowHidden(ROW()-1)=TRUE),0,(E96-E95)*unitsOfDHp+I95)</f>
        <v>-15212.5</v>
      </c>
      <c r="J96">
        <f>IF(AND(MyRowHidden(ROW())=FALSE,MyRowHidden(ROW()-1)=TRUE),0,(G96-G95)*unitsOfExo+J95)</f>
        <v>-11365</v>
      </c>
      <c r="K96" s="9">
        <f t="shared" si="7"/>
        <v>11365</v>
      </c>
      <c r="L96">
        <f t="shared" si="8"/>
        <v>-42618.28125</v>
      </c>
      <c r="M96">
        <f>IF(AND(MyRowHidden(ROW())=FALSE,MyRowHidden(ROW()-1)=TRUE),0,(G96-G95)*unitsFuturesCompare+M95)</f>
        <v>-22730</v>
      </c>
      <c r="N96">
        <f>IF(MyRowHidden(ROW())=TRUE,0,L96-M96)</f>
        <v>-19888.28125</v>
      </c>
      <c r="O96">
        <f>MAX(N$12:N96)</f>
        <v>32081.5625</v>
      </c>
      <c r="P96">
        <f>IF(O96&gt;O95,(O96-O95)*percentSavingsParticipation,0)</f>
        <v>0</v>
      </c>
      <c r="Q96">
        <f t="shared" si="9"/>
        <v>16040.78125</v>
      </c>
      <c r="R96">
        <f t="shared" si="10"/>
        <v>-26577.5</v>
      </c>
    </row>
    <row r="97" spans="1:18" x14ac:dyDescent="0.25">
      <c r="A97" s="1"/>
      <c r="C97" s="1"/>
      <c r="D97" s="1">
        <v>41394</v>
      </c>
      <c r="E97" s="10">
        <v>27828.75</v>
      </c>
      <c r="F97" s="1">
        <v>41394</v>
      </c>
      <c r="G97">
        <v>3252</v>
      </c>
      <c r="H97" s="1">
        <f t="shared" si="6"/>
        <v>41394</v>
      </c>
      <c r="I97">
        <f>IF(AND(MyRowHidden(ROW())=FALSE,MyRowHidden(ROW()-1)=TRUE),0,(E97-E96)*unitsOfDHp+I96)</f>
        <v>-11962.5</v>
      </c>
      <c r="J97">
        <f>IF(AND(MyRowHidden(ROW())=FALSE,MyRowHidden(ROW()-1)=TRUE),0,(G97-G96)*unitsOfExo+J96)</f>
        <v>-13865</v>
      </c>
      <c r="K97" s="9">
        <f t="shared" si="7"/>
        <v>13865</v>
      </c>
      <c r="L97">
        <f t="shared" si="8"/>
        <v>-41868.28125</v>
      </c>
      <c r="M97">
        <f>IF(AND(MyRowHidden(ROW())=FALSE,MyRowHidden(ROW()-1)=TRUE),0,(G97-G96)*unitsFuturesCompare+M96)</f>
        <v>-27730</v>
      </c>
      <c r="N97">
        <f>IF(MyRowHidden(ROW())=TRUE,0,L97-M97)</f>
        <v>-14138.28125</v>
      </c>
      <c r="O97">
        <f>MAX(N$12:N97)</f>
        <v>32081.5625</v>
      </c>
      <c r="P97">
        <f>IF(O97&gt;O96,(O97-O96)*percentSavingsParticipation,0)</f>
        <v>0</v>
      </c>
      <c r="Q97">
        <f t="shared" si="9"/>
        <v>16040.78125</v>
      </c>
      <c r="R97">
        <f t="shared" si="10"/>
        <v>-25827.5</v>
      </c>
    </row>
    <row r="98" spans="1:18" x14ac:dyDescent="0.25">
      <c r="A98" s="1"/>
      <c r="C98" s="1"/>
      <c r="D98" s="1">
        <v>41395</v>
      </c>
      <c r="E98" s="10">
        <v>28292.75</v>
      </c>
      <c r="F98" s="1">
        <v>41395</v>
      </c>
      <c r="G98">
        <v>2990</v>
      </c>
      <c r="H98" s="1">
        <f t="shared" si="6"/>
        <v>41395</v>
      </c>
      <c r="I98">
        <f>IF(AND(MyRowHidden(ROW())=FALSE,MyRowHidden(ROW()-1)=TRUE),0,(E98-E97)*unitsOfDHp+I97)</f>
        <v>-7322.5</v>
      </c>
      <c r="J98">
        <f>IF(AND(MyRowHidden(ROW())=FALSE,MyRowHidden(ROW()-1)=TRUE),0,(G98-G97)*unitsOfExo+J97)</f>
        <v>-16485</v>
      </c>
      <c r="K98" s="9">
        <f t="shared" si="7"/>
        <v>16485</v>
      </c>
      <c r="L98">
        <f t="shared" si="8"/>
        <v>-39848.28125</v>
      </c>
      <c r="M98">
        <f>IF(AND(MyRowHidden(ROW())=FALSE,MyRowHidden(ROW()-1)=TRUE),0,(G98-G97)*unitsFuturesCompare+M97)</f>
        <v>-32970</v>
      </c>
      <c r="N98">
        <f>IF(MyRowHidden(ROW())=TRUE,0,L98-M98)</f>
        <v>-6878.28125</v>
      </c>
      <c r="O98">
        <f>MAX(N$12:N98)</f>
        <v>32081.5625</v>
      </c>
      <c r="P98">
        <f>IF(O98&gt;O97,(O98-O97)*percentSavingsParticipation,0)</f>
        <v>0</v>
      </c>
      <c r="Q98">
        <f t="shared" si="9"/>
        <v>16040.78125</v>
      </c>
      <c r="R98">
        <f t="shared" si="10"/>
        <v>-23807.5</v>
      </c>
    </row>
    <row r="99" spans="1:18" x14ac:dyDescent="0.25">
      <c r="A99" s="1"/>
      <c r="C99" s="1"/>
      <c r="D99" s="1">
        <v>41396</v>
      </c>
      <c r="E99" s="10">
        <v>26832.25</v>
      </c>
      <c r="F99" s="1">
        <v>41396</v>
      </c>
      <c r="G99">
        <v>3552.5</v>
      </c>
      <c r="H99" s="1">
        <f t="shared" si="6"/>
        <v>41396</v>
      </c>
      <c r="I99">
        <f>IF(AND(MyRowHidden(ROW())=FALSE,MyRowHidden(ROW()-1)=TRUE),0,(E99-E98)*unitsOfDHp+I98)</f>
        <v>-21927.5</v>
      </c>
      <c r="J99">
        <f>IF(AND(MyRowHidden(ROW())=FALSE,MyRowHidden(ROW()-1)=TRUE),0,(G99-G98)*unitsOfExo+J98)</f>
        <v>-10860</v>
      </c>
      <c r="K99" s="9">
        <f t="shared" si="7"/>
        <v>10860</v>
      </c>
      <c r="L99">
        <f t="shared" si="8"/>
        <v>-48828.28125</v>
      </c>
      <c r="M99">
        <f>IF(AND(MyRowHidden(ROW())=FALSE,MyRowHidden(ROW()-1)=TRUE),0,(G99-G98)*unitsFuturesCompare+M98)</f>
        <v>-21720</v>
      </c>
      <c r="N99">
        <f>IF(MyRowHidden(ROW())=TRUE,0,L99-M99)</f>
        <v>-27108.28125</v>
      </c>
      <c r="O99">
        <f>MAX(N$12:N99)</f>
        <v>32081.5625</v>
      </c>
      <c r="P99">
        <f>IF(O99&gt;O98,(O99-O98)*percentSavingsParticipation,0)</f>
        <v>0</v>
      </c>
      <c r="Q99">
        <f t="shared" si="9"/>
        <v>16040.78125</v>
      </c>
      <c r="R99">
        <f t="shared" si="10"/>
        <v>-32787.5</v>
      </c>
    </row>
    <row r="100" spans="1:18" x14ac:dyDescent="0.25">
      <c r="A100" s="1"/>
      <c r="C100" s="1"/>
      <c r="D100" s="1">
        <v>41397</v>
      </c>
      <c r="E100" s="10">
        <v>26561.75</v>
      </c>
      <c r="F100" s="1">
        <v>41397</v>
      </c>
      <c r="G100">
        <v>3602.5</v>
      </c>
      <c r="H100" s="1">
        <f t="shared" si="6"/>
        <v>41397</v>
      </c>
      <c r="I100">
        <f>IF(AND(MyRowHidden(ROW())=FALSE,MyRowHidden(ROW()-1)=TRUE),0,(E100-E99)*unitsOfDHp+I99)</f>
        <v>-24632.5</v>
      </c>
      <c r="J100">
        <f>IF(AND(MyRowHidden(ROW())=FALSE,MyRowHidden(ROW()-1)=TRUE),0,(G100-G99)*unitsOfExo+J99)</f>
        <v>-10360</v>
      </c>
      <c r="K100" s="9">
        <f t="shared" si="7"/>
        <v>10360</v>
      </c>
      <c r="L100">
        <f t="shared" si="8"/>
        <v>-51033.28125</v>
      </c>
      <c r="M100">
        <f>IF(AND(MyRowHidden(ROW())=FALSE,MyRowHidden(ROW()-1)=TRUE),0,(G100-G99)*unitsFuturesCompare+M99)</f>
        <v>-20720</v>
      </c>
      <c r="N100">
        <f>IF(MyRowHidden(ROW())=TRUE,0,L100-M100)</f>
        <v>-30313.28125</v>
      </c>
      <c r="O100">
        <f>MAX(N$12:N100)</f>
        <v>32081.5625</v>
      </c>
      <c r="P100">
        <f>IF(O100&gt;O99,(O100-O99)*percentSavingsParticipation,0)</f>
        <v>0</v>
      </c>
      <c r="Q100">
        <f t="shared" si="9"/>
        <v>16040.78125</v>
      </c>
      <c r="R100">
        <f t="shared" si="10"/>
        <v>-34992.5</v>
      </c>
    </row>
    <row r="101" spans="1:18" x14ac:dyDescent="0.25">
      <c r="A101" s="1"/>
      <c r="C101" s="1"/>
      <c r="D101" s="1">
        <v>41400</v>
      </c>
      <c r="E101" s="10">
        <v>28061.75</v>
      </c>
      <c r="F101" s="1">
        <v>41400</v>
      </c>
      <c r="G101">
        <v>2402.5</v>
      </c>
      <c r="H101" s="1">
        <f t="shared" si="6"/>
        <v>41400</v>
      </c>
      <c r="I101">
        <f>IF(AND(MyRowHidden(ROW())=FALSE,MyRowHidden(ROW()-1)=TRUE),0,(E101-E100)*unitsOfDHp+I100)</f>
        <v>-9632.5</v>
      </c>
      <c r="J101">
        <f>IF(AND(MyRowHidden(ROW())=FALSE,MyRowHidden(ROW()-1)=TRUE),0,(G101-G100)*unitsOfExo+J100)</f>
        <v>-22360</v>
      </c>
      <c r="K101" s="9">
        <f t="shared" si="7"/>
        <v>22360</v>
      </c>
      <c r="L101">
        <f t="shared" si="8"/>
        <v>-48033.28125</v>
      </c>
      <c r="M101">
        <f>IF(AND(MyRowHidden(ROW())=FALSE,MyRowHidden(ROW()-1)=TRUE),0,(G101-G100)*unitsFuturesCompare+M100)</f>
        <v>-44720</v>
      </c>
      <c r="N101">
        <f>IF(MyRowHidden(ROW())=TRUE,0,L101-M101)</f>
        <v>-3313.28125</v>
      </c>
      <c r="O101">
        <f>MAX(N$12:N101)</f>
        <v>32081.5625</v>
      </c>
      <c r="P101">
        <f>IF(O101&gt;O100,(O101-O100)*percentSavingsParticipation,0)</f>
        <v>0</v>
      </c>
      <c r="Q101">
        <f t="shared" si="9"/>
        <v>16040.78125</v>
      </c>
      <c r="R101">
        <f t="shared" si="10"/>
        <v>-31992.5</v>
      </c>
    </row>
    <row r="102" spans="1:18" x14ac:dyDescent="0.25">
      <c r="A102" s="1"/>
      <c r="C102" s="1"/>
      <c r="D102" s="1">
        <v>41401</v>
      </c>
      <c r="E102" s="10">
        <v>27949.25</v>
      </c>
      <c r="F102" s="1">
        <v>41401</v>
      </c>
      <c r="G102">
        <v>2690</v>
      </c>
      <c r="H102" s="1">
        <f t="shared" si="6"/>
        <v>41401</v>
      </c>
      <c r="I102">
        <f>IF(AND(MyRowHidden(ROW())=FALSE,MyRowHidden(ROW()-1)=TRUE),0,(E102-E101)*unitsOfDHp+I101)</f>
        <v>-10757.5</v>
      </c>
      <c r="J102">
        <f>IF(AND(MyRowHidden(ROW())=FALSE,MyRowHidden(ROW()-1)=TRUE),0,(G102-G101)*unitsOfExo+J101)</f>
        <v>-19485</v>
      </c>
      <c r="K102" s="9">
        <f t="shared" si="7"/>
        <v>19485</v>
      </c>
      <c r="L102">
        <f t="shared" si="8"/>
        <v>-46283.28125</v>
      </c>
      <c r="M102">
        <f>IF(AND(MyRowHidden(ROW())=FALSE,MyRowHidden(ROW()-1)=TRUE),0,(G102-G101)*unitsFuturesCompare+M101)</f>
        <v>-38970</v>
      </c>
      <c r="N102">
        <f>IF(MyRowHidden(ROW())=TRUE,0,L102-M102)</f>
        <v>-7313.28125</v>
      </c>
      <c r="O102">
        <f>MAX(N$12:N102)</f>
        <v>32081.5625</v>
      </c>
      <c r="P102">
        <f>IF(O102&gt;O101,(O102-O101)*percentSavingsParticipation,0)</f>
        <v>0</v>
      </c>
      <c r="Q102">
        <f t="shared" si="9"/>
        <v>16040.78125</v>
      </c>
      <c r="R102">
        <f t="shared" si="10"/>
        <v>-30242.5</v>
      </c>
    </row>
    <row r="103" spans="1:18" x14ac:dyDescent="0.25">
      <c r="A103" s="1"/>
      <c r="C103" s="1"/>
      <c r="D103" s="1">
        <v>41402</v>
      </c>
      <c r="E103" s="10">
        <v>28999.25</v>
      </c>
      <c r="F103" s="1">
        <v>41402</v>
      </c>
      <c r="G103">
        <v>2127.5</v>
      </c>
      <c r="H103" s="1">
        <f t="shared" si="6"/>
        <v>41402</v>
      </c>
      <c r="I103">
        <f>IF(AND(MyRowHidden(ROW())=FALSE,MyRowHidden(ROW()-1)=TRUE),0,(E103-E102)*unitsOfDHp+I102)</f>
        <v>-257.5</v>
      </c>
      <c r="J103">
        <f>IF(AND(MyRowHidden(ROW())=FALSE,MyRowHidden(ROW()-1)=TRUE),0,(G103-G102)*unitsOfExo+J102)</f>
        <v>-25110</v>
      </c>
      <c r="K103" s="9">
        <f t="shared" si="7"/>
        <v>25110</v>
      </c>
      <c r="L103">
        <f t="shared" si="8"/>
        <v>-41408.28125</v>
      </c>
      <c r="M103">
        <f>IF(AND(MyRowHidden(ROW())=FALSE,MyRowHidden(ROW()-1)=TRUE),0,(G103-G102)*unitsFuturesCompare+M102)</f>
        <v>-50220</v>
      </c>
      <c r="N103">
        <f>IF(MyRowHidden(ROW())=TRUE,0,L103-M103)</f>
        <v>8811.71875</v>
      </c>
      <c r="O103">
        <f>MAX(N$12:N103)</f>
        <v>32081.5625</v>
      </c>
      <c r="P103">
        <f>IF(O103&gt;O102,(O103-O102)*percentSavingsParticipation,0)</f>
        <v>0</v>
      </c>
      <c r="Q103">
        <f t="shared" si="9"/>
        <v>16040.78125</v>
      </c>
      <c r="R103">
        <f t="shared" si="10"/>
        <v>-25367.5</v>
      </c>
    </row>
    <row r="104" spans="1:18" x14ac:dyDescent="0.25">
      <c r="A104" s="1"/>
      <c r="C104" s="1"/>
      <c r="D104" s="1">
        <v>41403</v>
      </c>
      <c r="E104" s="10">
        <v>27586.75</v>
      </c>
      <c r="F104" s="1">
        <v>41403</v>
      </c>
      <c r="G104">
        <v>3102.5</v>
      </c>
      <c r="H104" s="1">
        <f t="shared" si="6"/>
        <v>41403</v>
      </c>
      <c r="I104">
        <f>IF(AND(MyRowHidden(ROW())=FALSE,MyRowHidden(ROW()-1)=TRUE),0,(E104-E103)*unitsOfDHp+I103)</f>
        <v>-14382.5</v>
      </c>
      <c r="J104">
        <f>IF(AND(MyRowHidden(ROW())=FALSE,MyRowHidden(ROW()-1)=TRUE),0,(G104-G103)*unitsOfExo+J103)</f>
        <v>-15360</v>
      </c>
      <c r="K104" s="9">
        <f t="shared" si="7"/>
        <v>15360</v>
      </c>
      <c r="L104">
        <f t="shared" si="8"/>
        <v>-45783.28125</v>
      </c>
      <c r="M104">
        <f>IF(AND(MyRowHidden(ROW())=FALSE,MyRowHidden(ROW()-1)=TRUE),0,(G104-G103)*unitsFuturesCompare+M103)</f>
        <v>-30720</v>
      </c>
      <c r="N104">
        <f>IF(MyRowHidden(ROW())=TRUE,0,L104-M104)</f>
        <v>-15063.28125</v>
      </c>
      <c r="O104">
        <f>MAX(N$12:N104)</f>
        <v>32081.5625</v>
      </c>
      <c r="P104">
        <f>IF(O104&gt;O103,(O104-O103)*percentSavingsParticipation,0)</f>
        <v>0</v>
      </c>
      <c r="Q104">
        <f t="shared" si="9"/>
        <v>16040.78125</v>
      </c>
      <c r="R104">
        <f t="shared" si="10"/>
        <v>-29742.5</v>
      </c>
    </row>
    <row r="105" spans="1:18" x14ac:dyDescent="0.25">
      <c r="A105" s="1"/>
      <c r="C105" s="1"/>
      <c r="D105" s="1">
        <v>41404</v>
      </c>
      <c r="E105" s="10">
        <v>28761.75</v>
      </c>
      <c r="F105" s="1">
        <v>41404</v>
      </c>
      <c r="G105">
        <v>2315</v>
      </c>
      <c r="H105" s="1">
        <f t="shared" si="6"/>
        <v>41404</v>
      </c>
      <c r="I105">
        <f>IF(AND(MyRowHidden(ROW())=FALSE,MyRowHidden(ROW()-1)=TRUE),0,(E105-E104)*unitsOfDHp+I104)</f>
        <v>-2632.5</v>
      </c>
      <c r="J105">
        <f>IF(AND(MyRowHidden(ROW())=FALSE,MyRowHidden(ROW()-1)=TRUE),0,(G105-G104)*unitsOfExo+J104)</f>
        <v>-23235</v>
      </c>
      <c r="K105" s="9">
        <f t="shared" si="7"/>
        <v>23235</v>
      </c>
      <c r="L105">
        <f t="shared" si="8"/>
        <v>-41908.28125</v>
      </c>
      <c r="M105">
        <f>IF(AND(MyRowHidden(ROW())=FALSE,MyRowHidden(ROW()-1)=TRUE),0,(G105-G104)*unitsFuturesCompare+M104)</f>
        <v>-46470</v>
      </c>
      <c r="N105">
        <f>IF(MyRowHidden(ROW())=TRUE,0,L105-M105)</f>
        <v>4561.71875</v>
      </c>
      <c r="O105">
        <f>MAX(N$12:N105)</f>
        <v>32081.5625</v>
      </c>
      <c r="P105">
        <f>IF(O105&gt;O104,(O105-O104)*percentSavingsParticipation,0)</f>
        <v>0</v>
      </c>
      <c r="Q105">
        <f t="shared" si="9"/>
        <v>16040.78125</v>
      </c>
      <c r="R105">
        <f t="shared" si="10"/>
        <v>-25867.5</v>
      </c>
    </row>
    <row r="106" spans="1:18" x14ac:dyDescent="0.25">
      <c r="A106" s="1"/>
      <c r="C106" s="1"/>
      <c r="D106" s="1">
        <v>41407</v>
      </c>
      <c r="E106" s="10">
        <v>27366.75</v>
      </c>
      <c r="F106" s="1">
        <v>41407</v>
      </c>
      <c r="G106">
        <v>3302.5</v>
      </c>
      <c r="H106" s="1">
        <f t="shared" si="6"/>
        <v>41407</v>
      </c>
      <c r="I106">
        <f>IF(AND(MyRowHidden(ROW())=FALSE,MyRowHidden(ROW()-1)=TRUE),0,(E106-E105)*unitsOfDHp+I105)</f>
        <v>-16582.5</v>
      </c>
      <c r="J106">
        <f>IF(AND(MyRowHidden(ROW())=FALSE,MyRowHidden(ROW()-1)=TRUE),0,(G106-G105)*unitsOfExo+J105)</f>
        <v>-13360</v>
      </c>
      <c r="K106" s="9">
        <f t="shared" si="7"/>
        <v>13360</v>
      </c>
      <c r="L106">
        <f t="shared" si="8"/>
        <v>-45983.28125</v>
      </c>
      <c r="M106">
        <f>IF(AND(MyRowHidden(ROW())=FALSE,MyRowHidden(ROW()-1)=TRUE),0,(G106-G105)*unitsFuturesCompare+M105)</f>
        <v>-26720</v>
      </c>
      <c r="N106">
        <f>IF(MyRowHidden(ROW())=TRUE,0,L106-M106)</f>
        <v>-19263.28125</v>
      </c>
      <c r="O106">
        <f>MAX(N$12:N106)</f>
        <v>32081.5625</v>
      </c>
      <c r="P106">
        <f>IF(O106&gt;O105,(O106-O105)*percentSavingsParticipation,0)</f>
        <v>0</v>
      </c>
      <c r="Q106">
        <f t="shared" si="9"/>
        <v>16040.78125</v>
      </c>
      <c r="R106">
        <f t="shared" si="10"/>
        <v>-29942.5</v>
      </c>
    </row>
    <row r="107" spans="1:18" x14ac:dyDescent="0.25">
      <c r="A107" s="1"/>
      <c r="C107" s="1"/>
      <c r="D107" s="1">
        <v>41408</v>
      </c>
      <c r="E107" s="10">
        <v>27217.75</v>
      </c>
      <c r="F107" s="1">
        <v>41408</v>
      </c>
      <c r="G107">
        <v>3077.5</v>
      </c>
      <c r="H107" s="1">
        <f t="shared" si="6"/>
        <v>41408</v>
      </c>
      <c r="I107">
        <f>IF(AND(MyRowHidden(ROW())=FALSE,MyRowHidden(ROW()-1)=TRUE),0,(E107-E106)*unitsOfDHp+I106)</f>
        <v>-18072.5</v>
      </c>
      <c r="J107">
        <f>IF(AND(MyRowHidden(ROW())=FALSE,MyRowHidden(ROW()-1)=TRUE),0,(G107-G106)*unitsOfExo+J106)</f>
        <v>-15610</v>
      </c>
      <c r="K107" s="9">
        <f t="shared" si="7"/>
        <v>15610</v>
      </c>
      <c r="L107">
        <f t="shared" si="8"/>
        <v>-49723.28125</v>
      </c>
      <c r="M107">
        <f>IF(AND(MyRowHidden(ROW())=FALSE,MyRowHidden(ROW()-1)=TRUE),0,(G107-G106)*unitsFuturesCompare+M106)</f>
        <v>-31220</v>
      </c>
      <c r="N107">
        <f>IF(MyRowHidden(ROW())=TRUE,0,L107-M107)</f>
        <v>-18503.28125</v>
      </c>
      <c r="O107">
        <f>MAX(N$12:N107)</f>
        <v>32081.5625</v>
      </c>
      <c r="P107">
        <f>IF(O107&gt;O106,(O107-O106)*percentSavingsParticipation,0)</f>
        <v>0</v>
      </c>
      <c r="Q107">
        <f t="shared" si="9"/>
        <v>16040.78125</v>
      </c>
      <c r="R107">
        <f t="shared" si="10"/>
        <v>-33682.5</v>
      </c>
    </row>
    <row r="108" spans="1:18" x14ac:dyDescent="0.25">
      <c r="A108" s="1"/>
      <c r="C108" s="1"/>
      <c r="D108" s="1">
        <v>41409</v>
      </c>
      <c r="E108" s="10">
        <v>27292.75</v>
      </c>
      <c r="F108" s="1">
        <v>41409</v>
      </c>
      <c r="G108">
        <v>2990</v>
      </c>
      <c r="H108" s="1">
        <f t="shared" si="6"/>
        <v>41409</v>
      </c>
      <c r="I108">
        <f>IF(AND(MyRowHidden(ROW())=FALSE,MyRowHidden(ROW()-1)=TRUE),0,(E108-E107)*unitsOfDHp+I107)</f>
        <v>-17322.5</v>
      </c>
      <c r="J108">
        <f>IF(AND(MyRowHidden(ROW())=FALSE,MyRowHidden(ROW()-1)=TRUE),0,(G108-G107)*unitsOfExo+J107)</f>
        <v>-16485</v>
      </c>
      <c r="K108" s="9">
        <f t="shared" si="7"/>
        <v>16485</v>
      </c>
      <c r="L108">
        <f t="shared" si="8"/>
        <v>-49848.28125</v>
      </c>
      <c r="M108">
        <f>IF(AND(MyRowHidden(ROW())=FALSE,MyRowHidden(ROW()-1)=TRUE),0,(G108-G107)*unitsFuturesCompare+M107)</f>
        <v>-32970</v>
      </c>
      <c r="N108">
        <f>IF(MyRowHidden(ROW())=TRUE,0,L108-M108)</f>
        <v>-16878.28125</v>
      </c>
      <c r="O108">
        <f>MAX(N$12:N108)</f>
        <v>32081.5625</v>
      </c>
      <c r="P108">
        <f>IF(O108&gt;O107,(O108-O107)*percentSavingsParticipation,0)</f>
        <v>0</v>
      </c>
      <c r="Q108">
        <f t="shared" si="9"/>
        <v>16040.78125</v>
      </c>
      <c r="R108">
        <f t="shared" si="10"/>
        <v>-33807.5</v>
      </c>
    </row>
    <row r="109" spans="1:18" x14ac:dyDescent="0.25">
      <c r="A109" s="1"/>
      <c r="C109" s="1"/>
      <c r="D109" s="1">
        <v>41410</v>
      </c>
      <c r="E109" s="10">
        <v>27580.25</v>
      </c>
      <c r="F109" s="1">
        <v>41410</v>
      </c>
      <c r="G109">
        <v>2640</v>
      </c>
      <c r="H109" s="1">
        <f t="shared" si="6"/>
        <v>41410</v>
      </c>
      <c r="I109">
        <f>IF(AND(MyRowHidden(ROW())=FALSE,MyRowHidden(ROW()-1)=TRUE),0,(E109-E108)*unitsOfDHp+I108)</f>
        <v>-14447.5</v>
      </c>
      <c r="J109">
        <f>IF(AND(MyRowHidden(ROW())=FALSE,MyRowHidden(ROW()-1)=TRUE),0,(G109-G108)*unitsOfExo+J108)</f>
        <v>-19985</v>
      </c>
      <c r="K109" s="9">
        <f t="shared" si="7"/>
        <v>19985</v>
      </c>
      <c r="L109">
        <f t="shared" si="8"/>
        <v>-50473.28125</v>
      </c>
      <c r="M109">
        <f>IF(AND(MyRowHidden(ROW())=FALSE,MyRowHidden(ROW()-1)=TRUE),0,(G109-G108)*unitsFuturesCompare+M108)</f>
        <v>-39970</v>
      </c>
      <c r="N109">
        <f>IF(MyRowHidden(ROW())=TRUE,0,L109-M109)</f>
        <v>-10503.28125</v>
      </c>
      <c r="O109">
        <f>MAX(N$12:N109)</f>
        <v>32081.5625</v>
      </c>
      <c r="P109">
        <f>IF(O109&gt;O108,(O109-O108)*percentSavingsParticipation,0)</f>
        <v>0</v>
      </c>
      <c r="Q109">
        <f t="shared" si="9"/>
        <v>16040.78125</v>
      </c>
      <c r="R109">
        <f t="shared" si="10"/>
        <v>-34432.5</v>
      </c>
    </row>
    <row r="110" spans="1:18" x14ac:dyDescent="0.25">
      <c r="A110" s="1"/>
      <c r="C110" s="1"/>
      <c r="D110" s="1">
        <v>41411</v>
      </c>
      <c r="E110" s="10">
        <v>27380.25</v>
      </c>
      <c r="F110" s="1">
        <v>41411</v>
      </c>
      <c r="G110">
        <v>3140</v>
      </c>
      <c r="H110" s="1">
        <f t="shared" si="6"/>
        <v>41411</v>
      </c>
      <c r="I110">
        <f>IF(AND(MyRowHidden(ROW())=FALSE,MyRowHidden(ROW()-1)=TRUE),0,(E110-E109)*unitsOfDHp+I109)</f>
        <v>-16447.5</v>
      </c>
      <c r="J110">
        <f>IF(AND(MyRowHidden(ROW())=FALSE,MyRowHidden(ROW()-1)=TRUE),0,(G110-G109)*unitsOfExo+J109)</f>
        <v>-14985</v>
      </c>
      <c r="K110" s="9">
        <f t="shared" si="7"/>
        <v>14985</v>
      </c>
      <c r="L110">
        <f t="shared" si="8"/>
        <v>-47473.28125</v>
      </c>
      <c r="M110">
        <f>IF(AND(MyRowHidden(ROW())=FALSE,MyRowHidden(ROW()-1)=TRUE),0,(G110-G109)*unitsFuturesCompare+M109)</f>
        <v>-29970</v>
      </c>
      <c r="N110">
        <f>IF(MyRowHidden(ROW())=TRUE,0,L110-M110)</f>
        <v>-17503.28125</v>
      </c>
      <c r="O110">
        <f>MAX(N$12:N110)</f>
        <v>32081.5625</v>
      </c>
      <c r="P110">
        <f>IF(O110&gt;O109,(O110-O109)*percentSavingsParticipation,0)</f>
        <v>0</v>
      </c>
      <c r="Q110">
        <f t="shared" si="9"/>
        <v>16040.78125</v>
      </c>
      <c r="R110">
        <f t="shared" si="10"/>
        <v>-31432.5</v>
      </c>
    </row>
    <row r="111" spans="1:18" x14ac:dyDescent="0.25">
      <c r="A111" s="1"/>
      <c r="C111" s="1"/>
      <c r="D111" s="1">
        <v>41414</v>
      </c>
      <c r="E111" s="10">
        <v>27730.25</v>
      </c>
      <c r="F111" s="1">
        <v>41414</v>
      </c>
      <c r="G111">
        <v>2915</v>
      </c>
      <c r="H111" s="1">
        <f t="shared" si="6"/>
        <v>41414</v>
      </c>
      <c r="I111">
        <f>IF(AND(MyRowHidden(ROW())=FALSE,MyRowHidden(ROW()-1)=TRUE),0,(E111-E110)*unitsOfDHp+I110)</f>
        <v>-12947.5</v>
      </c>
      <c r="J111">
        <f>IF(AND(MyRowHidden(ROW())=FALSE,MyRowHidden(ROW()-1)=TRUE),0,(G111-G110)*unitsOfExo+J110)</f>
        <v>-17235</v>
      </c>
      <c r="K111" s="9">
        <f t="shared" si="7"/>
        <v>17235</v>
      </c>
      <c r="L111">
        <f t="shared" si="8"/>
        <v>-46223.28125</v>
      </c>
      <c r="M111">
        <f>IF(AND(MyRowHidden(ROW())=FALSE,MyRowHidden(ROW()-1)=TRUE),0,(G111-G110)*unitsFuturesCompare+M110)</f>
        <v>-34470</v>
      </c>
      <c r="N111">
        <f>IF(MyRowHidden(ROW())=TRUE,0,L111-M111)</f>
        <v>-11753.28125</v>
      </c>
      <c r="O111">
        <f>MAX(N$12:N111)</f>
        <v>32081.5625</v>
      </c>
      <c r="P111">
        <f>IF(O111&gt;O110,(O111-O110)*percentSavingsParticipation,0)</f>
        <v>0</v>
      </c>
      <c r="Q111">
        <f t="shared" si="9"/>
        <v>16040.78125</v>
      </c>
      <c r="R111">
        <f t="shared" si="10"/>
        <v>-30182.5</v>
      </c>
    </row>
    <row r="112" spans="1:18" x14ac:dyDescent="0.25">
      <c r="A112" s="1"/>
      <c r="C112" s="1"/>
      <c r="D112" s="1">
        <v>41415</v>
      </c>
      <c r="E112" s="10">
        <v>28217.75</v>
      </c>
      <c r="F112" s="1">
        <v>41415</v>
      </c>
      <c r="G112">
        <v>2365</v>
      </c>
      <c r="H112" s="1">
        <f t="shared" si="6"/>
        <v>41415</v>
      </c>
      <c r="I112">
        <f>IF(AND(MyRowHidden(ROW())=FALSE,MyRowHidden(ROW()-1)=TRUE),0,(E112-E111)*unitsOfDHp+I111)</f>
        <v>-8072.5</v>
      </c>
      <c r="J112">
        <f>IF(AND(MyRowHidden(ROW())=FALSE,MyRowHidden(ROW()-1)=TRUE),0,(G112-G111)*unitsOfExo+J111)</f>
        <v>-22735</v>
      </c>
      <c r="K112" s="9">
        <f t="shared" si="7"/>
        <v>22735</v>
      </c>
      <c r="L112">
        <f t="shared" si="8"/>
        <v>-46848.28125</v>
      </c>
      <c r="M112">
        <f>IF(AND(MyRowHidden(ROW())=FALSE,MyRowHidden(ROW()-1)=TRUE),0,(G112-G111)*unitsFuturesCompare+M111)</f>
        <v>-45470</v>
      </c>
      <c r="N112">
        <f>IF(MyRowHidden(ROW())=TRUE,0,L112-M112)</f>
        <v>-1378.28125</v>
      </c>
      <c r="O112">
        <f>MAX(N$12:N112)</f>
        <v>32081.5625</v>
      </c>
      <c r="P112">
        <f>IF(O112&gt;O111,(O112-O111)*percentSavingsParticipation,0)</f>
        <v>0</v>
      </c>
      <c r="Q112">
        <f t="shared" si="9"/>
        <v>16040.78125</v>
      </c>
      <c r="R112">
        <f t="shared" si="10"/>
        <v>-30807.5</v>
      </c>
    </row>
    <row r="113" spans="1:18" x14ac:dyDescent="0.25">
      <c r="A113" s="1"/>
      <c r="C113" s="1"/>
      <c r="D113" s="1">
        <v>41416</v>
      </c>
      <c r="E113" s="10">
        <v>27581.75</v>
      </c>
      <c r="F113" s="1">
        <v>41416</v>
      </c>
      <c r="G113">
        <v>3327.5</v>
      </c>
      <c r="H113" s="1">
        <f t="shared" si="6"/>
        <v>41416</v>
      </c>
      <c r="I113">
        <f>IF(AND(MyRowHidden(ROW())=FALSE,MyRowHidden(ROW()-1)=TRUE),0,(E113-E112)*unitsOfDHp+I112)</f>
        <v>-14432.5</v>
      </c>
      <c r="J113">
        <f>IF(AND(MyRowHidden(ROW())=FALSE,MyRowHidden(ROW()-1)=TRUE),0,(G113-G112)*unitsOfExo+J112)</f>
        <v>-13110</v>
      </c>
      <c r="K113" s="9">
        <f t="shared" si="7"/>
        <v>13110</v>
      </c>
      <c r="L113">
        <f t="shared" si="8"/>
        <v>-43583.28125</v>
      </c>
      <c r="M113">
        <f>IF(AND(MyRowHidden(ROW())=FALSE,MyRowHidden(ROW()-1)=TRUE),0,(G113-G112)*unitsFuturesCompare+M112)</f>
        <v>-26220</v>
      </c>
      <c r="N113">
        <f>IF(MyRowHidden(ROW())=TRUE,0,L113-M113)</f>
        <v>-17363.28125</v>
      </c>
      <c r="O113">
        <f>MAX(N$12:N113)</f>
        <v>32081.5625</v>
      </c>
      <c r="P113">
        <f>IF(O113&gt;O112,(O113-O112)*percentSavingsParticipation,0)</f>
        <v>0</v>
      </c>
      <c r="Q113">
        <f t="shared" si="9"/>
        <v>16040.78125</v>
      </c>
      <c r="R113">
        <f t="shared" si="10"/>
        <v>-27542.5</v>
      </c>
    </row>
    <row r="114" spans="1:18" x14ac:dyDescent="0.25">
      <c r="A114" s="1"/>
      <c r="C114" s="1"/>
      <c r="D114" s="1">
        <v>41417</v>
      </c>
      <c r="E114" s="10">
        <v>27344.25</v>
      </c>
      <c r="F114" s="1">
        <v>41417</v>
      </c>
      <c r="G114">
        <v>3652.5</v>
      </c>
      <c r="H114" s="1">
        <f t="shared" si="6"/>
        <v>41417</v>
      </c>
      <c r="I114">
        <f>IF(AND(MyRowHidden(ROW())=FALSE,MyRowHidden(ROW()-1)=TRUE),0,(E114-E113)*unitsOfDHp+I113)</f>
        <v>-16807.5</v>
      </c>
      <c r="J114">
        <f>IF(AND(MyRowHidden(ROW())=FALSE,MyRowHidden(ROW()-1)=TRUE),0,(G114-G113)*unitsOfExo+J113)</f>
        <v>-9860</v>
      </c>
      <c r="K114" s="9">
        <f t="shared" si="7"/>
        <v>9860</v>
      </c>
      <c r="L114">
        <f t="shared" si="8"/>
        <v>-42708.28125</v>
      </c>
      <c r="M114">
        <f>IF(AND(MyRowHidden(ROW())=FALSE,MyRowHidden(ROW()-1)=TRUE),0,(G114-G113)*unitsFuturesCompare+M113)</f>
        <v>-19720</v>
      </c>
      <c r="N114">
        <f>IF(MyRowHidden(ROW())=TRUE,0,L114-M114)</f>
        <v>-22988.28125</v>
      </c>
      <c r="O114">
        <f>MAX(N$12:N114)</f>
        <v>32081.5625</v>
      </c>
      <c r="P114">
        <f>IF(O114&gt;O113,(O114-O113)*percentSavingsParticipation,0)</f>
        <v>0</v>
      </c>
      <c r="Q114">
        <f t="shared" si="9"/>
        <v>16040.78125</v>
      </c>
      <c r="R114">
        <f t="shared" si="10"/>
        <v>-26667.5</v>
      </c>
    </row>
    <row r="115" spans="1:18" x14ac:dyDescent="0.25">
      <c r="A115" s="1"/>
      <c r="C115" s="1"/>
      <c r="D115" s="1">
        <v>41418</v>
      </c>
      <c r="E115" s="10">
        <v>27431.75</v>
      </c>
      <c r="F115" s="1">
        <v>41418</v>
      </c>
      <c r="G115">
        <v>3490</v>
      </c>
      <c r="H115" s="1">
        <f t="shared" si="6"/>
        <v>41418</v>
      </c>
      <c r="I115">
        <f>IF(AND(MyRowHidden(ROW())=FALSE,MyRowHidden(ROW()-1)=TRUE),0,(E115-E114)*unitsOfDHp+I114)</f>
        <v>-15932.5</v>
      </c>
      <c r="J115">
        <f>IF(AND(MyRowHidden(ROW())=FALSE,MyRowHidden(ROW()-1)=TRUE),0,(G115-G114)*unitsOfExo+J114)</f>
        <v>-11485</v>
      </c>
      <c r="K115" s="9">
        <f t="shared" si="7"/>
        <v>11485</v>
      </c>
      <c r="L115">
        <f t="shared" si="8"/>
        <v>-43458.28125</v>
      </c>
      <c r="M115">
        <f>IF(AND(MyRowHidden(ROW())=FALSE,MyRowHidden(ROW()-1)=TRUE),0,(G115-G114)*unitsFuturesCompare+M114)</f>
        <v>-22970</v>
      </c>
      <c r="N115">
        <f>IF(MyRowHidden(ROW())=TRUE,0,L115-M115)</f>
        <v>-20488.28125</v>
      </c>
      <c r="O115">
        <f>MAX(N$12:N115)</f>
        <v>32081.5625</v>
      </c>
      <c r="P115">
        <f>IF(O115&gt;O114,(O115-O114)*percentSavingsParticipation,0)</f>
        <v>0</v>
      </c>
      <c r="Q115">
        <f t="shared" si="9"/>
        <v>16040.78125</v>
      </c>
      <c r="R115">
        <f t="shared" si="10"/>
        <v>-27417.5</v>
      </c>
    </row>
    <row r="116" spans="1:18" x14ac:dyDescent="0.25">
      <c r="A116" s="1"/>
      <c r="C116" s="1"/>
      <c r="D116" s="1">
        <v>41421</v>
      </c>
      <c r="E116" s="10">
        <v>27706.75</v>
      </c>
      <c r="F116" s="1">
        <v>41421</v>
      </c>
      <c r="G116">
        <v>3390</v>
      </c>
      <c r="H116" s="1">
        <f t="shared" si="6"/>
        <v>41421</v>
      </c>
      <c r="I116">
        <f>IF(AND(MyRowHidden(ROW())=FALSE,MyRowHidden(ROW()-1)=TRUE),0,(E116-E115)*unitsOfDHp+I115)</f>
        <v>-13182.5</v>
      </c>
      <c r="J116">
        <f>IF(AND(MyRowHidden(ROW())=FALSE,MyRowHidden(ROW()-1)=TRUE),0,(G116-G115)*unitsOfExo+J115)</f>
        <v>-12485</v>
      </c>
      <c r="K116" s="9">
        <f t="shared" si="7"/>
        <v>12485</v>
      </c>
      <c r="L116">
        <f t="shared" si="8"/>
        <v>-41708.28125</v>
      </c>
      <c r="M116">
        <f>IF(AND(MyRowHidden(ROW())=FALSE,MyRowHidden(ROW()-1)=TRUE),0,(G116-G115)*unitsFuturesCompare+M115)</f>
        <v>-24970</v>
      </c>
      <c r="N116">
        <f>IF(MyRowHidden(ROW())=TRUE,0,L116-M116)</f>
        <v>-16738.28125</v>
      </c>
      <c r="O116">
        <f>MAX(N$12:N116)</f>
        <v>32081.5625</v>
      </c>
      <c r="P116">
        <f>IF(O116&gt;O115,(O116-O115)*percentSavingsParticipation,0)</f>
        <v>0</v>
      </c>
      <c r="Q116">
        <f t="shared" si="9"/>
        <v>16040.78125</v>
      </c>
      <c r="R116">
        <f t="shared" si="10"/>
        <v>-25667.5</v>
      </c>
    </row>
    <row r="117" spans="1:18" x14ac:dyDescent="0.25">
      <c r="A117" s="1"/>
      <c r="C117" s="1"/>
      <c r="D117" s="1">
        <v>41422</v>
      </c>
      <c r="E117" s="10">
        <v>27369.25</v>
      </c>
      <c r="F117" s="1">
        <v>41422</v>
      </c>
      <c r="G117">
        <v>3790</v>
      </c>
      <c r="H117" s="1">
        <f t="shared" si="6"/>
        <v>41422</v>
      </c>
      <c r="I117">
        <f>IF(AND(MyRowHidden(ROW())=FALSE,MyRowHidden(ROW()-1)=TRUE),0,(E117-E116)*unitsOfDHp+I116)</f>
        <v>-16557.5</v>
      </c>
      <c r="J117">
        <f>IF(AND(MyRowHidden(ROW())=FALSE,MyRowHidden(ROW()-1)=TRUE),0,(G117-G116)*unitsOfExo+J116)</f>
        <v>-8485</v>
      </c>
      <c r="K117" s="9">
        <f t="shared" si="7"/>
        <v>8485</v>
      </c>
      <c r="L117">
        <f t="shared" si="8"/>
        <v>-41083.28125</v>
      </c>
      <c r="M117">
        <f>IF(AND(MyRowHidden(ROW())=FALSE,MyRowHidden(ROW()-1)=TRUE),0,(G117-G116)*unitsFuturesCompare+M116)</f>
        <v>-16970</v>
      </c>
      <c r="N117">
        <f>IF(MyRowHidden(ROW())=TRUE,0,L117-M117)</f>
        <v>-24113.28125</v>
      </c>
      <c r="O117">
        <f>MAX(N$12:N117)</f>
        <v>32081.5625</v>
      </c>
      <c r="P117">
        <f>IF(O117&gt;O116,(O117-O116)*percentSavingsParticipation,0)</f>
        <v>0</v>
      </c>
      <c r="Q117">
        <f t="shared" si="9"/>
        <v>16040.78125</v>
      </c>
      <c r="R117">
        <f t="shared" si="10"/>
        <v>-25042.5</v>
      </c>
    </row>
    <row r="118" spans="1:18" x14ac:dyDescent="0.25">
      <c r="A118" s="1"/>
      <c r="C118" s="1"/>
      <c r="D118" s="1">
        <v>41423</v>
      </c>
      <c r="E118" s="10">
        <v>27381.75</v>
      </c>
      <c r="F118" s="1">
        <v>41423</v>
      </c>
      <c r="G118">
        <v>3765</v>
      </c>
      <c r="H118" s="1">
        <f t="shared" si="6"/>
        <v>41423</v>
      </c>
      <c r="I118">
        <f>IF(AND(MyRowHidden(ROW())=FALSE,MyRowHidden(ROW()-1)=TRUE),0,(E118-E117)*unitsOfDHp+I117)</f>
        <v>-16432.5</v>
      </c>
      <c r="J118">
        <f>IF(AND(MyRowHidden(ROW())=FALSE,MyRowHidden(ROW()-1)=TRUE),0,(G118-G117)*unitsOfExo+J117)</f>
        <v>-8735</v>
      </c>
      <c r="K118" s="9">
        <f t="shared" si="7"/>
        <v>8735</v>
      </c>
      <c r="L118">
        <f t="shared" si="8"/>
        <v>-41208.28125</v>
      </c>
      <c r="M118">
        <f>IF(AND(MyRowHidden(ROW())=FALSE,MyRowHidden(ROW()-1)=TRUE),0,(G118-G117)*unitsFuturesCompare+M117)</f>
        <v>-17470</v>
      </c>
      <c r="N118">
        <f>IF(MyRowHidden(ROW())=TRUE,0,L118-M118)</f>
        <v>-23738.28125</v>
      </c>
      <c r="O118">
        <f>MAX(N$12:N118)</f>
        <v>32081.5625</v>
      </c>
      <c r="P118">
        <f>IF(O118&gt;O117,(O118-O117)*percentSavingsParticipation,0)</f>
        <v>0</v>
      </c>
      <c r="Q118">
        <f t="shared" si="9"/>
        <v>16040.78125</v>
      </c>
      <c r="R118">
        <f t="shared" si="10"/>
        <v>-25167.5</v>
      </c>
    </row>
    <row r="119" spans="1:18" x14ac:dyDescent="0.25">
      <c r="A119" s="1"/>
      <c r="C119" s="1"/>
      <c r="D119" s="1">
        <v>41424</v>
      </c>
      <c r="E119" s="10">
        <v>27906.75</v>
      </c>
      <c r="F119" s="1">
        <v>41424</v>
      </c>
      <c r="G119">
        <v>3165</v>
      </c>
      <c r="H119" s="1">
        <f t="shared" si="6"/>
        <v>41424</v>
      </c>
      <c r="I119">
        <f>IF(AND(MyRowHidden(ROW())=FALSE,MyRowHidden(ROW()-1)=TRUE),0,(E119-E118)*unitsOfDHp+I118)</f>
        <v>-11182.5</v>
      </c>
      <c r="J119">
        <f>IF(AND(MyRowHidden(ROW())=FALSE,MyRowHidden(ROW()-1)=TRUE),0,(G119-G118)*unitsOfExo+J118)</f>
        <v>-14735</v>
      </c>
      <c r="K119" s="9">
        <f t="shared" si="7"/>
        <v>14735</v>
      </c>
      <c r="L119">
        <f t="shared" si="8"/>
        <v>-41958.28125</v>
      </c>
      <c r="M119">
        <f>IF(AND(MyRowHidden(ROW())=FALSE,MyRowHidden(ROW()-1)=TRUE),0,(G119-G118)*unitsFuturesCompare+M118)</f>
        <v>-29470</v>
      </c>
      <c r="N119">
        <f>IF(MyRowHidden(ROW())=TRUE,0,L119-M119)</f>
        <v>-12488.28125</v>
      </c>
      <c r="O119">
        <f>MAX(N$12:N119)</f>
        <v>32081.5625</v>
      </c>
      <c r="P119">
        <f>IF(O119&gt;O118,(O119-O118)*percentSavingsParticipation,0)</f>
        <v>0</v>
      </c>
      <c r="Q119">
        <f t="shared" si="9"/>
        <v>16040.78125</v>
      </c>
      <c r="R119">
        <f t="shared" si="10"/>
        <v>-25917.5</v>
      </c>
    </row>
    <row r="120" spans="1:18" x14ac:dyDescent="0.25">
      <c r="A120" s="1"/>
      <c r="C120" s="1"/>
      <c r="D120" s="1">
        <v>41425</v>
      </c>
      <c r="E120" s="10">
        <v>27745.25</v>
      </c>
      <c r="F120" s="1">
        <v>41425</v>
      </c>
      <c r="G120">
        <v>3652.5</v>
      </c>
      <c r="H120" s="1">
        <f t="shared" si="6"/>
        <v>41425</v>
      </c>
      <c r="I120">
        <f>IF(AND(MyRowHidden(ROW())=FALSE,MyRowHidden(ROW()-1)=TRUE),0,(E120-E119)*unitsOfDHp+I119)</f>
        <v>-12797.5</v>
      </c>
      <c r="J120">
        <f>IF(AND(MyRowHidden(ROW())=FALSE,MyRowHidden(ROW()-1)=TRUE),0,(G120-G119)*unitsOfExo+J119)</f>
        <v>-9860</v>
      </c>
      <c r="K120" s="9">
        <f t="shared" si="7"/>
        <v>9860</v>
      </c>
      <c r="L120">
        <f t="shared" si="8"/>
        <v>-38698.28125</v>
      </c>
      <c r="M120">
        <f>IF(AND(MyRowHidden(ROW())=FALSE,MyRowHidden(ROW()-1)=TRUE),0,(G120-G119)*unitsFuturesCompare+M119)</f>
        <v>-19720</v>
      </c>
      <c r="N120">
        <f>IF(MyRowHidden(ROW())=TRUE,0,L120-M120)</f>
        <v>-18978.28125</v>
      </c>
      <c r="O120">
        <f>MAX(N$12:N120)</f>
        <v>32081.5625</v>
      </c>
      <c r="P120">
        <f>IF(O120&gt;O119,(O120-O119)*percentSavingsParticipation,0)</f>
        <v>0</v>
      </c>
      <c r="Q120">
        <f t="shared" si="9"/>
        <v>16040.78125</v>
      </c>
      <c r="R120">
        <f t="shared" si="10"/>
        <v>-22657.5</v>
      </c>
    </row>
    <row r="121" spans="1:18" x14ac:dyDescent="0.25">
      <c r="A121" s="1"/>
      <c r="C121" s="1"/>
      <c r="D121" s="1">
        <v>41428</v>
      </c>
      <c r="E121" s="10">
        <v>28045.25</v>
      </c>
      <c r="F121" s="1">
        <v>41428</v>
      </c>
      <c r="G121">
        <v>3465</v>
      </c>
      <c r="H121" s="1">
        <f t="shared" si="6"/>
        <v>41428</v>
      </c>
      <c r="I121">
        <f>IF(AND(MyRowHidden(ROW())=FALSE,MyRowHidden(ROW()-1)=TRUE),0,(E121-E120)*unitsOfDHp+I120)</f>
        <v>-9797.5</v>
      </c>
      <c r="J121">
        <f>IF(AND(MyRowHidden(ROW())=FALSE,MyRowHidden(ROW()-1)=TRUE),0,(G121-G120)*unitsOfExo+J120)</f>
        <v>-11735</v>
      </c>
      <c r="K121" s="9">
        <f t="shared" si="7"/>
        <v>11735</v>
      </c>
      <c r="L121">
        <f t="shared" si="8"/>
        <v>-37573.28125</v>
      </c>
      <c r="M121">
        <f>IF(AND(MyRowHidden(ROW())=FALSE,MyRowHidden(ROW()-1)=TRUE),0,(G121-G120)*unitsFuturesCompare+M120)</f>
        <v>-23470</v>
      </c>
      <c r="N121">
        <f>IF(MyRowHidden(ROW())=TRUE,0,L121-M121)</f>
        <v>-14103.28125</v>
      </c>
      <c r="O121">
        <f>MAX(N$12:N121)</f>
        <v>32081.5625</v>
      </c>
      <c r="P121">
        <f>IF(O121&gt;O120,(O121-O120)*percentSavingsParticipation,0)</f>
        <v>0</v>
      </c>
      <c r="Q121">
        <f t="shared" si="9"/>
        <v>16040.78125</v>
      </c>
      <c r="R121">
        <f t="shared" si="10"/>
        <v>-21532.5</v>
      </c>
    </row>
    <row r="122" spans="1:18" x14ac:dyDescent="0.25">
      <c r="A122" s="1"/>
      <c r="C122" s="1"/>
      <c r="D122" s="1">
        <v>41429</v>
      </c>
      <c r="E122" s="10">
        <v>28296.75</v>
      </c>
      <c r="F122" s="1">
        <v>41429</v>
      </c>
      <c r="G122">
        <v>3290</v>
      </c>
      <c r="H122" s="1">
        <f t="shared" si="6"/>
        <v>41429</v>
      </c>
      <c r="I122">
        <f>IF(AND(MyRowHidden(ROW())=FALSE,MyRowHidden(ROW()-1)=TRUE),0,(E122-E121)*unitsOfDHp+I121)</f>
        <v>-7282.5</v>
      </c>
      <c r="J122">
        <f>IF(AND(MyRowHidden(ROW())=FALSE,MyRowHidden(ROW()-1)=TRUE),0,(G122-G121)*unitsOfExo+J121)</f>
        <v>-13485</v>
      </c>
      <c r="K122" s="9">
        <f t="shared" si="7"/>
        <v>13485</v>
      </c>
      <c r="L122">
        <f t="shared" si="8"/>
        <v>-36808.28125</v>
      </c>
      <c r="M122">
        <f>IF(AND(MyRowHidden(ROW())=FALSE,MyRowHidden(ROW()-1)=TRUE),0,(G122-G121)*unitsFuturesCompare+M121)</f>
        <v>-26970</v>
      </c>
      <c r="N122">
        <f>IF(MyRowHidden(ROW())=TRUE,0,L122-M122)</f>
        <v>-9838.28125</v>
      </c>
      <c r="O122">
        <f>MAX(N$12:N122)</f>
        <v>32081.5625</v>
      </c>
      <c r="P122">
        <f>IF(O122&gt;O121,(O122-O121)*percentSavingsParticipation,0)</f>
        <v>0</v>
      </c>
      <c r="Q122">
        <f t="shared" si="9"/>
        <v>16040.78125</v>
      </c>
      <c r="R122">
        <f t="shared" si="10"/>
        <v>-20767.5</v>
      </c>
    </row>
    <row r="123" spans="1:18" x14ac:dyDescent="0.25">
      <c r="A123" s="1"/>
      <c r="C123" s="1"/>
      <c r="D123" s="1">
        <v>41430</v>
      </c>
      <c r="E123" s="10">
        <v>27896.75</v>
      </c>
      <c r="F123" s="1">
        <v>41430</v>
      </c>
      <c r="G123">
        <v>3590</v>
      </c>
      <c r="H123" s="1">
        <f t="shared" si="6"/>
        <v>41430</v>
      </c>
      <c r="I123">
        <f>IF(AND(MyRowHidden(ROW())=FALSE,MyRowHidden(ROW()-1)=TRUE),0,(E123-E122)*unitsOfDHp+I122)</f>
        <v>-11282.5</v>
      </c>
      <c r="J123">
        <f>IF(AND(MyRowHidden(ROW())=FALSE,MyRowHidden(ROW()-1)=TRUE),0,(G123-G122)*unitsOfExo+J122)</f>
        <v>-10485</v>
      </c>
      <c r="K123" s="9">
        <f t="shared" si="7"/>
        <v>10485</v>
      </c>
      <c r="L123">
        <f t="shared" si="8"/>
        <v>-37808.28125</v>
      </c>
      <c r="M123">
        <f>IF(AND(MyRowHidden(ROW())=FALSE,MyRowHidden(ROW()-1)=TRUE),0,(G123-G122)*unitsFuturesCompare+M122)</f>
        <v>-20970</v>
      </c>
      <c r="N123">
        <f>IF(MyRowHidden(ROW())=TRUE,0,L123-M123)</f>
        <v>-16838.28125</v>
      </c>
      <c r="O123">
        <f>MAX(N$12:N123)</f>
        <v>32081.5625</v>
      </c>
      <c r="P123">
        <f>IF(O123&gt;O122,(O123-O122)*percentSavingsParticipation,0)</f>
        <v>0</v>
      </c>
      <c r="Q123">
        <f t="shared" si="9"/>
        <v>16040.78125</v>
      </c>
      <c r="R123">
        <f t="shared" si="10"/>
        <v>-21767.5</v>
      </c>
    </row>
    <row r="124" spans="1:18" x14ac:dyDescent="0.25">
      <c r="A124" s="1"/>
      <c r="C124" s="1"/>
      <c r="D124" s="1">
        <v>41431</v>
      </c>
      <c r="E124" s="10">
        <v>27860.25</v>
      </c>
      <c r="F124" s="1">
        <v>41431</v>
      </c>
      <c r="G124">
        <v>3590</v>
      </c>
      <c r="H124" s="1">
        <f t="shared" si="6"/>
        <v>41431</v>
      </c>
      <c r="I124">
        <f>IF(AND(MyRowHidden(ROW())=FALSE,MyRowHidden(ROW()-1)=TRUE),0,(E124-E123)*unitsOfDHp+I123)</f>
        <v>-11647.5</v>
      </c>
      <c r="J124">
        <f>IF(AND(MyRowHidden(ROW())=FALSE,MyRowHidden(ROW()-1)=TRUE),0,(G124-G123)*unitsOfExo+J123)</f>
        <v>-10485</v>
      </c>
      <c r="K124" s="9">
        <f t="shared" si="7"/>
        <v>10485</v>
      </c>
      <c r="L124">
        <f t="shared" si="8"/>
        <v>-38173.28125</v>
      </c>
      <c r="M124">
        <f>IF(AND(MyRowHidden(ROW())=FALSE,MyRowHidden(ROW()-1)=TRUE),0,(G124-G123)*unitsFuturesCompare+M123)</f>
        <v>-20970</v>
      </c>
      <c r="N124">
        <f>IF(MyRowHidden(ROW())=TRUE,0,L124-M124)</f>
        <v>-17203.28125</v>
      </c>
      <c r="O124">
        <f>MAX(N$12:N124)</f>
        <v>32081.5625</v>
      </c>
      <c r="P124">
        <f>IF(O124&gt;O123,(O124-O123)*percentSavingsParticipation,0)</f>
        <v>0</v>
      </c>
      <c r="Q124">
        <f t="shared" si="9"/>
        <v>16040.78125</v>
      </c>
      <c r="R124">
        <f t="shared" si="10"/>
        <v>-22132.5</v>
      </c>
    </row>
    <row r="125" spans="1:18" x14ac:dyDescent="0.25">
      <c r="A125" s="1"/>
      <c r="C125" s="1"/>
      <c r="D125" s="1">
        <v>41432</v>
      </c>
      <c r="E125" s="10">
        <v>27448.75</v>
      </c>
      <c r="F125" s="1">
        <v>41432</v>
      </c>
      <c r="G125">
        <v>3802.5</v>
      </c>
      <c r="H125" s="1">
        <f t="shared" si="6"/>
        <v>41432</v>
      </c>
      <c r="I125">
        <f>IF(AND(MyRowHidden(ROW())=FALSE,MyRowHidden(ROW()-1)=TRUE),0,(E125-E124)*unitsOfDHp+I124)</f>
        <v>-15762.5</v>
      </c>
      <c r="J125">
        <f>IF(AND(MyRowHidden(ROW())=FALSE,MyRowHidden(ROW()-1)=TRUE),0,(G125-G124)*unitsOfExo+J124)</f>
        <v>-8360</v>
      </c>
      <c r="K125" s="9">
        <f t="shared" si="7"/>
        <v>8360</v>
      </c>
      <c r="L125">
        <f t="shared" si="8"/>
        <v>-40163.28125</v>
      </c>
      <c r="M125">
        <f>IF(AND(MyRowHidden(ROW())=FALSE,MyRowHidden(ROW()-1)=TRUE),0,(G125-G124)*unitsFuturesCompare+M124)</f>
        <v>-16720</v>
      </c>
      <c r="N125">
        <f>IF(MyRowHidden(ROW())=TRUE,0,L125-M125)</f>
        <v>-23443.28125</v>
      </c>
      <c r="O125">
        <f>MAX(N$12:N125)</f>
        <v>32081.5625</v>
      </c>
      <c r="P125">
        <f>IF(O125&gt;O124,(O125-O124)*percentSavingsParticipation,0)</f>
        <v>0</v>
      </c>
      <c r="Q125">
        <f t="shared" si="9"/>
        <v>16040.78125</v>
      </c>
      <c r="R125">
        <f t="shared" si="10"/>
        <v>-24122.5</v>
      </c>
    </row>
    <row r="126" spans="1:18" x14ac:dyDescent="0.25">
      <c r="A126" s="1"/>
      <c r="C126" s="1"/>
      <c r="D126" s="1">
        <v>41435</v>
      </c>
      <c r="E126" s="10">
        <v>28948.75</v>
      </c>
      <c r="F126" s="1">
        <v>41435</v>
      </c>
      <c r="G126">
        <v>2990</v>
      </c>
      <c r="H126" s="1">
        <f t="shared" si="6"/>
        <v>41435</v>
      </c>
      <c r="I126">
        <f>IF(AND(MyRowHidden(ROW())=FALSE,MyRowHidden(ROW()-1)=TRUE),0,(E126-E125)*unitsOfDHp+I125)</f>
        <v>-762.5</v>
      </c>
      <c r="J126">
        <f>IF(AND(MyRowHidden(ROW())=FALSE,MyRowHidden(ROW()-1)=TRUE),0,(G126-G125)*unitsOfExo+J125)</f>
        <v>-16485</v>
      </c>
      <c r="K126" s="9">
        <f t="shared" si="7"/>
        <v>16485</v>
      </c>
      <c r="L126">
        <f t="shared" si="8"/>
        <v>-33288.28125</v>
      </c>
      <c r="M126">
        <f>IF(AND(MyRowHidden(ROW())=FALSE,MyRowHidden(ROW()-1)=TRUE),0,(G126-G125)*unitsFuturesCompare+M125)</f>
        <v>-32970</v>
      </c>
      <c r="N126">
        <f>IF(MyRowHidden(ROW())=TRUE,0,L126-M126)</f>
        <v>-318.28125</v>
      </c>
      <c r="O126">
        <f>MAX(N$12:N126)</f>
        <v>32081.5625</v>
      </c>
      <c r="P126">
        <f>IF(O126&gt;O125,(O126-O125)*percentSavingsParticipation,0)</f>
        <v>0</v>
      </c>
      <c r="Q126">
        <f t="shared" si="9"/>
        <v>16040.78125</v>
      </c>
      <c r="R126">
        <f t="shared" si="10"/>
        <v>-17247.5</v>
      </c>
    </row>
    <row r="127" spans="1:18" x14ac:dyDescent="0.25">
      <c r="A127" s="1"/>
      <c r="C127" s="1"/>
      <c r="D127" s="1">
        <v>41436</v>
      </c>
      <c r="E127" s="10">
        <v>28811.25</v>
      </c>
      <c r="F127" s="1">
        <v>41436</v>
      </c>
      <c r="G127">
        <v>3327.5</v>
      </c>
      <c r="H127" s="1">
        <f t="shared" si="6"/>
        <v>41436</v>
      </c>
      <c r="I127">
        <f>IF(AND(MyRowHidden(ROW())=FALSE,MyRowHidden(ROW()-1)=TRUE),0,(E127-E126)*unitsOfDHp+I126)</f>
        <v>-2137.5</v>
      </c>
      <c r="J127">
        <f>IF(AND(MyRowHidden(ROW())=FALSE,MyRowHidden(ROW()-1)=TRUE),0,(G127-G126)*unitsOfExo+J126)</f>
        <v>-13110</v>
      </c>
      <c r="K127" s="9">
        <f t="shared" si="7"/>
        <v>13110</v>
      </c>
      <c r="L127">
        <f t="shared" si="8"/>
        <v>-31288.28125</v>
      </c>
      <c r="M127">
        <f>IF(AND(MyRowHidden(ROW())=FALSE,MyRowHidden(ROW()-1)=TRUE),0,(G127-G126)*unitsFuturesCompare+M126)</f>
        <v>-26220</v>
      </c>
      <c r="N127">
        <f>IF(MyRowHidden(ROW())=TRUE,0,L127-M127)</f>
        <v>-5068.28125</v>
      </c>
      <c r="O127">
        <f>MAX(N$12:N127)</f>
        <v>32081.5625</v>
      </c>
      <c r="P127">
        <f>IF(O127&gt;O126,(O127-O126)*percentSavingsParticipation,0)</f>
        <v>0</v>
      </c>
      <c r="Q127">
        <f t="shared" si="9"/>
        <v>16040.78125</v>
      </c>
      <c r="R127">
        <f t="shared" si="10"/>
        <v>-15247.5</v>
      </c>
    </row>
    <row r="128" spans="1:18" x14ac:dyDescent="0.25">
      <c r="A128" s="1"/>
      <c r="C128" s="1"/>
      <c r="D128" s="1">
        <v>41437</v>
      </c>
      <c r="E128" s="10">
        <v>29074.75</v>
      </c>
      <c r="F128" s="1">
        <v>41437</v>
      </c>
      <c r="G128">
        <v>3002.5</v>
      </c>
      <c r="H128" s="1">
        <f t="shared" si="6"/>
        <v>41437</v>
      </c>
      <c r="I128">
        <f>IF(AND(MyRowHidden(ROW())=FALSE,MyRowHidden(ROW()-1)=TRUE),0,(E128-E127)*unitsOfDHp+I127)</f>
        <v>497.5</v>
      </c>
      <c r="J128">
        <f>IF(AND(MyRowHidden(ROW())=FALSE,MyRowHidden(ROW()-1)=TRUE),0,(G128-G127)*unitsOfExo+J127)</f>
        <v>-16360</v>
      </c>
      <c r="K128" s="9">
        <f t="shared" si="7"/>
        <v>16360</v>
      </c>
      <c r="L128">
        <f t="shared" si="8"/>
        <v>-31903.28125</v>
      </c>
      <c r="M128">
        <f>IF(AND(MyRowHidden(ROW())=FALSE,MyRowHidden(ROW()-1)=TRUE),0,(G128-G127)*unitsFuturesCompare+M127)</f>
        <v>-32720</v>
      </c>
      <c r="N128">
        <f>IF(MyRowHidden(ROW())=TRUE,0,L128-M128)</f>
        <v>816.71875</v>
      </c>
      <c r="O128">
        <f>MAX(N$12:N128)</f>
        <v>32081.5625</v>
      </c>
      <c r="P128">
        <f>IF(O128&gt;O127,(O128-O127)*percentSavingsParticipation,0)</f>
        <v>0</v>
      </c>
      <c r="Q128">
        <f t="shared" si="9"/>
        <v>16040.78125</v>
      </c>
      <c r="R128">
        <f t="shared" si="10"/>
        <v>-15862.5</v>
      </c>
    </row>
    <row r="129" spans="1:18" x14ac:dyDescent="0.25">
      <c r="A129" s="1"/>
      <c r="C129" s="1"/>
      <c r="D129" s="1">
        <v>41438</v>
      </c>
      <c r="E129" s="10">
        <v>29312.25</v>
      </c>
      <c r="F129" s="1">
        <v>41438</v>
      </c>
      <c r="G129">
        <v>2740</v>
      </c>
      <c r="H129" s="1">
        <f t="shared" si="6"/>
        <v>41438</v>
      </c>
      <c r="I129">
        <f>IF(AND(MyRowHidden(ROW())=FALSE,MyRowHidden(ROW()-1)=TRUE),0,(E129-E128)*unitsOfDHp+I128)</f>
        <v>2872.5</v>
      </c>
      <c r="J129">
        <f>IF(AND(MyRowHidden(ROW())=FALSE,MyRowHidden(ROW()-1)=TRUE),0,(G129-G128)*unitsOfExo+J128)</f>
        <v>-18985</v>
      </c>
      <c r="K129" s="9">
        <f t="shared" si="7"/>
        <v>18985</v>
      </c>
      <c r="L129">
        <f t="shared" si="8"/>
        <v>-32153.28125</v>
      </c>
      <c r="M129">
        <f>IF(AND(MyRowHidden(ROW())=FALSE,MyRowHidden(ROW()-1)=TRUE),0,(G129-G128)*unitsFuturesCompare+M128)</f>
        <v>-37970</v>
      </c>
      <c r="N129">
        <f>IF(MyRowHidden(ROW())=TRUE,0,L129-M129)</f>
        <v>5816.71875</v>
      </c>
      <c r="O129">
        <f>MAX(N$12:N129)</f>
        <v>32081.5625</v>
      </c>
      <c r="P129">
        <f>IF(O129&gt;O128,(O129-O128)*percentSavingsParticipation,0)</f>
        <v>0</v>
      </c>
      <c r="Q129">
        <f t="shared" si="9"/>
        <v>16040.78125</v>
      </c>
      <c r="R129">
        <f t="shared" si="10"/>
        <v>-16112.5</v>
      </c>
    </row>
    <row r="130" spans="1:18" x14ac:dyDescent="0.25">
      <c r="A130" s="1"/>
      <c r="C130" s="1"/>
      <c r="D130" s="1">
        <v>41439</v>
      </c>
      <c r="E130" s="10">
        <v>29075.25</v>
      </c>
      <c r="F130" s="1">
        <v>41439</v>
      </c>
      <c r="G130">
        <v>3252.5</v>
      </c>
      <c r="H130" s="1">
        <f t="shared" si="6"/>
        <v>41439</v>
      </c>
      <c r="I130">
        <f>IF(AND(MyRowHidden(ROW())=FALSE,MyRowHidden(ROW()-1)=TRUE),0,(E130-E129)*unitsOfDHp+I129)</f>
        <v>502.5</v>
      </c>
      <c r="J130">
        <f>IF(AND(MyRowHidden(ROW())=FALSE,MyRowHidden(ROW()-1)=TRUE),0,(G130-G129)*unitsOfExo+J129)</f>
        <v>-13860</v>
      </c>
      <c r="K130" s="9">
        <f t="shared" si="7"/>
        <v>13860</v>
      </c>
      <c r="L130">
        <f t="shared" si="8"/>
        <v>-29398.28125</v>
      </c>
      <c r="M130">
        <f>IF(AND(MyRowHidden(ROW())=FALSE,MyRowHidden(ROW()-1)=TRUE),0,(G130-G129)*unitsFuturesCompare+M129)</f>
        <v>-27720</v>
      </c>
      <c r="N130">
        <f>IF(MyRowHidden(ROW())=TRUE,0,L130-M130)</f>
        <v>-1678.28125</v>
      </c>
      <c r="O130">
        <f>MAX(N$12:N130)</f>
        <v>32081.5625</v>
      </c>
      <c r="P130">
        <f>IF(O130&gt;O129,(O130-O129)*percentSavingsParticipation,0)</f>
        <v>0</v>
      </c>
      <c r="Q130">
        <f t="shared" si="9"/>
        <v>16040.78125</v>
      </c>
      <c r="R130">
        <f t="shared" si="10"/>
        <v>-13357.5</v>
      </c>
    </row>
    <row r="131" spans="1:18" x14ac:dyDescent="0.25">
      <c r="A131" s="1"/>
      <c r="C131" s="1"/>
      <c r="D131" s="1">
        <v>41442</v>
      </c>
      <c r="E131" s="10">
        <v>28450.25</v>
      </c>
      <c r="F131" s="1">
        <v>41442</v>
      </c>
      <c r="G131">
        <v>3740</v>
      </c>
      <c r="H131" s="1">
        <f t="shared" si="6"/>
        <v>41442</v>
      </c>
      <c r="I131">
        <f>IF(AND(MyRowHidden(ROW())=FALSE,MyRowHidden(ROW()-1)=TRUE),0,(E131-E130)*unitsOfDHp+I130)</f>
        <v>-5747.5</v>
      </c>
      <c r="J131">
        <f>IF(AND(MyRowHidden(ROW())=FALSE,MyRowHidden(ROW()-1)=TRUE),0,(G131-G130)*unitsOfExo+J130)</f>
        <v>-8985</v>
      </c>
      <c r="K131" s="9">
        <f t="shared" si="7"/>
        <v>8985</v>
      </c>
      <c r="L131">
        <f t="shared" si="8"/>
        <v>-30773.28125</v>
      </c>
      <c r="M131">
        <f>IF(AND(MyRowHidden(ROW())=FALSE,MyRowHidden(ROW()-1)=TRUE),0,(G131-G130)*unitsFuturesCompare+M130)</f>
        <v>-17970</v>
      </c>
      <c r="N131">
        <f>IF(MyRowHidden(ROW())=TRUE,0,L131-M131)</f>
        <v>-12803.28125</v>
      </c>
      <c r="O131">
        <f>MAX(N$12:N131)</f>
        <v>32081.5625</v>
      </c>
      <c r="P131">
        <f>IF(O131&gt;O130,(O131-O130)*percentSavingsParticipation,0)</f>
        <v>0</v>
      </c>
      <c r="Q131">
        <f t="shared" si="9"/>
        <v>16040.78125</v>
      </c>
      <c r="R131">
        <f t="shared" si="10"/>
        <v>-14732.5</v>
      </c>
    </row>
    <row r="132" spans="1:18" x14ac:dyDescent="0.25">
      <c r="A132" s="1"/>
      <c r="C132" s="1"/>
      <c r="D132" s="1">
        <v>41443</v>
      </c>
      <c r="E132" s="10">
        <v>27850.25</v>
      </c>
      <c r="F132" s="1">
        <v>41443</v>
      </c>
      <c r="G132">
        <v>4040</v>
      </c>
      <c r="H132" s="1">
        <f t="shared" si="6"/>
        <v>41443</v>
      </c>
      <c r="I132">
        <f>IF(AND(MyRowHidden(ROW())=FALSE,MyRowHidden(ROW()-1)=TRUE),0,(E132-E131)*unitsOfDHp+I131)</f>
        <v>-11747.5</v>
      </c>
      <c r="J132">
        <f>IF(AND(MyRowHidden(ROW())=FALSE,MyRowHidden(ROW()-1)=TRUE),0,(G132-G131)*unitsOfExo+J131)</f>
        <v>-5985</v>
      </c>
      <c r="K132" s="9">
        <f t="shared" si="7"/>
        <v>5985</v>
      </c>
      <c r="L132">
        <f t="shared" si="8"/>
        <v>-33773.28125</v>
      </c>
      <c r="M132">
        <f>IF(AND(MyRowHidden(ROW())=FALSE,MyRowHidden(ROW()-1)=TRUE),0,(G132-G131)*unitsFuturesCompare+M131)</f>
        <v>-11970</v>
      </c>
      <c r="N132">
        <f>IF(MyRowHidden(ROW())=TRUE,0,L132-M132)</f>
        <v>-21803.28125</v>
      </c>
      <c r="O132">
        <f>MAX(N$12:N132)</f>
        <v>32081.5625</v>
      </c>
      <c r="P132">
        <f>IF(O132&gt;O131,(O132-O131)*percentSavingsParticipation,0)</f>
        <v>0</v>
      </c>
      <c r="Q132">
        <f t="shared" si="9"/>
        <v>16040.78125</v>
      </c>
      <c r="R132">
        <f t="shared" si="10"/>
        <v>-17732.5</v>
      </c>
    </row>
    <row r="133" spans="1:18" x14ac:dyDescent="0.25">
      <c r="A133" s="1"/>
      <c r="C133" s="1"/>
      <c r="D133" s="1">
        <v>41444</v>
      </c>
      <c r="E133" s="10">
        <v>27852.75</v>
      </c>
      <c r="F133" s="1">
        <v>41444</v>
      </c>
      <c r="G133">
        <v>4590</v>
      </c>
      <c r="H133" s="1">
        <f t="shared" si="6"/>
        <v>41444</v>
      </c>
      <c r="I133">
        <f>IF(AND(MyRowHidden(ROW())=FALSE,MyRowHidden(ROW()-1)=TRUE),0,(E133-E132)*unitsOfDHp+I132)</f>
        <v>-11722.5</v>
      </c>
      <c r="J133">
        <f>IF(AND(MyRowHidden(ROW())=FALSE,MyRowHidden(ROW()-1)=TRUE),0,(G133-G132)*unitsOfExo+J132)</f>
        <v>-485</v>
      </c>
      <c r="K133" s="9">
        <f t="shared" si="7"/>
        <v>485</v>
      </c>
      <c r="L133">
        <f t="shared" si="8"/>
        <v>-28248.28125</v>
      </c>
      <c r="M133">
        <f>IF(AND(MyRowHidden(ROW())=FALSE,MyRowHidden(ROW()-1)=TRUE),0,(G133-G132)*unitsFuturesCompare+M132)</f>
        <v>-970</v>
      </c>
      <c r="N133">
        <f>IF(MyRowHidden(ROW())=TRUE,0,L133-M133)</f>
        <v>-27278.28125</v>
      </c>
      <c r="O133">
        <f>MAX(N$12:N133)</f>
        <v>32081.5625</v>
      </c>
      <c r="P133">
        <f>IF(O133&gt;O132,(O133-O132)*percentSavingsParticipation,0)</f>
        <v>0</v>
      </c>
      <c r="Q133">
        <f t="shared" si="9"/>
        <v>16040.78125</v>
      </c>
      <c r="R133">
        <f t="shared" si="10"/>
        <v>-12207.5</v>
      </c>
    </row>
    <row r="134" spans="1:18" x14ac:dyDescent="0.25">
      <c r="A134" s="1"/>
      <c r="C134" s="1"/>
      <c r="D134" s="1">
        <v>41445</v>
      </c>
      <c r="E134" s="10">
        <v>27444.25</v>
      </c>
      <c r="F134" s="1">
        <v>41445</v>
      </c>
      <c r="G134">
        <v>4215</v>
      </c>
      <c r="H134" s="1">
        <f t="shared" si="6"/>
        <v>41445</v>
      </c>
      <c r="I134">
        <f>IF(AND(MyRowHidden(ROW())=FALSE,MyRowHidden(ROW()-1)=TRUE),0,(E134-E133)*unitsOfDHp+I133)</f>
        <v>-15807.5</v>
      </c>
      <c r="J134">
        <f>IF(AND(MyRowHidden(ROW())=FALSE,MyRowHidden(ROW()-1)=TRUE),0,(G134-G133)*unitsOfExo+J133)</f>
        <v>-4235</v>
      </c>
      <c r="K134" s="9">
        <f t="shared" si="7"/>
        <v>4235</v>
      </c>
      <c r="L134">
        <f t="shared" si="8"/>
        <v>-36083.28125</v>
      </c>
      <c r="M134">
        <f>IF(AND(MyRowHidden(ROW())=FALSE,MyRowHidden(ROW()-1)=TRUE),0,(G134-G133)*unitsFuturesCompare+M133)</f>
        <v>-8470</v>
      </c>
      <c r="N134">
        <f>IF(MyRowHidden(ROW())=TRUE,0,L134-M134)</f>
        <v>-27613.28125</v>
      </c>
      <c r="O134">
        <f>MAX(N$12:N134)</f>
        <v>32081.5625</v>
      </c>
      <c r="P134">
        <f>IF(O134&gt;O133,(O134-O133)*percentSavingsParticipation,0)</f>
        <v>0</v>
      </c>
      <c r="Q134">
        <f t="shared" si="9"/>
        <v>16040.78125</v>
      </c>
      <c r="R134">
        <f t="shared" si="10"/>
        <v>-20042.5</v>
      </c>
    </row>
    <row r="135" spans="1:18" x14ac:dyDescent="0.25">
      <c r="A135" s="1"/>
      <c r="C135" s="1"/>
      <c r="D135" s="1">
        <v>41446</v>
      </c>
      <c r="E135" s="10">
        <v>27232.25</v>
      </c>
      <c r="F135" s="1">
        <v>41446</v>
      </c>
      <c r="G135">
        <v>4065</v>
      </c>
      <c r="H135" s="1">
        <f t="shared" si="6"/>
        <v>41446</v>
      </c>
      <c r="I135">
        <f>IF(AND(MyRowHidden(ROW())=FALSE,MyRowHidden(ROW()-1)=TRUE),0,(E135-E134)*unitsOfDHp+I134)</f>
        <v>-17927.5</v>
      </c>
      <c r="J135">
        <f>IF(AND(MyRowHidden(ROW())=FALSE,MyRowHidden(ROW()-1)=TRUE),0,(G135-G134)*unitsOfExo+J134)</f>
        <v>-5735</v>
      </c>
      <c r="K135" s="9">
        <f t="shared" si="7"/>
        <v>5735</v>
      </c>
      <c r="L135">
        <f t="shared" si="8"/>
        <v>-39703.28125</v>
      </c>
      <c r="M135">
        <f>IF(AND(MyRowHidden(ROW())=FALSE,MyRowHidden(ROW()-1)=TRUE),0,(G135-G134)*unitsFuturesCompare+M134)</f>
        <v>-11470</v>
      </c>
      <c r="N135">
        <f>IF(MyRowHidden(ROW())=TRUE,0,L135-M135)</f>
        <v>-28233.28125</v>
      </c>
      <c r="O135">
        <f>MAX(N$12:N135)</f>
        <v>32081.5625</v>
      </c>
      <c r="P135">
        <f>IF(O135&gt;O134,(O135-O134)*percentSavingsParticipation,0)</f>
        <v>0</v>
      </c>
      <c r="Q135">
        <f t="shared" si="9"/>
        <v>16040.78125</v>
      </c>
      <c r="R135">
        <f t="shared" si="10"/>
        <v>-23662.5</v>
      </c>
    </row>
    <row r="136" spans="1:18" x14ac:dyDescent="0.25">
      <c r="A136" s="1"/>
      <c r="C136" s="1"/>
      <c r="D136" s="1">
        <v>41449</v>
      </c>
      <c r="E136" s="10">
        <v>26632.75</v>
      </c>
      <c r="F136" s="1">
        <v>41449</v>
      </c>
      <c r="G136">
        <v>3302.5</v>
      </c>
      <c r="H136" s="1">
        <f t="shared" si="6"/>
        <v>41449</v>
      </c>
      <c r="I136">
        <f>IF(AND(MyRowHidden(ROW())=FALSE,MyRowHidden(ROW()-1)=TRUE),0,(E136-E135)*unitsOfDHp+I135)</f>
        <v>-23922.5</v>
      </c>
      <c r="J136">
        <f>IF(AND(MyRowHidden(ROW())=FALSE,MyRowHidden(ROW()-1)=TRUE),0,(G136-G135)*unitsOfExo+J135)</f>
        <v>-13360</v>
      </c>
      <c r="K136" s="9">
        <f t="shared" si="7"/>
        <v>13360</v>
      </c>
      <c r="L136">
        <f t="shared" si="8"/>
        <v>-53323.28125</v>
      </c>
      <c r="M136">
        <f>IF(AND(MyRowHidden(ROW())=FALSE,MyRowHidden(ROW()-1)=TRUE),0,(G136-G135)*unitsFuturesCompare+M135)</f>
        <v>-26720</v>
      </c>
      <c r="N136">
        <f>IF(MyRowHidden(ROW())=TRUE,0,L136-M136)</f>
        <v>-26603.28125</v>
      </c>
      <c r="O136">
        <f>MAX(N$12:N136)</f>
        <v>32081.5625</v>
      </c>
      <c r="P136">
        <f>IF(O136&gt;O135,(O136-O135)*percentSavingsParticipation,0)</f>
        <v>0</v>
      </c>
      <c r="Q136">
        <f t="shared" si="9"/>
        <v>16040.78125</v>
      </c>
      <c r="R136">
        <f t="shared" si="10"/>
        <v>-37282.5</v>
      </c>
    </row>
    <row r="137" spans="1:18" x14ac:dyDescent="0.25">
      <c r="A137" s="1"/>
      <c r="C137" s="1"/>
      <c r="D137" s="1">
        <v>41450</v>
      </c>
      <c r="E137" s="10">
        <v>26407.75</v>
      </c>
      <c r="F137" s="1">
        <v>41450</v>
      </c>
      <c r="G137">
        <v>3165</v>
      </c>
      <c r="H137" s="1">
        <f t="shared" si="6"/>
        <v>41450</v>
      </c>
      <c r="I137">
        <f>IF(AND(MyRowHidden(ROW())=FALSE,MyRowHidden(ROW()-1)=TRUE),0,(E137-E136)*unitsOfDHp+I136)</f>
        <v>-26172.5</v>
      </c>
      <c r="J137">
        <f>IF(AND(MyRowHidden(ROW())=FALSE,MyRowHidden(ROW()-1)=TRUE),0,(G137-G136)*unitsOfExo+J136)</f>
        <v>-14735</v>
      </c>
      <c r="K137" s="9">
        <f t="shared" si="7"/>
        <v>14735</v>
      </c>
      <c r="L137">
        <f t="shared" si="8"/>
        <v>-56948.28125</v>
      </c>
      <c r="M137">
        <f>IF(AND(MyRowHidden(ROW())=FALSE,MyRowHidden(ROW()-1)=TRUE),0,(G137-G136)*unitsFuturesCompare+M136)</f>
        <v>-29470</v>
      </c>
      <c r="N137">
        <f>IF(MyRowHidden(ROW())=TRUE,0,L137-M137)</f>
        <v>-27478.28125</v>
      </c>
      <c r="O137">
        <f>MAX(N$12:N137)</f>
        <v>32081.5625</v>
      </c>
      <c r="P137">
        <f>IF(O137&gt;O136,(O137-O136)*percentSavingsParticipation,0)</f>
        <v>0</v>
      </c>
      <c r="Q137">
        <f t="shared" si="9"/>
        <v>16040.78125</v>
      </c>
      <c r="R137">
        <f t="shared" si="10"/>
        <v>-40907.5</v>
      </c>
    </row>
    <row r="138" spans="1:18" x14ac:dyDescent="0.25">
      <c r="A138" s="1"/>
      <c r="C138" s="1"/>
      <c r="D138" s="1">
        <v>41451</v>
      </c>
      <c r="E138" s="10">
        <v>26407.75</v>
      </c>
      <c r="F138" s="1">
        <v>41451</v>
      </c>
      <c r="G138">
        <v>3040</v>
      </c>
      <c r="H138" s="1">
        <f t="shared" si="6"/>
        <v>41451</v>
      </c>
      <c r="I138">
        <f>IF(AND(MyRowHidden(ROW())=FALSE,MyRowHidden(ROW()-1)=TRUE),0,(E138-E137)*unitsOfDHp+I137)</f>
        <v>-26172.5</v>
      </c>
      <c r="J138">
        <f>IF(AND(MyRowHidden(ROW())=FALSE,MyRowHidden(ROW()-1)=TRUE),0,(G138-G137)*unitsOfExo+J137)</f>
        <v>-15985</v>
      </c>
      <c r="K138" s="9">
        <f t="shared" si="7"/>
        <v>15985</v>
      </c>
      <c r="L138">
        <f t="shared" si="8"/>
        <v>-58198.28125</v>
      </c>
      <c r="M138">
        <f>IF(AND(MyRowHidden(ROW())=FALSE,MyRowHidden(ROW()-1)=TRUE),0,(G138-G137)*unitsFuturesCompare+M137)</f>
        <v>-31970</v>
      </c>
      <c r="N138">
        <f>IF(MyRowHidden(ROW())=TRUE,0,L138-M138)</f>
        <v>-26228.28125</v>
      </c>
      <c r="O138">
        <f>MAX(N$12:N138)</f>
        <v>32081.5625</v>
      </c>
      <c r="P138">
        <f>IF(O138&gt;O137,(O138-O137)*percentSavingsParticipation,0)</f>
        <v>0</v>
      </c>
      <c r="Q138">
        <f t="shared" si="9"/>
        <v>16040.78125</v>
      </c>
      <c r="R138">
        <f t="shared" si="10"/>
        <v>-42157.5</v>
      </c>
    </row>
    <row r="139" spans="1:18" x14ac:dyDescent="0.25">
      <c r="A139" s="1"/>
      <c r="C139" s="1"/>
      <c r="D139" s="1">
        <v>41452</v>
      </c>
      <c r="E139" s="10">
        <v>26407.75</v>
      </c>
      <c r="F139" s="1">
        <v>41452</v>
      </c>
      <c r="G139">
        <v>2852.5</v>
      </c>
      <c r="H139" s="1">
        <f t="shared" si="6"/>
        <v>41452</v>
      </c>
      <c r="I139">
        <f>IF(AND(MyRowHidden(ROW())=FALSE,MyRowHidden(ROW()-1)=TRUE),0,(E139-E138)*unitsOfDHp+I138)</f>
        <v>-26172.5</v>
      </c>
      <c r="J139">
        <f>IF(AND(MyRowHidden(ROW())=FALSE,MyRowHidden(ROW()-1)=TRUE),0,(G139-G138)*unitsOfExo+J138)</f>
        <v>-17860</v>
      </c>
      <c r="K139" s="9">
        <f t="shared" si="7"/>
        <v>17860</v>
      </c>
      <c r="L139">
        <f t="shared" si="8"/>
        <v>-60073.28125</v>
      </c>
      <c r="M139">
        <f>IF(AND(MyRowHidden(ROW())=FALSE,MyRowHidden(ROW()-1)=TRUE),0,(G139-G138)*unitsFuturesCompare+M138)</f>
        <v>-35720</v>
      </c>
      <c r="N139">
        <f>IF(MyRowHidden(ROW())=TRUE,0,L139-M139)</f>
        <v>-24353.28125</v>
      </c>
      <c r="O139">
        <f>MAX(N$12:N139)</f>
        <v>32081.5625</v>
      </c>
      <c r="P139">
        <f>IF(O139&gt;O138,(O139-O138)*percentSavingsParticipation,0)</f>
        <v>0</v>
      </c>
      <c r="Q139">
        <f t="shared" si="9"/>
        <v>16040.78125</v>
      </c>
      <c r="R139">
        <f t="shared" si="10"/>
        <v>-44032.5</v>
      </c>
    </row>
    <row r="140" spans="1:18" x14ac:dyDescent="0.25">
      <c r="A140" s="1"/>
      <c r="C140" s="1"/>
      <c r="D140" s="1">
        <v>41453</v>
      </c>
      <c r="E140" s="10">
        <v>26407.75</v>
      </c>
      <c r="F140" s="1">
        <v>41453</v>
      </c>
      <c r="G140">
        <v>1790</v>
      </c>
      <c r="H140" s="1">
        <f t="shared" si="6"/>
        <v>41453</v>
      </c>
      <c r="I140">
        <f>IF(AND(MyRowHidden(ROW())=FALSE,MyRowHidden(ROW()-1)=TRUE),0,(E140-E139)*unitsOfDHp+I139)</f>
        <v>-26172.5</v>
      </c>
      <c r="J140">
        <f>IF(AND(MyRowHidden(ROW())=FALSE,MyRowHidden(ROW()-1)=TRUE),0,(G140-G139)*unitsOfExo+J139)</f>
        <v>-28485</v>
      </c>
      <c r="K140" s="9">
        <f t="shared" si="7"/>
        <v>28485</v>
      </c>
      <c r="L140">
        <f t="shared" si="8"/>
        <v>-70698.28125</v>
      </c>
      <c r="M140">
        <f>IF(AND(MyRowHidden(ROW())=FALSE,MyRowHidden(ROW()-1)=TRUE),0,(G140-G139)*unitsFuturesCompare+M139)</f>
        <v>-56970</v>
      </c>
      <c r="N140">
        <f>IF(MyRowHidden(ROW())=TRUE,0,L140-M140)</f>
        <v>-13728.28125</v>
      </c>
      <c r="O140">
        <f>MAX(N$12:N140)</f>
        <v>32081.5625</v>
      </c>
      <c r="P140">
        <f>IF(O140&gt;O139,(O140-O139)*percentSavingsParticipation,0)</f>
        <v>0</v>
      </c>
      <c r="Q140">
        <f t="shared" si="9"/>
        <v>16040.78125</v>
      </c>
      <c r="R140">
        <f t="shared" si="10"/>
        <v>-54657.5</v>
      </c>
    </row>
    <row r="141" spans="1:18" x14ac:dyDescent="0.25">
      <c r="A141" s="1"/>
      <c r="C141" s="1"/>
      <c r="D141" s="1">
        <v>41456</v>
      </c>
      <c r="E141" s="10">
        <v>26407.75</v>
      </c>
      <c r="F141" s="1">
        <v>41456</v>
      </c>
      <c r="G141">
        <v>915.5</v>
      </c>
      <c r="H141" s="1">
        <f t="shared" ref="H141:H204" si="11">D141</f>
        <v>41456</v>
      </c>
      <c r="I141">
        <f>IF(AND(MyRowHidden(ROW())=FALSE,MyRowHidden(ROW()-1)=TRUE),0,(E141-E140)*unitsOfDHp+I140)</f>
        <v>-26172.5</v>
      </c>
      <c r="J141">
        <f>IF(AND(MyRowHidden(ROW())=FALSE,MyRowHidden(ROW()-1)=TRUE),0,(G141-G140)*unitsOfExo+J140)</f>
        <v>-37230</v>
      </c>
      <c r="K141" s="9">
        <f t="shared" ref="K141:K204" si="12">-(J141-J140)+K140</f>
        <v>37230</v>
      </c>
      <c r="L141">
        <f t="shared" ref="L141:L204" si="13">I141-I140+J141-J140+L140-P140</f>
        <v>-79443.28125</v>
      </c>
      <c r="M141">
        <f>IF(AND(MyRowHidden(ROW())=FALSE,MyRowHidden(ROW()-1)=TRUE),0,(G141-G140)*unitsFuturesCompare+M140)</f>
        <v>-74460</v>
      </c>
      <c r="N141">
        <f>IF(MyRowHidden(ROW())=TRUE,0,L141-M141)</f>
        <v>-4983.28125</v>
      </c>
      <c r="O141">
        <f>MAX(N$12:N141)</f>
        <v>32081.5625</v>
      </c>
      <c r="P141">
        <f>IF(O141&gt;O140,(O141-O140)*percentSavingsParticipation,0)</f>
        <v>0</v>
      </c>
      <c r="Q141">
        <f t="shared" ref="Q141:Q204" si="14">P141+Q140</f>
        <v>16040.78125</v>
      </c>
      <c r="R141">
        <f t="shared" ref="R141:R204" si="15">I141+J141</f>
        <v>-63402.5</v>
      </c>
    </row>
    <row r="142" spans="1:18" x14ac:dyDescent="0.25">
      <c r="A142" s="1"/>
      <c r="C142" s="1"/>
      <c r="D142" s="1">
        <v>41457</v>
      </c>
      <c r="E142" s="10">
        <v>26407.75</v>
      </c>
      <c r="F142" s="1">
        <v>41457</v>
      </c>
      <c r="G142">
        <v>878</v>
      </c>
      <c r="H142" s="1">
        <f t="shared" si="11"/>
        <v>41457</v>
      </c>
      <c r="I142">
        <f>IF(AND(MyRowHidden(ROW())=FALSE,MyRowHidden(ROW()-1)=TRUE),0,(E142-E141)*unitsOfDHp+I141)</f>
        <v>-26172.5</v>
      </c>
      <c r="J142">
        <f>IF(AND(MyRowHidden(ROW())=FALSE,MyRowHidden(ROW()-1)=TRUE),0,(G142-G141)*unitsOfExo+J141)</f>
        <v>-37605</v>
      </c>
      <c r="K142" s="9">
        <f t="shared" si="12"/>
        <v>37605</v>
      </c>
      <c r="L142">
        <f t="shared" si="13"/>
        <v>-79818.28125</v>
      </c>
      <c r="M142">
        <f>IF(AND(MyRowHidden(ROW())=FALSE,MyRowHidden(ROW()-1)=TRUE),0,(G142-G141)*unitsFuturesCompare+M141)</f>
        <v>-75210</v>
      </c>
      <c r="N142">
        <f>IF(MyRowHidden(ROW())=TRUE,0,L142-M142)</f>
        <v>-4608.28125</v>
      </c>
      <c r="O142">
        <f>MAX(N$12:N142)</f>
        <v>32081.5625</v>
      </c>
      <c r="P142">
        <f>IF(O142&gt;O141,(O142-O141)*percentSavingsParticipation,0)</f>
        <v>0</v>
      </c>
      <c r="Q142">
        <f t="shared" si="14"/>
        <v>16040.78125</v>
      </c>
      <c r="R142">
        <f t="shared" si="15"/>
        <v>-63777.5</v>
      </c>
    </row>
    <row r="143" spans="1:18" x14ac:dyDescent="0.25">
      <c r="A143" s="1"/>
      <c r="C143" s="1"/>
      <c r="D143" s="1">
        <v>41458</v>
      </c>
      <c r="E143" s="10">
        <v>26370.25</v>
      </c>
      <c r="F143" s="1">
        <v>41458</v>
      </c>
      <c r="G143">
        <v>890.5</v>
      </c>
      <c r="H143" s="1">
        <f t="shared" si="11"/>
        <v>41458</v>
      </c>
      <c r="I143">
        <f>IF(AND(MyRowHidden(ROW())=FALSE,MyRowHidden(ROW()-1)=TRUE),0,(E143-E142)*unitsOfDHp+I142)</f>
        <v>-26547.5</v>
      </c>
      <c r="J143">
        <f>IF(AND(MyRowHidden(ROW())=FALSE,MyRowHidden(ROW()-1)=TRUE),0,(G143-G142)*unitsOfExo+J142)</f>
        <v>-37480</v>
      </c>
      <c r="K143" s="9">
        <f t="shared" si="12"/>
        <v>37480</v>
      </c>
      <c r="L143">
        <f t="shared" si="13"/>
        <v>-80068.28125</v>
      </c>
      <c r="M143">
        <f>IF(AND(MyRowHidden(ROW())=FALSE,MyRowHidden(ROW()-1)=TRUE),0,(G143-G142)*unitsFuturesCompare+M142)</f>
        <v>-74960</v>
      </c>
      <c r="N143">
        <f>IF(MyRowHidden(ROW())=TRUE,0,L143-M143)</f>
        <v>-5108.28125</v>
      </c>
      <c r="O143">
        <f>MAX(N$12:N143)</f>
        <v>32081.5625</v>
      </c>
      <c r="P143">
        <f>IF(O143&gt;O142,(O143-O142)*percentSavingsParticipation,0)</f>
        <v>0</v>
      </c>
      <c r="Q143">
        <f t="shared" si="14"/>
        <v>16040.78125</v>
      </c>
      <c r="R143">
        <f t="shared" si="15"/>
        <v>-64027.5</v>
      </c>
    </row>
    <row r="144" spans="1:18" x14ac:dyDescent="0.25">
      <c r="A144" s="1"/>
      <c r="C144" s="1"/>
      <c r="D144" s="1">
        <v>41459</v>
      </c>
      <c r="E144" s="10">
        <v>26257.75</v>
      </c>
      <c r="F144" s="1">
        <v>41459</v>
      </c>
      <c r="G144">
        <v>1028</v>
      </c>
      <c r="H144" s="1">
        <f t="shared" si="11"/>
        <v>41459</v>
      </c>
      <c r="I144">
        <f>IF(AND(MyRowHidden(ROW())=FALSE,MyRowHidden(ROW()-1)=TRUE),0,(E144-E143)*unitsOfDHp+I143)</f>
        <v>-27672.5</v>
      </c>
      <c r="J144">
        <f>IF(AND(MyRowHidden(ROW())=FALSE,MyRowHidden(ROW()-1)=TRUE),0,(G144-G143)*unitsOfExo+J143)</f>
        <v>-36105</v>
      </c>
      <c r="K144" s="9">
        <f t="shared" si="12"/>
        <v>36105</v>
      </c>
      <c r="L144">
        <f t="shared" si="13"/>
        <v>-79818.28125</v>
      </c>
      <c r="M144">
        <f>IF(AND(MyRowHidden(ROW())=FALSE,MyRowHidden(ROW()-1)=TRUE),0,(G144-G143)*unitsFuturesCompare+M143)</f>
        <v>-72210</v>
      </c>
      <c r="N144">
        <f>IF(MyRowHidden(ROW())=TRUE,0,L144-M144)</f>
        <v>-7608.28125</v>
      </c>
      <c r="O144">
        <f>MAX(N$12:N144)</f>
        <v>32081.5625</v>
      </c>
      <c r="P144">
        <f>IF(O144&gt;O143,(O144-O143)*percentSavingsParticipation,0)</f>
        <v>0</v>
      </c>
      <c r="Q144">
        <f t="shared" si="14"/>
        <v>16040.78125</v>
      </c>
      <c r="R144">
        <f t="shared" si="15"/>
        <v>-63777.5</v>
      </c>
    </row>
    <row r="145" spans="1:18" x14ac:dyDescent="0.25">
      <c r="A145" s="1"/>
      <c r="C145" s="1"/>
      <c r="D145" s="1">
        <v>41460</v>
      </c>
      <c r="E145" s="10">
        <v>26670.25</v>
      </c>
      <c r="F145" s="1">
        <v>41460</v>
      </c>
      <c r="G145">
        <v>640.5</v>
      </c>
      <c r="H145" s="1">
        <f t="shared" si="11"/>
        <v>41460</v>
      </c>
      <c r="I145">
        <f>IF(AND(MyRowHidden(ROW())=FALSE,MyRowHidden(ROW()-1)=TRUE),0,(E145-E144)*unitsOfDHp+I144)</f>
        <v>-23547.5</v>
      </c>
      <c r="J145">
        <f>IF(AND(MyRowHidden(ROW())=FALSE,MyRowHidden(ROW()-1)=TRUE),0,(G145-G144)*unitsOfExo+J144)</f>
        <v>-39980</v>
      </c>
      <c r="K145" s="9">
        <f t="shared" si="12"/>
        <v>39980</v>
      </c>
      <c r="L145">
        <f t="shared" si="13"/>
        <v>-79568.28125</v>
      </c>
      <c r="M145">
        <f>IF(AND(MyRowHidden(ROW())=FALSE,MyRowHidden(ROW()-1)=TRUE),0,(G145-G144)*unitsFuturesCompare+M144)</f>
        <v>-79960</v>
      </c>
      <c r="N145">
        <f>IF(MyRowHidden(ROW())=TRUE,0,L145-M145)</f>
        <v>391.71875</v>
      </c>
      <c r="O145">
        <f>MAX(N$12:N145)</f>
        <v>32081.5625</v>
      </c>
      <c r="P145">
        <f>IF(O145&gt;O144,(O145-O144)*percentSavingsParticipation,0)</f>
        <v>0</v>
      </c>
      <c r="Q145">
        <f t="shared" si="14"/>
        <v>16040.78125</v>
      </c>
      <c r="R145">
        <f t="shared" si="15"/>
        <v>-63527.5</v>
      </c>
    </row>
    <row r="146" spans="1:18" x14ac:dyDescent="0.25">
      <c r="A146" s="1"/>
      <c r="C146" s="1"/>
      <c r="D146" s="1">
        <v>41463</v>
      </c>
      <c r="E146" s="10">
        <v>26295.25</v>
      </c>
      <c r="F146" s="1">
        <v>41463</v>
      </c>
      <c r="G146">
        <v>1015.5</v>
      </c>
      <c r="H146" s="1">
        <f t="shared" si="11"/>
        <v>41463</v>
      </c>
      <c r="I146">
        <f>IF(AND(MyRowHidden(ROW())=FALSE,MyRowHidden(ROW()-1)=TRUE),0,(E146-E145)*unitsOfDHp+I145)</f>
        <v>-27297.5</v>
      </c>
      <c r="J146">
        <f>IF(AND(MyRowHidden(ROW())=FALSE,MyRowHidden(ROW()-1)=TRUE),0,(G146-G145)*unitsOfExo+J145)</f>
        <v>-36230</v>
      </c>
      <c r="K146" s="9">
        <f t="shared" si="12"/>
        <v>36230</v>
      </c>
      <c r="L146">
        <f t="shared" si="13"/>
        <v>-79568.28125</v>
      </c>
      <c r="M146">
        <f>IF(AND(MyRowHidden(ROW())=FALSE,MyRowHidden(ROW()-1)=TRUE),0,(G146-G145)*unitsFuturesCompare+M145)</f>
        <v>-72460</v>
      </c>
      <c r="N146">
        <f>IF(MyRowHidden(ROW())=TRUE,0,L146-M146)</f>
        <v>-7108.28125</v>
      </c>
      <c r="O146">
        <f>MAX(N$12:N146)</f>
        <v>32081.5625</v>
      </c>
      <c r="P146">
        <f>IF(O146&gt;O145,(O146-O145)*percentSavingsParticipation,0)</f>
        <v>0</v>
      </c>
      <c r="Q146">
        <f t="shared" si="14"/>
        <v>16040.78125</v>
      </c>
      <c r="R146">
        <f t="shared" si="15"/>
        <v>-63527.5</v>
      </c>
    </row>
    <row r="147" spans="1:18" x14ac:dyDescent="0.25">
      <c r="A147" s="1"/>
      <c r="C147" s="1"/>
      <c r="D147" s="1">
        <v>41464</v>
      </c>
      <c r="E147" s="10">
        <v>25463.25</v>
      </c>
      <c r="F147" s="1">
        <v>41464</v>
      </c>
      <c r="G147">
        <v>1653</v>
      </c>
      <c r="H147" s="1">
        <f t="shared" si="11"/>
        <v>41464</v>
      </c>
      <c r="I147">
        <f>IF(AND(MyRowHidden(ROW())=FALSE,MyRowHidden(ROW()-1)=TRUE),0,(E147-E146)*unitsOfDHp+I146)</f>
        <v>-35617.5</v>
      </c>
      <c r="J147">
        <f>IF(AND(MyRowHidden(ROW())=FALSE,MyRowHidden(ROW()-1)=TRUE),0,(G147-G146)*unitsOfExo+J146)</f>
        <v>-29855</v>
      </c>
      <c r="K147" s="9">
        <f t="shared" si="12"/>
        <v>29855</v>
      </c>
      <c r="L147">
        <f t="shared" si="13"/>
        <v>-81513.28125</v>
      </c>
      <c r="M147">
        <f>IF(AND(MyRowHidden(ROW())=FALSE,MyRowHidden(ROW()-1)=TRUE),0,(G147-G146)*unitsFuturesCompare+M146)</f>
        <v>-59710</v>
      </c>
      <c r="N147">
        <f>IF(MyRowHidden(ROW())=TRUE,0,L147-M147)</f>
        <v>-21803.28125</v>
      </c>
      <c r="O147">
        <f>MAX(N$12:N147)</f>
        <v>32081.5625</v>
      </c>
      <c r="P147">
        <f>IF(O147&gt;O146,(O147-O146)*percentSavingsParticipation,0)</f>
        <v>0</v>
      </c>
      <c r="Q147">
        <f t="shared" si="14"/>
        <v>16040.78125</v>
      </c>
      <c r="R147">
        <f t="shared" si="15"/>
        <v>-65472.5</v>
      </c>
    </row>
    <row r="148" spans="1:18" x14ac:dyDescent="0.25">
      <c r="A148" s="1"/>
      <c r="C148" s="1"/>
      <c r="D148" s="1">
        <v>41465</v>
      </c>
      <c r="E148" s="10">
        <v>25425.75</v>
      </c>
      <c r="F148" s="1">
        <v>41465</v>
      </c>
      <c r="G148">
        <v>1840.5</v>
      </c>
      <c r="H148" s="1">
        <f t="shared" si="11"/>
        <v>41465</v>
      </c>
      <c r="I148">
        <f>IF(AND(MyRowHidden(ROW())=FALSE,MyRowHidden(ROW()-1)=TRUE),0,(E148-E147)*unitsOfDHp+I147)</f>
        <v>-35992.5</v>
      </c>
      <c r="J148">
        <f>IF(AND(MyRowHidden(ROW())=FALSE,MyRowHidden(ROW()-1)=TRUE),0,(G148-G147)*unitsOfExo+J147)</f>
        <v>-27980</v>
      </c>
      <c r="K148" s="9">
        <f t="shared" si="12"/>
        <v>27980</v>
      </c>
      <c r="L148">
        <f t="shared" si="13"/>
        <v>-80013.28125</v>
      </c>
      <c r="M148">
        <f>IF(AND(MyRowHidden(ROW())=FALSE,MyRowHidden(ROW()-1)=TRUE),0,(G148-G147)*unitsFuturesCompare+M147)</f>
        <v>-55960</v>
      </c>
      <c r="N148">
        <f>IF(MyRowHidden(ROW())=TRUE,0,L148-M148)</f>
        <v>-24053.28125</v>
      </c>
      <c r="O148">
        <f>MAX(N$12:N148)</f>
        <v>32081.5625</v>
      </c>
      <c r="P148">
        <f>IF(O148&gt;O147,(O148-O147)*percentSavingsParticipation,0)</f>
        <v>0</v>
      </c>
      <c r="Q148">
        <f t="shared" si="14"/>
        <v>16040.78125</v>
      </c>
      <c r="R148">
        <f t="shared" si="15"/>
        <v>-63972.5</v>
      </c>
    </row>
    <row r="149" spans="1:18" x14ac:dyDescent="0.25">
      <c r="A149" s="1"/>
      <c r="C149" s="1"/>
      <c r="D149" s="1">
        <v>41466</v>
      </c>
      <c r="E149" s="10">
        <v>26144.25</v>
      </c>
      <c r="F149" s="1">
        <v>41466</v>
      </c>
      <c r="G149">
        <v>2290.5</v>
      </c>
      <c r="H149" s="1">
        <f t="shared" si="11"/>
        <v>41466</v>
      </c>
      <c r="I149">
        <f>IF(AND(MyRowHidden(ROW())=FALSE,MyRowHidden(ROW()-1)=TRUE),0,(E149-E148)*unitsOfDHp+I148)</f>
        <v>-28807.5</v>
      </c>
      <c r="J149">
        <f>IF(AND(MyRowHidden(ROW())=FALSE,MyRowHidden(ROW()-1)=TRUE),0,(G149-G148)*unitsOfExo+J148)</f>
        <v>-23480</v>
      </c>
      <c r="K149" s="9">
        <f t="shared" si="12"/>
        <v>23480</v>
      </c>
      <c r="L149">
        <f t="shared" si="13"/>
        <v>-68328.28125</v>
      </c>
      <c r="M149">
        <f>IF(AND(MyRowHidden(ROW())=FALSE,MyRowHidden(ROW()-1)=TRUE),0,(G149-G148)*unitsFuturesCompare+M148)</f>
        <v>-46960</v>
      </c>
      <c r="N149">
        <f>IF(MyRowHidden(ROW())=TRUE,0,L149-M149)</f>
        <v>-21368.28125</v>
      </c>
      <c r="O149">
        <f>MAX(N$12:N149)</f>
        <v>32081.5625</v>
      </c>
      <c r="P149">
        <f>IF(O149&gt;O148,(O149-O148)*percentSavingsParticipation,0)</f>
        <v>0</v>
      </c>
      <c r="Q149">
        <f t="shared" si="14"/>
        <v>16040.78125</v>
      </c>
      <c r="R149">
        <f t="shared" si="15"/>
        <v>-52287.5</v>
      </c>
    </row>
    <row r="150" spans="1:18" x14ac:dyDescent="0.25">
      <c r="A150" s="1"/>
      <c r="C150" s="1"/>
      <c r="D150" s="1">
        <v>41467</v>
      </c>
      <c r="E150" s="10">
        <v>25973.25</v>
      </c>
      <c r="F150" s="1">
        <v>41467</v>
      </c>
      <c r="G150">
        <v>1703</v>
      </c>
      <c r="H150" s="1">
        <f t="shared" si="11"/>
        <v>41467</v>
      </c>
      <c r="I150">
        <f>IF(AND(MyRowHidden(ROW())=FALSE,MyRowHidden(ROW()-1)=TRUE),0,(E150-E149)*unitsOfDHp+I149)</f>
        <v>-30517.5</v>
      </c>
      <c r="J150">
        <f>IF(AND(MyRowHidden(ROW())=FALSE,MyRowHidden(ROW()-1)=TRUE),0,(G150-G149)*unitsOfExo+J149)</f>
        <v>-29355</v>
      </c>
      <c r="K150" s="9">
        <f t="shared" si="12"/>
        <v>29355</v>
      </c>
      <c r="L150">
        <f t="shared" si="13"/>
        <v>-75913.28125</v>
      </c>
      <c r="M150">
        <f>IF(AND(MyRowHidden(ROW())=FALSE,MyRowHidden(ROW()-1)=TRUE),0,(G150-G149)*unitsFuturesCompare+M149)</f>
        <v>-58710</v>
      </c>
      <c r="N150">
        <f>IF(MyRowHidden(ROW())=TRUE,0,L150-M150)</f>
        <v>-17203.28125</v>
      </c>
      <c r="O150">
        <f>MAX(N$12:N150)</f>
        <v>32081.5625</v>
      </c>
      <c r="P150">
        <f>IF(O150&gt;O149,(O150-O149)*percentSavingsParticipation,0)</f>
        <v>0</v>
      </c>
      <c r="Q150">
        <f t="shared" si="14"/>
        <v>16040.78125</v>
      </c>
      <c r="R150">
        <f t="shared" si="15"/>
        <v>-59872.5</v>
      </c>
    </row>
    <row r="151" spans="1:18" x14ac:dyDescent="0.25">
      <c r="A151" s="1"/>
      <c r="C151" s="1"/>
      <c r="D151" s="1">
        <v>41470</v>
      </c>
      <c r="E151" s="10">
        <v>25038.75</v>
      </c>
      <c r="F151" s="1">
        <v>41470</v>
      </c>
      <c r="G151">
        <v>1115.5</v>
      </c>
      <c r="H151" s="1">
        <f t="shared" si="11"/>
        <v>41470</v>
      </c>
      <c r="I151">
        <f>IF(AND(MyRowHidden(ROW())=FALSE,MyRowHidden(ROW()-1)=TRUE),0,(E151-E150)*unitsOfDHp+I150)</f>
        <v>-39862.5</v>
      </c>
      <c r="J151">
        <f>IF(AND(MyRowHidden(ROW())=FALSE,MyRowHidden(ROW()-1)=TRUE),0,(G151-G150)*unitsOfExo+J150)</f>
        <v>-35230</v>
      </c>
      <c r="K151" s="9">
        <f t="shared" si="12"/>
        <v>35230</v>
      </c>
      <c r="L151">
        <f t="shared" si="13"/>
        <v>-91133.28125</v>
      </c>
      <c r="M151">
        <f>IF(AND(MyRowHidden(ROW())=FALSE,MyRowHidden(ROW()-1)=TRUE),0,(G151-G150)*unitsFuturesCompare+M150)</f>
        <v>-70460</v>
      </c>
      <c r="N151">
        <f>IF(MyRowHidden(ROW())=TRUE,0,L151-M151)</f>
        <v>-20673.28125</v>
      </c>
      <c r="O151">
        <f>MAX(N$12:N151)</f>
        <v>32081.5625</v>
      </c>
      <c r="P151">
        <f>IF(O151&gt;O150,(O151-O150)*percentSavingsParticipation,0)</f>
        <v>0</v>
      </c>
      <c r="Q151">
        <f t="shared" si="14"/>
        <v>16040.78125</v>
      </c>
      <c r="R151">
        <f t="shared" si="15"/>
        <v>-75092.5</v>
      </c>
    </row>
    <row r="152" spans="1:18" x14ac:dyDescent="0.25">
      <c r="A152" s="1"/>
      <c r="C152" s="1"/>
      <c r="D152" s="1">
        <v>41471</v>
      </c>
      <c r="E152" s="10">
        <v>25451.25</v>
      </c>
      <c r="F152" s="1">
        <v>41471</v>
      </c>
      <c r="G152">
        <v>1490.5</v>
      </c>
      <c r="H152" s="1">
        <f t="shared" si="11"/>
        <v>41471</v>
      </c>
      <c r="I152">
        <f>IF(AND(MyRowHidden(ROW())=FALSE,MyRowHidden(ROW()-1)=TRUE),0,(E152-E151)*unitsOfDHp+I151)</f>
        <v>-35737.5</v>
      </c>
      <c r="J152">
        <f>IF(AND(MyRowHidden(ROW())=FALSE,MyRowHidden(ROW()-1)=TRUE),0,(G152-G151)*unitsOfExo+J151)</f>
        <v>-31480</v>
      </c>
      <c r="K152" s="9">
        <f t="shared" si="12"/>
        <v>31480</v>
      </c>
      <c r="L152">
        <f t="shared" si="13"/>
        <v>-83258.28125</v>
      </c>
      <c r="M152">
        <f>IF(AND(MyRowHidden(ROW())=FALSE,MyRowHidden(ROW()-1)=TRUE),0,(G152-G151)*unitsFuturesCompare+M151)</f>
        <v>-62960</v>
      </c>
      <c r="N152">
        <f>IF(MyRowHidden(ROW())=TRUE,0,L152-M152)</f>
        <v>-20298.28125</v>
      </c>
      <c r="O152">
        <f>MAX(N$12:N152)</f>
        <v>32081.5625</v>
      </c>
      <c r="P152">
        <f>IF(O152&gt;O151,(O152-O151)*percentSavingsParticipation,0)</f>
        <v>0</v>
      </c>
      <c r="Q152">
        <f t="shared" si="14"/>
        <v>16040.78125</v>
      </c>
      <c r="R152">
        <f t="shared" si="15"/>
        <v>-67217.5</v>
      </c>
    </row>
    <row r="153" spans="1:18" x14ac:dyDescent="0.25">
      <c r="A153" s="1"/>
      <c r="C153" s="1"/>
      <c r="D153" s="1">
        <v>41472</v>
      </c>
      <c r="E153" s="10">
        <v>25326.25</v>
      </c>
      <c r="F153" s="1">
        <v>41472</v>
      </c>
      <c r="G153">
        <v>1215.5</v>
      </c>
      <c r="H153" s="1">
        <f t="shared" si="11"/>
        <v>41472</v>
      </c>
      <c r="I153">
        <f>IF(AND(MyRowHidden(ROW())=FALSE,MyRowHidden(ROW()-1)=TRUE),0,(E153-E152)*unitsOfDHp+I152)</f>
        <v>-36987.5</v>
      </c>
      <c r="J153">
        <f>IF(AND(MyRowHidden(ROW())=FALSE,MyRowHidden(ROW()-1)=TRUE),0,(G153-G152)*unitsOfExo+J152)</f>
        <v>-34230</v>
      </c>
      <c r="K153" s="9">
        <f t="shared" si="12"/>
        <v>34230</v>
      </c>
      <c r="L153">
        <f t="shared" si="13"/>
        <v>-87258.28125</v>
      </c>
      <c r="M153">
        <f>IF(AND(MyRowHidden(ROW())=FALSE,MyRowHidden(ROW()-1)=TRUE),0,(G153-G152)*unitsFuturesCompare+M152)</f>
        <v>-68460</v>
      </c>
      <c r="N153">
        <f>IF(MyRowHidden(ROW())=TRUE,0,L153-M153)</f>
        <v>-18798.28125</v>
      </c>
      <c r="O153">
        <f>MAX(N$12:N153)</f>
        <v>32081.5625</v>
      </c>
      <c r="P153">
        <f>IF(O153&gt;O152,(O153-O152)*percentSavingsParticipation,0)</f>
        <v>0</v>
      </c>
      <c r="Q153">
        <f t="shared" si="14"/>
        <v>16040.78125</v>
      </c>
      <c r="R153">
        <f t="shared" si="15"/>
        <v>-71217.5</v>
      </c>
    </row>
    <row r="154" spans="1:18" x14ac:dyDescent="0.25">
      <c r="A154" s="1"/>
      <c r="C154" s="1"/>
      <c r="D154" s="1">
        <v>41473</v>
      </c>
      <c r="E154" s="10">
        <v>25438.75</v>
      </c>
      <c r="F154" s="1">
        <v>41473</v>
      </c>
      <c r="G154">
        <v>1303</v>
      </c>
      <c r="H154" s="1">
        <f t="shared" si="11"/>
        <v>41473</v>
      </c>
      <c r="I154">
        <f>IF(AND(MyRowHidden(ROW())=FALSE,MyRowHidden(ROW()-1)=TRUE),0,(E154-E153)*unitsOfDHp+I153)</f>
        <v>-35862.5</v>
      </c>
      <c r="J154">
        <f>IF(AND(MyRowHidden(ROW())=FALSE,MyRowHidden(ROW()-1)=TRUE),0,(G154-G153)*unitsOfExo+J153)</f>
        <v>-33355</v>
      </c>
      <c r="K154" s="9">
        <f t="shared" si="12"/>
        <v>33355</v>
      </c>
      <c r="L154">
        <f t="shared" si="13"/>
        <v>-85258.28125</v>
      </c>
      <c r="M154">
        <f>IF(AND(MyRowHidden(ROW())=FALSE,MyRowHidden(ROW()-1)=TRUE),0,(G154-G153)*unitsFuturesCompare+M153)</f>
        <v>-66710</v>
      </c>
      <c r="N154">
        <f>IF(MyRowHidden(ROW())=TRUE,0,L154-M154)</f>
        <v>-18548.28125</v>
      </c>
      <c r="O154">
        <f>MAX(N$12:N154)</f>
        <v>32081.5625</v>
      </c>
      <c r="P154">
        <f>IF(O154&gt;O153,(O154-O153)*percentSavingsParticipation,0)</f>
        <v>0</v>
      </c>
      <c r="Q154">
        <f t="shared" si="14"/>
        <v>16040.78125</v>
      </c>
      <c r="R154">
        <f t="shared" si="15"/>
        <v>-69217.5</v>
      </c>
    </row>
    <row r="155" spans="1:18" x14ac:dyDescent="0.25">
      <c r="A155" s="1"/>
      <c r="C155" s="1"/>
      <c r="D155" s="1">
        <v>41474</v>
      </c>
      <c r="E155" s="10">
        <v>25726.25</v>
      </c>
      <c r="F155" s="1">
        <v>41474</v>
      </c>
      <c r="G155">
        <v>1478</v>
      </c>
      <c r="H155" s="1">
        <f t="shared" si="11"/>
        <v>41474</v>
      </c>
      <c r="I155">
        <f>IF(AND(MyRowHidden(ROW())=FALSE,MyRowHidden(ROW()-1)=TRUE),0,(E155-E154)*unitsOfDHp+I154)</f>
        <v>-32987.5</v>
      </c>
      <c r="J155">
        <f>IF(AND(MyRowHidden(ROW())=FALSE,MyRowHidden(ROW()-1)=TRUE),0,(G155-G154)*unitsOfExo+J154)</f>
        <v>-31605</v>
      </c>
      <c r="K155" s="9">
        <f t="shared" si="12"/>
        <v>31605</v>
      </c>
      <c r="L155">
        <f t="shared" si="13"/>
        <v>-80633.28125</v>
      </c>
      <c r="M155">
        <f>IF(AND(MyRowHidden(ROW())=FALSE,MyRowHidden(ROW()-1)=TRUE),0,(G155-G154)*unitsFuturesCompare+M154)</f>
        <v>-63210</v>
      </c>
      <c r="N155">
        <f>IF(MyRowHidden(ROW())=TRUE,0,L155-M155)</f>
        <v>-17423.28125</v>
      </c>
      <c r="O155">
        <f>MAX(N$12:N155)</f>
        <v>32081.5625</v>
      </c>
      <c r="P155">
        <f>IF(O155&gt;O154,(O155-O154)*percentSavingsParticipation,0)</f>
        <v>0</v>
      </c>
      <c r="Q155">
        <f t="shared" si="14"/>
        <v>16040.78125</v>
      </c>
      <c r="R155">
        <f t="shared" si="15"/>
        <v>-64592.5</v>
      </c>
    </row>
    <row r="156" spans="1:18" x14ac:dyDescent="0.25">
      <c r="A156" s="1"/>
      <c r="C156" s="1"/>
      <c r="D156" s="1">
        <v>41477</v>
      </c>
      <c r="E156" s="10">
        <v>25527.25</v>
      </c>
      <c r="F156" s="1">
        <v>41477</v>
      </c>
      <c r="G156">
        <v>1340.5</v>
      </c>
      <c r="H156" s="1">
        <f t="shared" si="11"/>
        <v>41477</v>
      </c>
      <c r="I156">
        <f>IF(AND(MyRowHidden(ROW())=FALSE,MyRowHidden(ROW()-1)=TRUE),0,(E156-E155)*unitsOfDHp+I155)</f>
        <v>-34977.5</v>
      </c>
      <c r="J156">
        <f>IF(AND(MyRowHidden(ROW())=FALSE,MyRowHidden(ROW()-1)=TRUE),0,(G156-G155)*unitsOfExo+J155)</f>
        <v>-32980</v>
      </c>
      <c r="K156" s="9">
        <f t="shared" si="12"/>
        <v>32980</v>
      </c>
      <c r="L156">
        <f t="shared" si="13"/>
        <v>-83998.28125</v>
      </c>
      <c r="M156">
        <f>IF(AND(MyRowHidden(ROW())=FALSE,MyRowHidden(ROW()-1)=TRUE),0,(G156-G155)*unitsFuturesCompare+M155)</f>
        <v>-65960</v>
      </c>
      <c r="N156">
        <f>IF(MyRowHidden(ROW())=TRUE,0,L156-M156)</f>
        <v>-18038.28125</v>
      </c>
      <c r="O156">
        <f>MAX(N$12:N156)</f>
        <v>32081.5625</v>
      </c>
      <c r="P156">
        <f>IF(O156&gt;O155,(O156-O155)*percentSavingsParticipation,0)</f>
        <v>0</v>
      </c>
      <c r="Q156">
        <f t="shared" si="14"/>
        <v>16040.78125</v>
      </c>
      <c r="R156">
        <f t="shared" si="15"/>
        <v>-67957.5</v>
      </c>
    </row>
    <row r="157" spans="1:18" x14ac:dyDescent="0.25">
      <c r="A157" s="1"/>
      <c r="C157" s="1"/>
      <c r="D157" s="1">
        <v>41478</v>
      </c>
      <c r="E157" s="10">
        <v>24544.25</v>
      </c>
      <c r="F157" s="1">
        <v>41478</v>
      </c>
      <c r="G157">
        <v>465.5</v>
      </c>
      <c r="H157" s="1">
        <f t="shared" si="11"/>
        <v>41478</v>
      </c>
      <c r="I157">
        <f>IF(AND(MyRowHidden(ROW())=FALSE,MyRowHidden(ROW()-1)=TRUE),0,(E157-E156)*unitsOfDHp+I156)</f>
        <v>-44807.5</v>
      </c>
      <c r="J157">
        <f>IF(AND(MyRowHidden(ROW())=FALSE,MyRowHidden(ROW()-1)=TRUE),0,(G157-G156)*unitsOfExo+J156)</f>
        <v>-41730</v>
      </c>
      <c r="K157" s="9">
        <f t="shared" si="12"/>
        <v>41730</v>
      </c>
      <c r="L157">
        <f t="shared" si="13"/>
        <v>-102578.28125</v>
      </c>
      <c r="M157">
        <f>IF(AND(MyRowHidden(ROW())=FALSE,MyRowHidden(ROW()-1)=TRUE),0,(G157-G156)*unitsFuturesCompare+M156)</f>
        <v>-83460</v>
      </c>
      <c r="N157">
        <f>IF(MyRowHidden(ROW())=TRUE,0,L157-M157)</f>
        <v>-19118.28125</v>
      </c>
      <c r="O157">
        <f>MAX(N$12:N157)</f>
        <v>32081.5625</v>
      </c>
      <c r="P157">
        <f>IF(O157&gt;O156,(O157-O156)*percentSavingsParticipation,0)</f>
        <v>0</v>
      </c>
      <c r="Q157">
        <f t="shared" si="14"/>
        <v>16040.78125</v>
      </c>
      <c r="R157">
        <f t="shared" si="15"/>
        <v>-86537.5</v>
      </c>
    </row>
    <row r="158" spans="1:18" x14ac:dyDescent="0.25">
      <c r="A158" s="1"/>
      <c r="C158" s="1"/>
      <c r="D158" s="1">
        <v>41479</v>
      </c>
      <c r="E158" s="10">
        <v>23884.75</v>
      </c>
      <c r="F158" s="1">
        <v>41479</v>
      </c>
      <c r="G158">
        <v>-297</v>
      </c>
      <c r="H158" s="1">
        <f t="shared" si="11"/>
        <v>41479</v>
      </c>
      <c r="I158">
        <f>IF(AND(MyRowHidden(ROW())=FALSE,MyRowHidden(ROW()-1)=TRUE),0,(E158-E157)*unitsOfDHp+I157)</f>
        <v>-51402.5</v>
      </c>
      <c r="J158">
        <f>IF(AND(MyRowHidden(ROW())=FALSE,MyRowHidden(ROW()-1)=TRUE),0,(G158-G157)*unitsOfExo+J157)</f>
        <v>-49355</v>
      </c>
      <c r="K158" s="9">
        <f t="shared" si="12"/>
        <v>49355</v>
      </c>
      <c r="L158">
        <f t="shared" si="13"/>
        <v>-116798.28125</v>
      </c>
      <c r="M158">
        <f>IF(AND(MyRowHidden(ROW())=FALSE,MyRowHidden(ROW()-1)=TRUE),0,(G158-G157)*unitsFuturesCompare+M157)</f>
        <v>-98710</v>
      </c>
      <c r="N158">
        <f>IF(MyRowHidden(ROW())=TRUE,0,L158-M158)</f>
        <v>-18088.28125</v>
      </c>
      <c r="O158">
        <f>MAX(N$12:N158)</f>
        <v>32081.5625</v>
      </c>
      <c r="P158">
        <f>IF(O158&gt;O157,(O158-O157)*percentSavingsParticipation,0)</f>
        <v>0</v>
      </c>
      <c r="Q158">
        <f t="shared" si="14"/>
        <v>16040.78125</v>
      </c>
      <c r="R158">
        <f t="shared" si="15"/>
        <v>-100757.5</v>
      </c>
    </row>
    <row r="159" spans="1:18" x14ac:dyDescent="0.25">
      <c r="A159" s="1"/>
      <c r="C159" s="1"/>
      <c r="D159" s="1">
        <v>41480</v>
      </c>
      <c r="E159" s="10">
        <v>23234.75</v>
      </c>
      <c r="F159" s="1">
        <v>41480</v>
      </c>
      <c r="G159">
        <v>-934.5</v>
      </c>
      <c r="H159" s="1">
        <f t="shared" si="11"/>
        <v>41480</v>
      </c>
      <c r="I159">
        <f>IF(AND(MyRowHidden(ROW())=FALSE,MyRowHidden(ROW()-1)=TRUE),0,(E159-E158)*unitsOfDHp+I158)</f>
        <v>-57902.5</v>
      </c>
      <c r="J159">
        <f>IF(AND(MyRowHidden(ROW())=FALSE,MyRowHidden(ROW()-1)=TRUE),0,(G159-G158)*unitsOfExo+J158)</f>
        <v>-55730</v>
      </c>
      <c r="K159" s="9">
        <f t="shared" si="12"/>
        <v>55730</v>
      </c>
      <c r="L159">
        <f t="shared" si="13"/>
        <v>-129673.28125</v>
      </c>
      <c r="M159">
        <f>IF(AND(MyRowHidden(ROW())=FALSE,MyRowHidden(ROW()-1)=TRUE),0,(G159-G158)*unitsFuturesCompare+M158)</f>
        <v>-111460</v>
      </c>
      <c r="N159">
        <f>IF(MyRowHidden(ROW())=TRUE,0,L159-M159)</f>
        <v>-18213.28125</v>
      </c>
      <c r="O159">
        <f>MAX(N$12:N159)</f>
        <v>32081.5625</v>
      </c>
      <c r="P159">
        <f>IF(O159&gt;O158,(O159-O158)*percentSavingsParticipation,0)</f>
        <v>0</v>
      </c>
      <c r="Q159">
        <f t="shared" si="14"/>
        <v>16040.78125</v>
      </c>
      <c r="R159">
        <f t="shared" si="15"/>
        <v>-113632.5</v>
      </c>
    </row>
    <row r="160" spans="1:18" x14ac:dyDescent="0.25">
      <c r="A160" s="1"/>
      <c r="C160" s="1"/>
      <c r="D160" s="1">
        <v>41481</v>
      </c>
      <c r="E160" s="10">
        <v>23122.25</v>
      </c>
      <c r="F160" s="1">
        <v>41481</v>
      </c>
      <c r="G160">
        <v>-1022</v>
      </c>
      <c r="H160" s="1">
        <f t="shared" si="11"/>
        <v>41481</v>
      </c>
      <c r="I160">
        <f>IF(AND(MyRowHidden(ROW())=FALSE,MyRowHidden(ROW()-1)=TRUE),0,(E160-E159)*unitsOfDHp+I159)</f>
        <v>-59027.5</v>
      </c>
      <c r="J160">
        <f>IF(AND(MyRowHidden(ROW())=FALSE,MyRowHidden(ROW()-1)=TRUE),0,(G160-G159)*unitsOfExo+J159)</f>
        <v>-56605</v>
      </c>
      <c r="K160" s="9">
        <f t="shared" si="12"/>
        <v>56605</v>
      </c>
      <c r="L160">
        <f t="shared" si="13"/>
        <v>-131673.28125</v>
      </c>
      <c r="M160">
        <f>IF(AND(MyRowHidden(ROW())=FALSE,MyRowHidden(ROW()-1)=TRUE),0,(G160-G159)*unitsFuturesCompare+M159)</f>
        <v>-113210</v>
      </c>
      <c r="N160">
        <f>IF(MyRowHidden(ROW())=TRUE,0,L160-M160)</f>
        <v>-18463.28125</v>
      </c>
      <c r="O160">
        <f>MAX(N$12:N160)</f>
        <v>32081.5625</v>
      </c>
      <c r="P160">
        <f>IF(O160&gt;O159,(O160-O159)*percentSavingsParticipation,0)</f>
        <v>0</v>
      </c>
      <c r="Q160">
        <f t="shared" si="14"/>
        <v>16040.78125</v>
      </c>
      <c r="R160">
        <f t="shared" si="15"/>
        <v>-115632.5</v>
      </c>
    </row>
    <row r="161" spans="1:18" x14ac:dyDescent="0.25">
      <c r="A161" s="1"/>
      <c r="C161" s="1"/>
      <c r="D161" s="1">
        <v>41484</v>
      </c>
      <c r="E161" s="10">
        <v>22784.75</v>
      </c>
      <c r="F161" s="1">
        <v>41484</v>
      </c>
      <c r="G161">
        <v>-1297</v>
      </c>
      <c r="H161" s="1">
        <f t="shared" si="11"/>
        <v>41484</v>
      </c>
      <c r="I161">
        <f>IF(AND(MyRowHidden(ROW())=FALSE,MyRowHidden(ROW()-1)=TRUE),0,(E161-E160)*unitsOfDHp+I160)</f>
        <v>-62402.5</v>
      </c>
      <c r="J161">
        <f>IF(AND(MyRowHidden(ROW())=FALSE,MyRowHidden(ROW()-1)=TRUE),0,(G161-G160)*unitsOfExo+J160)</f>
        <v>-59355</v>
      </c>
      <c r="K161" s="9">
        <f t="shared" si="12"/>
        <v>59355</v>
      </c>
      <c r="L161">
        <f t="shared" si="13"/>
        <v>-137798.28125</v>
      </c>
      <c r="M161">
        <f>IF(AND(MyRowHidden(ROW())=FALSE,MyRowHidden(ROW()-1)=TRUE),0,(G161-G160)*unitsFuturesCompare+M160)</f>
        <v>-118710</v>
      </c>
      <c r="N161">
        <f>IF(MyRowHidden(ROW())=TRUE,0,L161-M161)</f>
        <v>-19088.28125</v>
      </c>
      <c r="O161">
        <f>MAX(N$12:N161)</f>
        <v>32081.5625</v>
      </c>
      <c r="P161">
        <f>IF(O161&gt;O160,(O161-O160)*percentSavingsParticipation,0)</f>
        <v>0</v>
      </c>
      <c r="Q161">
        <f t="shared" si="14"/>
        <v>16040.78125</v>
      </c>
      <c r="R161">
        <f t="shared" si="15"/>
        <v>-121757.5</v>
      </c>
    </row>
    <row r="162" spans="1:18" x14ac:dyDescent="0.25">
      <c r="A162" s="1"/>
      <c r="C162" s="1"/>
      <c r="D162" s="1">
        <v>41485</v>
      </c>
      <c r="E162" s="10">
        <v>22822.25</v>
      </c>
      <c r="F162" s="1">
        <v>41485</v>
      </c>
      <c r="G162">
        <v>-1097</v>
      </c>
      <c r="H162" s="1">
        <f t="shared" si="11"/>
        <v>41485</v>
      </c>
      <c r="I162">
        <f>IF(AND(MyRowHidden(ROW())=FALSE,MyRowHidden(ROW()-1)=TRUE),0,(E162-E161)*unitsOfDHp+I161)</f>
        <v>-62027.5</v>
      </c>
      <c r="J162">
        <f>IF(AND(MyRowHidden(ROW())=FALSE,MyRowHidden(ROW()-1)=TRUE),0,(G162-G161)*unitsOfExo+J161)</f>
        <v>-57355</v>
      </c>
      <c r="K162" s="9">
        <f t="shared" si="12"/>
        <v>57355</v>
      </c>
      <c r="L162">
        <f t="shared" si="13"/>
        <v>-135423.28125</v>
      </c>
      <c r="M162">
        <f>IF(AND(MyRowHidden(ROW())=FALSE,MyRowHidden(ROW()-1)=TRUE),0,(G162-G161)*unitsFuturesCompare+M161)</f>
        <v>-114710</v>
      </c>
      <c r="N162">
        <f>IF(MyRowHidden(ROW())=TRUE,0,L162-M162)</f>
        <v>-20713.28125</v>
      </c>
      <c r="O162">
        <f>MAX(N$12:N162)</f>
        <v>32081.5625</v>
      </c>
      <c r="P162">
        <f>IF(O162&gt;O161,(O162-O161)*percentSavingsParticipation,0)</f>
        <v>0</v>
      </c>
      <c r="Q162">
        <f t="shared" si="14"/>
        <v>16040.78125</v>
      </c>
      <c r="R162">
        <f t="shared" si="15"/>
        <v>-119382.5</v>
      </c>
    </row>
    <row r="163" spans="1:18" x14ac:dyDescent="0.25">
      <c r="A163" s="1"/>
      <c r="C163" s="1"/>
      <c r="D163" s="1">
        <v>41486</v>
      </c>
      <c r="E163" s="10">
        <v>23172.25</v>
      </c>
      <c r="F163" s="1">
        <v>41486</v>
      </c>
      <c r="G163">
        <v>-784.5</v>
      </c>
      <c r="H163" s="1">
        <f t="shared" si="11"/>
        <v>41486</v>
      </c>
      <c r="I163">
        <f>IF(AND(MyRowHidden(ROW())=FALSE,MyRowHidden(ROW()-1)=TRUE),0,(E163-E162)*unitsOfDHp+I162)</f>
        <v>-58527.5</v>
      </c>
      <c r="J163">
        <f>IF(AND(MyRowHidden(ROW())=FALSE,MyRowHidden(ROW()-1)=TRUE),0,(G163-G162)*unitsOfExo+J162)</f>
        <v>-54230</v>
      </c>
      <c r="K163" s="9">
        <f t="shared" si="12"/>
        <v>54230</v>
      </c>
      <c r="L163">
        <f t="shared" si="13"/>
        <v>-128798.28125</v>
      </c>
      <c r="M163">
        <f>IF(AND(MyRowHidden(ROW())=FALSE,MyRowHidden(ROW()-1)=TRUE),0,(G163-G162)*unitsFuturesCompare+M162)</f>
        <v>-108460</v>
      </c>
      <c r="N163">
        <f>IF(MyRowHidden(ROW())=TRUE,0,L163-M163)</f>
        <v>-20338.28125</v>
      </c>
      <c r="O163">
        <f>MAX(N$12:N163)</f>
        <v>32081.5625</v>
      </c>
      <c r="P163">
        <f>IF(O163&gt;O162,(O163-O162)*percentSavingsParticipation,0)</f>
        <v>0</v>
      </c>
      <c r="Q163">
        <f t="shared" si="14"/>
        <v>16040.78125</v>
      </c>
      <c r="R163">
        <f t="shared" si="15"/>
        <v>-112757.5</v>
      </c>
    </row>
    <row r="164" spans="1:18" x14ac:dyDescent="0.25">
      <c r="A164" s="1"/>
      <c r="C164" s="1"/>
      <c r="D164" s="1">
        <v>41487</v>
      </c>
      <c r="E164" s="10">
        <v>22659.75</v>
      </c>
      <c r="F164" s="1">
        <v>41487</v>
      </c>
      <c r="G164">
        <v>-1359.5</v>
      </c>
      <c r="H164" s="1">
        <f t="shared" si="11"/>
        <v>41487</v>
      </c>
      <c r="I164">
        <f>IF(AND(MyRowHidden(ROW())=FALSE,MyRowHidden(ROW()-1)=TRUE),0,(E164-E163)*unitsOfDHp+I163)</f>
        <v>-63652.5</v>
      </c>
      <c r="J164">
        <f>IF(AND(MyRowHidden(ROW())=FALSE,MyRowHidden(ROW()-1)=TRUE),0,(G164-G163)*unitsOfExo+J163)</f>
        <v>-59980</v>
      </c>
      <c r="K164" s="9">
        <f t="shared" si="12"/>
        <v>59980</v>
      </c>
      <c r="L164">
        <f t="shared" si="13"/>
        <v>-139673.28125</v>
      </c>
      <c r="M164">
        <f>IF(AND(MyRowHidden(ROW())=FALSE,MyRowHidden(ROW()-1)=TRUE),0,(G164-G163)*unitsFuturesCompare+M163)</f>
        <v>-119960</v>
      </c>
      <c r="N164">
        <f>IF(MyRowHidden(ROW())=TRUE,0,L164-M164)</f>
        <v>-19713.28125</v>
      </c>
      <c r="O164">
        <f>MAX(N$12:N164)</f>
        <v>32081.5625</v>
      </c>
      <c r="P164">
        <f>IF(O164&gt;O163,(O164-O163)*percentSavingsParticipation,0)</f>
        <v>0</v>
      </c>
      <c r="Q164">
        <f t="shared" si="14"/>
        <v>16040.78125</v>
      </c>
      <c r="R164">
        <f t="shared" si="15"/>
        <v>-123632.5</v>
      </c>
    </row>
    <row r="165" spans="1:18" x14ac:dyDescent="0.25">
      <c r="A165" s="1"/>
      <c r="C165" s="1"/>
      <c r="D165" s="1">
        <v>41488</v>
      </c>
      <c r="E165" s="10">
        <v>22347.25</v>
      </c>
      <c r="F165" s="1">
        <v>41488</v>
      </c>
      <c r="G165">
        <v>-1822</v>
      </c>
      <c r="H165" s="1">
        <f t="shared" si="11"/>
        <v>41488</v>
      </c>
      <c r="I165">
        <f>IF(AND(MyRowHidden(ROW())=FALSE,MyRowHidden(ROW()-1)=TRUE),0,(E165-E164)*unitsOfDHp+I164)</f>
        <v>-66777.5</v>
      </c>
      <c r="J165">
        <f>IF(AND(MyRowHidden(ROW())=FALSE,MyRowHidden(ROW()-1)=TRUE),0,(G165-G164)*unitsOfExo+J164)</f>
        <v>-64605</v>
      </c>
      <c r="K165" s="9">
        <f t="shared" si="12"/>
        <v>64605</v>
      </c>
      <c r="L165">
        <f t="shared" si="13"/>
        <v>-147423.28125</v>
      </c>
      <c r="M165">
        <f>IF(AND(MyRowHidden(ROW())=FALSE,MyRowHidden(ROW()-1)=TRUE),0,(G165-G164)*unitsFuturesCompare+M164)</f>
        <v>-129210</v>
      </c>
      <c r="N165">
        <f>IF(MyRowHidden(ROW())=TRUE,0,L165-M165)</f>
        <v>-18213.28125</v>
      </c>
      <c r="O165">
        <f>MAX(N$12:N165)</f>
        <v>32081.5625</v>
      </c>
      <c r="P165">
        <f>IF(O165&gt;O164,(O165-O164)*percentSavingsParticipation,0)</f>
        <v>0</v>
      </c>
      <c r="Q165">
        <f t="shared" si="14"/>
        <v>16040.78125</v>
      </c>
      <c r="R165">
        <f t="shared" si="15"/>
        <v>-131382.5</v>
      </c>
    </row>
    <row r="166" spans="1:18" x14ac:dyDescent="0.25">
      <c r="A166" s="1"/>
      <c r="C166" s="1"/>
      <c r="D166" s="1">
        <v>41491</v>
      </c>
      <c r="E166" s="10">
        <v>22222.25</v>
      </c>
      <c r="F166" s="1">
        <v>41491</v>
      </c>
      <c r="G166">
        <v>-2297</v>
      </c>
      <c r="H166" s="1">
        <f t="shared" si="11"/>
        <v>41491</v>
      </c>
      <c r="I166">
        <f>IF(AND(MyRowHidden(ROW())=FALSE,MyRowHidden(ROW()-1)=TRUE),0,(E166-E165)*unitsOfDHp+I165)</f>
        <v>-68027.5</v>
      </c>
      <c r="J166">
        <f>IF(AND(MyRowHidden(ROW())=FALSE,MyRowHidden(ROW()-1)=TRUE),0,(G166-G165)*unitsOfExo+J165)</f>
        <v>-69355</v>
      </c>
      <c r="K166" s="9">
        <f t="shared" si="12"/>
        <v>69355</v>
      </c>
      <c r="L166">
        <f t="shared" si="13"/>
        <v>-153423.28125</v>
      </c>
      <c r="M166">
        <f>IF(AND(MyRowHidden(ROW())=FALSE,MyRowHidden(ROW()-1)=TRUE),0,(G166-G165)*unitsFuturesCompare+M165)</f>
        <v>-138710</v>
      </c>
      <c r="N166">
        <f>IF(MyRowHidden(ROW())=TRUE,0,L166-M166)</f>
        <v>-14713.28125</v>
      </c>
      <c r="O166">
        <f>MAX(N$12:N166)</f>
        <v>32081.5625</v>
      </c>
      <c r="P166">
        <f>IF(O166&gt;O165,(O166-O165)*percentSavingsParticipation,0)</f>
        <v>0</v>
      </c>
      <c r="Q166">
        <f t="shared" si="14"/>
        <v>16040.78125</v>
      </c>
      <c r="R166">
        <f t="shared" si="15"/>
        <v>-137382.5</v>
      </c>
    </row>
    <row r="167" spans="1:18" x14ac:dyDescent="0.25">
      <c r="A167" s="1"/>
      <c r="C167" s="1"/>
      <c r="D167" s="1">
        <v>41492</v>
      </c>
      <c r="E167" s="10">
        <v>22247.25</v>
      </c>
      <c r="F167" s="1">
        <v>41492</v>
      </c>
      <c r="G167">
        <v>-2147</v>
      </c>
      <c r="H167" s="1">
        <f t="shared" si="11"/>
        <v>41492</v>
      </c>
      <c r="I167">
        <f>IF(AND(MyRowHidden(ROW())=FALSE,MyRowHidden(ROW()-1)=TRUE),0,(E167-E166)*unitsOfDHp+I166)</f>
        <v>-67777.5</v>
      </c>
      <c r="J167">
        <f>IF(AND(MyRowHidden(ROW())=FALSE,MyRowHidden(ROW()-1)=TRUE),0,(G167-G166)*unitsOfExo+J166)</f>
        <v>-67855</v>
      </c>
      <c r="K167" s="9">
        <f t="shared" si="12"/>
        <v>67855</v>
      </c>
      <c r="L167">
        <f t="shared" si="13"/>
        <v>-151673.28125</v>
      </c>
      <c r="M167">
        <f>IF(AND(MyRowHidden(ROW())=FALSE,MyRowHidden(ROW()-1)=TRUE),0,(G167-G166)*unitsFuturesCompare+M166)</f>
        <v>-135710</v>
      </c>
      <c r="N167">
        <f>IF(MyRowHidden(ROW())=TRUE,0,L167-M167)</f>
        <v>-15963.28125</v>
      </c>
      <c r="O167">
        <f>MAX(N$12:N167)</f>
        <v>32081.5625</v>
      </c>
      <c r="P167">
        <f>IF(O167&gt;O166,(O167-O166)*percentSavingsParticipation,0)</f>
        <v>0</v>
      </c>
      <c r="Q167">
        <f t="shared" si="14"/>
        <v>16040.78125</v>
      </c>
      <c r="R167">
        <f t="shared" si="15"/>
        <v>-135632.5</v>
      </c>
    </row>
    <row r="168" spans="1:18" x14ac:dyDescent="0.25">
      <c r="A168" s="1"/>
      <c r="C168" s="1"/>
      <c r="D168" s="1">
        <v>41493</v>
      </c>
      <c r="E168" s="10">
        <v>22234.75</v>
      </c>
      <c r="F168" s="1">
        <v>41493</v>
      </c>
      <c r="G168">
        <v>-2297</v>
      </c>
      <c r="H168" s="1">
        <f t="shared" si="11"/>
        <v>41493</v>
      </c>
      <c r="I168">
        <f>IF(AND(MyRowHidden(ROW())=FALSE,MyRowHidden(ROW()-1)=TRUE),0,(E168-E167)*unitsOfDHp+I167)</f>
        <v>-67902.5</v>
      </c>
      <c r="J168">
        <f>IF(AND(MyRowHidden(ROW())=FALSE,MyRowHidden(ROW()-1)=TRUE),0,(G168-G167)*unitsOfExo+J167)</f>
        <v>-69355</v>
      </c>
      <c r="K168" s="9">
        <f t="shared" si="12"/>
        <v>69355</v>
      </c>
      <c r="L168">
        <f t="shared" si="13"/>
        <v>-153298.28125</v>
      </c>
      <c r="M168">
        <f>IF(AND(MyRowHidden(ROW())=FALSE,MyRowHidden(ROW()-1)=TRUE),0,(G168-G167)*unitsFuturesCompare+M167)</f>
        <v>-138710</v>
      </c>
      <c r="N168">
        <f>IF(MyRowHidden(ROW())=TRUE,0,L168-M168)</f>
        <v>-14588.28125</v>
      </c>
      <c r="O168">
        <f>MAX(N$12:N168)</f>
        <v>32081.5625</v>
      </c>
      <c r="P168">
        <f>IF(O168&gt;O167,(O168-O167)*percentSavingsParticipation,0)</f>
        <v>0</v>
      </c>
      <c r="Q168">
        <f t="shared" si="14"/>
        <v>16040.78125</v>
      </c>
      <c r="R168">
        <f t="shared" si="15"/>
        <v>-137257.5</v>
      </c>
    </row>
    <row r="169" spans="1:18" x14ac:dyDescent="0.25">
      <c r="A169" s="1"/>
      <c r="C169" s="1"/>
      <c r="D169" s="1">
        <v>41494</v>
      </c>
      <c r="E169" s="10">
        <v>22234.75</v>
      </c>
      <c r="F169" s="1">
        <v>41494</v>
      </c>
      <c r="G169">
        <v>-2172</v>
      </c>
      <c r="H169" s="1">
        <f t="shared" si="11"/>
        <v>41494</v>
      </c>
      <c r="I169">
        <f>IF(AND(MyRowHidden(ROW())=FALSE,MyRowHidden(ROW()-1)=TRUE),0,(E169-E168)*unitsOfDHp+I168)</f>
        <v>-67902.5</v>
      </c>
      <c r="J169">
        <f>IF(AND(MyRowHidden(ROW())=FALSE,MyRowHidden(ROW()-1)=TRUE),0,(G169-G168)*unitsOfExo+J168)</f>
        <v>-68105</v>
      </c>
      <c r="K169" s="9">
        <f t="shared" si="12"/>
        <v>68105</v>
      </c>
      <c r="L169">
        <f t="shared" si="13"/>
        <v>-152048.28125</v>
      </c>
      <c r="M169">
        <f>IF(AND(MyRowHidden(ROW())=FALSE,MyRowHidden(ROW()-1)=TRUE),0,(G169-G168)*unitsFuturesCompare+M168)</f>
        <v>-136210</v>
      </c>
      <c r="N169">
        <f>IF(MyRowHidden(ROW())=TRUE,0,L169-M169)</f>
        <v>-15838.28125</v>
      </c>
      <c r="O169">
        <f>MAX(N$12:N169)</f>
        <v>32081.5625</v>
      </c>
      <c r="P169">
        <f>IF(O169&gt;O168,(O169-O168)*percentSavingsParticipation,0)</f>
        <v>0</v>
      </c>
      <c r="Q169">
        <f t="shared" si="14"/>
        <v>16040.78125</v>
      </c>
      <c r="R169">
        <f t="shared" si="15"/>
        <v>-136007.5</v>
      </c>
    </row>
    <row r="170" spans="1:18" x14ac:dyDescent="0.25">
      <c r="A170" s="1"/>
      <c r="C170" s="1"/>
      <c r="D170" s="1">
        <v>41495</v>
      </c>
      <c r="E170" s="10">
        <v>22222.25</v>
      </c>
      <c r="F170" s="1">
        <v>41495</v>
      </c>
      <c r="G170">
        <v>-2347</v>
      </c>
      <c r="H170" s="1">
        <f t="shared" si="11"/>
        <v>41495</v>
      </c>
      <c r="I170">
        <f>IF(AND(MyRowHidden(ROW())=FALSE,MyRowHidden(ROW()-1)=TRUE),0,(E170-E169)*unitsOfDHp+I169)</f>
        <v>-68027.5</v>
      </c>
      <c r="J170">
        <f>IF(AND(MyRowHidden(ROW())=FALSE,MyRowHidden(ROW()-1)=TRUE),0,(G170-G169)*unitsOfExo+J169)</f>
        <v>-69855</v>
      </c>
      <c r="K170" s="9">
        <f t="shared" si="12"/>
        <v>69855</v>
      </c>
      <c r="L170">
        <f t="shared" si="13"/>
        <v>-153923.28125</v>
      </c>
      <c r="M170">
        <f>IF(AND(MyRowHidden(ROW())=FALSE,MyRowHidden(ROW()-1)=TRUE),0,(G170-G169)*unitsFuturesCompare+M169)</f>
        <v>-139710</v>
      </c>
      <c r="N170">
        <f>IF(MyRowHidden(ROW())=TRUE,0,L170-M170)</f>
        <v>-14213.28125</v>
      </c>
      <c r="O170">
        <f>MAX(N$12:N170)</f>
        <v>32081.5625</v>
      </c>
      <c r="P170">
        <f>IF(O170&gt;O169,(O170-O169)*percentSavingsParticipation,0)</f>
        <v>0</v>
      </c>
      <c r="Q170">
        <f t="shared" si="14"/>
        <v>16040.78125</v>
      </c>
      <c r="R170">
        <f t="shared" si="15"/>
        <v>-137882.5</v>
      </c>
    </row>
    <row r="171" spans="1:18" x14ac:dyDescent="0.25">
      <c r="A171" s="1"/>
      <c r="C171" s="1"/>
      <c r="D171" s="1">
        <v>41498</v>
      </c>
      <c r="E171" s="10">
        <v>22272.25</v>
      </c>
      <c r="F171" s="1">
        <v>41498</v>
      </c>
      <c r="G171">
        <v>-2034.5</v>
      </c>
      <c r="H171" s="1">
        <f t="shared" si="11"/>
        <v>41498</v>
      </c>
      <c r="I171">
        <f>IF(AND(MyRowHidden(ROW())=FALSE,MyRowHidden(ROW()-1)=TRUE),0,(E171-E170)*unitsOfDHp+I170)</f>
        <v>-67527.5</v>
      </c>
      <c r="J171">
        <f>IF(AND(MyRowHidden(ROW())=FALSE,MyRowHidden(ROW()-1)=TRUE),0,(G171-G170)*unitsOfExo+J170)</f>
        <v>-66730</v>
      </c>
      <c r="K171" s="9">
        <f t="shared" si="12"/>
        <v>66730</v>
      </c>
      <c r="L171">
        <f t="shared" si="13"/>
        <v>-150298.28125</v>
      </c>
      <c r="M171">
        <f>IF(AND(MyRowHidden(ROW())=FALSE,MyRowHidden(ROW()-1)=TRUE),0,(G171-G170)*unitsFuturesCompare+M170)</f>
        <v>-133460</v>
      </c>
      <c r="N171">
        <f>IF(MyRowHidden(ROW())=TRUE,0,L171-M171)</f>
        <v>-16838.28125</v>
      </c>
      <c r="O171">
        <f>MAX(N$12:N171)</f>
        <v>32081.5625</v>
      </c>
      <c r="P171">
        <f>IF(O171&gt;O170,(O171-O170)*percentSavingsParticipation,0)</f>
        <v>0</v>
      </c>
      <c r="Q171">
        <f t="shared" si="14"/>
        <v>16040.78125</v>
      </c>
      <c r="R171">
        <f t="shared" si="15"/>
        <v>-134257.5</v>
      </c>
    </row>
    <row r="172" spans="1:18" x14ac:dyDescent="0.25">
      <c r="A172" s="1"/>
      <c r="C172" s="1"/>
      <c r="D172" s="1">
        <v>41499</v>
      </c>
      <c r="E172" s="10">
        <v>22084.75</v>
      </c>
      <c r="F172" s="1">
        <v>41499</v>
      </c>
      <c r="G172">
        <v>-2797</v>
      </c>
      <c r="H172" s="1">
        <f t="shared" si="11"/>
        <v>41499</v>
      </c>
      <c r="I172">
        <f>IF(AND(MyRowHidden(ROW())=FALSE,MyRowHidden(ROW()-1)=TRUE),0,(E172-E171)*unitsOfDHp+I171)</f>
        <v>-69402.5</v>
      </c>
      <c r="J172">
        <f>IF(AND(MyRowHidden(ROW())=FALSE,MyRowHidden(ROW()-1)=TRUE),0,(G172-G171)*unitsOfExo+J171)</f>
        <v>-74355</v>
      </c>
      <c r="K172" s="9">
        <f t="shared" si="12"/>
        <v>74355</v>
      </c>
      <c r="L172">
        <f t="shared" si="13"/>
        <v>-159798.28125</v>
      </c>
      <c r="M172">
        <f>IF(AND(MyRowHidden(ROW())=FALSE,MyRowHidden(ROW()-1)=TRUE),0,(G172-G171)*unitsFuturesCompare+M171)</f>
        <v>-148710</v>
      </c>
      <c r="N172">
        <f>IF(MyRowHidden(ROW())=TRUE,0,L172-M172)</f>
        <v>-11088.28125</v>
      </c>
      <c r="O172">
        <f>MAX(N$12:N172)</f>
        <v>32081.5625</v>
      </c>
      <c r="P172">
        <f>IF(O172&gt;O171,(O172-O171)*percentSavingsParticipation,0)</f>
        <v>0</v>
      </c>
      <c r="Q172">
        <f t="shared" si="14"/>
        <v>16040.78125</v>
      </c>
      <c r="R172">
        <f t="shared" si="15"/>
        <v>-143757.5</v>
      </c>
    </row>
    <row r="173" spans="1:18" x14ac:dyDescent="0.25">
      <c r="A173" s="1"/>
      <c r="C173" s="1"/>
      <c r="D173" s="1">
        <v>41500</v>
      </c>
      <c r="E173" s="10">
        <v>22048.75</v>
      </c>
      <c r="F173" s="1">
        <v>41500</v>
      </c>
      <c r="G173">
        <v>-2609.5</v>
      </c>
      <c r="H173" s="1">
        <f t="shared" si="11"/>
        <v>41500</v>
      </c>
      <c r="I173">
        <f>IF(AND(MyRowHidden(ROW())=FALSE,MyRowHidden(ROW()-1)=TRUE),0,(E173-E172)*unitsOfDHp+I172)</f>
        <v>-69762.5</v>
      </c>
      <c r="J173">
        <f>IF(AND(MyRowHidden(ROW())=FALSE,MyRowHidden(ROW()-1)=TRUE),0,(G173-G172)*unitsOfExo+J172)</f>
        <v>-72480</v>
      </c>
      <c r="K173" s="9">
        <f t="shared" si="12"/>
        <v>72480</v>
      </c>
      <c r="L173">
        <f t="shared" si="13"/>
        <v>-158283.28125</v>
      </c>
      <c r="M173">
        <f>IF(AND(MyRowHidden(ROW())=FALSE,MyRowHidden(ROW()-1)=TRUE),0,(G173-G172)*unitsFuturesCompare+M172)</f>
        <v>-144960</v>
      </c>
      <c r="N173">
        <f>IF(MyRowHidden(ROW())=TRUE,0,L173-M173)</f>
        <v>-13323.28125</v>
      </c>
      <c r="O173">
        <f>MAX(N$12:N173)</f>
        <v>32081.5625</v>
      </c>
      <c r="P173">
        <f>IF(O173&gt;O172,(O173-O172)*percentSavingsParticipation,0)</f>
        <v>0</v>
      </c>
      <c r="Q173">
        <f t="shared" si="14"/>
        <v>16040.78125</v>
      </c>
      <c r="R173">
        <f t="shared" si="15"/>
        <v>-142242.5</v>
      </c>
    </row>
    <row r="174" spans="1:18" x14ac:dyDescent="0.25">
      <c r="A174" s="1"/>
      <c r="C174" s="1"/>
      <c r="D174" s="1">
        <v>41501</v>
      </c>
      <c r="E174" s="10">
        <v>22223.75</v>
      </c>
      <c r="F174" s="1">
        <v>41501</v>
      </c>
      <c r="G174">
        <v>-1797</v>
      </c>
      <c r="H174" s="1">
        <f t="shared" si="11"/>
        <v>41501</v>
      </c>
      <c r="I174">
        <f>IF(AND(MyRowHidden(ROW())=FALSE,MyRowHidden(ROW()-1)=TRUE),0,(E174-E173)*unitsOfDHp+I173)</f>
        <v>-68012.5</v>
      </c>
      <c r="J174">
        <f>IF(AND(MyRowHidden(ROW())=FALSE,MyRowHidden(ROW()-1)=TRUE),0,(G174-G173)*unitsOfExo+J173)</f>
        <v>-64355</v>
      </c>
      <c r="K174" s="9">
        <f t="shared" si="12"/>
        <v>64355</v>
      </c>
      <c r="L174">
        <f t="shared" si="13"/>
        <v>-148408.28125</v>
      </c>
      <c r="M174">
        <f>IF(AND(MyRowHidden(ROW())=FALSE,MyRowHidden(ROW()-1)=TRUE),0,(G174-G173)*unitsFuturesCompare+M173)</f>
        <v>-128710</v>
      </c>
      <c r="N174">
        <f>IF(MyRowHidden(ROW())=TRUE,0,L174-M174)</f>
        <v>-19698.28125</v>
      </c>
      <c r="O174">
        <f>MAX(N$12:N174)</f>
        <v>32081.5625</v>
      </c>
      <c r="P174">
        <f>IF(O174&gt;O173,(O174-O173)*percentSavingsParticipation,0)</f>
        <v>0</v>
      </c>
      <c r="Q174">
        <f t="shared" si="14"/>
        <v>16040.78125</v>
      </c>
      <c r="R174">
        <f t="shared" si="15"/>
        <v>-132367.5</v>
      </c>
    </row>
    <row r="175" spans="1:18" x14ac:dyDescent="0.25">
      <c r="A175" s="1"/>
      <c r="C175" s="1"/>
      <c r="D175" s="1">
        <v>41502</v>
      </c>
      <c r="E175" s="10">
        <v>22148.75</v>
      </c>
      <c r="F175" s="1">
        <v>41502</v>
      </c>
      <c r="G175">
        <v>-2059.5</v>
      </c>
      <c r="H175" s="1">
        <f t="shared" si="11"/>
        <v>41502</v>
      </c>
      <c r="I175">
        <f>IF(AND(MyRowHidden(ROW())=FALSE,MyRowHidden(ROW()-1)=TRUE),0,(E175-E174)*unitsOfDHp+I174)</f>
        <v>-68762.5</v>
      </c>
      <c r="J175">
        <f>IF(AND(MyRowHidden(ROW())=FALSE,MyRowHidden(ROW()-1)=TRUE),0,(G175-G174)*unitsOfExo+J174)</f>
        <v>-66980</v>
      </c>
      <c r="K175" s="9">
        <f t="shared" si="12"/>
        <v>66980</v>
      </c>
      <c r="L175">
        <f t="shared" si="13"/>
        <v>-151783.28125</v>
      </c>
      <c r="M175">
        <f>IF(AND(MyRowHidden(ROW())=FALSE,MyRowHidden(ROW()-1)=TRUE),0,(G175-G174)*unitsFuturesCompare+M174)</f>
        <v>-133960</v>
      </c>
      <c r="N175">
        <f>IF(MyRowHidden(ROW())=TRUE,0,L175-M175)</f>
        <v>-17823.28125</v>
      </c>
      <c r="O175">
        <f>MAX(N$12:N175)</f>
        <v>32081.5625</v>
      </c>
      <c r="P175">
        <f>IF(O175&gt;O174,(O175-O174)*percentSavingsParticipation,0)</f>
        <v>0</v>
      </c>
      <c r="Q175">
        <f t="shared" si="14"/>
        <v>16040.78125</v>
      </c>
      <c r="R175">
        <f t="shared" si="15"/>
        <v>-135742.5</v>
      </c>
    </row>
    <row r="176" spans="1:18" x14ac:dyDescent="0.25">
      <c r="A176" s="1"/>
      <c r="C176" s="1"/>
      <c r="D176" s="1">
        <v>41505</v>
      </c>
      <c r="E176" s="10">
        <v>22323.75</v>
      </c>
      <c r="F176" s="1">
        <v>41505</v>
      </c>
      <c r="G176">
        <v>-1259.5</v>
      </c>
      <c r="H176" s="1">
        <f t="shared" si="11"/>
        <v>41505</v>
      </c>
      <c r="I176">
        <f>IF(AND(MyRowHidden(ROW())=FALSE,MyRowHidden(ROW()-1)=TRUE),0,(E176-E175)*unitsOfDHp+I175)</f>
        <v>-67012.5</v>
      </c>
      <c r="J176">
        <f>IF(AND(MyRowHidden(ROW())=FALSE,MyRowHidden(ROW()-1)=TRUE),0,(G176-G175)*unitsOfExo+J175)</f>
        <v>-58980</v>
      </c>
      <c r="K176" s="9">
        <f t="shared" si="12"/>
        <v>58980</v>
      </c>
      <c r="L176">
        <f t="shared" si="13"/>
        <v>-142033.28125</v>
      </c>
      <c r="M176">
        <f>IF(AND(MyRowHidden(ROW())=FALSE,MyRowHidden(ROW()-1)=TRUE),0,(G176-G175)*unitsFuturesCompare+M175)</f>
        <v>-117960</v>
      </c>
      <c r="N176">
        <f>IF(MyRowHidden(ROW())=TRUE,0,L176-M176)</f>
        <v>-24073.28125</v>
      </c>
      <c r="O176">
        <f>MAX(N$12:N176)</f>
        <v>32081.5625</v>
      </c>
      <c r="P176">
        <f>IF(O176&gt;O175,(O176-O175)*percentSavingsParticipation,0)</f>
        <v>0</v>
      </c>
      <c r="Q176">
        <f t="shared" si="14"/>
        <v>16040.78125</v>
      </c>
      <c r="R176">
        <f t="shared" si="15"/>
        <v>-125992.5</v>
      </c>
    </row>
    <row r="177" spans="1:18" x14ac:dyDescent="0.25">
      <c r="A177" s="1"/>
      <c r="C177" s="1"/>
      <c r="D177" s="1">
        <v>41506</v>
      </c>
      <c r="E177" s="10">
        <v>22248.75</v>
      </c>
      <c r="F177" s="1">
        <v>41506</v>
      </c>
      <c r="G177">
        <v>-1409.5</v>
      </c>
      <c r="H177" s="1">
        <f t="shared" si="11"/>
        <v>41506</v>
      </c>
      <c r="I177">
        <f>IF(AND(MyRowHidden(ROW())=FALSE,MyRowHidden(ROW()-1)=TRUE),0,(E177-E176)*unitsOfDHp+I176)</f>
        <v>-67762.5</v>
      </c>
      <c r="J177">
        <f>IF(AND(MyRowHidden(ROW())=FALSE,MyRowHidden(ROW()-1)=TRUE),0,(G177-G176)*unitsOfExo+J176)</f>
        <v>-60480</v>
      </c>
      <c r="K177" s="9">
        <f t="shared" si="12"/>
        <v>60480</v>
      </c>
      <c r="L177">
        <f t="shared" si="13"/>
        <v>-144283.28125</v>
      </c>
      <c r="M177">
        <f>IF(AND(MyRowHidden(ROW())=FALSE,MyRowHidden(ROW()-1)=TRUE),0,(G177-G176)*unitsFuturesCompare+M176)</f>
        <v>-120960</v>
      </c>
      <c r="N177">
        <f>IF(MyRowHidden(ROW())=TRUE,0,L177-M177)</f>
        <v>-23323.28125</v>
      </c>
      <c r="O177">
        <f>MAX(N$12:N177)</f>
        <v>32081.5625</v>
      </c>
      <c r="P177">
        <f>IF(O177&gt;O176,(O177-O176)*percentSavingsParticipation,0)</f>
        <v>0</v>
      </c>
      <c r="Q177">
        <f t="shared" si="14"/>
        <v>16040.78125</v>
      </c>
      <c r="R177">
        <f t="shared" si="15"/>
        <v>-128242.5</v>
      </c>
    </row>
    <row r="178" spans="1:18" x14ac:dyDescent="0.25">
      <c r="A178" s="1"/>
      <c r="C178" s="1"/>
      <c r="D178" s="1">
        <v>41507</v>
      </c>
      <c r="E178" s="10">
        <v>22838.25</v>
      </c>
      <c r="F178" s="1">
        <v>41507</v>
      </c>
      <c r="G178">
        <v>-797</v>
      </c>
      <c r="H178" s="1">
        <f t="shared" si="11"/>
        <v>41507</v>
      </c>
      <c r="I178">
        <f>IF(AND(MyRowHidden(ROW())=FALSE,MyRowHidden(ROW()-1)=TRUE),0,(E178-E177)*unitsOfDHp+I177)</f>
        <v>-61867.5</v>
      </c>
      <c r="J178">
        <f>IF(AND(MyRowHidden(ROW())=FALSE,MyRowHidden(ROW()-1)=TRUE),0,(G178-G177)*unitsOfExo+J177)</f>
        <v>-54355</v>
      </c>
      <c r="K178" s="9">
        <f t="shared" si="12"/>
        <v>54355</v>
      </c>
      <c r="L178">
        <f t="shared" si="13"/>
        <v>-132263.28125</v>
      </c>
      <c r="M178">
        <f>IF(AND(MyRowHidden(ROW())=FALSE,MyRowHidden(ROW()-1)=TRUE),0,(G178-G177)*unitsFuturesCompare+M177)</f>
        <v>-108710</v>
      </c>
      <c r="N178">
        <f>IF(MyRowHidden(ROW())=TRUE,0,L178-M178)</f>
        <v>-23553.28125</v>
      </c>
      <c r="O178">
        <f>MAX(N$12:N178)</f>
        <v>32081.5625</v>
      </c>
      <c r="P178">
        <f>IF(O178&gt;O177,(O178-O177)*percentSavingsParticipation,0)</f>
        <v>0</v>
      </c>
      <c r="Q178">
        <f t="shared" si="14"/>
        <v>16040.78125</v>
      </c>
      <c r="R178">
        <f t="shared" si="15"/>
        <v>-116222.5</v>
      </c>
    </row>
    <row r="179" spans="1:18" x14ac:dyDescent="0.25">
      <c r="A179" s="1"/>
      <c r="C179" s="1"/>
      <c r="D179" s="1">
        <v>41508</v>
      </c>
      <c r="E179" s="10">
        <v>22761</v>
      </c>
      <c r="F179" s="1">
        <v>41508</v>
      </c>
      <c r="G179">
        <v>-1672</v>
      </c>
      <c r="H179" s="1">
        <f t="shared" si="11"/>
        <v>41508</v>
      </c>
      <c r="I179">
        <f>IF(AND(MyRowHidden(ROW())=FALSE,MyRowHidden(ROW()-1)=TRUE),0,(E179-E178)*unitsOfDHp+I178)</f>
        <v>-62640</v>
      </c>
      <c r="J179">
        <f>IF(AND(MyRowHidden(ROW())=FALSE,MyRowHidden(ROW()-1)=TRUE),0,(G179-G178)*unitsOfExo+J178)</f>
        <v>-63105</v>
      </c>
      <c r="K179" s="9">
        <f t="shared" si="12"/>
        <v>63105</v>
      </c>
      <c r="L179">
        <f t="shared" si="13"/>
        <v>-141785.78125</v>
      </c>
      <c r="M179">
        <f>IF(AND(MyRowHidden(ROW())=FALSE,MyRowHidden(ROW()-1)=TRUE),0,(G179-G178)*unitsFuturesCompare+M178)</f>
        <v>-126210</v>
      </c>
      <c r="N179">
        <f>IF(MyRowHidden(ROW())=TRUE,0,L179-M179)</f>
        <v>-15575.78125</v>
      </c>
      <c r="O179">
        <f>MAX(N$12:N179)</f>
        <v>32081.5625</v>
      </c>
      <c r="P179">
        <f>IF(O179&gt;O178,(O179-O178)*percentSavingsParticipation,0)</f>
        <v>0</v>
      </c>
      <c r="Q179">
        <f t="shared" si="14"/>
        <v>16040.78125</v>
      </c>
      <c r="R179">
        <f t="shared" si="15"/>
        <v>-125745</v>
      </c>
    </row>
    <row r="180" spans="1:18" x14ac:dyDescent="0.25">
      <c r="A180" s="1"/>
      <c r="C180" s="1"/>
      <c r="D180" s="1">
        <v>41509</v>
      </c>
      <c r="E180" s="10">
        <v>22401.5</v>
      </c>
      <c r="F180" s="1">
        <v>41509</v>
      </c>
      <c r="G180">
        <v>-1447</v>
      </c>
      <c r="H180" s="1">
        <f t="shared" si="11"/>
        <v>41509</v>
      </c>
      <c r="I180">
        <f>IF(AND(MyRowHidden(ROW())=FALSE,MyRowHidden(ROW()-1)=TRUE),0,(E180-E179)*unitsOfDHp+I179)</f>
        <v>-66235</v>
      </c>
      <c r="J180">
        <f>IF(AND(MyRowHidden(ROW())=FALSE,MyRowHidden(ROW()-1)=TRUE),0,(G180-G179)*unitsOfExo+J179)</f>
        <v>-60855</v>
      </c>
      <c r="K180" s="9">
        <f t="shared" si="12"/>
        <v>60855</v>
      </c>
      <c r="L180">
        <f t="shared" si="13"/>
        <v>-143130.78125</v>
      </c>
      <c r="M180">
        <f>IF(AND(MyRowHidden(ROW())=FALSE,MyRowHidden(ROW()-1)=TRUE),0,(G180-G179)*unitsFuturesCompare+M179)</f>
        <v>-121710</v>
      </c>
      <c r="N180">
        <f>IF(MyRowHidden(ROW())=TRUE,0,L180-M180)</f>
        <v>-21420.78125</v>
      </c>
      <c r="O180">
        <f>MAX(N$12:N180)</f>
        <v>32081.5625</v>
      </c>
      <c r="P180">
        <f>IF(O180&gt;O179,(O180-O179)*percentSavingsParticipation,0)</f>
        <v>0</v>
      </c>
      <c r="Q180">
        <f t="shared" si="14"/>
        <v>16040.78125</v>
      </c>
      <c r="R180">
        <f t="shared" si="15"/>
        <v>-127090</v>
      </c>
    </row>
    <row r="181" spans="1:18" x14ac:dyDescent="0.25">
      <c r="A181" s="1"/>
      <c r="C181" s="1"/>
      <c r="D181" s="1">
        <v>41512</v>
      </c>
      <c r="E181" s="10">
        <v>21668</v>
      </c>
      <c r="F181" s="1">
        <v>41512</v>
      </c>
      <c r="G181">
        <v>315.5</v>
      </c>
      <c r="H181" s="1">
        <f t="shared" si="11"/>
        <v>41512</v>
      </c>
      <c r="I181">
        <f>IF(AND(MyRowHidden(ROW())=FALSE,MyRowHidden(ROW()-1)=TRUE),0,(E181-E180)*unitsOfDHp+I180)</f>
        <v>-73570</v>
      </c>
      <c r="J181">
        <f>IF(AND(MyRowHidden(ROW())=FALSE,MyRowHidden(ROW()-1)=TRUE),0,(G181-G180)*unitsOfExo+J180)</f>
        <v>-43230</v>
      </c>
      <c r="K181" s="9">
        <f t="shared" si="12"/>
        <v>43230</v>
      </c>
      <c r="L181">
        <f t="shared" si="13"/>
        <v>-132840.78125</v>
      </c>
      <c r="M181">
        <f>IF(AND(MyRowHidden(ROW())=FALSE,MyRowHidden(ROW()-1)=TRUE),0,(G181-G180)*unitsFuturesCompare+M180)</f>
        <v>-86460</v>
      </c>
      <c r="N181">
        <f>IF(MyRowHidden(ROW())=TRUE,0,L181-M181)</f>
        <v>-46380.78125</v>
      </c>
      <c r="O181">
        <f>MAX(N$12:N181)</f>
        <v>32081.5625</v>
      </c>
      <c r="P181">
        <f>IF(O181&gt;O180,(O181-O180)*percentSavingsParticipation,0)</f>
        <v>0</v>
      </c>
      <c r="Q181">
        <f t="shared" si="14"/>
        <v>16040.78125</v>
      </c>
      <c r="R181">
        <f t="shared" si="15"/>
        <v>-116800</v>
      </c>
    </row>
    <row r="182" spans="1:18" x14ac:dyDescent="0.25">
      <c r="A182" s="1"/>
      <c r="C182" s="1"/>
      <c r="D182" s="1">
        <v>41513</v>
      </c>
      <c r="E182" s="10">
        <v>21430.5</v>
      </c>
      <c r="F182" s="1">
        <v>41513</v>
      </c>
      <c r="G182">
        <v>-422</v>
      </c>
      <c r="H182" s="1">
        <f t="shared" si="11"/>
        <v>41513</v>
      </c>
      <c r="I182">
        <f>IF(AND(MyRowHidden(ROW())=FALSE,MyRowHidden(ROW()-1)=TRUE),0,(E182-E181)*unitsOfDHp+I181)</f>
        <v>-75945</v>
      </c>
      <c r="J182">
        <f>IF(AND(MyRowHidden(ROW())=FALSE,MyRowHidden(ROW()-1)=TRUE),0,(G182-G181)*unitsOfExo+J181)</f>
        <v>-50605</v>
      </c>
      <c r="K182" s="9">
        <f t="shared" si="12"/>
        <v>50605</v>
      </c>
      <c r="L182">
        <f t="shared" si="13"/>
        <v>-142590.78125</v>
      </c>
      <c r="M182">
        <f>IF(AND(MyRowHidden(ROW())=FALSE,MyRowHidden(ROW()-1)=TRUE),0,(G182-G181)*unitsFuturesCompare+M181)</f>
        <v>-101210</v>
      </c>
      <c r="N182">
        <f>IF(MyRowHidden(ROW())=TRUE,0,L182-M182)</f>
        <v>-41380.78125</v>
      </c>
      <c r="O182">
        <f>MAX(N$12:N182)</f>
        <v>32081.5625</v>
      </c>
      <c r="P182">
        <f>IF(O182&gt;O181,(O182-O181)*percentSavingsParticipation,0)</f>
        <v>0</v>
      </c>
      <c r="Q182">
        <f t="shared" si="14"/>
        <v>16040.78125</v>
      </c>
      <c r="R182">
        <f t="shared" si="15"/>
        <v>-126550</v>
      </c>
    </row>
    <row r="183" spans="1:18" x14ac:dyDescent="0.25">
      <c r="A183" s="1"/>
      <c r="C183" s="1"/>
      <c r="D183" s="1">
        <v>41514</v>
      </c>
      <c r="E183" s="10">
        <v>21469.5</v>
      </c>
      <c r="F183" s="1">
        <v>41514</v>
      </c>
      <c r="G183">
        <v>-959.5</v>
      </c>
      <c r="H183" s="1">
        <f t="shared" si="11"/>
        <v>41514</v>
      </c>
      <c r="I183">
        <f>IF(AND(MyRowHidden(ROW())=FALSE,MyRowHidden(ROW()-1)=TRUE),0,(E183-E182)*unitsOfDHp+I182)</f>
        <v>-75555</v>
      </c>
      <c r="J183">
        <f>IF(AND(MyRowHidden(ROW())=FALSE,MyRowHidden(ROW()-1)=TRUE),0,(G183-G182)*unitsOfExo+J182)</f>
        <v>-55980</v>
      </c>
      <c r="K183" s="9">
        <f t="shared" si="12"/>
        <v>55980</v>
      </c>
      <c r="L183">
        <f t="shared" si="13"/>
        <v>-147575.78125</v>
      </c>
      <c r="M183">
        <f>IF(AND(MyRowHidden(ROW())=FALSE,MyRowHidden(ROW()-1)=TRUE),0,(G183-G182)*unitsFuturesCompare+M182)</f>
        <v>-111960</v>
      </c>
      <c r="N183">
        <f>IF(MyRowHidden(ROW())=TRUE,0,L183-M183)</f>
        <v>-35615.78125</v>
      </c>
      <c r="O183">
        <f>MAX(N$12:N183)</f>
        <v>32081.5625</v>
      </c>
      <c r="P183">
        <f>IF(O183&gt;O182,(O183-O182)*percentSavingsParticipation,0)</f>
        <v>0</v>
      </c>
      <c r="Q183">
        <f t="shared" si="14"/>
        <v>16040.78125</v>
      </c>
      <c r="R183">
        <f t="shared" si="15"/>
        <v>-131535</v>
      </c>
    </row>
    <row r="184" spans="1:18" x14ac:dyDescent="0.25">
      <c r="A184" s="1"/>
      <c r="C184" s="1"/>
      <c r="D184" s="1">
        <v>41515</v>
      </c>
      <c r="E184" s="10">
        <v>21519.5</v>
      </c>
      <c r="F184" s="1">
        <v>41515</v>
      </c>
      <c r="G184">
        <v>-972</v>
      </c>
      <c r="H184" s="1">
        <f t="shared" si="11"/>
        <v>41515</v>
      </c>
      <c r="I184">
        <f>IF(AND(MyRowHidden(ROW())=FALSE,MyRowHidden(ROW()-1)=TRUE),0,(E184-E183)*unitsOfDHp+I183)</f>
        <v>-75055</v>
      </c>
      <c r="J184">
        <f>IF(AND(MyRowHidden(ROW())=FALSE,MyRowHidden(ROW()-1)=TRUE),0,(G184-G183)*unitsOfExo+J183)</f>
        <v>-56105</v>
      </c>
      <c r="K184" s="9">
        <f t="shared" si="12"/>
        <v>56105</v>
      </c>
      <c r="L184">
        <f t="shared" si="13"/>
        <v>-147200.78125</v>
      </c>
      <c r="M184">
        <f>IF(AND(MyRowHidden(ROW())=FALSE,MyRowHidden(ROW()-1)=TRUE),0,(G184-G183)*unitsFuturesCompare+M183)</f>
        <v>-112210</v>
      </c>
      <c r="N184">
        <f>IF(MyRowHidden(ROW())=TRUE,0,L184-M184)</f>
        <v>-34990.78125</v>
      </c>
      <c r="O184">
        <f>MAX(N$12:N184)</f>
        <v>32081.5625</v>
      </c>
      <c r="P184">
        <f>IF(O184&gt;O183,(O184-O183)*percentSavingsParticipation,0)</f>
        <v>0</v>
      </c>
      <c r="Q184">
        <f t="shared" si="14"/>
        <v>16040.78125</v>
      </c>
      <c r="R184">
        <f t="shared" si="15"/>
        <v>-131160</v>
      </c>
    </row>
    <row r="185" spans="1:18" x14ac:dyDescent="0.25">
      <c r="A185" s="1"/>
      <c r="C185" s="1"/>
      <c r="D185" s="1">
        <v>41516</v>
      </c>
      <c r="E185" s="10">
        <v>21796</v>
      </c>
      <c r="F185" s="1">
        <v>41516</v>
      </c>
      <c r="G185">
        <v>-1072</v>
      </c>
      <c r="H185" s="1">
        <f t="shared" si="11"/>
        <v>41516</v>
      </c>
      <c r="I185">
        <f>IF(AND(MyRowHidden(ROW())=FALSE,MyRowHidden(ROW()-1)=TRUE),0,(E185-E184)*unitsOfDHp+I184)</f>
        <v>-72290</v>
      </c>
      <c r="J185">
        <f>IF(AND(MyRowHidden(ROW())=FALSE,MyRowHidden(ROW()-1)=TRUE),0,(G185-G184)*unitsOfExo+J184)</f>
        <v>-57105</v>
      </c>
      <c r="K185" s="9">
        <f t="shared" si="12"/>
        <v>57105</v>
      </c>
      <c r="L185">
        <f t="shared" si="13"/>
        <v>-145435.78125</v>
      </c>
      <c r="M185">
        <f>IF(AND(MyRowHidden(ROW())=FALSE,MyRowHidden(ROW()-1)=TRUE),0,(G185-G184)*unitsFuturesCompare+M184)</f>
        <v>-114210</v>
      </c>
      <c r="N185">
        <f>IF(MyRowHidden(ROW())=TRUE,0,L185-M185)</f>
        <v>-31225.78125</v>
      </c>
      <c r="O185">
        <f>MAX(N$12:N185)</f>
        <v>32081.5625</v>
      </c>
      <c r="P185">
        <f>IF(O185&gt;O184,(O185-O184)*percentSavingsParticipation,0)</f>
        <v>0</v>
      </c>
      <c r="Q185">
        <f t="shared" si="14"/>
        <v>16040.78125</v>
      </c>
      <c r="R185">
        <f t="shared" si="15"/>
        <v>-129395</v>
      </c>
    </row>
    <row r="186" spans="1:18" x14ac:dyDescent="0.25">
      <c r="A186" s="1"/>
      <c r="C186" s="1"/>
      <c r="D186" s="1">
        <v>41519</v>
      </c>
      <c r="E186" s="10">
        <v>21371</v>
      </c>
      <c r="F186" s="1">
        <v>41519</v>
      </c>
      <c r="G186">
        <v>-909</v>
      </c>
      <c r="H186" s="1">
        <f t="shared" si="11"/>
        <v>41519</v>
      </c>
      <c r="I186">
        <f>IF(AND(MyRowHidden(ROW())=FALSE,MyRowHidden(ROW()-1)=TRUE),0,(E186-E185)*unitsOfDHp+I185)</f>
        <v>-76540</v>
      </c>
      <c r="J186">
        <f>IF(AND(MyRowHidden(ROW())=FALSE,MyRowHidden(ROW()-1)=TRUE),0,(G186-G185)*unitsOfExo+J185)</f>
        <v>-55475</v>
      </c>
      <c r="K186" s="9">
        <f t="shared" si="12"/>
        <v>55475</v>
      </c>
      <c r="L186">
        <f t="shared" si="13"/>
        <v>-148055.78125</v>
      </c>
      <c r="M186">
        <f>IF(AND(MyRowHidden(ROW())=FALSE,MyRowHidden(ROW()-1)=TRUE),0,(G186-G185)*unitsFuturesCompare+M185)</f>
        <v>-110950</v>
      </c>
      <c r="N186">
        <f>IF(MyRowHidden(ROW())=TRUE,0,L186-M186)</f>
        <v>-37105.78125</v>
      </c>
      <c r="O186">
        <f>MAX(N$12:N186)</f>
        <v>32081.5625</v>
      </c>
      <c r="P186">
        <f>IF(O186&gt;O185,(O186-O185)*percentSavingsParticipation,0)</f>
        <v>0</v>
      </c>
      <c r="Q186">
        <f t="shared" si="14"/>
        <v>16040.78125</v>
      </c>
      <c r="R186">
        <f t="shared" si="15"/>
        <v>-132015</v>
      </c>
    </row>
    <row r="187" spans="1:18" x14ac:dyDescent="0.25">
      <c r="A187" s="1"/>
      <c r="C187" s="1"/>
      <c r="D187" s="1">
        <v>41520</v>
      </c>
      <c r="E187" s="10">
        <v>22571</v>
      </c>
      <c r="F187" s="1">
        <v>41520</v>
      </c>
      <c r="G187">
        <v>-1371.5</v>
      </c>
      <c r="H187" s="1">
        <f t="shared" si="11"/>
        <v>41520</v>
      </c>
      <c r="I187">
        <f>IF(AND(MyRowHidden(ROW())=FALSE,MyRowHidden(ROW()-1)=TRUE),0,(E187-E186)*unitsOfDHp+I186)</f>
        <v>-64540</v>
      </c>
      <c r="J187">
        <f>IF(AND(MyRowHidden(ROW())=FALSE,MyRowHidden(ROW()-1)=TRUE),0,(G187-G186)*unitsOfExo+J186)</f>
        <v>-60100</v>
      </c>
      <c r="K187" s="9">
        <f t="shared" si="12"/>
        <v>60100</v>
      </c>
      <c r="L187">
        <f t="shared" si="13"/>
        <v>-140680.78125</v>
      </c>
      <c r="M187">
        <f>IF(AND(MyRowHidden(ROW())=FALSE,MyRowHidden(ROW()-1)=TRUE),0,(G187-G186)*unitsFuturesCompare+M186)</f>
        <v>-120200</v>
      </c>
      <c r="N187">
        <f>IF(MyRowHidden(ROW())=TRUE,0,L187-M187)</f>
        <v>-20480.78125</v>
      </c>
      <c r="O187">
        <f>MAX(N$12:N187)</f>
        <v>32081.5625</v>
      </c>
      <c r="P187">
        <f>IF(O187&gt;O186,(O187-O186)*percentSavingsParticipation,0)</f>
        <v>0</v>
      </c>
      <c r="Q187">
        <f t="shared" si="14"/>
        <v>16040.78125</v>
      </c>
      <c r="R187">
        <f t="shared" si="15"/>
        <v>-124640</v>
      </c>
    </row>
    <row r="188" spans="1:18" x14ac:dyDescent="0.25">
      <c r="A188" s="1"/>
      <c r="C188" s="1"/>
      <c r="D188" s="1">
        <v>41521</v>
      </c>
      <c r="E188" s="10">
        <v>23128</v>
      </c>
      <c r="F188" s="1">
        <v>41521</v>
      </c>
      <c r="G188">
        <v>-1596.5</v>
      </c>
      <c r="H188" s="1">
        <f t="shared" si="11"/>
        <v>41521</v>
      </c>
      <c r="I188">
        <f>IF(AND(MyRowHidden(ROW())=FALSE,MyRowHidden(ROW()-1)=TRUE),0,(E188-E187)*unitsOfDHp+I187)</f>
        <v>-58970</v>
      </c>
      <c r="J188">
        <f>IF(AND(MyRowHidden(ROW())=FALSE,MyRowHidden(ROW()-1)=TRUE),0,(G188-G187)*unitsOfExo+J187)</f>
        <v>-62350</v>
      </c>
      <c r="K188" s="9">
        <f t="shared" si="12"/>
        <v>62350</v>
      </c>
      <c r="L188">
        <f t="shared" si="13"/>
        <v>-137360.78125</v>
      </c>
      <c r="M188">
        <f>IF(AND(MyRowHidden(ROW())=FALSE,MyRowHidden(ROW()-1)=TRUE),0,(G188-G187)*unitsFuturesCompare+M187)</f>
        <v>-124700</v>
      </c>
      <c r="N188">
        <f>IF(MyRowHidden(ROW())=TRUE,0,L188-M188)</f>
        <v>-12660.78125</v>
      </c>
      <c r="O188">
        <f>MAX(N$12:N188)</f>
        <v>32081.5625</v>
      </c>
      <c r="P188">
        <f>IF(O188&gt;O187,(O188-O187)*percentSavingsParticipation,0)</f>
        <v>0</v>
      </c>
      <c r="Q188">
        <f t="shared" si="14"/>
        <v>16040.78125</v>
      </c>
      <c r="R188">
        <f t="shared" si="15"/>
        <v>-121320</v>
      </c>
    </row>
    <row r="189" spans="1:18" x14ac:dyDescent="0.25">
      <c r="A189" s="1"/>
      <c r="C189" s="1"/>
      <c r="D189" s="1">
        <v>41522</v>
      </c>
      <c r="E189" s="10">
        <v>23365.5</v>
      </c>
      <c r="F189" s="1">
        <v>41522</v>
      </c>
      <c r="G189">
        <v>-2046.5</v>
      </c>
      <c r="H189" s="1">
        <f t="shared" si="11"/>
        <v>41522</v>
      </c>
      <c r="I189">
        <f>IF(AND(MyRowHidden(ROW())=FALSE,MyRowHidden(ROW()-1)=TRUE),0,(E189-E188)*unitsOfDHp+I188)</f>
        <v>-56595</v>
      </c>
      <c r="J189">
        <f>IF(AND(MyRowHidden(ROW())=FALSE,MyRowHidden(ROW()-1)=TRUE),0,(G189-G188)*unitsOfExo+J188)</f>
        <v>-66850</v>
      </c>
      <c r="K189" s="9">
        <f t="shared" si="12"/>
        <v>66850</v>
      </c>
      <c r="L189">
        <f t="shared" si="13"/>
        <v>-139485.78125</v>
      </c>
      <c r="M189">
        <f>IF(AND(MyRowHidden(ROW())=FALSE,MyRowHidden(ROW()-1)=TRUE),0,(G189-G188)*unitsFuturesCompare+M188)</f>
        <v>-133700</v>
      </c>
      <c r="N189">
        <f>IF(MyRowHidden(ROW())=TRUE,0,L189-M189)</f>
        <v>-5785.78125</v>
      </c>
      <c r="O189">
        <f>MAX(N$12:N189)</f>
        <v>32081.5625</v>
      </c>
      <c r="P189">
        <f>IF(O189&gt;O188,(O189-O188)*percentSavingsParticipation,0)</f>
        <v>0</v>
      </c>
      <c r="Q189">
        <f t="shared" si="14"/>
        <v>16040.78125</v>
      </c>
      <c r="R189">
        <f t="shared" si="15"/>
        <v>-123445</v>
      </c>
    </row>
    <row r="190" spans="1:18" x14ac:dyDescent="0.25">
      <c r="A190" s="1"/>
      <c r="C190" s="1"/>
      <c r="D190" s="1">
        <v>41523</v>
      </c>
      <c r="E190" s="10">
        <v>22403</v>
      </c>
      <c r="F190" s="1">
        <v>41523</v>
      </c>
      <c r="G190">
        <v>-1646.5</v>
      </c>
      <c r="H190" s="1">
        <f t="shared" si="11"/>
        <v>41523</v>
      </c>
      <c r="I190">
        <f>IF(AND(MyRowHidden(ROW())=FALSE,MyRowHidden(ROW()-1)=TRUE),0,(E190-E189)*unitsOfDHp+I189)</f>
        <v>-66220</v>
      </c>
      <c r="J190">
        <f>IF(AND(MyRowHidden(ROW())=FALSE,MyRowHidden(ROW()-1)=TRUE),0,(G190-G189)*unitsOfExo+J189)</f>
        <v>-62850</v>
      </c>
      <c r="K190" s="9">
        <f t="shared" si="12"/>
        <v>62850</v>
      </c>
      <c r="L190">
        <f t="shared" si="13"/>
        <v>-145110.78125</v>
      </c>
      <c r="M190">
        <f>IF(AND(MyRowHidden(ROW())=FALSE,MyRowHidden(ROW()-1)=TRUE),0,(G190-G189)*unitsFuturesCompare+M189)</f>
        <v>-125700</v>
      </c>
      <c r="N190">
        <f>IF(MyRowHidden(ROW())=TRUE,0,L190-M190)</f>
        <v>-19410.78125</v>
      </c>
      <c r="O190">
        <f>MAX(N$12:N190)</f>
        <v>32081.5625</v>
      </c>
      <c r="P190">
        <f>IF(O190&gt;O189,(O190-O189)*percentSavingsParticipation,0)</f>
        <v>0</v>
      </c>
      <c r="Q190">
        <f t="shared" si="14"/>
        <v>16040.78125</v>
      </c>
      <c r="R190">
        <f t="shared" si="15"/>
        <v>-129070</v>
      </c>
    </row>
    <row r="191" spans="1:18" x14ac:dyDescent="0.25">
      <c r="A191" s="1"/>
      <c r="C191" s="1"/>
      <c r="D191" s="1">
        <v>41526</v>
      </c>
      <c r="E191" s="10">
        <v>23008.5</v>
      </c>
      <c r="F191" s="1">
        <v>41526</v>
      </c>
      <c r="G191">
        <v>-1834</v>
      </c>
      <c r="H191" s="1">
        <f t="shared" si="11"/>
        <v>41526</v>
      </c>
      <c r="I191">
        <f>IF(AND(MyRowHidden(ROW())=FALSE,MyRowHidden(ROW()-1)=TRUE),0,(E191-E190)*unitsOfDHp+I190)</f>
        <v>-60165</v>
      </c>
      <c r="J191">
        <f>IF(AND(MyRowHidden(ROW())=FALSE,MyRowHidden(ROW()-1)=TRUE),0,(G191-G190)*unitsOfExo+J190)</f>
        <v>-64725</v>
      </c>
      <c r="K191" s="9">
        <f t="shared" si="12"/>
        <v>64725</v>
      </c>
      <c r="L191">
        <f t="shared" si="13"/>
        <v>-140930.78125</v>
      </c>
      <c r="M191">
        <f>IF(AND(MyRowHidden(ROW())=FALSE,MyRowHidden(ROW()-1)=TRUE),0,(G191-G190)*unitsFuturesCompare+M190)</f>
        <v>-129450</v>
      </c>
      <c r="N191">
        <f>IF(MyRowHidden(ROW())=TRUE,0,L191-M191)</f>
        <v>-11480.78125</v>
      </c>
      <c r="O191">
        <f>MAX(N$12:N191)</f>
        <v>32081.5625</v>
      </c>
      <c r="P191">
        <f>IF(O191&gt;O190,(O191-O190)*percentSavingsParticipation,0)</f>
        <v>0</v>
      </c>
      <c r="Q191">
        <f t="shared" si="14"/>
        <v>16040.78125</v>
      </c>
      <c r="R191">
        <f t="shared" si="15"/>
        <v>-124890</v>
      </c>
    </row>
    <row r="192" spans="1:18" x14ac:dyDescent="0.25">
      <c r="A192" s="1"/>
      <c r="C192" s="1"/>
      <c r="D192" s="1">
        <v>41527</v>
      </c>
      <c r="E192" s="10">
        <v>22122</v>
      </c>
      <c r="F192" s="1">
        <v>41527</v>
      </c>
      <c r="G192">
        <v>-1584</v>
      </c>
      <c r="H192" s="1">
        <f t="shared" si="11"/>
        <v>41527</v>
      </c>
      <c r="I192">
        <f>IF(AND(MyRowHidden(ROW())=FALSE,MyRowHidden(ROW()-1)=TRUE),0,(E192-E191)*unitsOfDHp+I191)</f>
        <v>-69030</v>
      </c>
      <c r="J192">
        <f>IF(AND(MyRowHidden(ROW())=FALSE,MyRowHidden(ROW()-1)=TRUE),0,(G192-G191)*unitsOfExo+J191)</f>
        <v>-62225</v>
      </c>
      <c r="K192" s="9">
        <f t="shared" si="12"/>
        <v>62225</v>
      </c>
      <c r="L192">
        <f t="shared" si="13"/>
        <v>-147295.78125</v>
      </c>
      <c r="M192">
        <f>IF(AND(MyRowHidden(ROW())=FALSE,MyRowHidden(ROW()-1)=TRUE),0,(G192-G191)*unitsFuturesCompare+M191)</f>
        <v>-124450</v>
      </c>
      <c r="N192">
        <f>IF(MyRowHidden(ROW())=TRUE,0,L192-M192)</f>
        <v>-22845.78125</v>
      </c>
      <c r="O192">
        <f>MAX(N$12:N192)</f>
        <v>32081.5625</v>
      </c>
      <c r="P192">
        <f>IF(O192&gt;O191,(O192-O191)*percentSavingsParticipation,0)</f>
        <v>0</v>
      </c>
      <c r="Q192">
        <f t="shared" si="14"/>
        <v>16040.78125</v>
      </c>
      <c r="R192">
        <f t="shared" si="15"/>
        <v>-131255</v>
      </c>
    </row>
    <row r="193" spans="1:18" x14ac:dyDescent="0.25">
      <c r="A193" s="1"/>
      <c r="C193" s="1"/>
      <c r="D193" s="1">
        <v>41528</v>
      </c>
      <c r="E193" s="10">
        <v>21975</v>
      </c>
      <c r="F193" s="1">
        <v>41528</v>
      </c>
      <c r="G193">
        <v>-1534</v>
      </c>
      <c r="H193" s="1">
        <f t="shared" si="11"/>
        <v>41528</v>
      </c>
      <c r="I193">
        <f>IF(AND(MyRowHidden(ROW())=FALSE,MyRowHidden(ROW()-1)=TRUE),0,(E193-E192)*unitsOfDHp+I192)</f>
        <v>-70500</v>
      </c>
      <c r="J193">
        <f>IF(AND(MyRowHidden(ROW())=FALSE,MyRowHidden(ROW()-1)=TRUE),0,(G193-G192)*unitsOfExo+J192)</f>
        <v>-61725</v>
      </c>
      <c r="K193" s="9">
        <f t="shared" si="12"/>
        <v>61725</v>
      </c>
      <c r="L193">
        <f t="shared" si="13"/>
        <v>-148265.78125</v>
      </c>
      <c r="M193">
        <f>IF(AND(MyRowHidden(ROW())=FALSE,MyRowHidden(ROW()-1)=TRUE),0,(G193-G192)*unitsFuturesCompare+M192)</f>
        <v>-123450</v>
      </c>
      <c r="N193">
        <f>IF(MyRowHidden(ROW())=TRUE,0,L193-M193)</f>
        <v>-24815.78125</v>
      </c>
      <c r="O193">
        <f>MAX(N$12:N193)</f>
        <v>32081.5625</v>
      </c>
      <c r="P193">
        <f>IF(O193&gt;O192,(O193-O192)*percentSavingsParticipation,0)</f>
        <v>0</v>
      </c>
      <c r="Q193">
        <f t="shared" si="14"/>
        <v>16040.78125</v>
      </c>
      <c r="R193">
        <f t="shared" si="15"/>
        <v>-132225</v>
      </c>
    </row>
    <row r="194" spans="1:18" x14ac:dyDescent="0.25">
      <c r="A194" s="1"/>
      <c r="C194" s="1"/>
      <c r="D194" s="1">
        <v>41529</v>
      </c>
      <c r="E194" s="10">
        <v>22966.5</v>
      </c>
      <c r="F194" s="1">
        <v>41529</v>
      </c>
      <c r="G194">
        <v>-1984</v>
      </c>
      <c r="H194" s="1">
        <f t="shared" si="11"/>
        <v>41529</v>
      </c>
      <c r="I194">
        <f>IF(AND(MyRowHidden(ROW())=FALSE,MyRowHidden(ROW()-1)=TRUE),0,(E194-E193)*unitsOfDHp+I193)</f>
        <v>-60585</v>
      </c>
      <c r="J194">
        <f>IF(AND(MyRowHidden(ROW())=FALSE,MyRowHidden(ROW()-1)=TRUE),0,(G194-G193)*unitsOfExo+J193)</f>
        <v>-66225</v>
      </c>
      <c r="K194" s="9">
        <f t="shared" si="12"/>
        <v>66225</v>
      </c>
      <c r="L194">
        <f t="shared" si="13"/>
        <v>-142850.78125</v>
      </c>
      <c r="M194">
        <f>IF(AND(MyRowHidden(ROW())=FALSE,MyRowHidden(ROW()-1)=TRUE),0,(G194-G193)*unitsFuturesCompare+M193)</f>
        <v>-132450</v>
      </c>
      <c r="N194">
        <f>IF(MyRowHidden(ROW())=TRUE,0,L194-M194)</f>
        <v>-10400.78125</v>
      </c>
      <c r="O194">
        <f>MAX(N$12:N194)</f>
        <v>32081.5625</v>
      </c>
      <c r="P194">
        <f>IF(O194&gt;O193,(O194-O193)*percentSavingsParticipation,0)</f>
        <v>0</v>
      </c>
      <c r="Q194">
        <f t="shared" si="14"/>
        <v>16040.78125</v>
      </c>
      <c r="R194">
        <f t="shared" si="15"/>
        <v>-126810</v>
      </c>
    </row>
    <row r="195" spans="1:18" x14ac:dyDescent="0.25">
      <c r="A195" s="1"/>
      <c r="C195" s="1"/>
      <c r="D195" s="1">
        <v>41530</v>
      </c>
      <c r="E195" s="10">
        <v>23991.5</v>
      </c>
      <c r="F195" s="1">
        <v>41530</v>
      </c>
      <c r="G195">
        <v>-1996.5</v>
      </c>
      <c r="H195" s="1">
        <f t="shared" si="11"/>
        <v>41530</v>
      </c>
      <c r="I195">
        <f>IF(AND(MyRowHidden(ROW())=FALSE,MyRowHidden(ROW()-1)=TRUE),0,(E195-E194)*unitsOfDHp+I194)</f>
        <v>-50335</v>
      </c>
      <c r="J195">
        <f>IF(AND(MyRowHidden(ROW())=FALSE,MyRowHidden(ROW()-1)=TRUE),0,(G195-G194)*unitsOfExo+J194)</f>
        <v>-66350</v>
      </c>
      <c r="K195" s="9">
        <f t="shared" si="12"/>
        <v>66350</v>
      </c>
      <c r="L195">
        <f t="shared" si="13"/>
        <v>-132725.78125</v>
      </c>
      <c r="M195">
        <f>IF(AND(MyRowHidden(ROW())=FALSE,MyRowHidden(ROW()-1)=TRUE),0,(G195-G194)*unitsFuturesCompare+M194)</f>
        <v>-132700</v>
      </c>
      <c r="N195">
        <f>IF(MyRowHidden(ROW())=TRUE,0,L195-M195)</f>
        <v>-25.78125</v>
      </c>
      <c r="O195">
        <f>MAX(N$12:N195)</f>
        <v>32081.5625</v>
      </c>
      <c r="P195">
        <f>IF(O195&gt;O194,(O195-O194)*percentSavingsParticipation,0)</f>
        <v>0</v>
      </c>
      <c r="Q195">
        <f t="shared" si="14"/>
        <v>16040.78125</v>
      </c>
      <c r="R195">
        <f t="shared" si="15"/>
        <v>-116685</v>
      </c>
    </row>
    <row r="196" spans="1:18" x14ac:dyDescent="0.25">
      <c r="A196" s="1"/>
      <c r="C196" s="1"/>
      <c r="D196" s="1">
        <v>41533</v>
      </c>
      <c r="E196" s="10">
        <v>24831.5</v>
      </c>
      <c r="F196" s="1">
        <v>41533</v>
      </c>
      <c r="G196">
        <v>-2184</v>
      </c>
      <c r="H196" s="1">
        <f t="shared" si="11"/>
        <v>41533</v>
      </c>
      <c r="I196">
        <f>IF(AND(MyRowHidden(ROW())=FALSE,MyRowHidden(ROW()-1)=TRUE),0,(E196-E195)*unitsOfDHp+I195)</f>
        <v>-41935</v>
      </c>
      <c r="J196">
        <f>IF(AND(MyRowHidden(ROW())=FALSE,MyRowHidden(ROW()-1)=TRUE),0,(G196-G195)*unitsOfExo+J195)</f>
        <v>-68225</v>
      </c>
      <c r="K196" s="9">
        <f t="shared" si="12"/>
        <v>68225</v>
      </c>
      <c r="L196">
        <f t="shared" si="13"/>
        <v>-126200.78125</v>
      </c>
      <c r="M196">
        <f>IF(AND(MyRowHidden(ROW())=FALSE,MyRowHidden(ROW()-1)=TRUE),0,(G196-G195)*unitsFuturesCompare+M195)</f>
        <v>-136450</v>
      </c>
      <c r="N196">
        <f>IF(MyRowHidden(ROW())=TRUE,0,L196-M196)</f>
        <v>10249.21875</v>
      </c>
      <c r="O196">
        <f>MAX(N$12:N196)</f>
        <v>32081.5625</v>
      </c>
      <c r="P196">
        <f>IF(O196&gt;O195,(O196-O195)*percentSavingsParticipation,0)</f>
        <v>0</v>
      </c>
      <c r="Q196">
        <f t="shared" si="14"/>
        <v>16040.78125</v>
      </c>
      <c r="R196">
        <f t="shared" si="15"/>
        <v>-110160</v>
      </c>
    </row>
    <row r="197" spans="1:18" x14ac:dyDescent="0.25">
      <c r="A197" s="1"/>
      <c r="C197" s="1"/>
      <c r="D197" s="1">
        <v>41534</v>
      </c>
      <c r="E197" s="10">
        <v>24919.5</v>
      </c>
      <c r="F197" s="1">
        <v>41534</v>
      </c>
      <c r="G197">
        <v>-2221.5</v>
      </c>
      <c r="H197" s="1">
        <f t="shared" si="11"/>
        <v>41534</v>
      </c>
      <c r="I197">
        <f>IF(AND(MyRowHidden(ROW())=FALSE,MyRowHidden(ROW()-1)=TRUE),0,(E197-E196)*unitsOfDHp+I196)</f>
        <v>-41055</v>
      </c>
      <c r="J197">
        <f>IF(AND(MyRowHidden(ROW())=FALSE,MyRowHidden(ROW()-1)=TRUE),0,(G197-G196)*unitsOfExo+J196)</f>
        <v>-68600</v>
      </c>
      <c r="K197" s="9">
        <f t="shared" si="12"/>
        <v>68600</v>
      </c>
      <c r="L197">
        <f t="shared" si="13"/>
        <v>-125695.78125</v>
      </c>
      <c r="M197">
        <f>IF(AND(MyRowHidden(ROW())=FALSE,MyRowHidden(ROW()-1)=TRUE),0,(G197-G196)*unitsFuturesCompare+M196)</f>
        <v>-137200</v>
      </c>
      <c r="N197">
        <f>IF(MyRowHidden(ROW())=TRUE,0,L197-M197)</f>
        <v>11504.21875</v>
      </c>
      <c r="O197">
        <f>MAX(N$12:N197)</f>
        <v>32081.5625</v>
      </c>
      <c r="P197">
        <f>IF(O197&gt;O196,(O197-O196)*percentSavingsParticipation,0)</f>
        <v>0</v>
      </c>
      <c r="Q197">
        <f t="shared" si="14"/>
        <v>16040.78125</v>
      </c>
      <c r="R197">
        <f t="shared" si="15"/>
        <v>-109655</v>
      </c>
    </row>
    <row r="198" spans="1:18" x14ac:dyDescent="0.25">
      <c r="A198" s="1"/>
      <c r="C198" s="1"/>
      <c r="D198" s="1">
        <v>41535</v>
      </c>
      <c r="E198" s="10">
        <v>25682</v>
      </c>
      <c r="F198" s="1">
        <v>41535</v>
      </c>
      <c r="G198">
        <v>-2296.5</v>
      </c>
      <c r="H198" s="1">
        <f t="shared" si="11"/>
        <v>41535</v>
      </c>
      <c r="I198">
        <f>IF(AND(MyRowHidden(ROW())=FALSE,MyRowHidden(ROW()-1)=TRUE),0,(E198-E197)*unitsOfDHp+I197)</f>
        <v>-33430</v>
      </c>
      <c r="J198">
        <f>IF(AND(MyRowHidden(ROW())=FALSE,MyRowHidden(ROW()-1)=TRUE),0,(G198-G197)*unitsOfExo+J197)</f>
        <v>-69350</v>
      </c>
      <c r="K198" s="9">
        <f t="shared" si="12"/>
        <v>69350</v>
      </c>
      <c r="L198">
        <f t="shared" si="13"/>
        <v>-118820.78125</v>
      </c>
      <c r="M198">
        <f>IF(AND(MyRowHidden(ROW())=FALSE,MyRowHidden(ROW()-1)=TRUE),0,(G198-G197)*unitsFuturesCompare+M197)</f>
        <v>-138700</v>
      </c>
      <c r="N198">
        <f>IF(MyRowHidden(ROW())=TRUE,0,L198-M198)</f>
        <v>19879.21875</v>
      </c>
      <c r="O198">
        <f>MAX(N$12:N198)</f>
        <v>32081.5625</v>
      </c>
      <c r="P198">
        <f>IF(O198&gt;O197,(O198-O197)*percentSavingsParticipation,0)</f>
        <v>0</v>
      </c>
      <c r="Q198">
        <f t="shared" si="14"/>
        <v>16040.78125</v>
      </c>
      <c r="R198">
        <f t="shared" si="15"/>
        <v>-102780</v>
      </c>
    </row>
    <row r="199" spans="1:18" x14ac:dyDescent="0.25">
      <c r="A199" s="1"/>
      <c r="C199" s="1"/>
      <c r="D199" s="1">
        <v>41536</v>
      </c>
      <c r="E199" s="10">
        <v>24882</v>
      </c>
      <c r="F199" s="1">
        <v>41536</v>
      </c>
      <c r="G199">
        <v>-2146.5</v>
      </c>
      <c r="H199" s="1">
        <f t="shared" si="11"/>
        <v>41536</v>
      </c>
      <c r="I199">
        <f>IF(AND(MyRowHidden(ROW())=FALSE,MyRowHidden(ROW()-1)=TRUE),0,(E199-E198)*unitsOfDHp+I198)</f>
        <v>-41430</v>
      </c>
      <c r="J199">
        <f>IF(AND(MyRowHidden(ROW())=FALSE,MyRowHidden(ROW()-1)=TRUE),0,(G199-G198)*unitsOfExo+J198)</f>
        <v>-67850</v>
      </c>
      <c r="K199" s="9">
        <f t="shared" si="12"/>
        <v>67850</v>
      </c>
      <c r="L199">
        <f t="shared" si="13"/>
        <v>-125320.78125</v>
      </c>
      <c r="M199">
        <f>IF(AND(MyRowHidden(ROW())=FALSE,MyRowHidden(ROW()-1)=TRUE),0,(G199-G198)*unitsFuturesCompare+M198)</f>
        <v>-135700</v>
      </c>
      <c r="N199">
        <f>IF(MyRowHidden(ROW())=TRUE,0,L199-M199)</f>
        <v>10379.21875</v>
      </c>
      <c r="O199">
        <f>MAX(N$12:N199)</f>
        <v>32081.5625</v>
      </c>
      <c r="P199">
        <f>IF(O199&gt;O198,(O199-O198)*percentSavingsParticipation,0)</f>
        <v>0</v>
      </c>
      <c r="Q199">
        <f t="shared" si="14"/>
        <v>16040.78125</v>
      </c>
      <c r="R199">
        <f t="shared" si="15"/>
        <v>-109280</v>
      </c>
    </row>
    <row r="200" spans="1:18" x14ac:dyDescent="0.25">
      <c r="A200" s="1"/>
      <c r="C200" s="1"/>
      <c r="D200" s="1">
        <v>41537</v>
      </c>
      <c r="E200" s="10">
        <v>26482</v>
      </c>
      <c r="F200" s="1">
        <v>41537</v>
      </c>
      <c r="G200">
        <v>-2446.5</v>
      </c>
      <c r="H200" s="1">
        <f t="shared" si="11"/>
        <v>41537</v>
      </c>
      <c r="I200">
        <f>IF(AND(MyRowHidden(ROW())=FALSE,MyRowHidden(ROW()-1)=TRUE),0,(E200-E199)*unitsOfDHp+I199)</f>
        <v>-25430</v>
      </c>
      <c r="J200">
        <f>IF(AND(MyRowHidden(ROW())=FALSE,MyRowHidden(ROW()-1)=TRUE),0,(G200-G199)*unitsOfExo+J199)</f>
        <v>-70850</v>
      </c>
      <c r="K200" s="9">
        <f t="shared" si="12"/>
        <v>70850</v>
      </c>
      <c r="L200">
        <f t="shared" si="13"/>
        <v>-112320.78125</v>
      </c>
      <c r="M200">
        <f>IF(AND(MyRowHidden(ROW())=FALSE,MyRowHidden(ROW()-1)=TRUE),0,(G200-G199)*unitsFuturesCompare+M199)</f>
        <v>-141700</v>
      </c>
      <c r="N200">
        <f>IF(MyRowHidden(ROW())=TRUE,0,L200-M200)</f>
        <v>29379.21875</v>
      </c>
      <c r="O200">
        <f>MAX(N$12:N200)</f>
        <v>32081.5625</v>
      </c>
      <c r="P200">
        <f>IF(O200&gt;O199,(O200-O199)*percentSavingsParticipation,0)</f>
        <v>0</v>
      </c>
      <c r="Q200">
        <f t="shared" si="14"/>
        <v>16040.78125</v>
      </c>
      <c r="R200">
        <f t="shared" si="15"/>
        <v>-96280</v>
      </c>
    </row>
    <row r="201" spans="1:18" x14ac:dyDescent="0.25">
      <c r="A201" s="1"/>
      <c r="C201" s="1"/>
      <c r="D201" s="1">
        <v>41540</v>
      </c>
      <c r="E201" s="10">
        <v>26285</v>
      </c>
      <c r="F201" s="1">
        <v>41540</v>
      </c>
      <c r="G201">
        <v>-2396.5</v>
      </c>
      <c r="H201" s="1">
        <f t="shared" si="11"/>
        <v>41540</v>
      </c>
      <c r="I201">
        <f>IF(AND(MyRowHidden(ROW())=FALSE,MyRowHidden(ROW()-1)=TRUE),0,(E201-E200)*unitsOfDHp+I200)</f>
        <v>-27400</v>
      </c>
      <c r="J201">
        <f>IF(AND(MyRowHidden(ROW())=FALSE,MyRowHidden(ROW()-1)=TRUE),0,(G201-G200)*unitsOfExo+J200)</f>
        <v>-70350</v>
      </c>
      <c r="K201" s="9">
        <f t="shared" si="12"/>
        <v>70350</v>
      </c>
      <c r="L201">
        <f t="shared" si="13"/>
        <v>-113790.78125</v>
      </c>
      <c r="M201">
        <f>IF(AND(MyRowHidden(ROW())=FALSE,MyRowHidden(ROW()-1)=TRUE),0,(G201-G200)*unitsFuturesCompare+M200)</f>
        <v>-140700</v>
      </c>
      <c r="N201">
        <f>IF(MyRowHidden(ROW())=TRUE,0,L201-M201)</f>
        <v>26909.21875</v>
      </c>
      <c r="O201">
        <f>MAX(N$12:N201)</f>
        <v>32081.5625</v>
      </c>
      <c r="P201">
        <f>IF(O201&gt;O200,(O201-O200)*percentSavingsParticipation,0)</f>
        <v>0</v>
      </c>
      <c r="Q201">
        <f t="shared" si="14"/>
        <v>16040.78125</v>
      </c>
      <c r="R201">
        <f t="shared" si="15"/>
        <v>-97750</v>
      </c>
    </row>
    <row r="202" spans="1:18" x14ac:dyDescent="0.25">
      <c r="A202" s="1"/>
      <c r="C202" s="1"/>
      <c r="D202" s="1">
        <v>41541</v>
      </c>
      <c r="E202" s="10">
        <v>27235</v>
      </c>
      <c r="F202" s="1">
        <v>41541</v>
      </c>
      <c r="G202">
        <v>-2584</v>
      </c>
      <c r="H202" s="1">
        <f t="shared" si="11"/>
        <v>41541</v>
      </c>
      <c r="I202">
        <f>IF(AND(MyRowHidden(ROW())=FALSE,MyRowHidden(ROW()-1)=TRUE),0,(E202-E201)*unitsOfDHp+I201)</f>
        <v>-17900</v>
      </c>
      <c r="J202">
        <f>IF(AND(MyRowHidden(ROW())=FALSE,MyRowHidden(ROW()-1)=TRUE),0,(G202-G201)*unitsOfExo+J201)</f>
        <v>-72225</v>
      </c>
      <c r="K202" s="9">
        <f t="shared" si="12"/>
        <v>72225</v>
      </c>
      <c r="L202">
        <f t="shared" si="13"/>
        <v>-106165.78125</v>
      </c>
      <c r="M202">
        <f>IF(AND(MyRowHidden(ROW())=FALSE,MyRowHidden(ROW()-1)=TRUE),0,(G202-G201)*unitsFuturesCompare+M201)</f>
        <v>-144450</v>
      </c>
      <c r="N202">
        <f>IF(MyRowHidden(ROW())=TRUE,0,L202-M202)</f>
        <v>38284.21875</v>
      </c>
      <c r="O202">
        <f>MAX(N$12:N202)</f>
        <v>38284.21875</v>
      </c>
      <c r="P202">
        <f>IF(O202&gt;O201,(O202-O201)*percentSavingsParticipation,0)</f>
        <v>3101.328125</v>
      </c>
      <c r="Q202">
        <f t="shared" si="14"/>
        <v>19142.109375</v>
      </c>
      <c r="R202">
        <f t="shared" si="15"/>
        <v>-90125</v>
      </c>
    </row>
    <row r="203" spans="1:18" x14ac:dyDescent="0.25">
      <c r="A203" s="1"/>
      <c r="C203" s="1"/>
      <c r="D203" s="1">
        <v>41542</v>
      </c>
      <c r="E203" s="10">
        <v>25887</v>
      </c>
      <c r="F203" s="1">
        <v>41542</v>
      </c>
      <c r="G203">
        <v>-2184</v>
      </c>
      <c r="H203" s="1">
        <f t="shared" si="11"/>
        <v>41542</v>
      </c>
      <c r="I203">
        <f>IF(AND(MyRowHidden(ROW())=FALSE,MyRowHidden(ROW()-1)=TRUE),0,(E203-E202)*unitsOfDHp+I202)</f>
        <v>-31380</v>
      </c>
      <c r="J203">
        <f>IF(AND(MyRowHidden(ROW())=FALSE,MyRowHidden(ROW()-1)=TRUE),0,(G203-G202)*unitsOfExo+J202)</f>
        <v>-68225</v>
      </c>
      <c r="K203" s="9">
        <f t="shared" si="12"/>
        <v>68225</v>
      </c>
      <c r="L203">
        <f t="shared" si="13"/>
        <v>-118747.109375</v>
      </c>
      <c r="M203">
        <f>IF(AND(MyRowHidden(ROW())=FALSE,MyRowHidden(ROW()-1)=TRUE),0,(G203-G202)*unitsFuturesCompare+M202)</f>
        <v>-136450</v>
      </c>
      <c r="N203">
        <f>IF(MyRowHidden(ROW())=TRUE,0,L203-M203)</f>
        <v>17702.890625</v>
      </c>
      <c r="O203">
        <f>MAX(N$12:N203)</f>
        <v>38284.21875</v>
      </c>
      <c r="P203">
        <f>IF(O203&gt;O202,(O203-O202)*percentSavingsParticipation,0)</f>
        <v>0</v>
      </c>
      <c r="Q203">
        <f t="shared" si="14"/>
        <v>19142.109375</v>
      </c>
      <c r="R203">
        <f t="shared" si="15"/>
        <v>-99605</v>
      </c>
    </row>
    <row r="204" spans="1:18" x14ac:dyDescent="0.25">
      <c r="A204" s="1"/>
      <c r="C204" s="1"/>
      <c r="D204" s="1">
        <v>41543</v>
      </c>
      <c r="E204" s="10">
        <v>25687.5</v>
      </c>
      <c r="F204" s="1">
        <v>41543</v>
      </c>
      <c r="G204">
        <v>-2246.5</v>
      </c>
      <c r="H204" s="1">
        <f t="shared" si="11"/>
        <v>41543</v>
      </c>
      <c r="I204">
        <f>IF(AND(MyRowHidden(ROW())=FALSE,MyRowHidden(ROW()-1)=TRUE),0,(E204-E203)*unitsOfDHp+I203)</f>
        <v>-33375</v>
      </c>
      <c r="J204">
        <f>IF(AND(MyRowHidden(ROW())=FALSE,MyRowHidden(ROW()-1)=TRUE),0,(G204-G203)*unitsOfExo+J203)</f>
        <v>-68850</v>
      </c>
      <c r="K204" s="9">
        <f t="shared" si="12"/>
        <v>68850</v>
      </c>
      <c r="L204">
        <f t="shared" si="13"/>
        <v>-121367.109375</v>
      </c>
      <c r="M204">
        <f>IF(AND(MyRowHidden(ROW())=FALSE,MyRowHidden(ROW()-1)=TRUE),0,(G204-G203)*unitsFuturesCompare+M203)</f>
        <v>-137700</v>
      </c>
      <c r="N204">
        <f>IF(MyRowHidden(ROW())=TRUE,0,L204-M204)</f>
        <v>16332.890625</v>
      </c>
      <c r="O204">
        <f>MAX(N$12:N204)</f>
        <v>38284.21875</v>
      </c>
      <c r="P204">
        <f>IF(O204&gt;O203,(O204-O203)*percentSavingsParticipation,0)</f>
        <v>0</v>
      </c>
      <c r="Q204">
        <f t="shared" si="14"/>
        <v>19142.109375</v>
      </c>
      <c r="R204">
        <f t="shared" si="15"/>
        <v>-102225</v>
      </c>
    </row>
    <row r="205" spans="1:18" x14ac:dyDescent="0.25">
      <c r="A205" s="1"/>
      <c r="C205" s="1"/>
      <c r="D205" s="1">
        <v>41544</v>
      </c>
      <c r="E205" s="10">
        <v>26176.5</v>
      </c>
      <c r="F205" s="1">
        <v>41544</v>
      </c>
      <c r="G205">
        <v>-2284</v>
      </c>
      <c r="H205" s="1">
        <f t="shared" ref="H205:H268" si="16">D205</f>
        <v>41544</v>
      </c>
      <c r="I205">
        <f>IF(AND(MyRowHidden(ROW())=FALSE,MyRowHidden(ROW()-1)=TRUE),0,(E205-E204)*unitsOfDHp+I204)</f>
        <v>-28485</v>
      </c>
      <c r="J205">
        <f>IF(AND(MyRowHidden(ROW())=FALSE,MyRowHidden(ROW()-1)=TRUE),0,(G205-G204)*unitsOfExo+J204)</f>
        <v>-69225</v>
      </c>
      <c r="K205" s="9">
        <f t="shared" ref="K205:K268" si="17">-(J205-J204)+K204</f>
        <v>69225</v>
      </c>
      <c r="L205">
        <f t="shared" ref="L205:L268" si="18">I205-I204+J205-J204+L204-P204</f>
        <v>-116852.109375</v>
      </c>
      <c r="M205">
        <f>IF(AND(MyRowHidden(ROW())=FALSE,MyRowHidden(ROW()-1)=TRUE),0,(G205-G204)*unitsFuturesCompare+M204)</f>
        <v>-138450</v>
      </c>
      <c r="N205">
        <f>IF(MyRowHidden(ROW())=TRUE,0,L205-M205)</f>
        <v>21597.890625</v>
      </c>
      <c r="O205">
        <f>MAX(N$12:N205)</f>
        <v>38284.21875</v>
      </c>
      <c r="P205">
        <f>IF(O205&gt;O204,(O205-O204)*percentSavingsParticipation,0)</f>
        <v>0</v>
      </c>
      <c r="Q205">
        <f t="shared" ref="Q205:Q268" si="19">P205+Q204</f>
        <v>19142.109375</v>
      </c>
      <c r="R205">
        <f t="shared" ref="R205:R268" si="20">I205+J205</f>
        <v>-97710</v>
      </c>
    </row>
    <row r="206" spans="1:18" x14ac:dyDescent="0.25">
      <c r="A206" s="1"/>
      <c r="C206" s="1"/>
      <c r="D206" s="1">
        <v>41547</v>
      </c>
      <c r="E206" s="10">
        <v>28476.5</v>
      </c>
      <c r="F206" s="1">
        <v>41547</v>
      </c>
      <c r="G206">
        <v>-2771.5</v>
      </c>
      <c r="H206" s="1">
        <f t="shared" si="16"/>
        <v>41547</v>
      </c>
      <c r="I206">
        <f>IF(AND(MyRowHidden(ROW())=FALSE,MyRowHidden(ROW()-1)=TRUE),0,(E206-E205)*unitsOfDHp+I205)</f>
        <v>-5485</v>
      </c>
      <c r="J206">
        <f>IF(AND(MyRowHidden(ROW())=FALSE,MyRowHidden(ROW()-1)=TRUE),0,(G206-G205)*unitsOfExo+J205)</f>
        <v>-74100</v>
      </c>
      <c r="K206" s="9">
        <f t="shared" si="17"/>
        <v>74100</v>
      </c>
      <c r="L206">
        <f t="shared" si="18"/>
        <v>-98727.109375</v>
      </c>
      <c r="M206">
        <f>IF(AND(MyRowHidden(ROW())=FALSE,MyRowHidden(ROW()-1)=TRUE),0,(G206-G205)*unitsFuturesCompare+M205)</f>
        <v>-148200</v>
      </c>
      <c r="N206">
        <f>IF(MyRowHidden(ROW())=TRUE,0,L206-M206)</f>
        <v>49472.890625</v>
      </c>
      <c r="O206">
        <f>MAX(N$12:N206)</f>
        <v>49472.890625</v>
      </c>
      <c r="P206">
        <f>IF(O206&gt;O205,(O206-O205)*percentSavingsParticipation,0)</f>
        <v>5594.3359375</v>
      </c>
      <c r="Q206">
        <f t="shared" si="19"/>
        <v>24736.4453125</v>
      </c>
      <c r="R206">
        <f t="shared" si="20"/>
        <v>-79585</v>
      </c>
    </row>
    <row r="207" spans="1:18" x14ac:dyDescent="0.25">
      <c r="A207" s="1"/>
      <c r="C207" s="1"/>
      <c r="D207" s="1">
        <v>41548</v>
      </c>
      <c r="E207" s="10">
        <v>29564</v>
      </c>
      <c r="F207" s="1">
        <v>41548</v>
      </c>
      <c r="G207">
        <v>-3134</v>
      </c>
      <c r="H207" s="1">
        <f t="shared" si="16"/>
        <v>41548</v>
      </c>
      <c r="I207">
        <f>IF(AND(MyRowHidden(ROW())=FALSE,MyRowHidden(ROW()-1)=TRUE),0,(E207-E206)*unitsOfDHp+I206)</f>
        <v>5390</v>
      </c>
      <c r="J207">
        <f>IF(AND(MyRowHidden(ROW())=FALSE,MyRowHidden(ROW()-1)=TRUE),0,(G207-G206)*unitsOfExo+J206)</f>
        <v>-77725</v>
      </c>
      <c r="K207" s="9">
        <f t="shared" si="17"/>
        <v>77725</v>
      </c>
      <c r="L207">
        <f t="shared" si="18"/>
        <v>-97071.4453125</v>
      </c>
      <c r="M207">
        <f>IF(AND(MyRowHidden(ROW())=FALSE,MyRowHidden(ROW()-1)=TRUE),0,(G207-G206)*unitsFuturesCompare+M206)</f>
        <v>-155450</v>
      </c>
      <c r="N207">
        <f>IF(MyRowHidden(ROW())=TRUE,0,L207-M207)</f>
        <v>58378.5546875</v>
      </c>
      <c r="O207">
        <f>MAX(N$12:N207)</f>
        <v>58378.5546875</v>
      </c>
      <c r="P207">
        <f>IF(O207&gt;O206,(O207-O206)*percentSavingsParticipation,0)</f>
        <v>4452.83203125</v>
      </c>
      <c r="Q207">
        <f t="shared" si="19"/>
        <v>29189.27734375</v>
      </c>
      <c r="R207">
        <f t="shared" si="20"/>
        <v>-72335</v>
      </c>
    </row>
    <row r="208" spans="1:18" x14ac:dyDescent="0.25">
      <c r="A208" s="1"/>
      <c r="C208" s="1"/>
      <c r="D208" s="1">
        <v>41549</v>
      </c>
      <c r="E208" s="10">
        <v>29508</v>
      </c>
      <c r="F208" s="1">
        <v>41549</v>
      </c>
      <c r="G208">
        <v>-3034</v>
      </c>
      <c r="H208" s="1">
        <f t="shared" si="16"/>
        <v>41549</v>
      </c>
      <c r="I208">
        <f>IF(AND(MyRowHidden(ROW())=FALSE,MyRowHidden(ROW()-1)=TRUE),0,(E208-E207)*unitsOfDHp+I207)</f>
        <v>4830</v>
      </c>
      <c r="J208">
        <f>IF(AND(MyRowHidden(ROW())=FALSE,MyRowHidden(ROW()-1)=TRUE),0,(G208-G207)*unitsOfExo+J207)</f>
        <v>-76725</v>
      </c>
      <c r="K208" s="9">
        <f t="shared" si="17"/>
        <v>76725</v>
      </c>
      <c r="L208">
        <f t="shared" si="18"/>
        <v>-101084.27734375</v>
      </c>
      <c r="M208">
        <f>IF(AND(MyRowHidden(ROW())=FALSE,MyRowHidden(ROW()-1)=TRUE),0,(G208-G207)*unitsFuturesCompare+M207)</f>
        <v>-153450</v>
      </c>
      <c r="N208">
        <f>IF(MyRowHidden(ROW())=TRUE,0,L208-M208)</f>
        <v>52365.72265625</v>
      </c>
      <c r="O208">
        <f>MAX(N$12:N208)</f>
        <v>58378.5546875</v>
      </c>
      <c r="P208">
        <f>IF(O208&gt;O207,(O208-O207)*percentSavingsParticipation,0)</f>
        <v>0</v>
      </c>
      <c r="Q208">
        <f t="shared" si="19"/>
        <v>29189.27734375</v>
      </c>
      <c r="R208">
        <f t="shared" si="20"/>
        <v>-71895</v>
      </c>
    </row>
    <row r="209" spans="1:18" x14ac:dyDescent="0.25">
      <c r="A209" s="1"/>
      <c r="C209" s="1"/>
      <c r="D209" s="1">
        <v>41550</v>
      </c>
      <c r="E209" s="10">
        <v>29670.5</v>
      </c>
      <c r="F209" s="1">
        <v>41550</v>
      </c>
      <c r="G209">
        <v>-2934</v>
      </c>
      <c r="H209" s="1">
        <f t="shared" si="16"/>
        <v>41550</v>
      </c>
      <c r="I209">
        <f>IF(AND(MyRowHidden(ROW())=FALSE,MyRowHidden(ROW()-1)=TRUE),0,(E209-E208)*unitsOfDHp+I208)</f>
        <v>6455</v>
      </c>
      <c r="J209">
        <f>IF(AND(MyRowHidden(ROW())=FALSE,MyRowHidden(ROW()-1)=TRUE),0,(G209-G208)*unitsOfExo+J208)</f>
        <v>-75725</v>
      </c>
      <c r="K209" s="9">
        <f t="shared" si="17"/>
        <v>75725</v>
      </c>
      <c r="L209">
        <f t="shared" si="18"/>
        <v>-98459.27734375</v>
      </c>
      <c r="M209">
        <f>IF(AND(MyRowHidden(ROW())=FALSE,MyRowHidden(ROW()-1)=TRUE),0,(G209-G208)*unitsFuturesCompare+M208)</f>
        <v>-151450</v>
      </c>
      <c r="N209">
        <f>IF(MyRowHidden(ROW())=TRUE,0,L209-M209)</f>
        <v>52990.72265625</v>
      </c>
      <c r="O209">
        <f>MAX(N$12:N209)</f>
        <v>58378.5546875</v>
      </c>
      <c r="P209">
        <f>IF(O209&gt;O208,(O209-O208)*percentSavingsParticipation,0)</f>
        <v>0</v>
      </c>
      <c r="Q209">
        <f t="shared" si="19"/>
        <v>29189.27734375</v>
      </c>
      <c r="R209">
        <f t="shared" si="20"/>
        <v>-69270</v>
      </c>
    </row>
    <row r="210" spans="1:18" x14ac:dyDescent="0.25">
      <c r="A210" s="1"/>
      <c r="C210" s="1"/>
      <c r="D210" s="1">
        <v>41551</v>
      </c>
      <c r="E210" s="10">
        <v>29758</v>
      </c>
      <c r="F210" s="1">
        <v>41551</v>
      </c>
      <c r="G210">
        <v>-2821.5</v>
      </c>
      <c r="H210" s="1">
        <f t="shared" si="16"/>
        <v>41551</v>
      </c>
      <c r="I210">
        <f>IF(AND(MyRowHidden(ROW())=FALSE,MyRowHidden(ROW()-1)=TRUE),0,(E210-E209)*unitsOfDHp+I209)</f>
        <v>7330</v>
      </c>
      <c r="J210">
        <f>IF(AND(MyRowHidden(ROW())=FALSE,MyRowHidden(ROW()-1)=TRUE),0,(G210-G209)*unitsOfExo+J209)</f>
        <v>-74600</v>
      </c>
      <c r="K210" s="9">
        <f t="shared" si="17"/>
        <v>74600</v>
      </c>
      <c r="L210">
        <f t="shared" si="18"/>
        <v>-96459.27734375</v>
      </c>
      <c r="M210">
        <f>IF(AND(MyRowHidden(ROW())=FALSE,MyRowHidden(ROW()-1)=TRUE),0,(G210-G209)*unitsFuturesCompare+M209)</f>
        <v>-149200</v>
      </c>
      <c r="N210">
        <f>IF(MyRowHidden(ROW())=TRUE,0,L210-M210)</f>
        <v>52740.72265625</v>
      </c>
      <c r="O210">
        <f>MAX(N$12:N210)</f>
        <v>58378.5546875</v>
      </c>
      <c r="P210">
        <f>IF(O210&gt;O209,(O210-O209)*percentSavingsParticipation,0)</f>
        <v>0</v>
      </c>
      <c r="Q210">
        <f t="shared" si="19"/>
        <v>29189.27734375</v>
      </c>
      <c r="R210">
        <f t="shared" si="20"/>
        <v>-67270</v>
      </c>
    </row>
    <row r="211" spans="1:18" x14ac:dyDescent="0.25">
      <c r="A211" s="1"/>
      <c r="C211" s="1"/>
      <c r="D211" s="1">
        <v>41554</v>
      </c>
      <c r="E211" s="10">
        <v>29295.5</v>
      </c>
      <c r="F211" s="1">
        <v>41554</v>
      </c>
      <c r="G211">
        <v>-2609</v>
      </c>
      <c r="H211" s="1">
        <f t="shared" si="16"/>
        <v>41554</v>
      </c>
      <c r="I211">
        <f>IF(AND(MyRowHidden(ROW())=FALSE,MyRowHidden(ROW()-1)=TRUE),0,(E211-E210)*unitsOfDHp+I210)</f>
        <v>2705</v>
      </c>
      <c r="J211">
        <f>IF(AND(MyRowHidden(ROW())=FALSE,MyRowHidden(ROW()-1)=TRUE),0,(G211-G210)*unitsOfExo+J210)</f>
        <v>-72475</v>
      </c>
      <c r="K211" s="9">
        <f t="shared" si="17"/>
        <v>72475</v>
      </c>
      <c r="L211">
        <f t="shared" si="18"/>
        <v>-98959.27734375</v>
      </c>
      <c r="M211">
        <f>IF(AND(MyRowHidden(ROW())=FALSE,MyRowHidden(ROW()-1)=TRUE),0,(G211-G210)*unitsFuturesCompare+M210)</f>
        <v>-144950</v>
      </c>
      <c r="N211">
        <f>IF(MyRowHidden(ROW())=TRUE,0,L211-M211)</f>
        <v>45990.72265625</v>
      </c>
      <c r="O211">
        <f>MAX(N$12:N211)</f>
        <v>58378.5546875</v>
      </c>
      <c r="P211">
        <f>IF(O211&gt;O210,(O211-O210)*percentSavingsParticipation,0)</f>
        <v>0</v>
      </c>
      <c r="Q211">
        <f t="shared" si="19"/>
        <v>29189.27734375</v>
      </c>
      <c r="R211">
        <f t="shared" si="20"/>
        <v>-69770</v>
      </c>
    </row>
    <row r="212" spans="1:18" x14ac:dyDescent="0.25">
      <c r="A212" s="1"/>
      <c r="C212" s="1"/>
      <c r="D212" s="1">
        <v>41555</v>
      </c>
      <c r="E212" s="10">
        <v>29695.5</v>
      </c>
      <c r="F212" s="1">
        <v>41555</v>
      </c>
      <c r="G212">
        <v>-2921.5</v>
      </c>
      <c r="H212" s="1">
        <f t="shared" si="16"/>
        <v>41555</v>
      </c>
      <c r="I212">
        <f>IF(AND(MyRowHidden(ROW())=FALSE,MyRowHidden(ROW()-1)=TRUE),0,(E212-E211)*unitsOfDHp+I211)</f>
        <v>6705</v>
      </c>
      <c r="J212">
        <f>IF(AND(MyRowHidden(ROW())=FALSE,MyRowHidden(ROW()-1)=TRUE),0,(G212-G211)*unitsOfExo+J211)</f>
        <v>-75600</v>
      </c>
      <c r="K212" s="9">
        <f t="shared" si="17"/>
        <v>75600</v>
      </c>
      <c r="L212">
        <f t="shared" si="18"/>
        <v>-98084.27734375</v>
      </c>
      <c r="M212">
        <f>IF(AND(MyRowHidden(ROW())=FALSE,MyRowHidden(ROW()-1)=TRUE),0,(G212-G211)*unitsFuturesCompare+M211)</f>
        <v>-151200</v>
      </c>
      <c r="N212">
        <f>IF(MyRowHidden(ROW())=TRUE,0,L212-M212)</f>
        <v>53115.72265625</v>
      </c>
      <c r="O212">
        <f>MAX(N$12:N212)</f>
        <v>58378.5546875</v>
      </c>
      <c r="P212">
        <f>IF(O212&gt;O211,(O212-O211)*percentSavingsParticipation,0)</f>
        <v>0</v>
      </c>
      <c r="Q212">
        <f t="shared" si="19"/>
        <v>29189.27734375</v>
      </c>
      <c r="R212">
        <f t="shared" si="20"/>
        <v>-68895</v>
      </c>
    </row>
    <row r="213" spans="1:18" x14ac:dyDescent="0.25">
      <c r="A213" s="1"/>
      <c r="C213" s="1"/>
      <c r="D213" s="1">
        <v>41556</v>
      </c>
      <c r="E213" s="10">
        <v>29720.5</v>
      </c>
      <c r="F213" s="1">
        <v>41556</v>
      </c>
      <c r="G213">
        <v>-2821.5</v>
      </c>
      <c r="H213" s="1">
        <f t="shared" si="16"/>
        <v>41556</v>
      </c>
      <c r="I213">
        <f>IF(AND(MyRowHidden(ROW())=FALSE,MyRowHidden(ROW()-1)=TRUE),0,(E213-E212)*unitsOfDHp+I212)</f>
        <v>6955</v>
      </c>
      <c r="J213">
        <f>IF(AND(MyRowHidden(ROW())=FALSE,MyRowHidden(ROW()-1)=TRUE),0,(G213-G212)*unitsOfExo+J212)</f>
        <v>-74600</v>
      </c>
      <c r="K213" s="9">
        <f t="shared" si="17"/>
        <v>74600</v>
      </c>
      <c r="L213">
        <f t="shared" si="18"/>
        <v>-96834.27734375</v>
      </c>
      <c r="M213">
        <f>IF(AND(MyRowHidden(ROW())=FALSE,MyRowHidden(ROW()-1)=TRUE),0,(G213-G212)*unitsFuturesCompare+M212)</f>
        <v>-149200</v>
      </c>
      <c r="N213">
        <f>IF(MyRowHidden(ROW())=TRUE,0,L213-M213)</f>
        <v>52365.72265625</v>
      </c>
      <c r="O213">
        <f>MAX(N$12:N213)</f>
        <v>58378.5546875</v>
      </c>
      <c r="P213">
        <f>IF(O213&gt;O212,(O213-O212)*percentSavingsParticipation,0)</f>
        <v>0</v>
      </c>
      <c r="Q213">
        <f t="shared" si="19"/>
        <v>29189.27734375</v>
      </c>
      <c r="R213">
        <f t="shared" si="20"/>
        <v>-67645</v>
      </c>
    </row>
    <row r="214" spans="1:18" x14ac:dyDescent="0.25">
      <c r="A214" s="1"/>
      <c r="C214" s="1"/>
      <c r="D214" s="1">
        <v>41557</v>
      </c>
      <c r="E214" s="10">
        <v>29983</v>
      </c>
      <c r="F214" s="1">
        <v>41557</v>
      </c>
      <c r="G214">
        <v>-3109</v>
      </c>
      <c r="H214" s="1">
        <f t="shared" si="16"/>
        <v>41557</v>
      </c>
      <c r="I214">
        <f>IF(AND(MyRowHidden(ROW())=FALSE,MyRowHidden(ROW()-1)=TRUE),0,(E214-E213)*unitsOfDHp+I213)</f>
        <v>9580</v>
      </c>
      <c r="J214">
        <f>IF(AND(MyRowHidden(ROW())=FALSE,MyRowHidden(ROW()-1)=TRUE),0,(G214-G213)*unitsOfExo+J213)</f>
        <v>-77475</v>
      </c>
      <c r="K214" s="9">
        <f t="shared" si="17"/>
        <v>77475</v>
      </c>
      <c r="L214">
        <f t="shared" si="18"/>
        <v>-97084.27734375</v>
      </c>
      <c r="M214">
        <f>IF(AND(MyRowHidden(ROW())=FALSE,MyRowHidden(ROW()-1)=TRUE),0,(G214-G213)*unitsFuturesCompare+M213)</f>
        <v>-154950</v>
      </c>
      <c r="N214">
        <f>IF(MyRowHidden(ROW())=TRUE,0,L214-M214)</f>
        <v>57865.72265625</v>
      </c>
      <c r="O214">
        <f>MAX(N$12:N214)</f>
        <v>58378.5546875</v>
      </c>
      <c r="P214">
        <f>IF(O214&gt;O213,(O214-O213)*percentSavingsParticipation,0)</f>
        <v>0</v>
      </c>
      <c r="Q214">
        <f t="shared" si="19"/>
        <v>29189.27734375</v>
      </c>
      <c r="R214">
        <f t="shared" si="20"/>
        <v>-67895</v>
      </c>
    </row>
    <row r="215" spans="1:18" x14ac:dyDescent="0.25">
      <c r="A215" s="1"/>
      <c r="C215" s="1"/>
      <c r="D215" s="1">
        <v>41558</v>
      </c>
      <c r="E215" s="10">
        <v>30020.5</v>
      </c>
      <c r="F215" s="1">
        <v>41558</v>
      </c>
      <c r="G215">
        <v>-3284</v>
      </c>
      <c r="H215" s="1">
        <f t="shared" si="16"/>
        <v>41558</v>
      </c>
      <c r="I215">
        <f>IF(AND(MyRowHidden(ROW())=FALSE,MyRowHidden(ROW()-1)=TRUE),0,(E215-E214)*unitsOfDHp+I214)</f>
        <v>9955</v>
      </c>
      <c r="J215">
        <f>IF(AND(MyRowHidden(ROW())=FALSE,MyRowHidden(ROW()-1)=TRUE),0,(G215-G214)*unitsOfExo+J214)</f>
        <v>-79225</v>
      </c>
      <c r="K215" s="9">
        <f t="shared" si="17"/>
        <v>79225</v>
      </c>
      <c r="L215">
        <f t="shared" si="18"/>
        <v>-98459.27734375</v>
      </c>
      <c r="M215">
        <f>IF(AND(MyRowHidden(ROW())=FALSE,MyRowHidden(ROW()-1)=TRUE),0,(G215-G214)*unitsFuturesCompare+M214)</f>
        <v>-158450</v>
      </c>
      <c r="N215">
        <f>IF(MyRowHidden(ROW())=TRUE,0,L215-M215)</f>
        <v>59990.72265625</v>
      </c>
      <c r="O215">
        <f>MAX(N$12:N215)</f>
        <v>59990.72265625</v>
      </c>
      <c r="P215">
        <f>IF(O215&gt;O214,(O215-O214)*percentSavingsParticipation,0)</f>
        <v>806.083984375</v>
      </c>
      <c r="Q215">
        <f t="shared" si="19"/>
        <v>29995.361328125</v>
      </c>
      <c r="R215">
        <f t="shared" si="20"/>
        <v>-69270</v>
      </c>
    </row>
    <row r="216" spans="1:18" x14ac:dyDescent="0.25">
      <c r="A216" s="1"/>
      <c r="C216" s="1"/>
      <c r="D216" s="1">
        <v>41561</v>
      </c>
      <c r="E216" s="10">
        <v>30008</v>
      </c>
      <c r="F216" s="1">
        <v>41561</v>
      </c>
      <c r="G216">
        <v>-3196.5</v>
      </c>
      <c r="H216" s="1">
        <f t="shared" si="16"/>
        <v>41561</v>
      </c>
      <c r="I216">
        <f>IF(AND(MyRowHidden(ROW())=FALSE,MyRowHidden(ROW()-1)=TRUE),0,(E216-E215)*unitsOfDHp+I215)</f>
        <v>9830</v>
      </c>
      <c r="J216">
        <f>IF(AND(MyRowHidden(ROW())=FALSE,MyRowHidden(ROW()-1)=TRUE),0,(G216-G215)*unitsOfExo+J215)</f>
        <v>-78350</v>
      </c>
      <c r="K216" s="9">
        <f t="shared" si="17"/>
        <v>78350</v>
      </c>
      <c r="L216">
        <f t="shared" si="18"/>
        <v>-98515.361328125</v>
      </c>
      <c r="M216">
        <f>IF(AND(MyRowHidden(ROW())=FALSE,MyRowHidden(ROW()-1)=TRUE),0,(G216-G215)*unitsFuturesCompare+M215)</f>
        <v>-156700</v>
      </c>
      <c r="N216">
        <f>IF(MyRowHidden(ROW())=TRUE,0,L216-M216)</f>
        <v>58184.638671875</v>
      </c>
      <c r="O216">
        <f>MAX(N$12:N216)</f>
        <v>59990.72265625</v>
      </c>
      <c r="P216">
        <f>IF(O216&gt;O215,(O216-O215)*percentSavingsParticipation,0)</f>
        <v>0</v>
      </c>
      <c r="Q216">
        <f t="shared" si="19"/>
        <v>29995.361328125</v>
      </c>
      <c r="R216">
        <f t="shared" si="20"/>
        <v>-68520</v>
      </c>
    </row>
    <row r="217" spans="1:18" x14ac:dyDescent="0.25">
      <c r="A217" s="1"/>
      <c r="C217" s="1"/>
      <c r="D217" s="1">
        <v>41562</v>
      </c>
      <c r="E217" s="10">
        <v>29758</v>
      </c>
      <c r="F217" s="1">
        <v>41562</v>
      </c>
      <c r="G217">
        <v>-2859</v>
      </c>
      <c r="H217" s="1">
        <f t="shared" si="16"/>
        <v>41562</v>
      </c>
      <c r="I217">
        <f>IF(AND(MyRowHidden(ROW())=FALSE,MyRowHidden(ROW()-1)=TRUE),0,(E217-E216)*unitsOfDHp+I216)</f>
        <v>7330</v>
      </c>
      <c r="J217">
        <f>IF(AND(MyRowHidden(ROW())=FALSE,MyRowHidden(ROW()-1)=TRUE),0,(G217-G216)*unitsOfExo+J216)</f>
        <v>-74975</v>
      </c>
      <c r="K217" s="9">
        <f t="shared" si="17"/>
        <v>74975</v>
      </c>
      <c r="L217">
        <f t="shared" si="18"/>
        <v>-97640.361328125</v>
      </c>
      <c r="M217">
        <f>IF(AND(MyRowHidden(ROW())=FALSE,MyRowHidden(ROW()-1)=TRUE),0,(G217-G216)*unitsFuturesCompare+M216)</f>
        <v>-149950</v>
      </c>
      <c r="N217">
        <f>IF(MyRowHidden(ROW())=TRUE,0,L217-M217)</f>
        <v>52309.638671875</v>
      </c>
      <c r="O217">
        <f>MAX(N$12:N217)</f>
        <v>59990.72265625</v>
      </c>
      <c r="P217">
        <f>IF(O217&gt;O216,(O217-O216)*percentSavingsParticipation,0)</f>
        <v>0</v>
      </c>
      <c r="Q217">
        <f t="shared" si="19"/>
        <v>29995.361328125</v>
      </c>
      <c r="R217">
        <f t="shared" si="20"/>
        <v>-67645</v>
      </c>
    </row>
    <row r="218" spans="1:18" x14ac:dyDescent="0.25">
      <c r="A218" s="1"/>
      <c r="C218" s="1"/>
      <c r="D218" s="1">
        <v>41563</v>
      </c>
      <c r="E218" s="10">
        <v>29833</v>
      </c>
      <c r="F218" s="1">
        <v>41563</v>
      </c>
      <c r="G218">
        <v>-2884</v>
      </c>
      <c r="H218" s="1">
        <f t="shared" si="16"/>
        <v>41563</v>
      </c>
      <c r="I218">
        <f>IF(AND(MyRowHidden(ROW())=FALSE,MyRowHidden(ROW()-1)=TRUE),0,(E218-E217)*unitsOfDHp+I217)</f>
        <v>8080</v>
      </c>
      <c r="J218">
        <f>IF(AND(MyRowHidden(ROW())=FALSE,MyRowHidden(ROW()-1)=TRUE),0,(G218-G217)*unitsOfExo+J217)</f>
        <v>-75225</v>
      </c>
      <c r="K218" s="9">
        <f t="shared" si="17"/>
        <v>75225</v>
      </c>
      <c r="L218">
        <f t="shared" si="18"/>
        <v>-97140.361328125</v>
      </c>
      <c r="M218">
        <f>IF(AND(MyRowHidden(ROW())=FALSE,MyRowHidden(ROW()-1)=TRUE),0,(G218-G217)*unitsFuturesCompare+M217)</f>
        <v>-150450</v>
      </c>
      <c r="N218">
        <f>IF(MyRowHidden(ROW())=TRUE,0,L218-M218)</f>
        <v>53309.638671875</v>
      </c>
      <c r="O218">
        <f>MAX(N$12:N218)</f>
        <v>59990.72265625</v>
      </c>
      <c r="P218">
        <f>IF(O218&gt;O217,(O218-O217)*percentSavingsParticipation,0)</f>
        <v>0</v>
      </c>
      <c r="Q218">
        <f t="shared" si="19"/>
        <v>29995.361328125</v>
      </c>
      <c r="R218">
        <f t="shared" si="20"/>
        <v>-67145</v>
      </c>
    </row>
    <row r="219" spans="1:18" x14ac:dyDescent="0.25">
      <c r="A219" s="1"/>
      <c r="C219" s="1"/>
      <c r="D219" s="1">
        <v>41564</v>
      </c>
      <c r="E219" s="10">
        <v>29845.5</v>
      </c>
      <c r="F219" s="1">
        <v>41564</v>
      </c>
      <c r="G219">
        <v>-2884</v>
      </c>
      <c r="H219" s="1">
        <f t="shared" si="16"/>
        <v>41564</v>
      </c>
      <c r="I219">
        <f>IF(AND(MyRowHidden(ROW())=FALSE,MyRowHidden(ROW()-1)=TRUE),0,(E219-E218)*unitsOfDHp+I218)</f>
        <v>8205</v>
      </c>
      <c r="J219">
        <f>IF(AND(MyRowHidden(ROW())=FALSE,MyRowHidden(ROW()-1)=TRUE),0,(G219-G218)*unitsOfExo+J218)</f>
        <v>-75225</v>
      </c>
      <c r="K219" s="9">
        <f t="shared" si="17"/>
        <v>75225</v>
      </c>
      <c r="L219">
        <f t="shared" si="18"/>
        <v>-97015.361328125</v>
      </c>
      <c r="M219">
        <f>IF(AND(MyRowHidden(ROW())=FALSE,MyRowHidden(ROW()-1)=TRUE),0,(G219-G218)*unitsFuturesCompare+M218)</f>
        <v>-150450</v>
      </c>
      <c r="N219">
        <f>IF(MyRowHidden(ROW())=TRUE,0,L219-M219)</f>
        <v>53434.638671875</v>
      </c>
      <c r="O219">
        <f>MAX(N$12:N219)</f>
        <v>59990.72265625</v>
      </c>
      <c r="P219">
        <f>IF(O219&gt;O218,(O219-O218)*percentSavingsParticipation,0)</f>
        <v>0</v>
      </c>
      <c r="Q219">
        <f t="shared" si="19"/>
        <v>29995.361328125</v>
      </c>
      <c r="R219">
        <f t="shared" si="20"/>
        <v>-67020</v>
      </c>
    </row>
    <row r="220" spans="1:18" x14ac:dyDescent="0.25">
      <c r="A220" s="1"/>
      <c r="C220" s="1"/>
      <c r="D220" s="1">
        <v>41565</v>
      </c>
      <c r="E220" s="10">
        <v>29783</v>
      </c>
      <c r="F220" s="1">
        <v>41565</v>
      </c>
      <c r="G220">
        <v>-2846.5</v>
      </c>
      <c r="H220" s="1">
        <f t="shared" si="16"/>
        <v>41565</v>
      </c>
      <c r="I220">
        <f>IF(AND(MyRowHidden(ROW())=FALSE,MyRowHidden(ROW()-1)=TRUE),0,(E220-E219)*unitsOfDHp+I219)</f>
        <v>7580</v>
      </c>
      <c r="J220">
        <f>IF(AND(MyRowHidden(ROW())=FALSE,MyRowHidden(ROW()-1)=TRUE),0,(G220-G219)*unitsOfExo+J219)</f>
        <v>-74850</v>
      </c>
      <c r="K220" s="9">
        <f t="shared" si="17"/>
        <v>74850</v>
      </c>
      <c r="L220">
        <f t="shared" si="18"/>
        <v>-97265.361328125</v>
      </c>
      <c r="M220">
        <f>IF(AND(MyRowHidden(ROW())=FALSE,MyRowHidden(ROW()-1)=TRUE),0,(G220-G219)*unitsFuturesCompare+M219)</f>
        <v>-149700</v>
      </c>
      <c r="N220">
        <f>IF(MyRowHidden(ROW())=TRUE,0,L220-M220)</f>
        <v>52434.638671875</v>
      </c>
      <c r="O220">
        <f>MAX(N$12:N220)</f>
        <v>59990.72265625</v>
      </c>
      <c r="P220">
        <f>IF(O220&gt;O219,(O220-O219)*percentSavingsParticipation,0)</f>
        <v>0</v>
      </c>
      <c r="Q220">
        <f t="shared" si="19"/>
        <v>29995.361328125</v>
      </c>
      <c r="R220">
        <f t="shared" si="20"/>
        <v>-67270</v>
      </c>
    </row>
    <row r="221" spans="1:18" x14ac:dyDescent="0.25">
      <c r="A221" s="1"/>
      <c r="C221" s="1"/>
      <c r="D221" s="1">
        <v>41568</v>
      </c>
      <c r="E221" s="10">
        <v>29908</v>
      </c>
      <c r="F221" s="1">
        <v>41568</v>
      </c>
      <c r="G221">
        <v>-2834</v>
      </c>
      <c r="H221" s="1">
        <f t="shared" si="16"/>
        <v>41568</v>
      </c>
      <c r="I221">
        <f>IF(AND(MyRowHidden(ROW())=FALSE,MyRowHidden(ROW()-1)=TRUE),0,(E221-E220)*unitsOfDHp+I220)</f>
        <v>8830</v>
      </c>
      <c r="J221">
        <f>IF(AND(MyRowHidden(ROW())=FALSE,MyRowHidden(ROW()-1)=TRUE),0,(G221-G220)*unitsOfExo+J220)</f>
        <v>-74725</v>
      </c>
      <c r="K221" s="9">
        <f t="shared" si="17"/>
        <v>74725</v>
      </c>
      <c r="L221">
        <f t="shared" si="18"/>
        <v>-95890.361328125</v>
      </c>
      <c r="M221">
        <f>IF(AND(MyRowHidden(ROW())=FALSE,MyRowHidden(ROW()-1)=TRUE),0,(G221-G220)*unitsFuturesCompare+M220)</f>
        <v>-149450</v>
      </c>
      <c r="N221">
        <f>IF(MyRowHidden(ROW())=TRUE,0,L221-M221)</f>
        <v>53559.638671875</v>
      </c>
      <c r="O221">
        <f>MAX(N$12:N221)</f>
        <v>59990.72265625</v>
      </c>
      <c r="P221">
        <f>IF(O221&gt;O220,(O221-O220)*percentSavingsParticipation,0)</f>
        <v>0</v>
      </c>
      <c r="Q221">
        <f t="shared" si="19"/>
        <v>29995.361328125</v>
      </c>
      <c r="R221">
        <f t="shared" si="20"/>
        <v>-65895</v>
      </c>
    </row>
    <row r="222" spans="1:18" x14ac:dyDescent="0.25">
      <c r="A222" s="1"/>
      <c r="C222" s="1"/>
      <c r="D222" s="1">
        <v>41569</v>
      </c>
      <c r="E222" s="10">
        <v>30470.5</v>
      </c>
      <c r="F222" s="1">
        <v>41569</v>
      </c>
      <c r="G222">
        <v>-2984</v>
      </c>
      <c r="H222" s="1">
        <f t="shared" si="16"/>
        <v>41569</v>
      </c>
      <c r="I222">
        <f>IF(AND(MyRowHidden(ROW())=FALSE,MyRowHidden(ROW()-1)=TRUE),0,(E222-E221)*unitsOfDHp+I221)</f>
        <v>14455</v>
      </c>
      <c r="J222">
        <f>IF(AND(MyRowHidden(ROW())=FALSE,MyRowHidden(ROW()-1)=TRUE),0,(G222-G221)*unitsOfExo+J221)</f>
        <v>-76225</v>
      </c>
      <c r="K222" s="9">
        <f t="shared" si="17"/>
        <v>76225</v>
      </c>
      <c r="L222">
        <f t="shared" si="18"/>
        <v>-91765.361328125</v>
      </c>
      <c r="M222">
        <f>IF(AND(MyRowHidden(ROW())=FALSE,MyRowHidden(ROW()-1)=TRUE),0,(G222-G221)*unitsFuturesCompare+M221)</f>
        <v>-152450</v>
      </c>
      <c r="N222">
        <f>IF(MyRowHidden(ROW())=TRUE,0,L222-M222)</f>
        <v>60684.638671875</v>
      </c>
      <c r="O222">
        <f>MAX(N$12:N222)</f>
        <v>60684.638671875</v>
      </c>
      <c r="P222">
        <f>IF(O222&gt;O221,(O222-O221)*percentSavingsParticipation,0)</f>
        <v>346.9580078125</v>
      </c>
      <c r="Q222">
        <f t="shared" si="19"/>
        <v>30342.3193359375</v>
      </c>
      <c r="R222">
        <f t="shared" si="20"/>
        <v>-61770</v>
      </c>
    </row>
    <row r="223" spans="1:18" x14ac:dyDescent="0.25">
      <c r="A223" s="1"/>
      <c r="C223" s="1"/>
      <c r="D223" s="1">
        <v>41570</v>
      </c>
      <c r="E223" s="10">
        <v>30183</v>
      </c>
      <c r="F223" s="1">
        <v>41570</v>
      </c>
      <c r="G223">
        <v>-2834</v>
      </c>
      <c r="H223" s="1">
        <f t="shared" si="16"/>
        <v>41570</v>
      </c>
      <c r="I223">
        <f>IF(AND(MyRowHidden(ROW())=FALSE,MyRowHidden(ROW()-1)=TRUE),0,(E223-E222)*unitsOfDHp+I222)</f>
        <v>11580</v>
      </c>
      <c r="J223">
        <f>IF(AND(MyRowHidden(ROW())=FALSE,MyRowHidden(ROW()-1)=TRUE),0,(G223-G222)*unitsOfExo+J222)</f>
        <v>-74725</v>
      </c>
      <c r="K223" s="9">
        <f t="shared" si="17"/>
        <v>74725</v>
      </c>
      <c r="L223">
        <f t="shared" si="18"/>
        <v>-93487.3193359375</v>
      </c>
      <c r="M223">
        <f>IF(AND(MyRowHidden(ROW())=FALSE,MyRowHidden(ROW()-1)=TRUE),0,(G223-G222)*unitsFuturesCompare+M222)</f>
        <v>-149450</v>
      </c>
      <c r="N223">
        <f>IF(MyRowHidden(ROW())=TRUE,0,L223-M223)</f>
        <v>55962.6806640625</v>
      </c>
      <c r="O223">
        <f>MAX(N$12:N223)</f>
        <v>60684.638671875</v>
      </c>
      <c r="P223">
        <f>IF(O223&gt;O222,(O223-O222)*percentSavingsParticipation,0)</f>
        <v>0</v>
      </c>
      <c r="Q223">
        <f t="shared" si="19"/>
        <v>30342.3193359375</v>
      </c>
      <c r="R223">
        <f t="shared" si="20"/>
        <v>-63145</v>
      </c>
    </row>
    <row r="224" spans="1:18" x14ac:dyDescent="0.25">
      <c r="A224" s="1"/>
      <c r="C224" s="1"/>
      <c r="D224" s="1">
        <v>41571</v>
      </c>
      <c r="E224" s="10">
        <v>30233</v>
      </c>
      <c r="F224" s="1">
        <v>41571</v>
      </c>
      <c r="G224">
        <v>-3009</v>
      </c>
      <c r="H224" s="1">
        <f t="shared" si="16"/>
        <v>41571</v>
      </c>
      <c r="I224">
        <f>IF(AND(MyRowHidden(ROW())=FALSE,MyRowHidden(ROW()-1)=TRUE),0,(E224-E223)*unitsOfDHp+I223)</f>
        <v>12080</v>
      </c>
      <c r="J224">
        <f>IF(AND(MyRowHidden(ROW())=FALSE,MyRowHidden(ROW()-1)=TRUE),0,(G224-G223)*unitsOfExo+J223)</f>
        <v>-76475</v>
      </c>
      <c r="K224" s="9">
        <f t="shared" si="17"/>
        <v>76475</v>
      </c>
      <c r="L224">
        <f t="shared" si="18"/>
        <v>-94737.3193359375</v>
      </c>
      <c r="M224">
        <f>IF(AND(MyRowHidden(ROW())=FALSE,MyRowHidden(ROW()-1)=TRUE),0,(G224-G223)*unitsFuturesCompare+M223)</f>
        <v>-152950</v>
      </c>
      <c r="N224">
        <f>IF(MyRowHidden(ROW())=TRUE,0,L224-M224)</f>
        <v>58212.6806640625</v>
      </c>
      <c r="O224">
        <f>MAX(N$12:N224)</f>
        <v>60684.638671875</v>
      </c>
      <c r="P224">
        <f>IF(O224&gt;O223,(O224-O223)*percentSavingsParticipation,0)</f>
        <v>0</v>
      </c>
      <c r="Q224">
        <f t="shared" si="19"/>
        <v>30342.3193359375</v>
      </c>
      <c r="R224">
        <f t="shared" si="20"/>
        <v>-64395</v>
      </c>
    </row>
    <row r="225" spans="1:18" x14ac:dyDescent="0.25">
      <c r="A225" s="1"/>
      <c r="C225" s="1"/>
      <c r="D225" s="1">
        <v>41572</v>
      </c>
      <c r="E225" s="10">
        <v>30308</v>
      </c>
      <c r="F225" s="1">
        <v>41572</v>
      </c>
      <c r="G225">
        <v>-2971.5</v>
      </c>
      <c r="H225" s="1">
        <f t="shared" si="16"/>
        <v>41572</v>
      </c>
      <c r="I225">
        <f>IF(AND(MyRowHidden(ROW())=FALSE,MyRowHidden(ROW()-1)=TRUE),0,(E225-E224)*unitsOfDHp+I224)</f>
        <v>12830</v>
      </c>
      <c r="J225">
        <f>IF(AND(MyRowHidden(ROW())=FALSE,MyRowHidden(ROW()-1)=TRUE),0,(G225-G224)*unitsOfExo+J224)</f>
        <v>-76100</v>
      </c>
      <c r="K225" s="9">
        <f t="shared" si="17"/>
        <v>76100</v>
      </c>
      <c r="L225">
        <f t="shared" si="18"/>
        <v>-93612.3193359375</v>
      </c>
      <c r="M225">
        <f>IF(AND(MyRowHidden(ROW())=FALSE,MyRowHidden(ROW()-1)=TRUE),0,(G225-G224)*unitsFuturesCompare+M224)</f>
        <v>-152200</v>
      </c>
      <c r="N225">
        <f>IF(MyRowHidden(ROW())=TRUE,0,L225-M225)</f>
        <v>58587.6806640625</v>
      </c>
      <c r="O225">
        <f>MAX(N$12:N225)</f>
        <v>60684.638671875</v>
      </c>
      <c r="P225">
        <f>IF(O225&gt;O224,(O225-O224)*percentSavingsParticipation,0)</f>
        <v>0</v>
      </c>
      <c r="Q225">
        <f t="shared" si="19"/>
        <v>30342.3193359375</v>
      </c>
      <c r="R225">
        <f t="shared" si="20"/>
        <v>-63270</v>
      </c>
    </row>
    <row r="226" spans="1:18" x14ac:dyDescent="0.25">
      <c r="A226" s="1"/>
      <c r="C226" s="1"/>
      <c r="D226" s="1">
        <v>41575</v>
      </c>
      <c r="E226" s="10">
        <v>30370.5</v>
      </c>
      <c r="F226" s="1">
        <v>41575</v>
      </c>
      <c r="G226">
        <v>-3434</v>
      </c>
      <c r="H226" s="1">
        <f t="shared" si="16"/>
        <v>41575</v>
      </c>
      <c r="I226">
        <f>IF(AND(MyRowHidden(ROW())=FALSE,MyRowHidden(ROW()-1)=TRUE),0,(E226-E225)*unitsOfDHp+I225)</f>
        <v>13455</v>
      </c>
      <c r="J226">
        <f>IF(AND(MyRowHidden(ROW())=FALSE,MyRowHidden(ROW()-1)=TRUE),0,(G226-G225)*unitsOfExo+J225)</f>
        <v>-80725</v>
      </c>
      <c r="K226" s="9">
        <f t="shared" si="17"/>
        <v>80725</v>
      </c>
      <c r="L226">
        <f t="shared" si="18"/>
        <v>-97612.3193359375</v>
      </c>
      <c r="M226">
        <f>IF(AND(MyRowHidden(ROW())=FALSE,MyRowHidden(ROW()-1)=TRUE),0,(G226-G225)*unitsFuturesCompare+M225)</f>
        <v>-161450</v>
      </c>
      <c r="N226">
        <f>IF(MyRowHidden(ROW())=TRUE,0,L226-M226)</f>
        <v>63837.6806640625</v>
      </c>
      <c r="O226">
        <f>MAX(N$12:N226)</f>
        <v>63837.6806640625</v>
      </c>
      <c r="P226">
        <f>IF(O226&gt;O225,(O226-O225)*percentSavingsParticipation,0)</f>
        <v>1576.52099609375</v>
      </c>
      <c r="Q226">
        <f t="shared" si="19"/>
        <v>31918.84033203125</v>
      </c>
      <c r="R226">
        <f t="shared" si="20"/>
        <v>-67270</v>
      </c>
    </row>
    <row r="227" spans="1:18" x14ac:dyDescent="0.25">
      <c r="A227" s="1"/>
      <c r="C227" s="1"/>
      <c r="D227" s="1">
        <v>41576</v>
      </c>
      <c r="E227" s="10">
        <v>30395.5</v>
      </c>
      <c r="F227" s="1">
        <v>41576</v>
      </c>
      <c r="G227">
        <v>-3459</v>
      </c>
      <c r="H227" s="1">
        <f t="shared" si="16"/>
        <v>41576</v>
      </c>
      <c r="I227">
        <f>IF(AND(MyRowHidden(ROW())=FALSE,MyRowHidden(ROW()-1)=TRUE),0,(E227-E226)*unitsOfDHp+I226)</f>
        <v>13705</v>
      </c>
      <c r="J227">
        <f>IF(AND(MyRowHidden(ROW())=FALSE,MyRowHidden(ROW()-1)=TRUE),0,(G227-G226)*unitsOfExo+J226)</f>
        <v>-80975</v>
      </c>
      <c r="K227" s="9">
        <f t="shared" si="17"/>
        <v>80975</v>
      </c>
      <c r="L227">
        <f t="shared" si="18"/>
        <v>-99188.84033203125</v>
      </c>
      <c r="M227">
        <f>IF(AND(MyRowHidden(ROW())=FALSE,MyRowHidden(ROW()-1)=TRUE),0,(G227-G226)*unitsFuturesCompare+M226)</f>
        <v>-161950</v>
      </c>
      <c r="N227">
        <f>IF(MyRowHidden(ROW())=TRUE,0,L227-M227)</f>
        <v>62761.15966796875</v>
      </c>
      <c r="O227">
        <f>MAX(N$12:N227)</f>
        <v>63837.6806640625</v>
      </c>
      <c r="P227">
        <f>IF(O227&gt;O226,(O227-O226)*percentSavingsParticipation,0)</f>
        <v>0</v>
      </c>
      <c r="Q227">
        <f t="shared" si="19"/>
        <v>31918.84033203125</v>
      </c>
      <c r="R227">
        <f t="shared" si="20"/>
        <v>-67270</v>
      </c>
    </row>
    <row r="228" spans="1:18" x14ac:dyDescent="0.25">
      <c r="A228" s="1"/>
      <c r="C228" s="1"/>
      <c r="D228" s="1">
        <v>41577</v>
      </c>
      <c r="E228" s="10">
        <v>30520.5</v>
      </c>
      <c r="F228" s="1">
        <v>41577</v>
      </c>
      <c r="G228">
        <v>-3459</v>
      </c>
      <c r="H228" s="1">
        <f t="shared" si="16"/>
        <v>41577</v>
      </c>
      <c r="I228">
        <f>IF(AND(MyRowHidden(ROW())=FALSE,MyRowHidden(ROW()-1)=TRUE),0,(E228-E227)*unitsOfDHp+I227)</f>
        <v>14955</v>
      </c>
      <c r="J228">
        <f>IF(AND(MyRowHidden(ROW())=FALSE,MyRowHidden(ROW()-1)=TRUE),0,(G228-G227)*unitsOfExo+J227)</f>
        <v>-80975</v>
      </c>
      <c r="K228" s="9">
        <f t="shared" si="17"/>
        <v>80975</v>
      </c>
      <c r="L228">
        <f t="shared" si="18"/>
        <v>-97938.84033203125</v>
      </c>
      <c r="M228">
        <f>IF(AND(MyRowHidden(ROW())=FALSE,MyRowHidden(ROW()-1)=TRUE),0,(G228-G227)*unitsFuturesCompare+M227)</f>
        <v>-161950</v>
      </c>
      <c r="N228">
        <f>IF(MyRowHidden(ROW())=TRUE,0,L228-M228)</f>
        <v>64011.15966796875</v>
      </c>
      <c r="O228">
        <f>MAX(N$12:N228)</f>
        <v>64011.15966796875</v>
      </c>
      <c r="P228">
        <f>IF(O228&gt;O227,(O228-O227)*percentSavingsParticipation,0)</f>
        <v>86.739501953125</v>
      </c>
      <c r="Q228">
        <f t="shared" si="19"/>
        <v>32005.579833984375</v>
      </c>
      <c r="R228">
        <f t="shared" si="20"/>
        <v>-66020</v>
      </c>
    </row>
    <row r="229" spans="1:18" x14ac:dyDescent="0.25">
      <c r="A229" s="1"/>
      <c r="C229" s="1"/>
      <c r="D229" s="1">
        <v>41578</v>
      </c>
      <c r="E229" s="10">
        <v>30495.5</v>
      </c>
      <c r="F229" s="1">
        <v>41578</v>
      </c>
      <c r="G229">
        <v>-3634</v>
      </c>
      <c r="H229" s="1">
        <f t="shared" si="16"/>
        <v>41578</v>
      </c>
      <c r="I229">
        <f>IF(AND(MyRowHidden(ROW())=FALSE,MyRowHidden(ROW()-1)=TRUE),0,(E229-E228)*unitsOfDHp+I228)</f>
        <v>14705</v>
      </c>
      <c r="J229">
        <f>IF(AND(MyRowHidden(ROW())=FALSE,MyRowHidden(ROW()-1)=TRUE),0,(G229-G228)*unitsOfExo+J228)</f>
        <v>-82725</v>
      </c>
      <c r="K229" s="9">
        <f t="shared" si="17"/>
        <v>82725</v>
      </c>
      <c r="L229">
        <f t="shared" si="18"/>
        <v>-100025.57983398438</v>
      </c>
      <c r="M229">
        <f>IF(AND(MyRowHidden(ROW())=FALSE,MyRowHidden(ROW()-1)=TRUE),0,(G229-G228)*unitsFuturesCompare+M228)</f>
        <v>-165450</v>
      </c>
      <c r="N229">
        <f>IF(MyRowHidden(ROW())=TRUE,0,L229-M229)</f>
        <v>65424.420166015625</v>
      </c>
      <c r="O229">
        <f>MAX(N$12:N229)</f>
        <v>65424.420166015625</v>
      </c>
      <c r="P229">
        <f>IF(O229&gt;O228,(O229-O228)*percentSavingsParticipation,0)</f>
        <v>706.6302490234375</v>
      </c>
      <c r="Q229">
        <f t="shared" si="19"/>
        <v>32712.210083007813</v>
      </c>
      <c r="R229">
        <f t="shared" si="20"/>
        <v>-68020</v>
      </c>
    </row>
    <row r="230" spans="1:18" x14ac:dyDescent="0.25">
      <c r="A230" s="1"/>
      <c r="C230" s="1"/>
      <c r="D230" s="1">
        <v>41579</v>
      </c>
      <c r="E230" s="10">
        <v>30545.5</v>
      </c>
      <c r="F230" s="1">
        <v>41579</v>
      </c>
      <c r="G230">
        <v>-3609</v>
      </c>
      <c r="H230" s="1">
        <f t="shared" si="16"/>
        <v>41579</v>
      </c>
      <c r="I230">
        <f>IF(AND(MyRowHidden(ROW())=FALSE,MyRowHidden(ROW()-1)=TRUE),0,(E230-E229)*unitsOfDHp+I229)</f>
        <v>15205</v>
      </c>
      <c r="J230">
        <f>IF(AND(MyRowHidden(ROW())=FALSE,MyRowHidden(ROW()-1)=TRUE),0,(G230-G229)*unitsOfExo+J229)</f>
        <v>-82475</v>
      </c>
      <c r="K230" s="9">
        <f t="shared" si="17"/>
        <v>82475</v>
      </c>
      <c r="L230">
        <f t="shared" si="18"/>
        <v>-99982.210083007813</v>
      </c>
      <c r="M230">
        <f>IF(AND(MyRowHidden(ROW())=FALSE,MyRowHidden(ROW()-1)=TRUE),0,(G230-G229)*unitsFuturesCompare+M229)</f>
        <v>-164950</v>
      </c>
      <c r="N230">
        <f>IF(MyRowHidden(ROW())=TRUE,0,L230-M230)</f>
        <v>64967.789916992188</v>
      </c>
      <c r="O230">
        <f>MAX(N$12:N230)</f>
        <v>65424.420166015625</v>
      </c>
      <c r="P230">
        <f>IF(O230&gt;O229,(O230-O229)*percentSavingsParticipation,0)</f>
        <v>0</v>
      </c>
      <c r="Q230">
        <f t="shared" si="19"/>
        <v>32712.210083007813</v>
      </c>
      <c r="R230">
        <f t="shared" si="20"/>
        <v>-67270</v>
      </c>
    </row>
    <row r="231" spans="1:18" x14ac:dyDescent="0.25">
      <c r="A231" s="1"/>
      <c r="C231" s="1"/>
      <c r="D231" s="1">
        <v>41582</v>
      </c>
      <c r="E231" s="10">
        <v>30733</v>
      </c>
      <c r="F231" s="1">
        <v>41582</v>
      </c>
      <c r="G231">
        <v>-3659</v>
      </c>
      <c r="H231" s="1">
        <f t="shared" si="16"/>
        <v>41582</v>
      </c>
      <c r="I231">
        <f>IF(AND(MyRowHidden(ROW())=FALSE,MyRowHidden(ROW()-1)=TRUE),0,(E231-E230)*unitsOfDHp+I230)</f>
        <v>17080</v>
      </c>
      <c r="J231">
        <f>IF(AND(MyRowHidden(ROW())=FALSE,MyRowHidden(ROW()-1)=TRUE),0,(G231-G230)*unitsOfExo+J230)</f>
        <v>-82975</v>
      </c>
      <c r="K231" s="9">
        <f t="shared" si="17"/>
        <v>82975</v>
      </c>
      <c r="L231">
        <f t="shared" si="18"/>
        <v>-98607.210083007813</v>
      </c>
      <c r="M231">
        <f>IF(AND(MyRowHidden(ROW())=FALSE,MyRowHidden(ROW()-1)=TRUE),0,(G231-G230)*unitsFuturesCompare+M230)</f>
        <v>-165950</v>
      </c>
      <c r="N231">
        <f>IF(MyRowHidden(ROW())=TRUE,0,L231-M231)</f>
        <v>67342.789916992188</v>
      </c>
      <c r="O231">
        <f>MAX(N$12:N231)</f>
        <v>67342.789916992188</v>
      </c>
      <c r="P231">
        <f>IF(O231&gt;O230,(O231-O230)*percentSavingsParticipation,0)</f>
        <v>959.18487548828125</v>
      </c>
      <c r="Q231">
        <f t="shared" si="19"/>
        <v>33671.394958496094</v>
      </c>
      <c r="R231">
        <f t="shared" si="20"/>
        <v>-65895</v>
      </c>
    </row>
    <row r="232" spans="1:18" x14ac:dyDescent="0.25">
      <c r="A232" s="1"/>
      <c r="C232" s="1"/>
      <c r="D232" s="1">
        <v>41583</v>
      </c>
      <c r="E232" s="10">
        <v>30570.5</v>
      </c>
      <c r="F232" s="1">
        <v>41583</v>
      </c>
      <c r="G232">
        <v>-3759</v>
      </c>
      <c r="H232" s="1">
        <f t="shared" si="16"/>
        <v>41583</v>
      </c>
      <c r="I232">
        <f>IF(AND(MyRowHidden(ROW())=FALSE,MyRowHidden(ROW()-1)=TRUE),0,(E232-E231)*unitsOfDHp+I231)</f>
        <v>15455</v>
      </c>
      <c r="J232">
        <f>IF(AND(MyRowHidden(ROW())=FALSE,MyRowHidden(ROW()-1)=TRUE),0,(G232-G231)*unitsOfExo+J231)</f>
        <v>-83975</v>
      </c>
      <c r="K232" s="9">
        <f t="shared" si="17"/>
        <v>83975</v>
      </c>
      <c r="L232">
        <f t="shared" si="18"/>
        <v>-102191.39495849609</v>
      </c>
      <c r="M232">
        <f>IF(AND(MyRowHidden(ROW())=FALSE,MyRowHidden(ROW()-1)=TRUE),0,(G232-G231)*unitsFuturesCompare+M231)</f>
        <v>-167950</v>
      </c>
      <c r="N232">
        <f>IF(MyRowHidden(ROW())=TRUE,0,L232-M232)</f>
        <v>65758.605041503906</v>
      </c>
      <c r="O232">
        <f>MAX(N$12:N232)</f>
        <v>67342.789916992188</v>
      </c>
      <c r="P232">
        <f>IF(O232&gt;O231,(O232-O231)*percentSavingsParticipation,0)</f>
        <v>0</v>
      </c>
      <c r="Q232">
        <f t="shared" si="19"/>
        <v>33671.394958496094</v>
      </c>
      <c r="R232">
        <f t="shared" si="20"/>
        <v>-68520</v>
      </c>
    </row>
    <row r="233" spans="1:18" x14ac:dyDescent="0.25">
      <c r="A233" s="1"/>
      <c r="C233" s="1"/>
      <c r="D233" s="1">
        <v>41584</v>
      </c>
      <c r="E233" s="10">
        <v>30470.5</v>
      </c>
      <c r="F233" s="1">
        <v>41584</v>
      </c>
      <c r="G233">
        <v>-3934</v>
      </c>
      <c r="H233" s="1">
        <f t="shared" si="16"/>
        <v>41584</v>
      </c>
      <c r="I233">
        <f>IF(AND(MyRowHidden(ROW())=FALSE,MyRowHidden(ROW()-1)=TRUE),0,(E233-E232)*unitsOfDHp+I232)</f>
        <v>14455</v>
      </c>
      <c r="J233">
        <f>IF(AND(MyRowHidden(ROW())=FALSE,MyRowHidden(ROW()-1)=TRUE),0,(G233-G232)*unitsOfExo+J232)</f>
        <v>-85725</v>
      </c>
      <c r="K233" s="9">
        <f t="shared" si="17"/>
        <v>85725</v>
      </c>
      <c r="L233">
        <f t="shared" si="18"/>
        <v>-104941.39495849609</v>
      </c>
      <c r="M233">
        <f>IF(AND(MyRowHidden(ROW())=FALSE,MyRowHidden(ROW()-1)=TRUE),0,(G233-G232)*unitsFuturesCompare+M232)</f>
        <v>-171450</v>
      </c>
      <c r="N233">
        <f>IF(MyRowHidden(ROW())=TRUE,0,L233-M233)</f>
        <v>66508.605041503906</v>
      </c>
      <c r="O233">
        <f>MAX(N$12:N233)</f>
        <v>67342.789916992188</v>
      </c>
      <c r="P233">
        <f>IF(O233&gt;O232,(O233-O232)*percentSavingsParticipation,0)</f>
        <v>0</v>
      </c>
      <c r="Q233">
        <f t="shared" si="19"/>
        <v>33671.394958496094</v>
      </c>
      <c r="R233">
        <f t="shared" si="20"/>
        <v>-71270</v>
      </c>
    </row>
    <row r="234" spans="1:18" x14ac:dyDescent="0.25">
      <c r="A234" s="1"/>
      <c r="C234" s="1"/>
      <c r="D234" s="1">
        <v>41585</v>
      </c>
      <c r="E234" s="10">
        <v>30433</v>
      </c>
      <c r="F234" s="1">
        <v>41585</v>
      </c>
      <c r="G234">
        <v>-3934</v>
      </c>
      <c r="H234" s="1">
        <f t="shared" si="16"/>
        <v>41585</v>
      </c>
      <c r="I234">
        <f>IF(AND(MyRowHidden(ROW())=FALSE,MyRowHidden(ROW()-1)=TRUE),0,(E234-E233)*unitsOfDHp+I233)</f>
        <v>14080</v>
      </c>
      <c r="J234">
        <f>IF(AND(MyRowHidden(ROW())=FALSE,MyRowHidden(ROW()-1)=TRUE),0,(G234-G233)*unitsOfExo+J233)</f>
        <v>-85725</v>
      </c>
      <c r="K234" s="9">
        <f t="shared" si="17"/>
        <v>85725</v>
      </c>
      <c r="L234">
        <f t="shared" si="18"/>
        <v>-105316.39495849609</v>
      </c>
      <c r="M234">
        <f>IF(AND(MyRowHidden(ROW())=FALSE,MyRowHidden(ROW()-1)=TRUE),0,(G234-G233)*unitsFuturesCompare+M233)</f>
        <v>-171450</v>
      </c>
      <c r="N234">
        <f>IF(MyRowHidden(ROW())=TRUE,0,L234-M234)</f>
        <v>66133.605041503906</v>
      </c>
      <c r="O234">
        <f>MAX(N$12:N234)</f>
        <v>67342.789916992188</v>
      </c>
      <c r="P234">
        <f>IF(O234&gt;O233,(O234-O233)*percentSavingsParticipation,0)</f>
        <v>0</v>
      </c>
      <c r="Q234">
        <f t="shared" si="19"/>
        <v>33671.394958496094</v>
      </c>
      <c r="R234">
        <f t="shared" si="20"/>
        <v>-71645</v>
      </c>
    </row>
    <row r="235" spans="1:18" x14ac:dyDescent="0.25">
      <c r="A235" s="1"/>
      <c r="C235" s="1"/>
      <c r="D235" s="1">
        <v>41586</v>
      </c>
      <c r="E235" s="10">
        <v>30895.5</v>
      </c>
      <c r="F235" s="1">
        <v>41586</v>
      </c>
      <c r="G235">
        <v>-3759</v>
      </c>
      <c r="H235" s="1">
        <f t="shared" si="16"/>
        <v>41586</v>
      </c>
      <c r="I235">
        <f>IF(AND(MyRowHidden(ROW())=FALSE,MyRowHidden(ROW()-1)=TRUE),0,(E235-E234)*unitsOfDHp+I234)</f>
        <v>18705</v>
      </c>
      <c r="J235">
        <f>IF(AND(MyRowHidden(ROW())=FALSE,MyRowHidden(ROW()-1)=TRUE),0,(G235-G234)*unitsOfExo+J234)</f>
        <v>-83975</v>
      </c>
      <c r="K235" s="9">
        <f t="shared" si="17"/>
        <v>83975</v>
      </c>
      <c r="L235">
        <f t="shared" si="18"/>
        <v>-98941.394958496094</v>
      </c>
      <c r="M235">
        <f>IF(AND(MyRowHidden(ROW())=FALSE,MyRowHidden(ROW()-1)=TRUE),0,(G235-G234)*unitsFuturesCompare+M234)</f>
        <v>-167950</v>
      </c>
      <c r="N235">
        <f>IF(MyRowHidden(ROW())=TRUE,0,L235-M235)</f>
        <v>69008.605041503906</v>
      </c>
      <c r="O235">
        <f>MAX(N$12:N235)</f>
        <v>69008.605041503906</v>
      </c>
      <c r="P235">
        <f>IF(O235&gt;O234,(O235-O234)*percentSavingsParticipation,0)</f>
        <v>832.90756225585938</v>
      </c>
      <c r="Q235">
        <f t="shared" si="19"/>
        <v>34504.302520751953</v>
      </c>
      <c r="R235">
        <f t="shared" si="20"/>
        <v>-65270</v>
      </c>
    </row>
    <row r="236" spans="1:18" x14ac:dyDescent="0.25">
      <c r="A236" s="1"/>
      <c r="C236" s="1"/>
      <c r="D236" s="1">
        <v>41589</v>
      </c>
      <c r="E236" s="10">
        <v>31649.5</v>
      </c>
      <c r="F236" s="1">
        <v>41589</v>
      </c>
      <c r="G236">
        <v>-3184</v>
      </c>
      <c r="H236" s="1">
        <f t="shared" si="16"/>
        <v>41589</v>
      </c>
      <c r="I236">
        <f>IF(AND(MyRowHidden(ROW())=FALSE,MyRowHidden(ROW()-1)=TRUE),0,(E236-E235)*unitsOfDHp+I235)</f>
        <v>26245</v>
      </c>
      <c r="J236">
        <f>IF(AND(MyRowHidden(ROW())=FALSE,MyRowHidden(ROW()-1)=TRUE),0,(G236-G235)*unitsOfExo+J235)</f>
        <v>-78225</v>
      </c>
      <c r="K236" s="9">
        <f t="shared" si="17"/>
        <v>78225</v>
      </c>
      <c r="L236">
        <f t="shared" si="18"/>
        <v>-86484.302520751953</v>
      </c>
      <c r="M236">
        <f>IF(AND(MyRowHidden(ROW())=FALSE,MyRowHidden(ROW()-1)=TRUE),0,(G236-G235)*unitsFuturesCompare+M235)</f>
        <v>-156450</v>
      </c>
      <c r="N236">
        <f>IF(MyRowHidden(ROW())=TRUE,0,L236-M236)</f>
        <v>69965.697479248047</v>
      </c>
      <c r="O236">
        <f>MAX(N$12:N236)</f>
        <v>69965.697479248047</v>
      </c>
      <c r="P236">
        <f>IF(O236&gt;O235,(O236-O235)*percentSavingsParticipation,0)</f>
        <v>478.54621887207031</v>
      </c>
      <c r="Q236">
        <f t="shared" si="19"/>
        <v>34982.848739624023</v>
      </c>
      <c r="R236">
        <f t="shared" si="20"/>
        <v>-51980</v>
      </c>
    </row>
    <row r="237" spans="1:18" x14ac:dyDescent="0.25">
      <c r="A237" s="1"/>
      <c r="C237" s="1"/>
      <c r="D237" s="1">
        <v>41590</v>
      </c>
      <c r="E237" s="10">
        <v>31437</v>
      </c>
      <c r="F237" s="1">
        <v>41590</v>
      </c>
      <c r="G237">
        <v>-3296.5</v>
      </c>
      <c r="H237" s="1">
        <f t="shared" si="16"/>
        <v>41590</v>
      </c>
      <c r="I237">
        <f>IF(AND(MyRowHidden(ROW())=FALSE,MyRowHidden(ROW()-1)=TRUE),0,(E237-E236)*unitsOfDHp+I236)</f>
        <v>24120</v>
      </c>
      <c r="J237">
        <f>IF(AND(MyRowHidden(ROW())=FALSE,MyRowHidden(ROW()-1)=TRUE),0,(G237-G236)*unitsOfExo+J236)</f>
        <v>-79350</v>
      </c>
      <c r="K237" s="9">
        <f t="shared" si="17"/>
        <v>79350</v>
      </c>
      <c r="L237">
        <f t="shared" si="18"/>
        <v>-90212.848739624023</v>
      </c>
      <c r="M237">
        <f>IF(AND(MyRowHidden(ROW())=FALSE,MyRowHidden(ROW()-1)=TRUE),0,(G237-G236)*unitsFuturesCompare+M236)</f>
        <v>-158700</v>
      </c>
      <c r="N237">
        <f>IF(MyRowHidden(ROW())=TRUE,0,L237-M237)</f>
        <v>68487.151260375977</v>
      </c>
      <c r="O237">
        <f>MAX(N$12:N237)</f>
        <v>69965.697479248047</v>
      </c>
      <c r="P237">
        <f>IF(O237&gt;O236,(O237-O236)*percentSavingsParticipation,0)</f>
        <v>0</v>
      </c>
      <c r="Q237">
        <f t="shared" si="19"/>
        <v>34982.848739624023</v>
      </c>
      <c r="R237">
        <f t="shared" si="20"/>
        <v>-55230</v>
      </c>
    </row>
    <row r="238" spans="1:18" x14ac:dyDescent="0.25">
      <c r="A238" s="1"/>
      <c r="C238" s="1"/>
      <c r="D238" s="1">
        <v>41591</v>
      </c>
      <c r="E238" s="10">
        <v>30987</v>
      </c>
      <c r="F238" s="1">
        <v>41591</v>
      </c>
      <c r="G238">
        <v>-3484</v>
      </c>
      <c r="H238" s="1">
        <f t="shared" si="16"/>
        <v>41591</v>
      </c>
      <c r="I238">
        <f>IF(AND(MyRowHidden(ROW())=FALSE,MyRowHidden(ROW()-1)=TRUE),0,(E238-E237)*unitsOfDHp+I237)</f>
        <v>19620</v>
      </c>
      <c r="J238">
        <f>IF(AND(MyRowHidden(ROW())=FALSE,MyRowHidden(ROW()-1)=TRUE),0,(G238-G237)*unitsOfExo+J237)</f>
        <v>-81225</v>
      </c>
      <c r="K238" s="9">
        <f t="shared" si="17"/>
        <v>81225</v>
      </c>
      <c r="L238">
        <f t="shared" si="18"/>
        <v>-96587.848739624023</v>
      </c>
      <c r="M238">
        <f>IF(AND(MyRowHidden(ROW())=FALSE,MyRowHidden(ROW()-1)=TRUE),0,(G238-G237)*unitsFuturesCompare+M237)</f>
        <v>-162450</v>
      </c>
      <c r="N238">
        <f>IF(MyRowHidden(ROW())=TRUE,0,L238-M238)</f>
        <v>65862.151260375977</v>
      </c>
      <c r="O238">
        <f>MAX(N$12:N238)</f>
        <v>69965.697479248047</v>
      </c>
      <c r="P238">
        <f>IF(O238&gt;O237,(O238-O237)*percentSavingsParticipation,0)</f>
        <v>0</v>
      </c>
      <c r="Q238">
        <f t="shared" si="19"/>
        <v>34982.848739624023</v>
      </c>
      <c r="R238">
        <f t="shared" si="20"/>
        <v>-61605</v>
      </c>
    </row>
    <row r="239" spans="1:18" x14ac:dyDescent="0.25">
      <c r="A239" s="1"/>
      <c r="C239" s="1"/>
      <c r="D239" s="1">
        <v>41592</v>
      </c>
      <c r="E239" s="10">
        <v>30487</v>
      </c>
      <c r="F239" s="1">
        <v>41592</v>
      </c>
      <c r="G239">
        <v>-3696.5</v>
      </c>
      <c r="H239" s="1">
        <f t="shared" si="16"/>
        <v>41592</v>
      </c>
      <c r="I239">
        <f>IF(AND(MyRowHidden(ROW())=FALSE,MyRowHidden(ROW()-1)=TRUE),0,(E239-E238)*unitsOfDHp+I238)</f>
        <v>14620</v>
      </c>
      <c r="J239">
        <f>IF(AND(MyRowHidden(ROW())=FALSE,MyRowHidden(ROW()-1)=TRUE),0,(G239-G238)*unitsOfExo+J238)</f>
        <v>-83350</v>
      </c>
      <c r="K239" s="9">
        <f t="shared" si="17"/>
        <v>83350</v>
      </c>
      <c r="L239">
        <f t="shared" si="18"/>
        <v>-103712.84873962402</v>
      </c>
      <c r="M239">
        <f>IF(AND(MyRowHidden(ROW())=FALSE,MyRowHidden(ROW()-1)=TRUE),0,(G239-G238)*unitsFuturesCompare+M238)</f>
        <v>-166700</v>
      </c>
      <c r="N239">
        <f>IF(MyRowHidden(ROW())=TRUE,0,L239-M239)</f>
        <v>62987.151260375977</v>
      </c>
      <c r="O239">
        <f>MAX(N$12:N239)</f>
        <v>69965.697479248047</v>
      </c>
      <c r="P239">
        <f>IF(O239&gt;O238,(O239-O238)*percentSavingsParticipation,0)</f>
        <v>0</v>
      </c>
      <c r="Q239">
        <f t="shared" si="19"/>
        <v>34982.848739624023</v>
      </c>
      <c r="R239">
        <f t="shared" si="20"/>
        <v>-68730</v>
      </c>
    </row>
    <row r="240" spans="1:18" x14ac:dyDescent="0.25">
      <c r="A240" s="1"/>
      <c r="C240" s="1"/>
      <c r="D240" s="1">
        <v>41593</v>
      </c>
      <c r="E240" s="10">
        <v>30274.5</v>
      </c>
      <c r="F240" s="1">
        <v>41593</v>
      </c>
      <c r="G240">
        <v>-3784</v>
      </c>
      <c r="H240" s="1">
        <f t="shared" si="16"/>
        <v>41593</v>
      </c>
      <c r="I240">
        <f>IF(AND(MyRowHidden(ROW())=FALSE,MyRowHidden(ROW()-1)=TRUE),0,(E240-E239)*unitsOfDHp+I239)</f>
        <v>12495</v>
      </c>
      <c r="J240">
        <f>IF(AND(MyRowHidden(ROW())=FALSE,MyRowHidden(ROW()-1)=TRUE),0,(G240-G239)*unitsOfExo+J239)</f>
        <v>-84225</v>
      </c>
      <c r="K240" s="9">
        <f t="shared" si="17"/>
        <v>84225</v>
      </c>
      <c r="L240">
        <f t="shared" si="18"/>
        <v>-106712.84873962402</v>
      </c>
      <c r="M240">
        <f>IF(AND(MyRowHidden(ROW())=FALSE,MyRowHidden(ROW()-1)=TRUE),0,(G240-G239)*unitsFuturesCompare+M239)</f>
        <v>-168450</v>
      </c>
      <c r="N240">
        <f>IF(MyRowHidden(ROW())=TRUE,0,L240-M240)</f>
        <v>61737.151260375977</v>
      </c>
      <c r="O240">
        <f>MAX(N$12:N240)</f>
        <v>69965.697479248047</v>
      </c>
      <c r="P240">
        <f>IF(O240&gt;O239,(O240-O239)*percentSavingsParticipation,0)</f>
        <v>0</v>
      </c>
      <c r="Q240">
        <f t="shared" si="19"/>
        <v>34982.848739624023</v>
      </c>
      <c r="R240">
        <f t="shared" si="20"/>
        <v>-71730</v>
      </c>
    </row>
    <row r="241" spans="1:18" x14ac:dyDescent="0.25">
      <c r="A241" s="1"/>
      <c r="C241" s="1"/>
      <c r="D241" s="1">
        <v>41596</v>
      </c>
      <c r="E241" s="10">
        <v>29062</v>
      </c>
      <c r="F241" s="1">
        <v>41596</v>
      </c>
      <c r="G241">
        <v>-4334</v>
      </c>
      <c r="H241" s="1">
        <f t="shared" si="16"/>
        <v>41596</v>
      </c>
      <c r="I241">
        <f>IF(AND(MyRowHidden(ROW())=FALSE,MyRowHidden(ROW()-1)=TRUE),0,(E241-E240)*unitsOfDHp+I240)</f>
        <v>370</v>
      </c>
      <c r="J241">
        <f>IF(AND(MyRowHidden(ROW())=FALSE,MyRowHidden(ROW()-1)=TRUE),0,(G241-G240)*unitsOfExo+J240)</f>
        <v>-89725</v>
      </c>
      <c r="K241" s="9">
        <f t="shared" si="17"/>
        <v>89725</v>
      </c>
      <c r="L241">
        <f t="shared" si="18"/>
        <v>-124337.84873962402</v>
      </c>
      <c r="M241">
        <f>IF(AND(MyRowHidden(ROW())=FALSE,MyRowHidden(ROW()-1)=TRUE),0,(G241-G240)*unitsFuturesCompare+M240)</f>
        <v>-179450</v>
      </c>
      <c r="N241">
        <f>IF(MyRowHidden(ROW())=TRUE,0,L241-M241)</f>
        <v>55112.151260375977</v>
      </c>
      <c r="O241">
        <f>MAX(N$12:N241)</f>
        <v>69965.697479248047</v>
      </c>
      <c r="P241">
        <f>IF(O241&gt;O240,(O241-O240)*percentSavingsParticipation,0)</f>
        <v>0</v>
      </c>
      <c r="Q241">
        <f t="shared" si="19"/>
        <v>34982.848739624023</v>
      </c>
      <c r="R241">
        <f t="shared" si="20"/>
        <v>-89355</v>
      </c>
    </row>
    <row r="242" spans="1:18" x14ac:dyDescent="0.25">
      <c r="A242" s="1"/>
      <c r="C242" s="1"/>
      <c r="D242" s="1">
        <v>41597</v>
      </c>
      <c r="E242" s="10">
        <v>29349.5</v>
      </c>
      <c r="F242" s="1">
        <v>41597</v>
      </c>
      <c r="G242">
        <v>-4221.5</v>
      </c>
      <c r="H242" s="1">
        <f t="shared" si="16"/>
        <v>41597</v>
      </c>
      <c r="I242">
        <f>IF(AND(MyRowHidden(ROW())=FALSE,MyRowHidden(ROW()-1)=TRUE),0,(E242-E241)*unitsOfDHp+I241)</f>
        <v>3245</v>
      </c>
      <c r="J242">
        <f>IF(AND(MyRowHidden(ROW())=FALSE,MyRowHidden(ROW()-1)=TRUE),0,(G242-G241)*unitsOfExo+J241)</f>
        <v>-88600</v>
      </c>
      <c r="K242" s="9">
        <f t="shared" si="17"/>
        <v>88600</v>
      </c>
      <c r="L242">
        <f t="shared" si="18"/>
        <v>-120337.84873962402</v>
      </c>
      <c r="M242">
        <f>IF(AND(MyRowHidden(ROW())=FALSE,MyRowHidden(ROW()-1)=TRUE),0,(G242-G241)*unitsFuturesCompare+M241)</f>
        <v>-177200</v>
      </c>
      <c r="N242">
        <f>IF(MyRowHidden(ROW())=TRUE,0,L242-M242)</f>
        <v>56862.151260375977</v>
      </c>
      <c r="O242">
        <f>MAX(N$12:N242)</f>
        <v>69965.697479248047</v>
      </c>
      <c r="P242">
        <f>IF(O242&gt;O241,(O242-O241)*percentSavingsParticipation,0)</f>
        <v>0</v>
      </c>
      <c r="Q242">
        <f t="shared" si="19"/>
        <v>34982.848739624023</v>
      </c>
      <c r="R242">
        <f t="shared" si="20"/>
        <v>-85355</v>
      </c>
    </row>
    <row r="243" spans="1:18" x14ac:dyDescent="0.25">
      <c r="A243" s="1"/>
      <c r="C243" s="1"/>
      <c r="D243" s="1">
        <v>41598</v>
      </c>
      <c r="E243" s="10">
        <v>29451.5</v>
      </c>
      <c r="F243" s="1">
        <v>41598</v>
      </c>
      <c r="G243">
        <v>-4121.5</v>
      </c>
      <c r="H243" s="1">
        <f t="shared" si="16"/>
        <v>41598</v>
      </c>
      <c r="I243">
        <f>IF(AND(MyRowHidden(ROW())=FALSE,MyRowHidden(ROW()-1)=TRUE),0,(E243-E242)*unitsOfDHp+I242)</f>
        <v>4265</v>
      </c>
      <c r="J243">
        <f>IF(AND(MyRowHidden(ROW())=FALSE,MyRowHidden(ROW()-1)=TRUE),0,(G243-G242)*unitsOfExo+J242)</f>
        <v>-87600</v>
      </c>
      <c r="K243" s="9">
        <f t="shared" si="17"/>
        <v>87600</v>
      </c>
      <c r="L243">
        <f t="shared" si="18"/>
        <v>-118317.84873962402</v>
      </c>
      <c r="M243">
        <f>IF(AND(MyRowHidden(ROW())=FALSE,MyRowHidden(ROW()-1)=TRUE),0,(G243-G242)*unitsFuturesCompare+M242)</f>
        <v>-175200</v>
      </c>
      <c r="N243">
        <f>IF(MyRowHidden(ROW())=TRUE,0,L243-M243)</f>
        <v>56882.151260375977</v>
      </c>
      <c r="O243">
        <f>MAX(N$12:N243)</f>
        <v>69965.697479248047</v>
      </c>
      <c r="P243">
        <f>IF(O243&gt;O242,(O243-O242)*percentSavingsParticipation,0)</f>
        <v>0</v>
      </c>
      <c r="Q243">
        <f t="shared" si="19"/>
        <v>34982.848739624023</v>
      </c>
      <c r="R243">
        <f t="shared" si="20"/>
        <v>-83335</v>
      </c>
    </row>
    <row r="244" spans="1:18" x14ac:dyDescent="0.25">
      <c r="A244" s="1"/>
      <c r="C244" s="1"/>
      <c r="D244" s="1">
        <v>41599</v>
      </c>
      <c r="E244" s="10">
        <v>29389.75</v>
      </c>
      <c r="F244" s="1">
        <v>41599</v>
      </c>
      <c r="G244">
        <v>-3959</v>
      </c>
      <c r="H244" s="1">
        <f t="shared" si="16"/>
        <v>41599</v>
      </c>
      <c r="I244">
        <f>IF(AND(MyRowHidden(ROW())=FALSE,MyRowHidden(ROW()-1)=TRUE),0,(E244-E243)*unitsOfDHp+I243)</f>
        <v>3647.5</v>
      </c>
      <c r="J244">
        <f>IF(AND(MyRowHidden(ROW())=FALSE,MyRowHidden(ROW()-1)=TRUE),0,(G244-G243)*unitsOfExo+J243)</f>
        <v>-85975</v>
      </c>
      <c r="K244" s="9">
        <f t="shared" si="17"/>
        <v>85975</v>
      </c>
      <c r="L244">
        <f t="shared" si="18"/>
        <v>-117310.34873962402</v>
      </c>
      <c r="M244">
        <f>IF(AND(MyRowHidden(ROW())=FALSE,MyRowHidden(ROW()-1)=TRUE),0,(G244-G243)*unitsFuturesCompare+M243)</f>
        <v>-171950</v>
      </c>
      <c r="N244">
        <f>IF(MyRowHidden(ROW())=TRUE,0,L244-M244)</f>
        <v>54639.651260375977</v>
      </c>
      <c r="O244">
        <f>MAX(N$12:N244)</f>
        <v>69965.697479248047</v>
      </c>
      <c r="P244">
        <f>IF(O244&gt;O243,(O244-O243)*percentSavingsParticipation,0)</f>
        <v>0</v>
      </c>
      <c r="Q244">
        <f t="shared" si="19"/>
        <v>34982.848739624023</v>
      </c>
      <c r="R244">
        <f t="shared" si="20"/>
        <v>-82327.5</v>
      </c>
    </row>
    <row r="245" spans="1:18" x14ac:dyDescent="0.25">
      <c r="A245" s="1"/>
      <c r="C245" s="1"/>
      <c r="D245" s="1">
        <v>41600</v>
      </c>
      <c r="E245" s="10">
        <v>29477.25</v>
      </c>
      <c r="F245" s="1">
        <v>41600</v>
      </c>
      <c r="G245">
        <v>-3921.5</v>
      </c>
      <c r="H245" s="1">
        <f t="shared" si="16"/>
        <v>41600</v>
      </c>
      <c r="I245">
        <f>IF(AND(MyRowHidden(ROW())=FALSE,MyRowHidden(ROW()-1)=TRUE),0,(E245-E244)*unitsOfDHp+I244)</f>
        <v>4522.5</v>
      </c>
      <c r="J245">
        <f>IF(AND(MyRowHidden(ROW())=FALSE,MyRowHidden(ROW()-1)=TRUE),0,(G245-G244)*unitsOfExo+J244)</f>
        <v>-85600</v>
      </c>
      <c r="K245" s="9">
        <f t="shared" si="17"/>
        <v>85600</v>
      </c>
      <c r="L245">
        <f t="shared" si="18"/>
        <v>-116060.34873962402</v>
      </c>
      <c r="M245">
        <f>IF(AND(MyRowHidden(ROW())=FALSE,MyRowHidden(ROW()-1)=TRUE),0,(G245-G244)*unitsFuturesCompare+M244)</f>
        <v>-171200</v>
      </c>
      <c r="N245">
        <f>IF(MyRowHidden(ROW())=TRUE,0,L245-M245)</f>
        <v>55139.651260375977</v>
      </c>
      <c r="O245">
        <f>MAX(N$12:N245)</f>
        <v>69965.697479248047</v>
      </c>
      <c r="P245">
        <f>IF(O245&gt;O244,(O245-O244)*percentSavingsParticipation,0)</f>
        <v>0</v>
      </c>
      <c r="Q245">
        <f t="shared" si="19"/>
        <v>34982.848739624023</v>
      </c>
      <c r="R245">
        <f t="shared" si="20"/>
        <v>-81077.5</v>
      </c>
    </row>
    <row r="246" spans="1:18" x14ac:dyDescent="0.25">
      <c r="A246" s="1"/>
      <c r="C246" s="1"/>
      <c r="D246" s="1">
        <v>41603</v>
      </c>
      <c r="E246" s="10">
        <v>29627.25</v>
      </c>
      <c r="F246" s="1">
        <v>41603</v>
      </c>
      <c r="G246">
        <v>-3909</v>
      </c>
      <c r="H246" s="1">
        <f t="shared" si="16"/>
        <v>41603</v>
      </c>
      <c r="I246">
        <f>IF(AND(MyRowHidden(ROW())=FALSE,MyRowHidden(ROW()-1)=TRUE),0,(E246-E245)*unitsOfDHp+I245)</f>
        <v>6022.5</v>
      </c>
      <c r="J246">
        <f>IF(AND(MyRowHidden(ROW())=FALSE,MyRowHidden(ROW()-1)=TRUE),0,(G246-G245)*unitsOfExo+J245)</f>
        <v>-85475</v>
      </c>
      <c r="K246" s="9">
        <f t="shared" si="17"/>
        <v>85475</v>
      </c>
      <c r="L246">
        <f t="shared" si="18"/>
        <v>-114435.34873962402</v>
      </c>
      <c r="M246">
        <f>IF(AND(MyRowHidden(ROW())=FALSE,MyRowHidden(ROW()-1)=TRUE),0,(G246-G245)*unitsFuturesCompare+M245)</f>
        <v>-170950</v>
      </c>
      <c r="N246">
        <f>IF(MyRowHidden(ROW())=TRUE,0,L246-M246)</f>
        <v>56514.651260375977</v>
      </c>
      <c r="O246">
        <f>MAX(N$12:N246)</f>
        <v>69965.697479248047</v>
      </c>
      <c r="P246">
        <f>IF(O246&gt;O245,(O246-O245)*percentSavingsParticipation,0)</f>
        <v>0</v>
      </c>
      <c r="Q246">
        <f t="shared" si="19"/>
        <v>34982.848739624023</v>
      </c>
      <c r="R246">
        <f t="shared" si="20"/>
        <v>-79452.5</v>
      </c>
    </row>
    <row r="247" spans="1:18" x14ac:dyDescent="0.25">
      <c r="A247" s="1"/>
      <c r="C247" s="1"/>
      <c r="D247" s="1">
        <v>41604</v>
      </c>
      <c r="E247" s="10">
        <v>29916.25</v>
      </c>
      <c r="F247" s="1">
        <v>41604</v>
      </c>
      <c r="G247">
        <v>-4171.5</v>
      </c>
      <c r="H247" s="1">
        <f t="shared" si="16"/>
        <v>41604</v>
      </c>
      <c r="I247">
        <f>IF(AND(MyRowHidden(ROW())=FALSE,MyRowHidden(ROW()-1)=TRUE),0,(E247-E246)*unitsOfDHp+I246)</f>
        <v>8912.5</v>
      </c>
      <c r="J247">
        <f>IF(AND(MyRowHidden(ROW())=FALSE,MyRowHidden(ROW()-1)=TRUE),0,(G247-G246)*unitsOfExo+J246)</f>
        <v>-88100</v>
      </c>
      <c r="K247" s="9">
        <f t="shared" si="17"/>
        <v>88100</v>
      </c>
      <c r="L247">
        <f t="shared" si="18"/>
        <v>-114170.34873962402</v>
      </c>
      <c r="M247">
        <f>IF(AND(MyRowHidden(ROW())=FALSE,MyRowHidden(ROW()-1)=TRUE),0,(G247-G246)*unitsFuturesCompare+M246)</f>
        <v>-176200</v>
      </c>
      <c r="N247">
        <f>IF(MyRowHidden(ROW())=TRUE,0,L247-M247)</f>
        <v>62029.651260375977</v>
      </c>
      <c r="O247">
        <f>MAX(N$12:N247)</f>
        <v>69965.697479248047</v>
      </c>
      <c r="P247">
        <f>IF(O247&gt;O246,(O247-O246)*percentSavingsParticipation,0)</f>
        <v>0</v>
      </c>
      <c r="Q247">
        <f t="shared" si="19"/>
        <v>34982.848739624023</v>
      </c>
      <c r="R247">
        <f t="shared" si="20"/>
        <v>-79187.5</v>
      </c>
    </row>
    <row r="248" spans="1:18" x14ac:dyDescent="0.25">
      <c r="A248" s="1"/>
      <c r="C248" s="1"/>
      <c r="D248" s="1">
        <v>41605</v>
      </c>
      <c r="E248" s="10">
        <v>29742.75</v>
      </c>
      <c r="F248" s="1">
        <v>41605</v>
      </c>
      <c r="G248">
        <v>-4071.5</v>
      </c>
      <c r="H248" s="1">
        <f t="shared" si="16"/>
        <v>41605</v>
      </c>
      <c r="I248">
        <f>IF(AND(MyRowHidden(ROW())=FALSE,MyRowHidden(ROW()-1)=TRUE),0,(E248-E247)*unitsOfDHp+I247)</f>
        <v>7177.5</v>
      </c>
      <c r="J248">
        <f>IF(AND(MyRowHidden(ROW())=FALSE,MyRowHidden(ROW()-1)=TRUE),0,(G248-G247)*unitsOfExo+J247)</f>
        <v>-87100</v>
      </c>
      <c r="K248" s="9">
        <f t="shared" si="17"/>
        <v>87100</v>
      </c>
      <c r="L248">
        <f t="shared" si="18"/>
        <v>-114905.34873962402</v>
      </c>
      <c r="M248">
        <f>IF(AND(MyRowHidden(ROW())=FALSE,MyRowHidden(ROW()-1)=TRUE),0,(G248-G247)*unitsFuturesCompare+M247)</f>
        <v>-174200</v>
      </c>
      <c r="N248">
        <f>IF(MyRowHidden(ROW())=TRUE,0,L248-M248)</f>
        <v>59294.651260375977</v>
      </c>
      <c r="O248">
        <f>MAX(N$12:N248)</f>
        <v>69965.697479248047</v>
      </c>
      <c r="P248">
        <f>IF(O248&gt;O247,(O248-O247)*percentSavingsParticipation,0)</f>
        <v>0</v>
      </c>
      <c r="Q248">
        <f t="shared" si="19"/>
        <v>34982.848739624023</v>
      </c>
      <c r="R248">
        <f t="shared" si="20"/>
        <v>-79922.5</v>
      </c>
    </row>
    <row r="249" spans="1:18" x14ac:dyDescent="0.25">
      <c r="A249" s="1"/>
      <c r="C249" s="1"/>
      <c r="D249" s="1">
        <v>41606</v>
      </c>
      <c r="E249" s="10">
        <v>29742.75</v>
      </c>
      <c r="F249" s="1">
        <v>41606</v>
      </c>
      <c r="G249">
        <v>-4134</v>
      </c>
      <c r="H249" s="1">
        <f t="shared" si="16"/>
        <v>41606</v>
      </c>
      <c r="I249">
        <f>IF(AND(MyRowHidden(ROW())=FALSE,MyRowHidden(ROW()-1)=TRUE),0,(E249-E248)*unitsOfDHp+I248)</f>
        <v>7177.5</v>
      </c>
      <c r="J249">
        <f>IF(AND(MyRowHidden(ROW())=FALSE,MyRowHidden(ROW()-1)=TRUE),0,(G249-G248)*unitsOfExo+J248)</f>
        <v>-87725</v>
      </c>
      <c r="K249" s="9">
        <f t="shared" si="17"/>
        <v>87725</v>
      </c>
      <c r="L249">
        <f t="shared" si="18"/>
        <v>-115530.34873962402</v>
      </c>
      <c r="M249">
        <f>IF(AND(MyRowHidden(ROW())=FALSE,MyRowHidden(ROW()-1)=TRUE),0,(G249-G248)*unitsFuturesCompare+M248)</f>
        <v>-175450</v>
      </c>
      <c r="N249">
        <f>IF(MyRowHidden(ROW())=TRUE,0,L249-M249)</f>
        <v>59919.651260375977</v>
      </c>
      <c r="O249">
        <f>MAX(N$12:N249)</f>
        <v>69965.697479248047</v>
      </c>
      <c r="P249">
        <f>IF(O249&gt;O248,(O249-O248)*percentSavingsParticipation,0)</f>
        <v>0</v>
      </c>
      <c r="Q249">
        <f t="shared" si="19"/>
        <v>34982.848739624023</v>
      </c>
      <c r="R249">
        <f t="shared" si="20"/>
        <v>-80547.5</v>
      </c>
    </row>
    <row r="250" spans="1:18" x14ac:dyDescent="0.25">
      <c r="A250" s="1"/>
      <c r="C250" s="1"/>
      <c r="D250" s="1">
        <v>41607</v>
      </c>
      <c r="E250" s="10">
        <v>29742.75</v>
      </c>
      <c r="F250" s="1">
        <v>41607</v>
      </c>
      <c r="G250">
        <v>-4184</v>
      </c>
      <c r="H250" s="1">
        <f t="shared" si="16"/>
        <v>41607</v>
      </c>
      <c r="I250">
        <f>IF(AND(MyRowHidden(ROW())=FALSE,MyRowHidden(ROW()-1)=TRUE),0,(E250-E249)*unitsOfDHp+I249)</f>
        <v>7177.5</v>
      </c>
      <c r="J250">
        <f>IF(AND(MyRowHidden(ROW())=FALSE,MyRowHidden(ROW()-1)=TRUE),0,(G250-G249)*unitsOfExo+J249)</f>
        <v>-88225</v>
      </c>
      <c r="K250" s="9">
        <f t="shared" si="17"/>
        <v>88225</v>
      </c>
      <c r="L250">
        <f t="shared" si="18"/>
        <v>-116030.34873962402</v>
      </c>
      <c r="M250">
        <f>IF(AND(MyRowHidden(ROW())=FALSE,MyRowHidden(ROW()-1)=TRUE),0,(G250-G249)*unitsFuturesCompare+M249)</f>
        <v>-176450</v>
      </c>
      <c r="N250">
        <f>IF(MyRowHidden(ROW())=TRUE,0,L250-M250)</f>
        <v>60419.651260375977</v>
      </c>
      <c r="O250">
        <f>MAX(N$12:N250)</f>
        <v>69965.697479248047</v>
      </c>
      <c r="P250">
        <f>IF(O250&gt;O249,(O250-O249)*percentSavingsParticipation,0)</f>
        <v>0</v>
      </c>
      <c r="Q250">
        <f t="shared" si="19"/>
        <v>34982.848739624023</v>
      </c>
      <c r="R250">
        <f t="shared" si="20"/>
        <v>-81047.5</v>
      </c>
    </row>
    <row r="251" spans="1:18" x14ac:dyDescent="0.25">
      <c r="A251" s="1"/>
      <c r="C251" s="1"/>
      <c r="D251" s="1">
        <v>41610</v>
      </c>
      <c r="E251" s="10">
        <v>29780.25</v>
      </c>
      <c r="F251" s="1">
        <v>41610</v>
      </c>
      <c r="G251">
        <v>-4233.5</v>
      </c>
      <c r="H251" s="1">
        <f t="shared" si="16"/>
        <v>41610</v>
      </c>
      <c r="I251">
        <f>IF(AND(MyRowHidden(ROW())=FALSE,MyRowHidden(ROW()-1)=TRUE),0,(E251-E250)*unitsOfDHp+I250)</f>
        <v>7552.5</v>
      </c>
      <c r="J251">
        <f>IF(AND(MyRowHidden(ROW())=FALSE,MyRowHidden(ROW()-1)=TRUE),0,(G251-G250)*unitsOfExo+J250)</f>
        <v>-88720</v>
      </c>
      <c r="K251" s="9">
        <f t="shared" si="17"/>
        <v>88720</v>
      </c>
      <c r="L251">
        <f t="shared" si="18"/>
        <v>-116150.34873962402</v>
      </c>
      <c r="M251">
        <f>IF(AND(MyRowHidden(ROW())=FALSE,MyRowHidden(ROW()-1)=TRUE),0,(G251-G250)*unitsFuturesCompare+M250)</f>
        <v>-177440</v>
      </c>
      <c r="N251">
        <f>IF(MyRowHidden(ROW())=TRUE,0,L251-M251)</f>
        <v>61289.651260375977</v>
      </c>
      <c r="O251">
        <f>MAX(N$12:N251)</f>
        <v>69965.697479248047</v>
      </c>
      <c r="P251">
        <f>IF(O251&gt;O250,(O251-O250)*percentSavingsParticipation,0)</f>
        <v>0</v>
      </c>
      <c r="Q251">
        <f t="shared" si="19"/>
        <v>34982.848739624023</v>
      </c>
      <c r="R251">
        <f t="shared" si="20"/>
        <v>-81167.5</v>
      </c>
    </row>
    <row r="252" spans="1:18" x14ac:dyDescent="0.25">
      <c r="A252" s="1"/>
      <c r="C252" s="1"/>
      <c r="D252" s="1">
        <v>41611</v>
      </c>
      <c r="E252" s="10">
        <v>29780.25</v>
      </c>
      <c r="F252" s="1">
        <v>41611</v>
      </c>
      <c r="G252">
        <v>-3896</v>
      </c>
      <c r="H252" s="1">
        <f t="shared" si="16"/>
        <v>41611</v>
      </c>
      <c r="I252">
        <f>IF(AND(MyRowHidden(ROW())=FALSE,MyRowHidden(ROW()-1)=TRUE),0,(E252-E251)*unitsOfDHp+I251)</f>
        <v>7552.5</v>
      </c>
      <c r="J252">
        <f>IF(AND(MyRowHidden(ROW())=FALSE,MyRowHidden(ROW()-1)=TRUE),0,(G252-G251)*unitsOfExo+J251)</f>
        <v>-85345</v>
      </c>
      <c r="K252" s="9">
        <f t="shared" si="17"/>
        <v>85345</v>
      </c>
      <c r="L252">
        <f t="shared" si="18"/>
        <v>-112775.34873962402</v>
      </c>
      <c r="M252">
        <f>IF(AND(MyRowHidden(ROW())=FALSE,MyRowHidden(ROW()-1)=TRUE),0,(G252-G251)*unitsFuturesCompare+M251)</f>
        <v>-170690</v>
      </c>
      <c r="N252">
        <f>IF(MyRowHidden(ROW())=TRUE,0,L252-M252)</f>
        <v>57914.651260375977</v>
      </c>
      <c r="O252">
        <f>MAX(N$12:N252)</f>
        <v>69965.697479248047</v>
      </c>
      <c r="P252">
        <f>IF(O252&gt;O251,(O252-O251)*percentSavingsParticipation,0)</f>
        <v>0</v>
      </c>
      <c r="Q252">
        <f t="shared" si="19"/>
        <v>34982.848739624023</v>
      </c>
      <c r="R252">
        <f t="shared" si="20"/>
        <v>-77792.5</v>
      </c>
    </row>
    <row r="253" spans="1:18" x14ac:dyDescent="0.25">
      <c r="A253" s="1"/>
      <c r="C253" s="1"/>
      <c r="D253" s="1">
        <v>41612</v>
      </c>
      <c r="E253" s="10">
        <v>29397.75</v>
      </c>
      <c r="F253" s="1">
        <v>41612</v>
      </c>
      <c r="G253">
        <v>-3621</v>
      </c>
      <c r="H253" s="1">
        <f t="shared" si="16"/>
        <v>41612</v>
      </c>
      <c r="I253">
        <f>IF(AND(MyRowHidden(ROW())=FALSE,MyRowHidden(ROW()-1)=TRUE),0,(E253-E252)*unitsOfDHp+I252)</f>
        <v>3727.5</v>
      </c>
      <c r="J253">
        <f>IF(AND(MyRowHidden(ROW())=FALSE,MyRowHidden(ROW()-1)=TRUE),0,(G253-G252)*unitsOfExo+J252)</f>
        <v>-82595</v>
      </c>
      <c r="K253" s="9">
        <f t="shared" si="17"/>
        <v>82595</v>
      </c>
      <c r="L253">
        <f t="shared" si="18"/>
        <v>-113850.34873962402</v>
      </c>
      <c r="M253">
        <f>IF(AND(MyRowHidden(ROW())=FALSE,MyRowHidden(ROW()-1)=TRUE),0,(G253-G252)*unitsFuturesCompare+M252)</f>
        <v>-165190</v>
      </c>
      <c r="N253">
        <f>IF(MyRowHidden(ROW())=TRUE,0,L253-M253)</f>
        <v>51339.651260375977</v>
      </c>
      <c r="O253">
        <f>MAX(N$12:N253)</f>
        <v>69965.697479248047</v>
      </c>
      <c r="P253">
        <f>IF(O253&gt;O252,(O253-O252)*percentSavingsParticipation,0)</f>
        <v>0</v>
      </c>
      <c r="Q253">
        <f t="shared" si="19"/>
        <v>34982.848739624023</v>
      </c>
      <c r="R253">
        <f t="shared" si="20"/>
        <v>-78867.5</v>
      </c>
    </row>
    <row r="254" spans="1:18" x14ac:dyDescent="0.25">
      <c r="A254" s="1"/>
      <c r="C254" s="1"/>
      <c r="D254" s="1">
        <v>41613</v>
      </c>
      <c r="E254" s="10">
        <v>29527.25</v>
      </c>
      <c r="F254" s="1">
        <v>41613</v>
      </c>
      <c r="G254">
        <v>-3683.5</v>
      </c>
      <c r="H254" s="1">
        <f t="shared" si="16"/>
        <v>41613</v>
      </c>
      <c r="I254">
        <f>IF(AND(MyRowHidden(ROW())=FALSE,MyRowHidden(ROW()-1)=TRUE),0,(E254-E253)*unitsOfDHp+I253)</f>
        <v>5022.5</v>
      </c>
      <c r="J254">
        <f>IF(AND(MyRowHidden(ROW())=FALSE,MyRowHidden(ROW()-1)=TRUE),0,(G254-G253)*unitsOfExo+J253)</f>
        <v>-83220</v>
      </c>
      <c r="K254" s="9">
        <f t="shared" si="17"/>
        <v>83220</v>
      </c>
      <c r="L254">
        <f t="shared" si="18"/>
        <v>-113180.34873962402</v>
      </c>
      <c r="M254">
        <f>IF(AND(MyRowHidden(ROW())=FALSE,MyRowHidden(ROW()-1)=TRUE),0,(G254-G253)*unitsFuturesCompare+M253)</f>
        <v>-166440</v>
      </c>
      <c r="N254">
        <f>IF(MyRowHidden(ROW())=TRUE,0,L254-M254)</f>
        <v>53259.651260375977</v>
      </c>
      <c r="O254">
        <f>MAX(N$12:N254)</f>
        <v>69965.697479248047</v>
      </c>
      <c r="P254">
        <f>IF(O254&gt;O253,(O254-O253)*percentSavingsParticipation,0)</f>
        <v>0</v>
      </c>
      <c r="Q254">
        <f t="shared" si="19"/>
        <v>34982.848739624023</v>
      </c>
      <c r="R254">
        <f t="shared" si="20"/>
        <v>-78197.5</v>
      </c>
    </row>
    <row r="255" spans="1:18" x14ac:dyDescent="0.25">
      <c r="A255" s="1"/>
      <c r="C255" s="1"/>
      <c r="D255" s="1">
        <v>41614</v>
      </c>
      <c r="E255" s="10">
        <v>29791.25</v>
      </c>
      <c r="F255" s="1">
        <v>41614</v>
      </c>
      <c r="G255">
        <v>-3821</v>
      </c>
      <c r="H255" s="1">
        <f t="shared" si="16"/>
        <v>41614</v>
      </c>
      <c r="I255">
        <f>IF(AND(MyRowHidden(ROW())=FALSE,MyRowHidden(ROW()-1)=TRUE),0,(E255-E254)*unitsOfDHp+I254)</f>
        <v>7662.5</v>
      </c>
      <c r="J255">
        <f>IF(AND(MyRowHidden(ROW())=FALSE,MyRowHidden(ROW()-1)=TRUE),0,(G255-G254)*unitsOfExo+J254)</f>
        <v>-84595</v>
      </c>
      <c r="K255" s="9">
        <f t="shared" si="17"/>
        <v>84595</v>
      </c>
      <c r="L255">
        <f t="shared" si="18"/>
        <v>-111915.34873962402</v>
      </c>
      <c r="M255">
        <f>IF(AND(MyRowHidden(ROW())=FALSE,MyRowHidden(ROW()-1)=TRUE),0,(G255-G254)*unitsFuturesCompare+M254)</f>
        <v>-169190</v>
      </c>
      <c r="N255">
        <f>IF(MyRowHidden(ROW())=TRUE,0,L255-M255)</f>
        <v>57274.651260375977</v>
      </c>
      <c r="O255">
        <f>MAX(N$12:N255)</f>
        <v>69965.697479248047</v>
      </c>
      <c r="P255">
        <f>IF(O255&gt;O254,(O255-O254)*percentSavingsParticipation,0)</f>
        <v>0</v>
      </c>
      <c r="Q255">
        <f t="shared" si="19"/>
        <v>34982.848739624023</v>
      </c>
      <c r="R255">
        <f t="shared" si="20"/>
        <v>-76932.5</v>
      </c>
    </row>
    <row r="256" spans="1:18" x14ac:dyDescent="0.25">
      <c r="A256" s="1"/>
      <c r="C256" s="1"/>
      <c r="D256" s="1">
        <v>41617</v>
      </c>
      <c r="E256" s="10">
        <v>28841.25</v>
      </c>
      <c r="F256" s="1">
        <v>41617</v>
      </c>
      <c r="G256">
        <v>-3546</v>
      </c>
      <c r="H256" s="1">
        <f t="shared" si="16"/>
        <v>41617</v>
      </c>
      <c r="I256">
        <f>IF(AND(MyRowHidden(ROW())=FALSE,MyRowHidden(ROW()-1)=TRUE),0,(E256-E255)*unitsOfDHp+I255)</f>
        <v>-1837.5</v>
      </c>
      <c r="J256">
        <f>IF(AND(MyRowHidden(ROW())=FALSE,MyRowHidden(ROW()-1)=TRUE),0,(G256-G255)*unitsOfExo+J255)</f>
        <v>-81845</v>
      </c>
      <c r="K256" s="9">
        <f t="shared" si="17"/>
        <v>81845</v>
      </c>
      <c r="L256">
        <f t="shared" si="18"/>
        <v>-118665.34873962402</v>
      </c>
      <c r="M256">
        <f>IF(AND(MyRowHidden(ROW())=FALSE,MyRowHidden(ROW()-1)=TRUE),0,(G256-G255)*unitsFuturesCompare+M255)</f>
        <v>-163690</v>
      </c>
      <c r="N256">
        <f>IF(MyRowHidden(ROW())=TRUE,0,L256-M256)</f>
        <v>45024.651260375977</v>
      </c>
      <c r="O256">
        <f>MAX(N$12:N256)</f>
        <v>69965.697479248047</v>
      </c>
      <c r="P256">
        <f>IF(O256&gt;O255,(O256-O255)*percentSavingsParticipation,0)</f>
        <v>0</v>
      </c>
      <c r="Q256">
        <f t="shared" si="19"/>
        <v>34982.848739624023</v>
      </c>
      <c r="R256">
        <f t="shared" si="20"/>
        <v>-83682.5</v>
      </c>
    </row>
    <row r="257" spans="1:18" x14ac:dyDescent="0.25">
      <c r="A257" s="1"/>
      <c r="C257" s="1"/>
      <c r="D257" s="1">
        <v>41618</v>
      </c>
      <c r="E257" s="10">
        <v>29003.75</v>
      </c>
      <c r="F257" s="1">
        <v>41618</v>
      </c>
      <c r="G257">
        <v>-3633.5</v>
      </c>
      <c r="H257" s="1">
        <f t="shared" si="16"/>
        <v>41618</v>
      </c>
      <c r="I257">
        <f>IF(AND(MyRowHidden(ROW())=FALSE,MyRowHidden(ROW()-1)=TRUE),0,(E257-E256)*unitsOfDHp+I256)</f>
        <v>-212.5</v>
      </c>
      <c r="J257">
        <f>IF(AND(MyRowHidden(ROW())=FALSE,MyRowHidden(ROW()-1)=TRUE),0,(G257-G256)*unitsOfExo+J256)</f>
        <v>-82720</v>
      </c>
      <c r="K257" s="9">
        <f t="shared" si="17"/>
        <v>82720</v>
      </c>
      <c r="L257">
        <f t="shared" si="18"/>
        <v>-117915.34873962402</v>
      </c>
      <c r="M257">
        <f>IF(AND(MyRowHidden(ROW())=FALSE,MyRowHidden(ROW()-1)=TRUE),0,(G257-G256)*unitsFuturesCompare+M256)</f>
        <v>-165440</v>
      </c>
      <c r="N257">
        <f>IF(MyRowHidden(ROW())=TRUE,0,L257-M257)</f>
        <v>47524.651260375977</v>
      </c>
      <c r="O257">
        <f>MAX(N$12:N257)</f>
        <v>69965.697479248047</v>
      </c>
      <c r="P257">
        <f>IF(O257&gt;O256,(O257-O256)*percentSavingsParticipation,0)</f>
        <v>0</v>
      </c>
      <c r="Q257">
        <f t="shared" si="19"/>
        <v>34982.848739624023</v>
      </c>
      <c r="R257">
        <f t="shared" si="20"/>
        <v>-82932.5</v>
      </c>
    </row>
    <row r="258" spans="1:18" x14ac:dyDescent="0.25">
      <c r="A258" s="1"/>
      <c r="C258" s="1"/>
      <c r="D258" s="1">
        <v>41619</v>
      </c>
      <c r="E258" s="10">
        <v>28328.75</v>
      </c>
      <c r="F258" s="1">
        <v>41619</v>
      </c>
      <c r="G258">
        <v>-3483.5</v>
      </c>
      <c r="H258" s="1">
        <f t="shared" si="16"/>
        <v>41619</v>
      </c>
      <c r="I258">
        <f>IF(AND(MyRowHidden(ROW())=FALSE,MyRowHidden(ROW()-1)=TRUE),0,(E258-E257)*unitsOfDHp+I257)</f>
        <v>-6962.5</v>
      </c>
      <c r="J258">
        <f>IF(AND(MyRowHidden(ROW())=FALSE,MyRowHidden(ROW()-1)=TRUE),0,(G258-G257)*unitsOfExo+J257)</f>
        <v>-81220</v>
      </c>
      <c r="K258" s="9">
        <f t="shared" si="17"/>
        <v>81220</v>
      </c>
      <c r="L258">
        <f t="shared" si="18"/>
        <v>-123165.34873962402</v>
      </c>
      <c r="M258">
        <f>IF(AND(MyRowHidden(ROW())=FALSE,MyRowHidden(ROW()-1)=TRUE),0,(G258-G257)*unitsFuturesCompare+M257)</f>
        <v>-162440</v>
      </c>
      <c r="N258">
        <f>IF(MyRowHidden(ROW())=TRUE,0,L258-M258)</f>
        <v>39274.651260375977</v>
      </c>
      <c r="O258">
        <f>MAX(N$12:N258)</f>
        <v>69965.697479248047</v>
      </c>
      <c r="P258">
        <f>IF(O258&gt;O257,(O258-O257)*percentSavingsParticipation,0)</f>
        <v>0</v>
      </c>
      <c r="Q258">
        <f t="shared" si="19"/>
        <v>34982.848739624023</v>
      </c>
      <c r="R258">
        <f t="shared" si="20"/>
        <v>-88182.5</v>
      </c>
    </row>
    <row r="259" spans="1:18" x14ac:dyDescent="0.25">
      <c r="A259" s="1"/>
      <c r="C259" s="1"/>
      <c r="D259" s="1">
        <v>41620</v>
      </c>
      <c r="E259" s="10">
        <v>31103.75</v>
      </c>
      <c r="F259" s="1">
        <v>41620</v>
      </c>
      <c r="G259">
        <v>-3771</v>
      </c>
      <c r="H259" s="1">
        <f t="shared" si="16"/>
        <v>41620</v>
      </c>
      <c r="I259">
        <f>IF(AND(MyRowHidden(ROW())=FALSE,MyRowHidden(ROW()-1)=TRUE),0,(E259-E258)*unitsOfDHp+I258)</f>
        <v>20787.5</v>
      </c>
      <c r="J259">
        <f>IF(AND(MyRowHidden(ROW())=FALSE,MyRowHidden(ROW()-1)=TRUE),0,(G259-G258)*unitsOfExo+J258)</f>
        <v>-84095</v>
      </c>
      <c r="K259" s="9">
        <f t="shared" si="17"/>
        <v>84095</v>
      </c>
      <c r="L259">
        <f t="shared" si="18"/>
        <v>-98290.348739624023</v>
      </c>
      <c r="M259">
        <f>IF(AND(MyRowHidden(ROW())=FALSE,MyRowHidden(ROW()-1)=TRUE),0,(G259-G258)*unitsFuturesCompare+M258)</f>
        <v>-168190</v>
      </c>
      <c r="N259">
        <f>IF(MyRowHidden(ROW())=TRUE,0,L259-M259)</f>
        <v>69899.651260375977</v>
      </c>
      <c r="O259">
        <f>MAX(N$12:N259)</f>
        <v>69965.697479248047</v>
      </c>
      <c r="P259">
        <f>IF(O259&gt;O258,(O259-O258)*percentSavingsParticipation,0)</f>
        <v>0</v>
      </c>
      <c r="Q259">
        <f t="shared" si="19"/>
        <v>34982.848739624023</v>
      </c>
      <c r="R259">
        <f t="shared" si="20"/>
        <v>-63307.5</v>
      </c>
    </row>
    <row r="260" spans="1:18" x14ac:dyDescent="0.25">
      <c r="A260" s="1"/>
      <c r="C260" s="1"/>
      <c r="D260" s="1">
        <v>41621</v>
      </c>
      <c r="E260" s="10">
        <v>33153.75</v>
      </c>
      <c r="F260" s="1">
        <v>41621</v>
      </c>
      <c r="G260">
        <v>-4108.5</v>
      </c>
      <c r="H260" s="1">
        <f t="shared" si="16"/>
        <v>41621</v>
      </c>
      <c r="I260">
        <f>IF(AND(MyRowHidden(ROW())=FALSE,MyRowHidden(ROW()-1)=TRUE),0,(E260-E259)*unitsOfDHp+I259)</f>
        <v>41287.5</v>
      </c>
      <c r="J260">
        <f>IF(AND(MyRowHidden(ROW())=FALSE,MyRowHidden(ROW()-1)=TRUE),0,(G260-G259)*unitsOfExo+J259)</f>
        <v>-87470</v>
      </c>
      <c r="K260" s="9">
        <f t="shared" si="17"/>
        <v>87470</v>
      </c>
      <c r="L260">
        <f t="shared" si="18"/>
        <v>-81165.348739624023</v>
      </c>
      <c r="M260">
        <f>IF(AND(MyRowHidden(ROW())=FALSE,MyRowHidden(ROW()-1)=TRUE),0,(G260-G259)*unitsFuturesCompare+M259)</f>
        <v>-174940</v>
      </c>
      <c r="N260">
        <f>IF(MyRowHidden(ROW())=TRUE,0,L260-M260)</f>
        <v>93774.651260375977</v>
      </c>
      <c r="O260">
        <f>MAX(N$12:N260)</f>
        <v>93774.651260375977</v>
      </c>
      <c r="P260">
        <f>IF(O260&gt;O259,(O260-O259)*percentSavingsParticipation,0)</f>
        <v>11904.476890563965</v>
      </c>
      <c r="Q260">
        <f t="shared" si="19"/>
        <v>46887.325630187988</v>
      </c>
      <c r="R260">
        <f t="shared" si="20"/>
        <v>-46182.5</v>
      </c>
    </row>
    <row r="261" spans="1:18" x14ac:dyDescent="0.25">
      <c r="A261" s="1"/>
      <c r="C261" s="1"/>
      <c r="D261" s="1">
        <v>41624</v>
      </c>
      <c r="E261" s="10">
        <v>33303.75</v>
      </c>
      <c r="F261" s="1">
        <v>41624</v>
      </c>
      <c r="G261">
        <v>-4171</v>
      </c>
      <c r="H261" s="1">
        <f t="shared" si="16"/>
        <v>41624</v>
      </c>
      <c r="I261">
        <f>IF(AND(MyRowHidden(ROW())=FALSE,MyRowHidden(ROW()-1)=TRUE),0,(E261-E260)*unitsOfDHp+I260)</f>
        <v>42787.5</v>
      </c>
      <c r="J261">
        <f>IF(AND(MyRowHidden(ROW())=FALSE,MyRowHidden(ROW()-1)=TRUE),0,(G261-G260)*unitsOfExo+J260)</f>
        <v>-88095</v>
      </c>
      <c r="K261" s="9">
        <f t="shared" si="17"/>
        <v>88095</v>
      </c>
      <c r="L261">
        <f t="shared" si="18"/>
        <v>-92194.825630187988</v>
      </c>
      <c r="M261">
        <f>IF(AND(MyRowHidden(ROW())=FALSE,MyRowHidden(ROW()-1)=TRUE),0,(G261-G260)*unitsFuturesCompare+M260)</f>
        <v>-176190</v>
      </c>
      <c r="N261">
        <f>IF(MyRowHidden(ROW())=TRUE,0,L261-M261)</f>
        <v>83995.174369812012</v>
      </c>
      <c r="O261">
        <f>MAX(N$12:N261)</f>
        <v>93774.651260375977</v>
      </c>
      <c r="P261">
        <f>IF(O261&gt;O260,(O261-O260)*percentSavingsParticipation,0)</f>
        <v>0</v>
      </c>
      <c r="Q261">
        <f t="shared" si="19"/>
        <v>46887.325630187988</v>
      </c>
      <c r="R261">
        <f t="shared" si="20"/>
        <v>-45307.5</v>
      </c>
    </row>
    <row r="262" spans="1:18" x14ac:dyDescent="0.25">
      <c r="A262" s="1"/>
      <c r="C262" s="1"/>
      <c r="D262" s="1">
        <v>41625</v>
      </c>
      <c r="E262" s="10">
        <v>33103.75</v>
      </c>
      <c r="F262" s="1">
        <v>41625</v>
      </c>
      <c r="G262">
        <v>-4071</v>
      </c>
      <c r="H262" s="1">
        <f t="shared" si="16"/>
        <v>41625</v>
      </c>
      <c r="I262">
        <f>IF(AND(MyRowHidden(ROW())=FALSE,MyRowHidden(ROW()-1)=TRUE),0,(E262-E261)*unitsOfDHp+I261)</f>
        <v>40787.5</v>
      </c>
      <c r="J262">
        <f>IF(AND(MyRowHidden(ROW())=FALSE,MyRowHidden(ROW()-1)=TRUE),0,(G262-G261)*unitsOfExo+J261)</f>
        <v>-87095</v>
      </c>
      <c r="K262" s="9">
        <f t="shared" si="17"/>
        <v>87095</v>
      </c>
      <c r="L262">
        <f t="shared" si="18"/>
        <v>-93194.825630187988</v>
      </c>
      <c r="M262">
        <f>IF(AND(MyRowHidden(ROW())=FALSE,MyRowHidden(ROW()-1)=TRUE),0,(G262-G261)*unitsFuturesCompare+M261)</f>
        <v>-174190</v>
      </c>
      <c r="N262">
        <f>IF(MyRowHidden(ROW())=TRUE,0,L262-M262)</f>
        <v>80995.174369812012</v>
      </c>
      <c r="O262">
        <f>MAX(N$12:N262)</f>
        <v>93774.651260375977</v>
      </c>
      <c r="P262">
        <f>IF(O262&gt;O261,(O262-O261)*percentSavingsParticipation,0)</f>
        <v>0</v>
      </c>
      <c r="Q262">
        <f t="shared" si="19"/>
        <v>46887.325630187988</v>
      </c>
      <c r="R262">
        <f t="shared" si="20"/>
        <v>-46307.5</v>
      </c>
    </row>
    <row r="263" spans="1:18" x14ac:dyDescent="0.25">
      <c r="A263" s="1"/>
      <c r="C263" s="1"/>
      <c r="D263" s="1">
        <v>41626</v>
      </c>
      <c r="E263" s="10">
        <v>33416.25</v>
      </c>
      <c r="F263" s="1">
        <v>41626</v>
      </c>
      <c r="G263">
        <v>-4171</v>
      </c>
      <c r="H263" s="1">
        <f t="shared" si="16"/>
        <v>41626</v>
      </c>
      <c r="I263">
        <f>IF(AND(MyRowHidden(ROW())=FALSE,MyRowHidden(ROW()-1)=TRUE),0,(E263-E262)*unitsOfDHp+I262)</f>
        <v>43912.5</v>
      </c>
      <c r="J263">
        <f>IF(AND(MyRowHidden(ROW())=FALSE,MyRowHidden(ROW()-1)=TRUE),0,(G263-G262)*unitsOfExo+J262)</f>
        <v>-88095</v>
      </c>
      <c r="K263" s="9">
        <f t="shared" si="17"/>
        <v>88095</v>
      </c>
      <c r="L263">
        <f t="shared" si="18"/>
        <v>-91069.825630187988</v>
      </c>
      <c r="M263">
        <f>IF(AND(MyRowHidden(ROW())=FALSE,MyRowHidden(ROW()-1)=TRUE),0,(G263-G262)*unitsFuturesCompare+M262)</f>
        <v>-176190</v>
      </c>
      <c r="N263">
        <f>IF(MyRowHidden(ROW())=TRUE,0,L263-M263)</f>
        <v>85120.174369812012</v>
      </c>
      <c r="O263">
        <f>MAX(N$12:N263)</f>
        <v>93774.651260375977</v>
      </c>
      <c r="P263">
        <f>IF(O263&gt;O262,(O263-O262)*percentSavingsParticipation,0)</f>
        <v>0</v>
      </c>
      <c r="Q263">
        <f t="shared" si="19"/>
        <v>46887.325630187988</v>
      </c>
      <c r="R263">
        <f t="shared" si="20"/>
        <v>-44182.5</v>
      </c>
    </row>
    <row r="264" spans="1:18" x14ac:dyDescent="0.25">
      <c r="A264" s="1"/>
      <c r="C264" s="1"/>
      <c r="D264" s="1">
        <v>41627</v>
      </c>
      <c r="E264" s="10">
        <v>32966.25</v>
      </c>
      <c r="F264" s="1">
        <v>41627</v>
      </c>
      <c r="G264">
        <v>-3958.5</v>
      </c>
      <c r="H264" s="1">
        <f t="shared" si="16"/>
        <v>41627</v>
      </c>
      <c r="I264">
        <f>IF(AND(MyRowHidden(ROW())=FALSE,MyRowHidden(ROW()-1)=TRUE),0,(E264-E263)*unitsOfDHp+I263)</f>
        <v>39412.5</v>
      </c>
      <c r="J264">
        <f>IF(AND(MyRowHidden(ROW())=FALSE,MyRowHidden(ROW()-1)=TRUE),0,(G264-G263)*unitsOfExo+J263)</f>
        <v>-85970</v>
      </c>
      <c r="K264" s="9">
        <f t="shared" si="17"/>
        <v>85970</v>
      </c>
      <c r="L264">
        <f t="shared" si="18"/>
        <v>-93444.825630187988</v>
      </c>
      <c r="M264">
        <f>IF(AND(MyRowHidden(ROW())=FALSE,MyRowHidden(ROW()-1)=TRUE),0,(G264-G263)*unitsFuturesCompare+M263)</f>
        <v>-171940</v>
      </c>
      <c r="N264">
        <f>IF(MyRowHidden(ROW())=TRUE,0,L264-M264)</f>
        <v>78495.174369812012</v>
      </c>
      <c r="O264">
        <f>MAX(N$12:N264)</f>
        <v>93774.651260375977</v>
      </c>
      <c r="P264">
        <f>IF(O264&gt;O263,(O264-O263)*percentSavingsParticipation,0)</f>
        <v>0</v>
      </c>
      <c r="Q264">
        <f t="shared" si="19"/>
        <v>46887.325630187988</v>
      </c>
      <c r="R264">
        <f t="shared" si="20"/>
        <v>-46557.5</v>
      </c>
    </row>
    <row r="265" spans="1:18" x14ac:dyDescent="0.25">
      <c r="A265" s="1"/>
      <c r="C265" s="1"/>
      <c r="D265" s="1">
        <v>41628</v>
      </c>
      <c r="E265" s="10">
        <v>32770.25</v>
      </c>
      <c r="F265" s="1">
        <v>41628</v>
      </c>
      <c r="G265">
        <v>-3796</v>
      </c>
      <c r="H265" s="1">
        <f t="shared" si="16"/>
        <v>41628</v>
      </c>
      <c r="I265">
        <f>IF(AND(MyRowHidden(ROW())=FALSE,MyRowHidden(ROW()-1)=TRUE),0,(E265-E264)*unitsOfDHp+I264)</f>
        <v>37452.5</v>
      </c>
      <c r="J265">
        <f>IF(AND(MyRowHidden(ROW())=FALSE,MyRowHidden(ROW()-1)=TRUE),0,(G265-G264)*unitsOfExo+J264)</f>
        <v>-84345</v>
      </c>
      <c r="K265" s="9">
        <f t="shared" si="17"/>
        <v>84345</v>
      </c>
      <c r="L265">
        <f t="shared" si="18"/>
        <v>-93779.825630187988</v>
      </c>
      <c r="M265">
        <f>IF(AND(MyRowHidden(ROW())=FALSE,MyRowHidden(ROW()-1)=TRUE),0,(G265-G264)*unitsFuturesCompare+M264)</f>
        <v>-168690</v>
      </c>
      <c r="N265">
        <f>IF(MyRowHidden(ROW())=TRUE,0,L265-M265)</f>
        <v>74910.174369812012</v>
      </c>
      <c r="O265">
        <f>MAX(N$12:N265)</f>
        <v>93774.651260375977</v>
      </c>
      <c r="P265">
        <f>IF(O265&gt;O264,(O265-O264)*percentSavingsParticipation,0)</f>
        <v>0</v>
      </c>
      <c r="Q265">
        <f t="shared" si="19"/>
        <v>46887.325630187988</v>
      </c>
      <c r="R265">
        <f t="shared" si="20"/>
        <v>-46892.5</v>
      </c>
    </row>
    <row r="266" spans="1:18" x14ac:dyDescent="0.25">
      <c r="A266" s="1"/>
      <c r="C266" s="1"/>
      <c r="D266" s="1">
        <v>41631</v>
      </c>
      <c r="E266" s="10">
        <v>32823.75</v>
      </c>
      <c r="F266" s="1">
        <v>41631</v>
      </c>
      <c r="G266">
        <v>-3708.5</v>
      </c>
      <c r="H266" s="1">
        <f t="shared" si="16"/>
        <v>41631</v>
      </c>
      <c r="I266">
        <f>IF(AND(MyRowHidden(ROW())=FALSE,MyRowHidden(ROW()-1)=TRUE),0,(E266-E265)*unitsOfDHp+I265)</f>
        <v>37987.5</v>
      </c>
      <c r="J266">
        <f>IF(AND(MyRowHidden(ROW())=FALSE,MyRowHidden(ROW()-1)=TRUE),0,(G266-G265)*unitsOfExo+J265)</f>
        <v>-83470</v>
      </c>
      <c r="K266" s="9">
        <f t="shared" si="17"/>
        <v>83470</v>
      </c>
      <c r="L266">
        <f t="shared" si="18"/>
        <v>-92369.825630187988</v>
      </c>
      <c r="M266">
        <f>IF(AND(MyRowHidden(ROW())=FALSE,MyRowHidden(ROW()-1)=TRUE),0,(G266-G265)*unitsFuturesCompare+M265)</f>
        <v>-166940</v>
      </c>
      <c r="N266">
        <f>IF(MyRowHidden(ROW())=TRUE,0,L266-M266)</f>
        <v>74570.174369812012</v>
      </c>
      <c r="O266">
        <f>MAX(N$12:N266)</f>
        <v>93774.651260375977</v>
      </c>
      <c r="P266">
        <f>IF(O266&gt;O265,(O266-O265)*percentSavingsParticipation,0)</f>
        <v>0</v>
      </c>
      <c r="Q266">
        <f t="shared" si="19"/>
        <v>46887.325630187988</v>
      </c>
      <c r="R266">
        <f t="shared" si="20"/>
        <v>-45482.5</v>
      </c>
    </row>
    <row r="267" spans="1:18" x14ac:dyDescent="0.25">
      <c r="A267" s="1"/>
      <c r="C267" s="1"/>
      <c r="D267" s="1">
        <v>41632</v>
      </c>
      <c r="E267" s="10">
        <v>32802.25</v>
      </c>
      <c r="F267" s="1">
        <v>41632</v>
      </c>
      <c r="G267">
        <v>-3696</v>
      </c>
      <c r="H267" s="1">
        <f t="shared" si="16"/>
        <v>41632</v>
      </c>
      <c r="I267">
        <f>IF(AND(MyRowHidden(ROW())=FALSE,MyRowHidden(ROW()-1)=TRUE),0,(E267-E266)*unitsOfDHp+I266)</f>
        <v>37772.5</v>
      </c>
      <c r="J267">
        <f>IF(AND(MyRowHidden(ROW())=FALSE,MyRowHidden(ROW()-1)=TRUE),0,(G267-G266)*unitsOfExo+J266)</f>
        <v>-83345</v>
      </c>
      <c r="K267" s="9">
        <f t="shared" si="17"/>
        <v>83345</v>
      </c>
      <c r="L267">
        <f t="shared" si="18"/>
        <v>-92459.825630187988</v>
      </c>
      <c r="M267">
        <f>IF(AND(MyRowHidden(ROW())=FALSE,MyRowHidden(ROW()-1)=TRUE),0,(G267-G266)*unitsFuturesCompare+M266)</f>
        <v>-166690</v>
      </c>
      <c r="N267">
        <f>IF(MyRowHidden(ROW())=TRUE,0,L267-M267)</f>
        <v>74230.174369812012</v>
      </c>
      <c r="O267">
        <f>MAX(N$12:N267)</f>
        <v>93774.651260375977</v>
      </c>
      <c r="P267">
        <f>IF(O267&gt;O266,(O267-O266)*percentSavingsParticipation,0)</f>
        <v>0</v>
      </c>
      <c r="Q267">
        <f t="shared" si="19"/>
        <v>46887.325630187988</v>
      </c>
      <c r="R267">
        <f t="shared" si="20"/>
        <v>-45572.5</v>
      </c>
    </row>
    <row r="268" spans="1:18" x14ac:dyDescent="0.25">
      <c r="A268" s="1"/>
      <c r="C268" s="1"/>
      <c r="D268" s="1">
        <v>41633</v>
      </c>
      <c r="E268" s="10">
        <v>32731.75</v>
      </c>
      <c r="F268" s="1">
        <v>41633</v>
      </c>
      <c r="G268">
        <v>-3983.5</v>
      </c>
      <c r="H268" s="1">
        <f t="shared" si="16"/>
        <v>41633</v>
      </c>
      <c r="I268">
        <f>IF(AND(MyRowHidden(ROW())=FALSE,MyRowHidden(ROW()-1)=TRUE),0,(E268-E267)*unitsOfDHp+I267)</f>
        <v>37067.5</v>
      </c>
      <c r="J268">
        <f>IF(AND(MyRowHidden(ROW())=FALSE,MyRowHidden(ROW()-1)=TRUE),0,(G268-G267)*unitsOfExo+J267)</f>
        <v>-86220</v>
      </c>
      <c r="K268" s="9">
        <f t="shared" si="17"/>
        <v>86220</v>
      </c>
      <c r="L268">
        <f t="shared" si="18"/>
        <v>-96039.825630187988</v>
      </c>
      <c r="M268">
        <f>IF(AND(MyRowHidden(ROW())=FALSE,MyRowHidden(ROW()-1)=TRUE),0,(G268-G267)*unitsFuturesCompare+M267)</f>
        <v>-172440</v>
      </c>
      <c r="N268">
        <f>IF(MyRowHidden(ROW())=TRUE,0,L268-M268)</f>
        <v>76400.174369812012</v>
      </c>
      <c r="O268">
        <f>MAX(N$12:N268)</f>
        <v>93774.651260375977</v>
      </c>
      <c r="P268">
        <f>IF(O268&gt;O267,(O268-O267)*percentSavingsParticipation,0)</f>
        <v>0</v>
      </c>
      <c r="Q268">
        <f t="shared" si="19"/>
        <v>46887.325630187988</v>
      </c>
      <c r="R268">
        <f t="shared" si="20"/>
        <v>-49152.5</v>
      </c>
    </row>
    <row r="269" spans="1:18" x14ac:dyDescent="0.25">
      <c r="A269" s="1"/>
      <c r="C269" s="1"/>
      <c r="D269" s="1">
        <v>41634</v>
      </c>
      <c r="E269" s="10">
        <v>32560.75</v>
      </c>
      <c r="F269" s="1">
        <v>41634</v>
      </c>
      <c r="G269">
        <v>-4058.5</v>
      </c>
      <c r="H269" s="1">
        <f t="shared" ref="H269:H332" si="21">D269</f>
        <v>41634</v>
      </c>
      <c r="I269">
        <f>IF(AND(MyRowHidden(ROW())=FALSE,MyRowHidden(ROW()-1)=TRUE),0,(E269-E268)*unitsOfDHp+I268)</f>
        <v>35357.5</v>
      </c>
      <c r="J269">
        <f>IF(AND(MyRowHidden(ROW())=FALSE,MyRowHidden(ROW()-1)=TRUE),0,(G269-G268)*unitsOfExo+J268)</f>
        <v>-86970</v>
      </c>
      <c r="K269" s="9">
        <f t="shared" ref="K269:K332" si="22">-(J269-J268)+K268</f>
        <v>86970</v>
      </c>
      <c r="L269">
        <f t="shared" ref="L269:L332" si="23">I269-I268+J269-J268+L268-P268</f>
        <v>-98499.825630187988</v>
      </c>
      <c r="M269">
        <f>IF(AND(MyRowHidden(ROW())=FALSE,MyRowHidden(ROW()-1)=TRUE),0,(G269-G268)*unitsFuturesCompare+M268)</f>
        <v>-173940</v>
      </c>
      <c r="N269">
        <f>IF(MyRowHidden(ROW())=TRUE,0,L269-M269)</f>
        <v>75440.174369812012</v>
      </c>
      <c r="O269">
        <f>MAX(N$12:N269)</f>
        <v>93774.651260375977</v>
      </c>
      <c r="P269">
        <f>IF(O269&gt;O268,(O269-O268)*percentSavingsParticipation,0)</f>
        <v>0</v>
      </c>
      <c r="Q269">
        <f t="shared" ref="Q269:Q332" si="24">P269+Q268</f>
        <v>46887.325630187988</v>
      </c>
      <c r="R269">
        <f t="shared" ref="R269:R332" si="25">I269+J269</f>
        <v>-51612.5</v>
      </c>
    </row>
    <row r="270" spans="1:18" x14ac:dyDescent="0.25">
      <c r="A270" s="1"/>
      <c r="C270" s="1"/>
      <c r="D270" s="1">
        <v>41635</v>
      </c>
      <c r="E270" s="10">
        <v>32537.75</v>
      </c>
      <c r="F270" s="1">
        <v>41635</v>
      </c>
      <c r="G270">
        <v>-4071</v>
      </c>
      <c r="H270" s="1">
        <f t="shared" si="21"/>
        <v>41635</v>
      </c>
      <c r="I270">
        <f>IF(AND(MyRowHidden(ROW())=FALSE,MyRowHidden(ROW()-1)=TRUE),0,(E270-E269)*unitsOfDHp+I269)</f>
        <v>35127.5</v>
      </c>
      <c r="J270">
        <f>IF(AND(MyRowHidden(ROW())=FALSE,MyRowHidden(ROW()-1)=TRUE),0,(G270-G269)*unitsOfExo+J269)</f>
        <v>-87095</v>
      </c>
      <c r="K270" s="9">
        <f t="shared" si="22"/>
        <v>87095</v>
      </c>
      <c r="L270">
        <f t="shared" si="23"/>
        <v>-98854.825630187988</v>
      </c>
      <c r="M270">
        <f>IF(AND(MyRowHidden(ROW())=FALSE,MyRowHidden(ROW()-1)=TRUE),0,(G270-G269)*unitsFuturesCompare+M269)</f>
        <v>-174190</v>
      </c>
      <c r="N270">
        <f>IF(MyRowHidden(ROW())=TRUE,0,L270-M270)</f>
        <v>75335.174369812012</v>
      </c>
      <c r="O270">
        <f>MAX(N$12:N270)</f>
        <v>93774.651260375977</v>
      </c>
      <c r="P270">
        <f>IF(O270&gt;O269,(O270-O269)*percentSavingsParticipation,0)</f>
        <v>0</v>
      </c>
      <c r="Q270">
        <f t="shared" si="24"/>
        <v>46887.325630187988</v>
      </c>
      <c r="R270">
        <f t="shared" si="25"/>
        <v>-51967.5</v>
      </c>
    </row>
    <row r="271" spans="1:18" x14ac:dyDescent="0.25">
      <c r="A271" s="1"/>
      <c r="C271" s="1"/>
      <c r="D271" s="1">
        <v>41638</v>
      </c>
      <c r="E271" s="10">
        <v>32627.25</v>
      </c>
      <c r="F271" s="1">
        <v>41638</v>
      </c>
      <c r="G271">
        <v>-4246</v>
      </c>
      <c r="H271" s="1">
        <f t="shared" si="21"/>
        <v>41638</v>
      </c>
      <c r="I271">
        <f>IF(AND(MyRowHidden(ROW())=FALSE,MyRowHidden(ROW()-1)=TRUE),0,(E271-E270)*unitsOfDHp+I270)</f>
        <v>36022.5</v>
      </c>
      <c r="J271">
        <f>IF(AND(MyRowHidden(ROW())=FALSE,MyRowHidden(ROW()-1)=TRUE),0,(G271-G270)*unitsOfExo+J270)</f>
        <v>-88845</v>
      </c>
      <c r="K271" s="9">
        <f t="shared" si="22"/>
        <v>88845</v>
      </c>
      <c r="L271">
        <f t="shared" si="23"/>
        <v>-99709.825630187988</v>
      </c>
      <c r="M271">
        <f>IF(AND(MyRowHidden(ROW())=FALSE,MyRowHidden(ROW()-1)=TRUE),0,(G271-G270)*unitsFuturesCompare+M270)</f>
        <v>-177690</v>
      </c>
      <c r="N271">
        <f>IF(MyRowHidden(ROW())=TRUE,0,L271-M271)</f>
        <v>77980.174369812012</v>
      </c>
      <c r="O271">
        <f>MAX(N$12:N271)</f>
        <v>93774.651260375977</v>
      </c>
      <c r="P271">
        <f>IF(O271&gt;O270,(O271-O270)*percentSavingsParticipation,0)</f>
        <v>0</v>
      </c>
      <c r="Q271">
        <f t="shared" si="24"/>
        <v>46887.325630187988</v>
      </c>
      <c r="R271">
        <f t="shared" si="25"/>
        <v>-52822.5</v>
      </c>
    </row>
    <row r="272" spans="1:18" x14ac:dyDescent="0.25">
      <c r="A272" s="1"/>
      <c r="C272" s="1"/>
      <c r="D272" s="1">
        <v>41639</v>
      </c>
      <c r="E272" s="10">
        <v>32614.75</v>
      </c>
      <c r="F272" s="1">
        <v>41639</v>
      </c>
      <c r="G272">
        <v>-4296</v>
      </c>
      <c r="H272" s="1">
        <f t="shared" si="21"/>
        <v>41639</v>
      </c>
      <c r="I272">
        <f>IF(AND(MyRowHidden(ROW())=FALSE,MyRowHidden(ROW()-1)=TRUE),0,(E272-E271)*unitsOfDHp+I271)</f>
        <v>35897.5</v>
      </c>
      <c r="J272">
        <f>IF(AND(MyRowHidden(ROW())=FALSE,MyRowHidden(ROW()-1)=TRUE),0,(G272-G271)*unitsOfExo+J271)</f>
        <v>-89345</v>
      </c>
      <c r="K272" s="9">
        <f t="shared" si="22"/>
        <v>89345</v>
      </c>
      <c r="L272">
        <f t="shared" si="23"/>
        <v>-100334.82563018799</v>
      </c>
      <c r="M272">
        <f>IF(AND(MyRowHidden(ROW())=FALSE,MyRowHidden(ROW()-1)=TRUE),0,(G272-G271)*unitsFuturesCompare+M271)</f>
        <v>-178690</v>
      </c>
      <c r="N272">
        <f>IF(MyRowHidden(ROW())=TRUE,0,L272-M272)</f>
        <v>78355.174369812012</v>
      </c>
      <c r="O272">
        <f>MAX(N$12:N272)</f>
        <v>93774.651260375977</v>
      </c>
      <c r="P272">
        <f>IF(O272&gt;O271,(O272-O271)*percentSavingsParticipation,0)</f>
        <v>0</v>
      </c>
      <c r="Q272">
        <f t="shared" si="24"/>
        <v>46887.325630187988</v>
      </c>
      <c r="R272">
        <f t="shared" si="25"/>
        <v>-53447.5</v>
      </c>
    </row>
    <row r="273" spans="1:18" x14ac:dyDescent="0.25">
      <c r="A273" s="1"/>
      <c r="C273" s="1"/>
      <c r="D273" s="1">
        <v>41640</v>
      </c>
      <c r="E273" s="10">
        <v>32578.25</v>
      </c>
      <c r="F273" s="1">
        <v>41640</v>
      </c>
      <c r="G273">
        <v>-4320.5</v>
      </c>
      <c r="H273" s="1">
        <f t="shared" si="21"/>
        <v>41640</v>
      </c>
      <c r="I273">
        <f>IF(AND(MyRowHidden(ROW())=FALSE,MyRowHidden(ROW()-1)=TRUE),0,(E273-E272)*unitsOfDHp+I272)</f>
        <v>35532.5</v>
      </c>
      <c r="J273">
        <f>IF(AND(MyRowHidden(ROW())=FALSE,MyRowHidden(ROW()-1)=TRUE),0,(G273-G272)*unitsOfExo+J272)</f>
        <v>-89590</v>
      </c>
      <c r="K273" s="9">
        <f t="shared" si="22"/>
        <v>89590</v>
      </c>
      <c r="L273">
        <f t="shared" si="23"/>
        <v>-100944.82563018799</v>
      </c>
      <c r="M273">
        <f>IF(AND(MyRowHidden(ROW())=FALSE,MyRowHidden(ROW()-1)=TRUE),0,(G273-G272)*unitsFuturesCompare+M272)</f>
        <v>-179180</v>
      </c>
      <c r="N273">
        <f>IF(MyRowHidden(ROW())=TRUE,0,L273-M273)</f>
        <v>78235.174369812012</v>
      </c>
      <c r="O273">
        <f>MAX(N$12:N273)</f>
        <v>93774.651260375977</v>
      </c>
      <c r="P273">
        <f>IF(O273&gt;O272,(O273-O272)*percentSavingsParticipation,0)</f>
        <v>0</v>
      </c>
      <c r="Q273">
        <f t="shared" si="24"/>
        <v>46887.325630187988</v>
      </c>
      <c r="R273">
        <f t="shared" si="25"/>
        <v>-54057.5</v>
      </c>
    </row>
    <row r="274" spans="1:18" x14ac:dyDescent="0.25">
      <c r="A274" s="1"/>
      <c r="C274" s="1"/>
      <c r="D274" s="1">
        <v>41641</v>
      </c>
      <c r="E274" s="10">
        <v>32638.25</v>
      </c>
      <c r="F274" s="1">
        <v>41641</v>
      </c>
      <c r="G274">
        <v>-4508</v>
      </c>
      <c r="H274" s="1">
        <f t="shared" si="21"/>
        <v>41641</v>
      </c>
      <c r="I274">
        <f>IF(AND(MyRowHidden(ROW())=FALSE,MyRowHidden(ROW()-1)=TRUE),0,(E274-E273)*unitsOfDHp+I273)</f>
        <v>36132.5</v>
      </c>
      <c r="J274">
        <f>IF(AND(MyRowHidden(ROW())=FALSE,MyRowHidden(ROW()-1)=TRUE),0,(G274-G273)*unitsOfExo+J273)</f>
        <v>-91465</v>
      </c>
      <c r="K274" s="9">
        <f t="shared" si="22"/>
        <v>91465</v>
      </c>
      <c r="L274">
        <f t="shared" si="23"/>
        <v>-102219.82563018799</v>
      </c>
      <c r="M274">
        <f>IF(AND(MyRowHidden(ROW())=FALSE,MyRowHidden(ROW()-1)=TRUE),0,(G274-G273)*unitsFuturesCompare+M273)</f>
        <v>-182930</v>
      </c>
      <c r="N274">
        <f>IF(MyRowHidden(ROW())=TRUE,0,L274-M274)</f>
        <v>80710.174369812012</v>
      </c>
      <c r="O274">
        <f>MAX(N$12:N274)</f>
        <v>93774.651260375977</v>
      </c>
      <c r="P274">
        <f>IF(O274&gt;O273,(O274-O273)*percentSavingsParticipation,0)</f>
        <v>0</v>
      </c>
      <c r="Q274">
        <f t="shared" si="24"/>
        <v>46887.325630187988</v>
      </c>
      <c r="R274">
        <f t="shared" si="25"/>
        <v>-55332.5</v>
      </c>
    </row>
    <row r="275" spans="1:18" x14ac:dyDescent="0.25">
      <c r="A275" s="1"/>
      <c r="C275" s="1"/>
      <c r="D275" s="1">
        <v>41642</v>
      </c>
      <c r="E275" s="10">
        <v>31778.75</v>
      </c>
      <c r="F275" s="1">
        <v>41642</v>
      </c>
      <c r="G275">
        <v>-4258</v>
      </c>
      <c r="H275" s="1">
        <f t="shared" si="21"/>
        <v>41642</v>
      </c>
      <c r="I275">
        <f>IF(AND(MyRowHidden(ROW())=FALSE,MyRowHidden(ROW()-1)=TRUE),0,(E275-E274)*unitsOfDHp+I274)</f>
        <v>27537.5</v>
      </c>
      <c r="J275">
        <f>IF(AND(MyRowHidden(ROW())=FALSE,MyRowHidden(ROW()-1)=TRUE),0,(G275-G274)*unitsOfExo+J274)</f>
        <v>-88965</v>
      </c>
      <c r="K275" s="9">
        <f t="shared" si="22"/>
        <v>88965</v>
      </c>
      <c r="L275">
        <f t="shared" si="23"/>
        <v>-108314.82563018799</v>
      </c>
      <c r="M275">
        <f>IF(AND(MyRowHidden(ROW())=FALSE,MyRowHidden(ROW()-1)=TRUE),0,(G275-G274)*unitsFuturesCompare+M274)</f>
        <v>-177930</v>
      </c>
      <c r="N275">
        <f>IF(MyRowHidden(ROW())=TRUE,0,L275-M275)</f>
        <v>69615.174369812012</v>
      </c>
      <c r="O275">
        <f>MAX(N$12:N275)</f>
        <v>93774.651260375977</v>
      </c>
      <c r="P275">
        <f>IF(O275&gt;O274,(O275-O274)*percentSavingsParticipation,0)</f>
        <v>0</v>
      </c>
      <c r="Q275">
        <f t="shared" si="24"/>
        <v>46887.325630187988</v>
      </c>
      <c r="R275">
        <f t="shared" si="25"/>
        <v>-61427.5</v>
      </c>
    </row>
    <row r="276" spans="1:18" x14ac:dyDescent="0.25">
      <c r="A276" s="1"/>
      <c r="C276" s="1"/>
      <c r="D276" s="1">
        <v>41645</v>
      </c>
      <c r="E276" s="10">
        <v>32160.75</v>
      </c>
      <c r="F276" s="1">
        <v>41645</v>
      </c>
      <c r="G276">
        <v>-4108</v>
      </c>
      <c r="H276" s="1">
        <f t="shared" si="21"/>
        <v>41645</v>
      </c>
      <c r="I276">
        <f>IF(AND(MyRowHidden(ROW())=FALSE,MyRowHidden(ROW()-1)=TRUE),0,(E276-E275)*unitsOfDHp+I275)</f>
        <v>31357.5</v>
      </c>
      <c r="J276">
        <f>IF(AND(MyRowHidden(ROW())=FALSE,MyRowHidden(ROW()-1)=TRUE),0,(G276-G275)*unitsOfExo+J275)</f>
        <v>-87465</v>
      </c>
      <c r="K276" s="9">
        <f t="shared" si="22"/>
        <v>87465</v>
      </c>
      <c r="L276">
        <f t="shared" si="23"/>
        <v>-102994.82563018799</v>
      </c>
      <c r="M276">
        <f>IF(AND(MyRowHidden(ROW())=FALSE,MyRowHidden(ROW()-1)=TRUE),0,(G276-G275)*unitsFuturesCompare+M275)</f>
        <v>-174930</v>
      </c>
      <c r="N276">
        <f>IF(MyRowHidden(ROW())=TRUE,0,L276-M276)</f>
        <v>71935.174369812012</v>
      </c>
      <c r="O276">
        <f>MAX(N$12:N276)</f>
        <v>93774.651260375977</v>
      </c>
      <c r="P276">
        <f>IF(O276&gt;O275,(O276-O275)*percentSavingsParticipation,0)</f>
        <v>0</v>
      </c>
      <c r="Q276">
        <f t="shared" si="24"/>
        <v>46887.325630187988</v>
      </c>
      <c r="R276">
        <f t="shared" si="25"/>
        <v>-56107.5</v>
      </c>
    </row>
    <row r="277" spans="1:18" x14ac:dyDescent="0.25">
      <c r="A277" s="1"/>
      <c r="C277" s="1"/>
      <c r="D277" s="1">
        <v>41646</v>
      </c>
      <c r="E277" s="10">
        <v>32424.75</v>
      </c>
      <c r="F277" s="1">
        <v>41646</v>
      </c>
      <c r="G277">
        <v>-4095.5</v>
      </c>
      <c r="H277" s="1">
        <f t="shared" si="21"/>
        <v>41646</v>
      </c>
      <c r="I277">
        <f>IF(AND(MyRowHidden(ROW())=FALSE,MyRowHidden(ROW()-1)=TRUE),0,(E277-E276)*unitsOfDHp+I276)</f>
        <v>33997.5</v>
      </c>
      <c r="J277">
        <f>IF(AND(MyRowHidden(ROW())=FALSE,MyRowHidden(ROW()-1)=TRUE),0,(G277-G276)*unitsOfExo+J276)</f>
        <v>-87340</v>
      </c>
      <c r="K277" s="9">
        <f t="shared" si="22"/>
        <v>87340</v>
      </c>
      <c r="L277">
        <f t="shared" si="23"/>
        <v>-100229.82563018799</v>
      </c>
      <c r="M277">
        <f>IF(AND(MyRowHidden(ROW())=FALSE,MyRowHidden(ROW()-1)=TRUE),0,(G277-G276)*unitsFuturesCompare+M276)</f>
        <v>-174680</v>
      </c>
      <c r="N277">
        <f>IF(MyRowHidden(ROW())=TRUE,0,L277-M277)</f>
        <v>74450.174369812012</v>
      </c>
      <c r="O277">
        <f>MAX(N$12:N277)</f>
        <v>93774.651260375977</v>
      </c>
      <c r="P277">
        <f>IF(O277&gt;O276,(O277-O276)*percentSavingsParticipation,0)</f>
        <v>0</v>
      </c>
      <c r="Q277">
        <f t="shared" si="24"/>
        <v>46887.325630187988</v>
      </c>
      <c r="R277">
        <f t="shared" si="25"/>
        <v>-53342.5</v>
      </c>
    </row>
    <row r="278" spans="1:18" x14ac:dyDescent="0.25">
      <c r="A278" s="1"/>
      <c r="C278" s="1"/>
      <c r="D278" s="1">
        <v>41647</v>
      </c>
      <c r="E278" s="10">
        <v>29085.75</v>
      </c>
      <c r="F278" s="1">
        <v>41647</v>
      </c>
      <c r="G278">
        <v>-4495.5</v>
      </c>
      <c r="H278" s="1">
        <f t="shared" si="21"/>
        <v>41647</v>
      </c>
      <c r="I278">
        <f>IF(AND(MyRowHidden(ROW())=FALSE,MyRowHidden(ROW()-1)=TRUE),0,(E278-E277)*unitsOfDHp+I277)</f>
        <v>607.5</v>
      </c>
      <c r="J278">
        <f>IF(AND(MyRowHidden(ROW())=FALSE,MyRowHidden(ROW()-1)=TRUE),0,(G278-G277)*unitsOfExo+J277)</f>
        <v>-91340</v>
      </c>
      <c r="K278" s="9">
        <f t="shared" si="22"/>
        <v>91340</v>
      </c>
      <c r="L278">
        <f t="shared" si="23"/>
        <v>-137619.82563018799</v>
      </c>
      <c r="M278">
        <f>IF(AND(MyRowHidden(ROW())=FALSE,MyRowHidden(ROW()-1)=TRUE),0,(G278-G277)*unitsFuturesCompare+M277)</f>
        <v>-182680</v>
      </c>
      <c r="N278">
        <f>IF(MyRowHidden(ROW())=TRUE,0,L278-M278)</f>
        <v>45060.174369812012</v>
      </c>
      <c r="O278">
        <f>MAX(N$12:N278)</f>
        <v>93774.651260375977</v>
      </c>
      <c r="P278">
        <f>IF(O278&gt;O277,(O278-O277)*percentSavingsParticipation,0)</f>
        <v>0</v>
      </c>
      <c r="Q278">
        <f t="shared" si="24"/>
        <v>46887.325630187988</v>
      </c>
      <c r="R278">
        <f t="shared" si="25"/>
        <v>-90732.5</v>
      </c>
    </row>
    <row r="279" spans="1:18" x14ac:dyDescent="0.25">
      <c r="A279" s="1"/>
      <c r="C279" s="1"/>
      <c r="D279" s="1">
        <v>41648</v>
      </c>
      <c r="E279" s="10">
        <v>27750.25</v>
      </c>
      <c r="F279" s="1">
        <v>41648</v>
      </c>
      <c r="G279">
        <v>-4870.5</v>
      </c>
      <c r="H279" s="1">
        <f t="shared" si="21"/>
        <v>41648</v>
      </c>
      <c r="I279">
        <f>IF(AND(MyRowHidden(ROW())=FALSE,MyRowHidden(ROW()-1)=TRUE),0,(E279-E278)*unitsOfDHp+I278)</f>
        <v>-12747.5</v>
      </c>
      <c r="J279">
        <f>IF(AND(MyRowHidden(ROW())=FALSE,MyRowHidden(ROW()-1)=TRUE),0,(G279-G278)*unitsOfExo+J278)</f>
        <v>-95090</v>
      </c>
      <c r="K279" s="9">
        <f t="shared" si="22"/>
        <v>95090</v>
      </c>
      <c r="L279">
        <f t="shared" si="23"/>
        <v>-154724.82563018799</v>
      </c>
      <c r="M279">
        <f>IF(AND(MyRowHidden(ROW())=FALSE,MyRowHidden(ROW()-1)=TRUE),0,(G279-G278)*unitsFuturesCompare+M278)</f>
        <v>-190180</v>
      </c>
      <c r="N279">
        <f>IF(MyRowHidden(ROW())=TRUE,0,L279-M279)</f>
        <v>35455.174369812012</v>
      </c>
      <c r="O279">
        <f>MAX(N$12:N279)</f>
        <v>93774.651260375977</v>
      </c>
      <c r="P279">
        <f>IF(O279&gt;O278,(O279-O278)*percentSavingsParticipation,0)</f>
        <v>0</v>
      </c>
      <c r="Q279">
        <f t="shared" si="24"/>
        <v>46887.325630187988</v>
      </c>
      <c r="R279">
        <f t="shared" si="25"/>
        <v>-107837.5</v>
      </c>
    </row>
    <row r="280" spans="1:18" x14ac:dyDescent="0.25">
      <c r="A280" s="1"/>
      <c r="C280" s="1"/>
      <c r="D280" s="1">
        <v>41649</v>
      </c>
      <c r="E280" s="10">
        <v>28146.25</v>
      </c>
      <c r="F280" s="1">
        <v>41649</v>
      </c>
      <c r="G280">
        <v>-4008</v>
      </c>
      <c r="H280" s="1">
        <f t="shared" si="21"/>
        <v>41649</v>
      </c>
      <c r="I280">
        <f>IF(AND(MyRowHidden(ROW())=FALSE,MyRowHidden(ROW()-1)=TRUE),0,(E280-E279)*unitsOfDHp+I279)</f>
        <v>-8787.5</v>
      </c>
      <c r="J280">
        <f>IF(AND(MyRowHidden(ROW())=FALSE,MyRowHidden(ROW()-1)=TRUE),0,(G280-G279)*unitsOfExo+J279)</f>
        <v>-86465</v>
      </c>
      <c r="K280" s="9">
        <f t="shared" si="22"/>
        <v>86465</v>
      </c>
      <c r="L280">
        <f t="shared" si="23"/>
        <v>-142139.82563018799</v>
      </c>
      <c r="M280">
        <f>IF(AND(MyRowHidden(ROW())=FALSE,MyRowHidden(ROW()-1)=TRUE),0,(G280-G279)*unitsFuturesCompare+M279)</f>
        <v>-172930</v>
      </c>
      <c r="N280">
        <f>IF(MyRowHidden(ROW())=TRUE,0,L280-M280)</f>
        <v>30790.174369812012</v>
      </c>
      <c r="O280">
        <f>MAX(N$12:N280)</f>
        <v>93774.651260375977</v>
      </c>
      <c r="P280">
        <f>IF(O280&gt;O279,(O280-O279)*percentSavingsParticipation,0)</f>
        <v>0</v>
      </c>
      <c r="Q280">
        <f t="shared" si="24"/>
        <v>46887.325630187988</v>
      </c>
      <c r="R280">
        <f t="shared" si="25"/>
        <v>-95252.5</v>
      </c>
    </row>
    <row r="281" spans="1:18" x14ac:dyDescent="0.25">
      <c r="A281" s="1"/>
      <c r="C281" s="1"/>
      <c r="D281" s="1">
        <v>41652</v>
      </c>
      <c r="E281" s="10">
        <v>27816.25</v>
      </c>
      <c r="F281" s="1">
        <v>41652</v>
      </c>
      <c r="G281">
        <v>-3720.5</v>
      </c>
      <c r="H281" s="1">
        <f t="shared" si="21"/>
        <v>41652</v>
      </c>
      <c r="I281">
        <f>IF(AND(MyRowHidden(ROW())=FALSE,MyRowHidden(ROW()-1)=TRUE),0,(E281-E280)*unitsOfDHp+I280)</f>
        <v>-12087.5</v>
      </c>
      <c r="J281">
        <f>IF(AND(MyRowHidden(ROW())=FALSE,MyRowHidden(ROW()-1)=TRUE),0,(G281-G280)*unitsOfExo+J280)</f>
        <v>-83590</v>
      </c>
      <c r="K281" s="9">
        <f t="shared" si="22"/>
        <v>83590</v>
      </c>
      <c r="L281">
        <f t="shared" si="23"/>
        <v>-142564.82563018799</v>
      </c>
      <c r="M281">
        <f>IF(AND(MyRowHidden(ROW())=FALSE,MyRowHidden(ROW()-1)=TRUE),0,(G281-G280)*unitsFuturesCompare+M280)</f>
        <v>-167180</v>
      </c>
      <c r="N281">
        <f>IF(MyRowHidden(ROW())=TRUE,0,L281-M281)</f>
        <v>24615.174369812012</v>
      </c>
      <c r="O281">
        <f>MAX(N$12:N281)</f>
        <v>93774.651260375977</v>
      </c>
      <c r="P281">
        <f>IF(O281&gt;O280,(O281-O280)*percentSavingsParticipation,0)</f>
        <v>0</v>
      </c>
      <c r="Q281">
        <f t="shared" si="24"/>
        <v>46887.325630187988</v>
      </c>
      <c r="R281">
        <f t="shared" si="25"/>
        <v>-95677.5</v>
      </c>
    </row>
    <row r="282" spans="1:18" x14ac:dyDescent="0.25">
      <c r="A282" s="1"/>
      <c r="C282" s="1"/>
      <c r="D282" s="1">
        <v>41653</v>
      </c>
      <c r="E282" s="10">
        <v>28442.75</v>
      </c>
      <c r="F282" s="1">
        <v>41653</v>
      </c>
      <c r="G282">
        <v>-3895.5</v>
      </c>
      <c r="H282" s="1">
        <f t="shared" si="21"/>
        <v>41653</v>
      </c>
      <c r="I282">
        <f>IF(AND(MyRowHidden(ROW())=FALSE,MyRowHidden(ROW()-1)=TRUE),0,(E282-E281)*unitsOfDHp+I281)</f>
        <v>-5822.5</v>
      </c>
      <c r="J282">
        <f>IF(AND(MyRowHidden(ROW())=FALSE,MyRowHidden(ROW()-1)=TRUE),0,(G282-G281)*unitsOfExo+J281)</f>
        <v>-85340</v>
      </c>
      <c r="K282" s="9">
        <f t="shared" si="22"/>
        <v>85340</v>
      </c>
      <c r="L282">
        <f t="shared" si="23"/>
        <v>-138049.82563018799</v>
      </c>
      <c r="M282">
        <f>IF(AND(MyRowHidden(ROW())=FALSE,MyRowHidden(ROW()-1)=TRUE),0,(G282-G281)*unitsFuturesCompare+M281)</f>
        <v>-170680</v>
      </c>
      <c r="N282">
        <f>IF(MyRowHidden(ROW())=TRUE,0,L282-M282)</f>
        <v>32630.174369812012</v>
      </c>
      <c r="O282">
        <f>MAX(N$12:N282)</f>
        <v>93774.651260375977</v>
      </c>
      <c r="P282">
        <f>IF(O282&gt;O281,(O282-O281)*percentSavingsParticipation,0)</f>
        <v>0</v>
      </c>
      <c r="Q282">
        <f t="shared" si="24"/>
        <v>46887.325630187988</v>
      </c>
      <c r="R282">
        <f t="shared" si="25"/>
        <v>-91162.5</v>
      </c>
    </row>
    <row r="283" spans="1:18" x14ac:dyDescent="0.25">
      <c r="A283" s="1"/>
      <c r="C283" s="1"/>
      <c r="D283" s="1">
        <v>41654</v>
      </c>
      <c r="E283" s="10">
        <v>29345.75</v>
      </c>
      <c r="F283" s="1">
        <v>41654</v>
      </c>
      <c r="G283">
        <v>-4108</v>
      </c>
      <c r="H283" s="1">
        <f t="shared" si="21"/>
        <v>41654</v>
      </c>
      <c r="I283">
        <f>IF(AND(MyRowHidden(ROW())=FALSE,MyRowHidden(ROW()-1)=TRUE),0,(E283-E282)*unitsOfDHp+I282)</f>
        <v>3207.5</v>
      </c>
      <c r="J283">
        <f>IF(AND(MyRowHidden(ROW())=FALSE,MyRowHidden(ROW()-1)=TRUE),0,(G283-G282)*unitsOfExo+J282)</f>
        <v>-87465</v>
      </c>
      <c r="K283" s="9">
        <f t="shared" si="22"/>
        <v>87465</v>
      </c>
      <c r="L283">
        <f t="shared" si="23"/>
        <v>-131144.82563018799</v>
      </c>
      <c r="M283">
        <f>IF(AND(MyRowHidden(ROW())=FALSE,MyRowHidden(ROW()-1)=TRUE),0,(G283-G282)*unitsFuturesCompare+M282)</f>
        <v>-174930</v>
      </c>
      <c r="N283">
        <f>IF(MyRowHidden(ROW())=TRUE,0,L283-M283)</f>
        <v>43785.174369812012</v>
      </c>
      <c r="O283">
        <f>MAX(N$12:N283)</f>
        <v>93774.651260375977</v>
      </c>
      <c r="P283">
        <f>IF(O283&gt;O282,(O283-O282)*percentSavingsParticipation,0)</f>
        <v>0</v>
      </c>
      <c r="Q283">
        <f t="shared" si="24"/>
        <v>46887.325630187988</v>
      </c>
      <c r="R283">
        <f t="shared" si="25"/>
        <v>-84257.5</v>
      </c>
    </row>
    <row r="284" spans="1:18" x14ac:dyDescent="0.25">
      <c r="A284" s="1"/>
      <c r="C284" s="1"/>
      <c r="D284" s="1">
        <v>41655</v>
      </c>
      <c r="E284" s="10">
        <v>29245.75</v>
      </c>
      <c r="F284" s="1">
        <v>41655</v>
      </c>
      <c r="G284">
        <v>-4108</v>
      </c>
      <c r="H284" s="1">
        <f t="shared" si="21"/>
        <v>41655</v>
      </c>
      <c r="I284">
        <f>IF(AND(MyRowHidden(ROW())=FALSE,MyRowHidden(ROW()-1)=TRUE),0,(E284-E283)*unitsOfDHp+I283)</f>
        <v>2207.5</v>
      </c>
      <c r="J284">
        <f>IF(AND(MyRowHidden(ROW())=FALSE,MyRowHidden(ROW()-1)=TRUE),0,(G284-G283)*unitsOfExo+J283)</f>
        <v>-87465</v>
      </c>
      <c r="K284" s="9">
        <f t="shared" si="22"/>
        <v>87465</v>
      </c>
      <c r="L284">
        <f t="shared" si="23"/>
        <v>-132144.82563018799</v>
      </c>
      <c r="M284">
        <f>IF(AND(MyRowHidden(ROW())=FALSE,MyRowHidden(ROW()-1)=TRUE),0,(G284-G283)*unitsFuturesCompare+M283)</f>
        <v>-174930</v>
      </c>
      <c r="N284">
        <f>IF(MyRowHidden(ROW())=TRUE,0,L284-M284)</f>
        <v>42785.174369812012</v>
      </c>
      <c r="O284">
        <f>MAX(N$12:N284)</f>
        <v>93774.651260375977</v>
      </c>
      <c r="P284">
        <f>IF(O284&gt;O283,(O284-O283)*percentSavingsParticipation,0)</f>
        <v>0</v>
      </c>
      <c r="Q284">
        <f t="shared" si="24"/>
        <v>46887.325630187988</v>
      </c>
      <c r="R284">
        <f t="shared" si="25"/>
        <v>-85257.5</v>
      </c>
    </row>
    <row r="285" spans="1:18" x14ac:dyDescent="0.25">
      <c r="A285" s="1"/>
      <c r="C285" s="1"/>
      <c r="D285" s="1">
        <v>41656</v>
      </c>
      <c r="E285" s="10">
        <v>30097.25</v>
      </c>
      <c r="F285" s="1">
        <v>41656</v>
      </c>
      <c r="G285">
        <v>-4245.5</v>
      </c>
      <c r="H285" s="1">
        <f t="shared" si="21"/>
        <v>41656</v>
      </c>
      <c r="I285">
        <f>IF(AND(MyRowHidden(ROW())=FALSE,MyRowHidden(ROW()-1)=TRUE),0,(E285-E284)*unitsOfDHp+I284)</f>
        <v>10722.5</v>
      </c>
      <c r="J285">
        <f>IF(AND(MyRowHidden(ROW())=FALSE,MyRowHidden(ROW()-1)=TRUE),0,(G285-G284)*unitsOfExo+J284)</f>
        <v>-88840</v>
      </c>
      <c r="K285" s="9">
        <f t="shared" si="22"/>
        <v>88840</v>
      </c>
      <c r="L285">
        <f t="shared" si="23"/>
        <v>-125004.82563018799</v>
      </c>
      <c r="M285">
        <f>IF(AND(MyRowHidden(ROW())=FALSE,MyRowHidden(ROW()-1)=TRUE),0,(G285-G284)*unitsFuturesCompare+M284)</f>
        <v>-177680</v>
      </c>
      <c r="N285">
        <f>IF(MyRowHidden(ROW())=TRUE,0,L285-M285)</f>
        <v>52675.174369812012</v>
      </c>
      <c r="O285">
        <f>MAX(N$12:N285)</f>
        <v>93774.651260375977</v>
      </c>
      <c r="P285">
        <f>IF(O285&gt;O284,(O285-O284)*percentSavingsParticipation,0)</f>
        <v>0</v>
      </c>
      <c r="Q285">
        <f t="shared" si="24"/>
        <v>46887.325630187988</v>
      </c>
      <c r="R285">
        <f t="shared" si="25"/>
        <v>-78117.5</v>
      </c>
    </row>
    <row r="286" spans="1:18" x14ac:dyDescent="0.25">
      <c r="A286" s="1"/>
      <c r="C286" s="1"/>
      <c r="D286" s="1">
        <v>41659</v>
      </c>
      <c r="E286" s="10">
        <v>30184.75</v>
      </c>
      <c r="F286" s="1">
        <v>41659</v>
      </c>
      <c r="G286">
        <v>-4233</v>
      </c>
      <c r="H286" s="1">
        <f t="shared" si="21"/>
        <v>41659</v>
      </c>
      <c r="I286">
        <f>IF(AND(MyRowHidden(ROW())=FALSE,MyRowHidden(ROW()-1)=TRUE),0,(E286-E285)*unitsOfDHp+I285)</f>
        <v>11597.5</v>
      </c>
      <c r="J286">
        <f>IF(AND(MyRowHidden(ROW())=FALSE,MyRowHidden(ROW()-1)=TRUE),0,(G286-G285)*unitsOfExo+J285)</f>
        <v>-88715</v>
      </c>
      <c r="K286" s="9">
        <f t="shared" si="22"/>
        <v>88715</v>
      </c>
      <c r="L286">
        <f t="shared" si="23"/>
        <v>-124004.82563018799</v>
      </c>
      <c r="M286">
        <f>IF(AND(MyRowHidden(ROW())=FALSE,MyRowHidden(ROW()-1)=TRUE),0,(G286-G285)*unitsFuturesCompare+M285)</f>
        <v>-177430</v>
      </c>
      <c r="N286">
        <f>IF(MyRowHidden(ROW())=TRUE,0,L286-M286)</f>
        <v>53425.174369812012</v>
      </c>
      <c r="O286">
        <f>MAX(N$12:N286)</f>
        <v>93774.651260375977</v>
      </c>
      <c r="P286">
        <f>IF(O286&gt;O285,(O286-O285)*percentSavingsParticipation,0)</f>
        <v>0</v>
      </c>
      <c r="Q286">
        <f t="shared" si="24"/>
        <v>46887.325630187988</v>
      </c>
      <c r="R286">
        <f t="shared" si="25"/>
        <v>-77117.5</v>
      </c>
    </row>
    <row r="287" spans="1:18" x14ac:dyDescent="0.25">
      <c r="A287" s="1"/>
      <c r="C287" s="1"/>
      <c r="D287" s="1">
        <v>41660</v>
      </c>
      <c r="E287" s="10">
        <v>30159.75</v>
      </c>
      <c r="F287" s="1">
        <v>41660</v>
      </c>
      <c r="G287">
        <v>-4258</v>
      </c>
      <c r="H287" s="1">
        <f t="shared" si="21"/>
        <v>41660</v>
      </c>
      <c r="I287">
        <f>IF(AND(MyRowHidden(ROW())=FALSE,MyRowHidden(ROW()-1)=TRUE),0,(E287-E286)*unitsOfDHp+I286)</f>
        <v>11347.5</v>
      </c>
      <c r="J287">
        <f>IF(AND(MyRowHidden(ROW())=FALSE,MyRowHidden(ROW()-1)=TRUE),0,(G287-G286)*unitsOfExo+J286)</f>
        <v>-88965</v>
      </c>
      <c r="K287" s="9">
        <f t="shared" si="22"/>
        <v>88965</v>
      </c>
      <c r="L287">
        <f t="shared" si="23"/>
        <v>-124504.82563018799</v>
      </c>
      <c r="M287">
        <f>IF(AND(MyRowHidden(ROW())=FALSE,MyRowHidden(ROW()-1)=TRUE),0,(G287-G286)*unitsFuturesCompare+M286)</f>
        <v>-177930</v>
      </c>
      <c r="N287">
        <f>IF(MyRowHidden(ROW())=TRUE,0,L287-M287)</f>
        <v>53425.174369812012</v>
      </c>
      <c r="O287">
        <f>MAX(N$12:N287)</f>
        <v>93774.651260375977</v>
      </c>
      <c r="P287">
        <f>IF(O287&gt;O286,(O287-O286)*percentSavingsParticipation,0)</f>
        <v>0</v>
      </c>
      <c r="Q287">
        <f t="shared" si="24"/>
        <v>46887.325630187988</v>
      </c>
      <c r="R287">
        <f t="shared" si="25"/>
        <v>-77617.5</v>
      </c>
    </row>
    <row r="288" spans="1:18" x14ac:dyDescent="0.25">
      <c r="A288" s="1"/>
      <c r="C288" s="1"/>
      <c r="D288" s="1">
        <v>41661</v>
      </c>
      <c r="E288" s="10">
        <v>29661.75</v>
      </c>
      <c r="F288" s="1">
        <v>41661</v>
      </c>
      <c r="G288">
        <v>-4133</v>
      </c>
      <c r="H288" s="1">
        <f t="shared" si="21"/>
        <v>41661</v>
      </c>
      <c r="I288">
        <f>IF(AND(MyRowHidden(ROW())=FALSE,MyRowHidden(ROW()-1)=TRUE),0,(E288-E287)*unitsOfDHp+I287)</f>
        <v>6367.5</v>
      </c>
      <c r="J288">
        <f>IF(AND(MyRowHidden(ROW())=FALSE,MyRowHidden(ROW()-1)=TRUE),0,(G288-G287)*unitsOfExo+J287)</f>
        <v>-87715</v>
      </c>
      <c r="K288" s="9">
        <f t="shared" si="22"/>
        <v>87715</v>
      </c>
      <c r="L288">
        <f t="shared" si="23"/>
        <v>-128234.82563018799</v>
      </c>
      <c r="M288">
        <f>IF(AND(MyRowHidden(ROW())=FALSE,MyRowHidden(ROW()-1)=TRUE),0,(G288-G287)*unitsFuturesCompare+M287)</f>
        <v>-175430</v>
      </c>
      <c r="N288">
        <f>IF(MyRowHidden(ROW())=TRUE,0,L288-M288)</f>
        <v>47195.174369812012</v>
      </c>
      <c r="O288">
        <f>MAX(N$12:N288)</f>
        <v>93774.651260375977</v>
      </c>
      <c r="P288">
        <f>IF(O288&gt;O287,(O288-O287)*percentSavingsParticipation,0)</f>
        <v>0</v>
      </c>
      <c r="Q288">
        <f t="shared" si="24"/>
        <v>46887.325630187988</v>
      </c>
      <c r="R288">
        <f t="shared" si="25"/>
        <v>-81347.5</v>
      </c>
    </row>
    <row r="289" spans="1:18" x14ac:dyDescent="0.25">
      <c r="A289" s="1"/>
      <c r="C289" s="1"/>
      <c r="D289" s="1">
        <v>41662</v>
      </c>
      <c r="E289" s="10">
        <v>28515.75</v>
      </c>
      <c r="F289" s="1">
        <v>41662</v>
      </c>
      <c r="G289">
        <v>-3970.5</v>
      </c>
      <c r="H289" s="1">
        <f t="shared" si="21"/>
        <v>41662</v>
      </c>
      <c r="I289">
        <f>IF(AND(MyRowHidden(ROW())=FALSE,MyRowHidden(ROW()-1)=TRUE),0,(E289-E288)*unitsOfDHp+I288)</f>
        <v>-5092.5</v>
      </c>
      <c r="J289">
        <f>IF(AND(MyRowHidden(ROW())=FALSE,MyRowHidden(ROW()-1)=TRUE),0,(G289-G288)*unitsOfExo+J288)</f>
        <v>-86090</v>
      </c>
      <c r="K289" s="9">
        <f t="shared" si="22"/>
        <v>86090</v>
      </c>
      <c r="L289">
        <f t="shared" si="23"/>
        <v>-138069.82563018799</v>
      </c>
      <c r="M289">
        <f>IF(AND(MyRowHidden(ROW())=FALSE,MyRowHidden(ROW()-1)=TRUE),0,(G289-G288)*unitsFuturesCompare+M288)</f>
        <v>-172180</v>
      </c>
      <c r="N289">
        <f>IF(MyRowHidden(ROW())=TRUE,0,L289-M289)</f>
        <v>34110.174369812012</v>
      </c>
      <c r="O289">
        <f>MAX(N$12:N289)</f>
        <v>93774.651260375977</v>
      </c>
      <c r="P289">
        <f>IF(O289&gt;O288,(O289-O288)*percentSavingsParticipation,0)</f>
        <v>0</v>
      </c>
      <c r="Q289">
        <f t="shared" si="24"/>
        <v>46887.325630187988</v>
      </c>
      <c r="R289">
        <f t="shared" si="25"/>
        <v>-91182.5</v>
      </c>
    </row>
    <row r="290" spans="1:18" x14ac:dyDescent="0.25">
      <c r="A290" s="1"/>
      <c r="C290" s="1"/>
      <c r="D290" s="1">
        <v>41663</v>
      </c>
      <c r="E290" s="10">
        <v>28443.75</v>
      </c>
      <c r="F290" s="1">
        <v>41663</v>
      </c>
      <c r="G290">
        <v>-3958</v>
      </c>
      <c r="H290" s="1">
        <f t="shared" si="21"/>
        <v>41663</v>
      </c>
      <c r="I290">
        <f>IF(AND(MyRowHidden(ROW())=FALSE,MyRowHidden(ROW()-1)=TRUE),0,(E290-E289)*unitsOfDHp+I289)</f>
        <v>-5812.5</v>
      </c>
      <c r="J290">
        <f>IF(AND(MyRowHidden(ROW())=FALSE,MyRowHidden(ROW()-1)=TRUE),0,(G290-G289)*unitsOfExo+J289)</f>
        <v>-85965</v>
      </c>
      <c r="K290" s="9">
        <f t="shared" si="22"/>
        <v>85965</v>
      </c>
      <c r="L290">
        <f t="shared" si="23"/>
        <v>-138664.82563018799</v>
      </c>
      <c r="M290">
        <f>IF(AND(MyRowHidden(ROW())=FALSE,MyRowHidden(ROW()-1)=TRUE),0,(G290-G289)*unitsFuturesCompare+M289)</f>
        <v>-171930</v>
      </c>
      <c r="N290">
        <f>IF(MyRowHidden(ROW())=TRUE,0,L290-M290)</f>
        <v>33265.174369812012</v>
      </c>
      <c r="O290">
        <f>MAX(N$12:N290)</f>
        <v>93774.651260375977</v>
      </c>
      <c r="P290">
        <f>IF(O290&gt;O289,(O290-O289)*percentSavingsParticipation,0)</f>
        <v>0</v>
      </c>
      <c r="Q290">
        <f t="shared" si="24"/>
        <v>46887.325630187988</v>
      </c>
      <c r="R290">
        <f t="shared" si="25"/>
        <v>-91777.5</v>
      </c>
    </row>
    <row r="291" spans="1:18" x14ac:dyDescent="0.25">
      <c r="A291" s="1"/>
      <c r="C291" s="1"/>
      <c r="D291" s="1">
        <v>41666</v>
      </c>
      <c r="E291" s="10">
        <v>28831.25</v>
      </c>
      <c r="F291" s="1">
        <v>41666</v>
      </c>
      <c r="G291">
        <v>-3845.5</v>
      </c>
      <c r="H291" s="1">
        <f t="shared" si="21"/>
        <v>41666</v>
      </c>
      <c r="I291">
        <f>IF(AND(MyRowHidden(ROW())=FALSE,MyRowHidden(ROW()-1)=TRUE),0,(E291-E290)*unitsOfDHp+I290)</f>
        <v>-1937.5</v>
      </c>
      <c r="J291">
        <f>IF(AND(MyRowHidden(ROW())=FALSE,MyRowHidden(ROW()-1)=TRUE),0,(G291-G290)*unitsOfExo+J290)</f>
        <v>-84840</v>
      </c>
      <c r="K291" s="9">
        <f t="shared" si="22"/>
        <v>84840</v>
      </c>
      <c r="L291">
        <f t="shared" si="23"/>
        <v>-133664.82563018799</v>
      </c>
      <c r="M291">
        <f>IF(AND(MyRowHidden(ROW())=FALSE,MyRowHidden(ROW()-1)=TRUE),0,(G291-G290)*unitsFuturesCompare+M290)</f>
        <v>-169680</v>
      </c>
      <c r="N291">
        <f>IF(MyRowHidden(ROW())=TRUE,0,L291-M291)</f>
        <v>36015.174369812012</v>
      </c>
      <c r="O291">
        <f>MAX(N$12:N291)</f>
        <v>93774.651260375977</v>
      </c>
      <c r="P291">
        <f>IF(O291&gt;O290,(O291-O290)*percentSavingsParticipation,0)</f>
        <v>0</v>
      </c>
      <c r="Q291">
        <f t="shared" si="24"/>
        <v>46887.325630187988</v>
      </c>
      <c r="R291">
        <f t="shared" si="25"/>
        <v>-86777.5</v>
      </c>
    </row>
    <row r="292" spans="1:18" x14ac:dyDescent="0.25">
      <c r="A292" s="1"/>
      <c r="C292" s="1"/>
      <c r="D292" s="1">
        <v>41667</v>
      </c>
      <c r="E292" s="10">
        <v>28893.75</v>
      </c>
      <c r="F292" s="1">
        <v>41667</v>
      </c>
      <c r="G292">
        <v>-3808</v>
      </c>
      <c r="H292" s="1">
        <f t="shared" si="21"/>
        <v>41667</v>
      </c>
      <c r="I292">
        <f>IF(AND(MyRowHidden(ROW())=FALSE,MyRowHidden(ROW()-1)=TRUE),0,(E292-E291)*unitsOfDHp+I291)</f>
        <v>-1312.5</v>
      </c>
      <c r="J292">
        <f>IF(AND(MyRowHidden(ROW())=FALSE,MyRowHidden(ROW()-1)=TRUE),0,(G292-G291)*unitsOfExo+J291)</f>
        <v>-84465</v>
      </c>
      <c r="K292" s="9">
        <f t="shared" si="22"/>
        <v>84465</v>
      </c>
      <c r="L292">
        <f t="shared" si="23"/>
        <v>-132664.82563018799</v>
      </c>
      <c r="M292">
        <f>IF(AND(MyRowHidden(ROW())=FALSE,MyRowHidden(ROW()-1)=TRUE),0,(G292-G291)*unitsFuturesCompare+M291)</f>
        <v>-168930</v>
      </c>
      <c r="N292">
        <f>IF(MyRowHidden(ROW())=TRUE,0,L292-M292)</f>
        <v>36265.174369812012</v>
      </c>
      <c r="O292">
        <f>MAX(N$12:N292)</f>
        <v>93774.651260375977</v>
      </c>
      <c r="P292">
        <f>IF(O292&gt;O291,(O292-O291)*percentSavingsParticipation,0)</f>
        <v>0</v>
      </c>
      <c r="Q292">
        <f t="shared" si="24"/>
        <v>46887.325630187988</v>
      </c>
      <c r="R292">
        <f t="shared" si="25"/>
        <v>-85777.5</v>
      </c>
    </row>
    <row r="293" spans="1:18" x14ac:dyDescent="0.25">
      <c r="A293" s="1"/>
      <c r="C293" s="1"/>
      <c r="D293" s="1">
        <v>41668</v>
      </c>
      <c r="E293" s="10">
        <v>28656.25</v>
      </c>
      <c r="F293" s="1">
        <v>41668</v>
      </c>
      <c r="G293">
        <v>-4045.5</v>
      </c>
      <c r="H293" s="1">
        <f t="shared" si="21"/>
        <v>41668</v>
      </c>
      <c r="I293">
        <f>IF(AND(MyRowHidden(ROW())=FALSE,MyRowHidden(ROW()-1)=TRUE),0,(E293-E292)*unitsOfDHp+I292)</f>
        <v>-3687.5</v>
      </c>
      <c r="J293">
        <f>IF(AND(MyRowHidden(ROW())=FALSE,MyRowHidden(ROW()-1)=TRUE),0,(G293-G292)*unitsOfExo+J292)</f>
        <v>-86840</v>
      </c>
      <c r="K293" s="9">
        <f t="shared" si="22"/>
        <v>86840</v>
      </c>
      <c r="L293">
        <f t="shared" si="23"/>
        <v>-137414.82563018799</v>
      </c>
      <c r="M293">
        <f>IF(AND(MyRowHidden(ROW())=FALSE,MyRowHidden(ROW()-1)=TRUE),0,(G293-G292)*unitsFuturesCompare+M292)</f>
        <v>-173680</v>
      </c>
      <c r="N293">
        <f>IF(MyRowHidden(ROW())=TRUE,0,L293-M293)</f>
        <v>36265.174369812012</v>
      </c>
      <c r="O293">
        <f>MAX(N$12:N293)</f>
        <v>93774.651260375977</v>
      </c>
      <c r="P293">
        <f>IF(O293&gt;O292,(O293-O292)*percentSavingsParticipation,0)</f>
        <v>0</v>
      </c>
      <c r="Q293">
        <f t="shared" si="24"/>
        <v>46887.325630187988</v>
      </c>
      <c r="R293">
        <f t="shared" si="25"/>
        <v>-90527.5</v>
      </c>
    </row>
    <row r="294" spans="1:18" x14ac:dyDescent="0.25">
      <c r="A294" s="1"/>
      <c r="C294" s="1"/>
      <c r="D294" s="1">
        <v>41669</v>
      </c>
      <c r="E294" s="10">
        <v>29232.25</v>
      </c>
      <c r="F294" s="1">
        <v>41669</v>
      </c>
      <c r="G294">
        <v>-3783</v>
      </c>
      <c r="H294" s="1">
        <f t="shared" si="21"/>
        <v>41669</v>
      </c>
      <c r="I294">
        <f>IF(AND(MyRowHidden(ROW())=FALSE,MyRowHidden(ROW()-1)=TRUE),0,(E294-E293)*unitsOfDHp+I293)</f>
        <v>2072.5</v>
      </c>
      <c r="J294">
        <f>IF(AND(MyRowHidden(ROW())=FALSE,MyRowHidden(ROW()-1)=TRUE),0,(G294-G293)*unitsOfExo+J293)</f>
        <v>-84215</v>
      </c>
      <c r="K294" s="9">
        <f t="shared" si="22"/>
        <v>84215</v>
      </c>
      <c r="L294">
        <f t="shared" si="23"/>
        <v>-129029.82563018799</v>
      </c>
      <c r="M294">
        <f>IF(AND(MyRowHidden(ROW())=FALSE,MyRowHidden(ROW()-1)=TRUE),0,(G294-G293)*unitsFuturesCompare+M293)</f>
        <v>-168430</v>
      </c>
      <c r="N294">
        <f>IF(MyRowHidden(ROW())=TRUE,0,L294-M294)</f>
        <v>39400.174369812012</v>
      </c>
      <c r="O294">
        <f>MAX(N$12:N294)</f>
        <v>93774.651260375977</v>
      </c>
      <c r="P294">
        <f>IF(O294&gt;O293,(O294-O293)*percentSavingsParticipation,0)</f>
        <v>0</v>
      </c>
      <c r="Q294">
        <f t="shared" si="24"/>
        <v>46887.325630187988</v>
      </c>
      <c r="R294">
        <f t="shared" si="25"/>
        <v>-82142.5</v>
      </c>
    </row>
    <row r="295" spans="1:18" x14ac:dyDescent="0.25">
      <c r="A295" s="1"/>
      <c r="C295" s="1"/>
      <c r="D295" s="1">
        <v>41670</v>
      </c>
      <c r="E295" s="10">
        <v>29057.25</v>
      </c>
      <c r="F295" s="1">
        <v>41670</v>
      </c>
      <c r="G295">
        <v>-3845.5</v>
      </c>
      <c r="H295" s="1">
        <f t="shared" si="21"/>
        <v>41670</v>
      </c>
      <c r="I295">
        <f>IF(AND(MyRowHidden(ROW())=FALSE,MyRowHidden(ROW()-1)=TRUE),0,(E295-E294)*unitsOfDHp+I294)</f>
        <v>322.5</v>
      </c>
      <c r="J295">
        <f>IF(AND(MyRowHidden(ROW())=FALSE,MyRowHidden(ROW()-1)=TRUE),0,(G295-G294)*unitsOfExo+J294)</f>
        <v>-84840</v>
      </c>
      <c r="K295" s="9">
        <f t="shared" si="22"/>
        <v>84840</v>
      </c>
      <c r="L295">
        <f t="shared" si="23"/>
        <v>-131404.82563018799</v>
      </c>
      <c r="M295">
        <f>IF(AND(MyRowHidden(ROW())=FALSE,MyRowHidden(ROW()-1)=TRUE),0,(G295-G294)*unitsFuturesCompare+M294)</f>
        <v>-169680</v>
      </c>
      <c r="N295">
        <f>IF(MyRowHidden(ROW())=TRUE,0,L295-M295)</f>
        <v>38275.174369812012</v>
      </c>
      <c r="O295">
        <f>MAX(N$12:N295)</f>
        <v>93774.651260375977</v>
      </c>
      <c r="P295">
        <f>IF(O295&gt;O294,(O295-O294)*percentSavingsParticipation,0)</f>
        <v>0</v>
      </c>
      <c r="Q295">
        <f t="shared" si="24"/>
        <v>46887.325630187988</v>
      </c>
      <c r="R295">
        <f t="shared" si="25"/>
        <v>-84517.5</v>
      </c>
    </row>
    <row r="296" spans="1:18" x14ac:dyDescent="0.25">
      <c r="A296" s="1"/>
      <c r="C296" s="1"/>
      <c r="D296" s="1">
        <v>41673</v>
      </c>
      <c r="E296" s="10">
        <v>29297.75</v>
      </c>
      <c r="F296" s="1">
        <v>41673</v>
      </c>
      <c r="G296">
        <v>-3645</v>
      </c>
      <c r="H296" s="1">
        <f t="shared" si="21"/>
        <v>41673</v>
      </c>
      <c r="I296">
        <f>IF(AND(MyRowHidden(ROW())=FALSE,MyRowHidden(ROW()-1)=TRUE),0,(E296-E295)*unitsOfDHp+I295)</f>
        <v>2727.5</v>
      </c>
      <c r="J296">
        <f>IF(AND(MyRowHidden(ROW())=FALSE,MyRowHidden(ROW()-1)=TRUE),0,(G296-G295)*unitsOfExo+J295)</f>
        <v>-82835</v>
      </c>
      <c r="K296" s="9">
        <f t="shared" si="22"/>
        <v>82835</v>
      </c>
      <c r="L296">
        <f t="shared" si="23"/>
        <v>-126994.82563018799</v>
      </c>
      <c r="M296">
        <f>IF(AND(MyRowHidden(ROW())=FALSE,MyRowHidden(ROW()-1)=TRUE),0,(G296-G295)*unitsFuturesCompare+M295)</f>
        <v>-165670</v>
      </c>
      <c r="N296">
        <f>IF(MyRowHidden(ROW())=TRUE,0,L296-M296)</f>
        <v>38675.174369812012</v>
      </c>
      <c r="O296">
        <f>MAX(N$12:N296)</f>
        <v>93774.651260375977</v>
      </c>
      <c r="P296">
        <f>IF(O296&gt;O295,(O296-O295)*percentSavingsParticipation,0)</f>
        <v>0</v>
      </c>
      <c r="Q296">
        <f t="shared" si="24"/>
        <v>46887.325630187988</v>
      </c>
      <c r="R296">
        <f t="shared" si="25"/>
        <v>-80107.5</v>
      </c>
    </row>
    <row r="297" spans="1:18" x14ac:dyDescent="0.25">
      <c r="A297" s="1"/>
      <c r="C297" s="1"/>
      <c r="D297" s="1">
        <v>41674</v>
      </c>
      <c r="E297" s="10">
        <v>29822.75</v>
      </c>
      <c r="F297" s="1">
        <v>41674</v>
      </c>
      <c r="G297">
        <v>-3407.5</v>
      </c>
      <c r="H297" s="1">
        <f t="shared" si="21"/>
        <v>41674</v>
      </c>
      <c r="I297">
        <f>IF(AND(MyRowHidden(ROW())=FALSE,MyRowHidden(ROW()-1)=TRUE),0,(E297-E296)*unitsOfDHp+I296)</f>
        <v>7977.5</v>
      </c>
      <c r="J297">
        <f>IF(AND(MyRowHidden(ROW())=FALSE,MyRowHidden(ROW()-1)=TRUE),0,(G297-G296)*unitsOfExo+J296)</f>
        <v>-80460</v>
      </c>
      <c r="K297" s="9">
        <f t="shared" si="22"/>
        <v>80460</v>
      </c>
      <c r="L297">
        <f t="shared" si="23"/>
        <v>-119369.82563018799</v>
      </c>
      <c r="M297">
        <f>IF(AND(MyRowHidden(ROW())=FALSE,MyRowHidden(ROW()-1)=TRUE),0,(G297-G296)*unitsFuturesCompare+M296)</f>
        <v>-160920</v>
      </c>
      <c r="N297">
        <f>IF(MyRowHidden(ROW())=TRUE,0,L297-M297)</f>
        <v>41550.174369812012</v>
      </c>
      <c r="O297">
        <f>MAX(N$12:N297)</f>
        <v>93774.651260375977</v>
      </c>
      <c r="P297">
        <f>IF(O297&gt;O296,(O297-O296)*percentSavingsParticipation,0)</f>
        <v>0</v>
      </c>
      <c r="Q297">
        <f t="shared" si="24"/>
        <v>46887.325630187988</v>
      </c>
      <c r="R297">
        <f t="shared" si="25"/>
        <v>-72482.5</v>
      </c>
    </row>
    <row r="298" spans="1:18" x14ac:dyDescent="0.25">
      <c r="A298" s="1"/>
      <c r="C298" s="1"/>
      <c r="D298" s="1">
        <v>41675</v>
      </c>
      <c r="E298" s="10">
        <v>29847.75</v>
      </c>
      <c r="F298" s="1">
        <v>41675</v>
      </c>
      <c r="G298">
        <v>-3270</v>
      </c>
      <c r="H298" s="1">
        <f t="shared" si="21"/>
        <v>41675</v>
      </c>
      <c r="I298">
        <f>IF(AND(MyRowHidden(ROW())=FALSE,MyRowHidden(ROW()-1)=TRUE),0,(E298-E297)*unitsOfDHp+I297)</f>
        <v>8227.5</v>
      </c>
      <c r="J298">
        <f>IF(AND(MyRowHidden(ROW())=FALSE,MyRowHidden(ROW()-1)=TRUE),0,(G298-G297)*unitsOfExo+J297)</f>
        <v>-79085</v>
      </c>
      <c r="K298" s="9">
        <f t="shared" si="22"/>
        <v>79085</v>
      </c>
      <c r="L298">
        <f t="shared" si="23"/>
        <v>-117744.82563018799</v>
      </c>
      <c r="M298">
        <f>IF(AND(MyRowHidden(ROW())=FALSE,MyRowHidden(ROW()-1)=TRUE),0,(G298-G297)*unitsFuturesCompare+M297)</f>
        <v>-158170</v>
      </c>
      <c r="N298">
        <f>IF(MyRowHidden(ROW())=TRUE,0,L298-M298)</f>
        <v>40425.174369812012</v>
      </c>
      <c r="O298">
        <f>MAX(N$12:N298)</f>
        <v>93774.651260375977</v>
      </c>
      <c r="P298">
        <f>IF(O298&gt;O297,(O298-O297)*percentSavingsParticipation,0)</f>
        <v>0</v>
      </c>
      <c r="Q298">
        <f t="shared" si="24"/>
        <v>46887.325630187988</v>
      </c>
      <c r="R298">
        <f t="shared" si="25"/>
        <v>-70857.5</v>
      </c>
    </row>
    <row r="299" spans="1:18" x14ac:dyDescent="0.25">
      <c r="A299" s="1"/>
      <c r="C299" s="1"/>
      <c r="D299" s="1">
        <v>41676</v>
      </c>
      <c r="E299" s="10">
        <v>29747.75</v>
      </c>
      <c r="F299" s="1">
        <v>41676</v>
      </c>
      <c r="G299">
        <v>-3307.5</v>
      </c>
      <c r="H299" s="1">
        <f t="shared" si="21"/>
        <v>41676</v>
      </c>
      <c r="I299">
        <f>IF(AND(MyRowHidden(ROW())=FALSE,MyRowHidden(ROW()-1)=TRUE),0,(E299-E298)*unitsOfDHp+I298)</f>
        <v>7227.5</v>
      </c>
      <c r="J299">
        <f>IF(AND(MyRowHidden(ROW())=FALSE,MyRowHidden(ROW()-1)=TRUE),0,(G299-G298)*unitsOfExo+J298)</f>
        <v>-79460</v>
      </c>
      <c r="K299" s="9">
        <f t="shared" si="22"/>
        <v>79460</v>
      </c>
      <c r="L299">
        <f t="shared" si="23"/>
        <v>-119119.82563018799</v>
      </c>
      <c r="M299">
        <f>IF(AND(MyRowHidden(ROW())=FALSE,MyRowHidden(ROW()-1)=TRUE),0,(G299-G298)*unitsFuturesCompare+M298)</f>
        <v>-158920</v>
      </c>
      <c r="N299">
        <f>IF(MyRowHidden(ROW())=TRUE,0,L299-M299)</f>
        <v>39800.174369812012</v>
      </c>
      <c r="O299">
        <f>MAX(N$12:N299)</f>
        <v>93774.651260375977</v>
      </c>
      <c r="P299">
        <f>IF(O299&gt;O298,(O299-O298)*percentSavingsParticipation,0)</f>
        <v>0</v>
      </c>
      <c r="Q299">
        <f t="shared" si="24"/>
        <v>46887.325630187988</v>
      </c>
      <c r="R299">
        <f t="shared" si="25"/>
        <v>-72232.5</v>
      </c>
    </row>
    <row r="300" spans="1:18" x14ac:dyDescent="0.25">
      <c r="A300" s="1"/>
      <c r="C300" s="1"/>
      <c r="D300" s="1">
        <v>41677</v>
      </c>
      <c r="E300" s="10">
        <v>29898.75</v>
      </c>
      <c r="F300" s="1">
        <v>41677</v>
      </c>
      <c r="G300">
        <v>-3270</v>
      </c>
      <c r="H300" s="1">
        <f t="shared" si="21"/>
        <v>41677</v>
      </c>
      <c r="I300">
        <f>IF(AND(MyRowHidden(ROW())=FALSE,MyRowHidden(ROW()-1)=TRUE),0,(E300-E299)*unitsOfDHp+I299)</f>
        <v>8737.5</v>
      </c>
      <c r="J300">
        <f>IF(AND(MyRowHidden(ROW())=FALSE,MyRowHidden(ROW()-1)=TRUE),0,(G300-G299)*unitsOfExo+J299)</f>
        <v>-79085</v>
      </c>
      <c r="K300" s="9">
        <f t="shared" si="22"/>
        <v>79085</v>
      </c>
      <c r="L300">
        <f t="shared" si="23"/>
        <v>-117234.82563018799</v>
      </c>
      <c r="M300">
        <f>IF(AND(MyRowHidden(ROW())=FALSE,MyRowHidden(ROW()-1)=TRUE),0,(G300-G299)*unitsFuturesCompare+M299)</f>
        <v>-158170</v>
      </c>
      <c r="N300">
        <f>IF(MyRowHidden(ROW())=TRUE,0,L300-M300)</f>
        <v>40935.174369812012</v>
      </c>
      <c r="O300">
        <f>MAX(N$12:N300)</f>
        <v>93774.651260375977</v>
      </c>
      <c r="P300">
        <f>IF(O300&gt;O299,(O300-O299)*percentSavingsParticipation,0)</f>
        <v>0</v>
      </c>
      <c r="Q300">
        <f t="shared" si="24"/>
        <v>46887.325630187988</v>
      </c>
      <c r="R300">
        <f t="shared" si="25"/>
        <v>-70347.5</v>
      </c>
    </row>
    <row r="301" spans="1:18" x14ac:dyDescent="0.25">
      <c r="A301" s="1"/>
      <c r="C301" s="1"/>
      <c r="D301" s="1">
        <v>41680</v>
      </c>
      <c r="E301" s="10">
        <v>30011.25</v>
      </c>
      <c r="F301" s="1">
        <v>41680</v>
      </c>
      <c r="G301">
        <v>-3395</v>
      </c>
      <c r="H301" s="1">
        <f t="shared" si="21"/>
        <v>41680</v>
      </c>
      <c r="I301">
        <f>IF(AND(MyRowHidden(ROW())=FALSE,MyRowHidden(ROW()-1)=TRUE),0,(E301-E300)*unitsOfDHp+I300)</f>
        <v>9862.5</v>
      </c>
      <c r="J301">
        <f>IF(AND(MyRowHidden(ROW())=FALSE,MyRowHidden(ROW()-1)=TRUE),0,(G301-G300)*unitsOfExo+J300)</f>
        <v>-80335</v>
      </c>
      <c r="K301" s="9">
        <f t="shared" si="22"/>
        <v>80335</v>
      </c>
      <c r="L301">
        <f t="shared" si="23"/>
        <v>-117359.82563018799</v>
      </c>
      <c r="M301">
        <f>IF(AND(MyRowHidden(ROW())=FALSE,MyRowHidden(ROW()-1)=TRUE),0,(G301-G300)*unitsFuturesCompare+M300)</f>
        <v>-160670</v>
      </c>
      <c r="N301">
        <f>IF(MyRowHidden(ROW())=TRUE,0,L301-M301)</f>
        <v>43310.174369812012</v>
      </c>
      <c r="O301">
        <f>MAX(N$12:N301)</f>
        <v>93774.651260375977</v>
      </c>
      <c r="P301">
        <f>IF(O301&gt;O300,(O301-O300)*percentSavingsParticipation,0)</f>
        <v>0</v>
      </c>
      <c r="Q301">
        <f t="shared" si="24"/>
        <v>46887.325630187988</v>
      </c>
      <c r="R301">
        <f t="shared" si="25"/>
        <v>-70472.5</v>
      </c>
    </row>
    <row r="302" spans="1:18" x14ac:dyDescent="0.25">
      <c r="A302" s="1"/>
      <c r="C302" s="1"/>
      <c r="D302" s="1">
        <v>41681</v>
      </c>
      <c r="E302" s="10">
        <v>29836.25</v>
      </c>
      <c r="F302" s="1">
        <v>41681</v>
      </c>
      <c r="G302">
        <v>-3357.5</v>
      </c>
      <c r="H302" s="1">
        <f t="shared" si="21"/>
        <v>41681</v>
      </c>
      <c r="I302">
        <f>IF(AND(MyRowHidden(ROW())=FALSE,MyRowHidden(ROW()-1)=TRUE),0,(E302-E301)*unitsOfDHp+I301)</f>
        <v>8112.5</v>
      </c>
      <c r="J302">
        <f>IF(AND(MyRowHidden(ROW())=FALSE,MyRowHidden(ROW()-1)=TRUE),0,(G302-G301)*unitsOfExo+J301)</f>
        <v>-79960</v>
      </c>
      <c r="K302" s="9">
        <f t="shared" si="22"/>
        <v>79960</v>
      </c>
      <c r="L302">
        <f t="shared" si="23"/>
        <v>-118734.82563018799</v>
      </c>
      <c r="M302">
        <f>IF(AND(MyRowHidden(ROW())=FALSE,MyRowHidden(ROW()-1)=TRUE),0,(G302-G301)*unitsFuturesCompare+M301)</f>
        <v>-159920</v>
      </c>
      <c r="N302">
        <f>IF(MyRowHidden(ROW())=TRUE,0,L302-M302)</f>
        <v>41185.174369812012</v>
      </c>
      <c r="O302">
        <f>MAX(N$12:N302)</f>
        <v>93774.651260375977</v>
      </c>
      <c r="P302">
        <f>IF(O302&gt;O301,(O302-O301)*percentSavingsParticipation,0)</f>
        <v>0</v>
      </c>
      <c r="Q302">
        <f t="shared" si="24"/>
        <v>46887.325630187988</v>
      </c>
      <c r="R302">
        <f t="shared" si="25"/>
        <v>-71847.5</v>
      </c>
    </row>
    <row r="303" spans="1:18" x14ac:dyDescent="0.25">
      <c r="A303" s="1"/>
      <c r="C303" s="1"/>
      <c r="D303" s="1">
        <v>41682</v>
      </c>
      <c r="E303" s="10">
        <v>30050.25</v>
      </c>
      <c r="F303" s="1">
        <v>41682</v>
      </c>
      <c r="G303">
        <v>-3445</v>
      </c>
      <c r="H303" s="1">
        <f t="shared" si="21"/>
        <v>41682</v>
      </c>
      <c r="I303">
        <f>IF(AND(MyRowHidden(ROW())=FALSE,MyRowHidden(ROW()-1)=TRUE),0,(E303-E302)*unitsOfDHp+I302)</f>
        <v>10252.5</v>
      </c>
      <c r="J303">
        <f>IF(AND(MyRowHidden(ROW())=FALSE,MyRowHidden(ROW()-1)=TRUE),0,(G303-G302)*unitsOfExo+J302)</f>
        <v>-80835</v>
      </c>
      <c r="K303" s="9">
        <f t="shared" si="22"/>
        <v>80835</v>
      </c>
      <c r="L303">
        <f t="shared" si="23"/>
        <v>-117469.82563018799</v>
      </c>
      <c r="M303">
        <f>IF(AND(MyRowHidden(ROW())=FALSE,MyRowHidden(ROW()-1)=TRUE),0,(G303-G302)*unitsFuturesCompare+M302)</f>
        <v>-161670</v>
      </c>
      <c r="N303">
        <f>IF(MyRowHidden(ROW())=TRUE,0,L303-M303)</f>
        <v>44200.174369812012</v>
      </c>
      <c r="O303">
        <f>MAX(N$12:N303)</f>
        <v>93774.651260375977</v>
      </c>
      <c r="P303">
        <f>IF(O303&gt;O302,(O303-O302)*percentSavingsParticipation,0)</f>
        <v>0</v>
      </c>
      <c r="Q303">
        <f t="shared" si="24"/>
        <v>46887.325630187988</v>
      </c>
      <c r="R303">
        <f t="shared" si="25"/>
        <v>-70582.5</v>
      </c>
    </row>
    <row r="304" spans="1:18" x14ac:dyDescent="0.25">
      <c r="A304" s="1"/>
      <c r="C304" s="1"/>
      <c r="D304" s="1">
        <v>41683</v>
      </c>
      <c r="E304" s="10">
        <v>30350.25</v>
      </c>
      <c r="F304" s="1">
        <v>41683</v>
      </c>
      <c r="G304">
        <v>-3482.5</v>
      </c>
      <c r="H304" s="1">
        <f t="shared" si="21"/>
        <v>41683</v>
      </c>
      <c r="I304">
        <f>IF(AND(MyRowHidden(ROW())=FALSE,MyRowHidden(ROW()-1)=TRUE),0,(E304-E303)*unitsOfDHp+I303)</f>
        <v>13252.5</v>
      </c>
      <c r="J304">
        <f>IF(AND(MyRowHidden(ROW())=FALSE,MyRowHidden(ROW()-1)=TRUE),0,(G304-G303)*unitsOfExo+J303)</f>
        <v>-81210</v>
      </c>
      <c r="K304" s="9">
        <f t="shared" si="22"/>
        <v>81210</v>
      </c>
      <c r="L304">
        <f t="shared" si="23"/>
        <v>-114844.82563018799</v>
      </c>
      <c r="M304">
        <f>IF(AND(MyRowHidden(ROW())=FALSE,MyRowHidden(ROW()-1)=TRUE),0,(G304-G303)*unitsFuturesCompare+M303)</f>
        <v>-162420</v>
      </c>
      <c r="N304">
        <f>IF(MyRowHidden(ROW())=TRUE,0,L304-M304)</f>
        <v>47575.174369812012</v>
      </c>
      <c r="O304">
        <f>MAX(N$12:N304)</f>
        <v>93774.651260375977</v>
      </c>
      <c r="P304">
        <f>IF(O304&gt;O303,(O304-O303)*percentSavingsParticipation,0)</f>
        <v>0</v>
      </c>
      <c r="Q304">
        <f t="shared" si="24"/>
        <v>46887.325630187988</v>
      </c>
      <c r="R304">
        <f t="shared" si="25"/>
        <v>-67957.5</v>
      </c>
    </row>
    <row r="305" spans="1:18" x14ac:dyDescent="0.25">
      <c r="A305" s="1"/>
      <c r="C305" s="1"/>
      <c r="D305" s="1">
        <v>41684</v>
      </c>
      <c r="E305" s="10">
        <v>30778.25</v>
      </c>
      <c r="F305" s="1">
        <v>41684</v>
      </c>
      <c r="G305">
        <v>-3245</v>
      </c>
      <c r="H305" s="1">
        <f t="shared" si="21"/>
        <v>41684</v>
      </c>
      <c r="I305">
        <f>IF(AND(MyRowHidden(ROW())=FALSE,MyRowHidden(ROW()-1)=TRUE),0,(E305-E304)*unitsOfDHp+I304)</f>
        <v>17532.5</v>
      </c>
      <c r="J305">
        <f>IF(AND(MyRowHidden(ROW())=FALSE,MyRowHidden(ROW()-1)=TRUE),0,(G305-G304)*unitsOfExo+J304)</f>
        <v>-78835</v>
      </c>
      <c r="K305" s="9">
        <f t="shared" si="22"/>
        <v>78835</v>
      </c>
      <c r="L305">
        <f t="shared" si="23"/>
        <v>-108189.82563018799</v>
      </c>
      <c r="M305">
        <f>IF(AND(MyRowHidden(ROW())=FALSE,MyRowHidden(ROW()-1)=TRUE),0,(G305-G304)*unitsFuturesCompare+M304)</f>
        <v>-157670</v>
      </c>
      <c r="N305">
        <f>IF(MyRowHidden(ROW())=TRUE,0,L305-M305)</f>
        <v>49480.174369812012</v>
      </c>
      <c r="O305">
        <f>MAX(N$12:N305)</f>
        <v>93774.651260375977</v>
      </c>
      <c r="P305">
        <f>IF(O305&gt;O304,(O305-O304)*percentSavingsParticipation,0)</f>
        <v>0</v>
      </c>
      <c r="Q305">
        <f t="shared" si="24"/>
        <v>46887.325630187988</v>
      </c>
      <c r="R305">
        <f t="shared" si="25"/>
        <v>-61302.5</v>
      </c>
    </row>
    <row r="306" spans="1:18" x14ac:dyDescent="0.25">
      <c r="A306" s="1"/>
      <c r="C306" s="1"/>
      <c r="D306" s="1">
        <v>41687</v>
      </c>
      <c r="E306" s="10">
        <v>30817.25</v>
      </c>
      <c r="F306" s="1">
        <v>41687</v>
      </c>
      <c r="G306">
        <v>-3182.5</v>
      </c>
      <c r="H306" s="1">
        <f t="shared" si="21"/>
        <v>41687</v>
      </c>
      <c r="I306">
        <f>IF(AND(MyRowHidden(ROW())=FALSE,MyRowHidden(ROW()-1)=TRUE),0,(E306-E305)*unitsOfDHp+I305)</f>
        <v>17922.5</v>
      </c>
      <c r="J306">
        <f>IF(AND(MyRowHidden(ROW())=FALSE,MyRowHidden(ROW()-1)=TRUE),0,(G306-G305)*unitsOfExo+J305)</f>
        <v>-78210</v>
      </c>
      <c r="K306" s="9">
        <f t="shared" si="22"/>
        <v>78210</v>
      </c>
      <c r="L306">
        <f t="shared" si="23"/>
        <v>-107174.82563018799</v>
      </c>
      <c r="M306">
        <f>IF(AND(MyRowHidden(ROW())=FALSE,MyRowHidden(ROW()-1)=TRUE),0,(G306-G305)*unitsFuturesCompare+M305)</f>
        <v>-156420</v>
      </c>
      <c r="N306">
        <f>IF(MyRowHidden(ROW())=TRUE,0,L306-M306)</f>
        <v>49245.174369812012</v>
      </c>
      <c r="O306">
        <f>MAX(N$12:N306)</f>
        <v>93774.651260375977</v>
      </c>
      <c r="P306">
        <f>IF(O306&gt;O305,(O306-O305)*percentSavingsParticipation,0)</f>
        <v>0</v>
      </c>
      <c r="Q306">
        <f t="shared" si="24"/>
        <v>46887.325630187988</v>
      </c>
      <c r="R306">
        <f t="shared" si="25"/>
        <v>-60287.5</v>
      </c>
    </row>
    <row r="307" spans="1:18" x14ac:dyDescent="0.25">
      <c r="A307" s="1"/>
      <c r="C307" s="1"/>
      <c r="D307" s="1">
        <v>41688</v>
      </c>
      <c r="E307" s="10">
        <v>31404.75</v>
      </c>
      <c r="F307" s="1">
        <v>41688</v>
      </c>
      <c r="G307">
        <v>-3032.5</v>
      </c>
      <c r="H307" s="1">
        <f t="shared" si="21"/>
        <v>41688</v>
      </c>
      <c r="I307">
        <f>IF(AND(MyRowHidden(ROW())=FALSE,MyRowHidden(ROW()-1)=TRUE),0,(E307-E306)*unitsOfDHp+I306)</f>
        <v>23797.5</v>
      </c>
      <c r="J307">
        <f>IF(AND(MyRowHidden(ROW())=FALSE,MyRowHidden(ROW()-1)=TRUE),0,(G307-G306)*unitsOfExo+J306)</f>
        <v>-76710</v>
      </c>
      <c r="K307" s="9">
        <f t="shared" si="22"/>
        <v>76710</v>
      </c>
      <c r="L307">
        <f t="shared" si="23"/>
        <v>-99799.825630187988</v>
      </c>
      <c r="M307">
        <f>IF(AND(MyRowHidden(ROW())=FALSE,MyRowHidden(ROW()-1)=TRUE),0,(G307-G306)*unitsFuturesCompare+M306)</f>
        <v>-153420</v>
      </c>
      <c r="N307">
        <f>IF(MyRowHidden(ROW())=TRUE,0,L307-M307)</f>
        <v>53620.174369812012</v>
      </c>
      <c r="O307">
        <f>MAX(N$12:N307)</f>
        <v>93774.651260375977</v>
      </c>
      <c r="P307">
        <f>IF(O307&gt;O306,(O307-O306)*percentSavingsParticipation,0)</f>
        <v>0</v>
      </c>
      <c r="Q307">
        <f t="shared" si="24"/>
        <v>46887.325630187988</v>
      </c>
      <c r="R307">
        <f t="shared" si="25"/>
        <v>-52912.5</v>
      </c>
    </row>
    <row r="308" spans="1:18" x14ac:dyDescent="0.25">
      <c r="A308" s="1"/>
      <c r="C308" s="1"/>
      <c r="D308" s="1">
        <v>41689</v>
      </c>
      <c r="E308" s="10">
        <v>31896.25</v>
      </c>
      <c r="F308" s="1">
        <v>41689</v>
      </c>
      <c r="G308">
        <v>-2782.5</v>
      </c>
      <c r="H308" s="1">
        <f t="shared" si="21"/>
        <v>41689</v>
      </c>
      <c r="I308">
        <f>IF(AND(MyRowHidden(ROW())=FALSE,MyRowHidden(ROW()-1)=TRUE),0,(E308-E307)*unitsOfDHp+I307)</f>
        <v>28712.5</v>
      </c>
      <c r="J308">
        <f>IF(AND(MyRowHidden(ROW())=FALSE,MyRowHidden(ROW()-1)=TRUE),0,(G308-G307)*unitsOfExo+J307)</f>
        <v>-74210</v>
      </c>
      <c r="K308" s="9">
        <f t="shared" si="22"/>
        <v>74210</v>
      </c>
      <c r="L308">
        <f t="shared" si="23"/>
        <v>-92384.825630187988</v>
      </c>
      <c r="M308">
        <f>IF(AND(MyRowHidden(ROW())=FALSE,MyRowHidden(ROW()-1)=TRUE),0,(G308-G307)*unitsFuturesCompare+M307)</f>
        <v>-148420</v>
      </c>
      <c r="N308">
        <f>IF(MyRowHidden(ROW())=TRUE,0,L308-M308)</f>
        <v>56035.174369812012</v>
      </c>
      <c r="O308">
        <f>MAX(N$12:N308)</f>
        <v>93774.651260375977</v>
      </c>
      <c r="P308">
        <f>IF(O308&gt;O307,(O308-O307)*percentSavingsParticipation,0)</f>
        <v>0</v>
      </c>
      <c r="Q308">
        <f t="shared" si="24"/>
        <v>46887.325630187988</v>
      </c>
      <c r="R308">
        <f t="shared" si="25"/>
        <v>-45497.5</v>
      </c>
    </row>
    <row r="309" spans="1:18" x14ac:dyDescent="0.25">
      <c r="A309" s="1"/>
      <c r="C309" s="1"/>
      <c r="D309" s="1">
        <v>41690</v>
      </c>
      <c r="E309" s="10">
        <v>31921</v>
      </c>
      <c r="F309" s="1">
        <v>41690</v>
      </c>
      <c r="G309">
        <v>-2682.5</v>
      </c>
      <c r="H309" s="1">
        <f t="shared" si="21"/>
        <v>41690</v>
      </c>
      <c r="I309">
        <f>IF(AND(MyRowHidden(ROW())=FALSE,MyRowHidden(ROW()-1)=TRUE),0,(E309-E308)*unitsOfDHp+I308)</f>
        <v>28960</v>
      </c>
      <c r="J309">
        <f>IF(AND(MyRowHidden(ROW())=FALSE,MyRowHidden(ROW()-1)=TRUE),0,(G309-G308)*unitsOfExo+J308)</f>
        <v>-73210</v>
      </c>
      <c r="K309" s="9">
        <f t="shared" si="22"/>
        <v>73210</v>
      </c>
      <c r="L309">
        <f t="shared" si="23"/>
        <v>-91137.325630187988</v>
      </c>
      <c r="M309">
        <f>IF(AND(MyRowHidden(ROW())=FALSE,MyRowHidden(ROW()-1)=TRUE),0,(G309-G308)*unitsFuturesCompare+M308)</f>
        <v>-146420</v>
      </c>
      <c r="N309">
        <f>IF(MyRowHidden(ROW())=TRUE,0,L309-M309)</f>
        <v>55282.674369812012</v>
      </c>
      <c r="O309">
        <f>MAX(N$12:N309)</f>
        <v>93774.651260375977</v>
      </c>
      <c r="P309">
        <f>IF(O309&gt;O308,(O309-O308)*percentSavingsParticipation,0)</f>
        <v>0</v>
      </c>
      <c r="Q309">
        <f t="shared" si="24"/>
        <v>46887.325630187988</v>
      </c>
      <c r="R309">
        <f t="shared" si="25"/>
        <v>-44250</v>
      </c>
    </row>
    <row r="310" spans="1:18" x14ac:dyDescent="0.25">
      <c r="A310" s="1"/>
      <c r="C310" s="1"/>
      <c r="D310" s="1">
        <v>41691</v>
      </c>
      <c r="E310" s="10">
        <v>31583.5</v>
      </c>
      <c r="F310" s="1">
        <v>41691</v>
      </c>
      <c r="G310">
        <v>-2732.5</v>
      </c>
      <c r="H310" s="1">
        <f t="shared" si="21"/>
        <v>41691</v>
      </c>
      <c r="I310">
        <f>IF(AND(MyRowHidden(ROW())=FALSE,MyRowHidden(ROW()-1)=TRUE),0,(E310-E309)*unitsOfDHp+I309)</f>
        <v>25585</v>
      </c>
      <c r="J310">
        <f>IF(AND(MyRowHidden(ROW())=FALSE,MyRowHidden(ROW()-1)=TRUE),0,(G310-G309)*unitsOfExo+J309)</f>
        <v>-73710</v>
      </c>
      <c r="K310" s="9">
        <f t="shared" si="22"/>
        <v>73710</v>
      </c>
      <c r="L310">
        <f t="shared" si="23"/>
        <v>-95012.325630187988</v>
      </c>
      <c r="M310">
        <f>IF(AND(MyRowHidden(ROW())=FALSE,MyRowHidden(ROW()-1)=TRUE),0,(G310-G309)*unitsFuturesCompare+M309)</f>
        <v>-147420</v>
      </c>
      <c r="N310">
        <f>IF(MyRowHidden(ROW())=TRUE,0,L310-M310)</f>
        <v>52407.674369812012</v>
      </c>
      <c r="O310">
        <f>MAX(N$12:N310)</f>
        <v>93774.651260375977</v>
      </c>
      <c r="P310">
        <f>IF(O310&gt;O309,(O310-O309)*percentSavingsParticipation,0)</f>
        <v>0</v>
      </c>
      <c r="Q310">
        <f t="shared" si="24"/>
        <v>46887.325630187988</v>
      </c>
      <c r="R310">
        <f t="shared" si="25"/>
        <v>-48125</v>
      </c>
    </row>
    <row r="311" spans="1:18" x14ac:dyDescent="0.25">
      <c r="A311" s="1"/>
      <c r="C311" s="1"/>
      <c r="D311" s="1">
        <v>41694</v>
      </c>
      <c r="E311" s="10">
        <v>30896</v>
      </c>
      <c r="F311" s="1">
        <v>41694</v>
      </c>
      <c r="G311">
        <v>-2945</v>
      </c>
      <c r="H311" s="1">
        <f t="shared" si="21"/>
        <v>41694</v>
      </c>
      <c r="I311">
        <f>IF(AND(MyRowHidden(ROW())=FALSE,MyRowHidden(ROW()-1)=TRUE),0,(E311-E310)*unitsOfDHp+I310)</f>
        <v>18710</v>
      </c>
      <c r="J311">
        <f>IF(AND(MyRowHidden(ROW())=FALSE,MyRowHidden(ROW()-1)=TRUE),0,(G311-G310)*unitsOfExo+J310)</f>
        <v>-75835</v>
      </c>
      <c r="K311" s="9">
        <f t="shared" si="22"/>
        <v>75835</v>
      </c>
      <c r="L311">
        <f t="shared" si="23"/>
        <v>-104012.32563018799</v>
      </c>
      <c r="M311">
        <f>IF(AND(MyRowHidden(ROW())=FALSE,MyRowHidden(ROW()-1)=TRUE),0,(G311-G310)*unitsFuturesCompare+M310)</f>
        <v>-151670</v>
      </c>
      <c r="N311">
        <f>IF(MyRowHidden(ROW())=TRUE,0,L311-M311)</f>
        <v>47657.674369812012</v>
      </c>
      <c r="O311">
        <f>MAX(N$12:N311)</f>
        <v>93774.651260375977</v>
      </c>
      <c r="P311">
        <f>IF(O311&gt;O310,(O311-O310)*percentSavingsParticipation,0)</f>
        <v>0</v>
      </c>
      <c r="Q311">
        <f t="shared" si="24"/>
        <v>46887.325630187988</v>
      </c>
      <c r="R311">
        <f t="shared" si="25"/>
        <v>-57125</v>
      </c>
    </row>
    <row r="312" spans="1:18" x14ac:dyDescent="0.25">
      <c r="A312" s="1"/>
      <c r="C312" s="1"/>
      <c r="D312" s="1">
        <v>41695</v>
      </c>
      <c r="E312" s="10">
        <v>31271</v>
      </c>
      <c r="F312" s="1">
        <v>41695</v>
      </c>
      <c r="G312">
        <v>-2832.5</v>
      </c>
      <c r="H312" s="1">
        <f t="shared" si="21"/>
        <v>41695</v>
      </c>
      <c r="I312">
        <f>IF(AND(MyRowHidden(ROW())=FALSE,MyRowHidden(ROW()-1)=TRUE),0,(E312-E311)*unitsOfDHp+I311)</f>
        <v>22460</v>
      </c>
      <c r="J312">
        <f>IF(AND(MyRowHidden(ROW())=FALSE,MyRowHidden(ROW()-1)=TRUE),0,(G312-G311)*unitsOfExo+J311)</f>
        <v>-74710</v>
      </c>
      <c r="K312" s="9">
        <f t="shared" si="22"/>
        <v>74710</v>
      </c>
      <c r="L312">
        <f t="shared" si="23"/>
        <v>-99137.325630187988</v>
      </c>
      <c r="M312">
        <f>IF(AND(MyRowHidden(ROW())=FALSE,MyRowHidden(ROW()-1)=TRUE),0,(G312-G311)*unitsFuturesCompare+M311)</f>
        <v>-149420</v>
      </c>
      <c r="N312">
        <f>IF(MyRowHidden(ROW())=TRUE,0,L312-M312)</f>
        <v>50282.674369812012</v>
      </c>
      <c r="O312">
        <f>MAX(N$12:N312)</f>
        <v>93774.651260375977</v>
      </c>
      <c r="P312">
        <f>IF(O312&gt;O311,(O312-O311)*percentSavingsParticipation,0)</f>
        <v>0</v>
      </c>
      <c r="Q312">
        <f t="shared" si="24"/>
        <v>46887.325630187988</v>
      </c>
      <c r="R312">
        <f t="shared" si="25"/>
        <v>-52250</v>
      </c>
    </row>
    <row r="313" spans="1:18" x14ac:dyDescent="0.25">
      <c r="A313" s="1"/>
      <c r="C313" s="1"/>
      <c r="D313" s="1">
        <v>41696</v>
      </c>
      <c r="E313" s="10">
        <v>32371</v>
      </c>
      <c r="F313" s="1">
        <v>41696</v>
      </c>
      <c r="G313">
        <v>-2595</v>
      </c>
      <c r="H313" s="1">
        <f t="shared" si="21"/>
        <v>41696</v>
      </c>
      <c r="I313">
        <f>IF(AND(MyRowHidden(ROW())=FALSE,MyRowHidden(ROW()-1)=TRUE),0,(E313-E312)*unitsOfDHp+I312)</f>
        <v>33460</v>
      </c>
      <c r="J313">
        <f>IF(AND(MyRowHidden(ROW())=FALSE,MyRowHidden(ROW()-1)=TRUE),0,(G313-G312)*unitsOfExo+J312)</f>
        <v>-72335</v>
      </c>
      <c r="K313" s="9">
        <f t="shared" si="22"/>
        <v>72335</v>
      </c>
      <c r="L313">
        <f t="shared" si="23"/>
        <v>-85762.325630187988</v>
      </c>
      <c r="M313">
        <f>IF(AND(MyRowHidden(ROW())=FALSE,MyRowHidden(ROW()-1)=TRUE),0,(G313-G312)*unitsFuturesCompare+M312)</f>
        <v>-144670</v>
      </c>
      <c r="N313">
        <f>IF(MyRowHidden(ROW())=TRUE,0,L313-M313)</f>
        <v>58907.674369812012</v>
      </c>
      <c r="O313">
        <f>MAX(N$12:N313)</f>
        <v>93774.651260375977</v>
      </c>
      <c r="P313">
        <f>IF(O313&gt;O312,(O313-O312)*percentSavingsParticipation,0)</f>
        <v>0</v>
      </c>
      <c r="Q313">
        <f t="shared" si="24"/>
        <v>46887.325630187988</v>
      </c>
      <c r="R313">
        <f t="shared" si="25"/>
        <v>-38875</v>
      </c>
    </row>
    <row r="314" spans="1:18" x14ac:dyDescent="0.25">
      <c r="A314" s="1"/>
      <c r="C314" s="1"/>
      <c r="D314" s="1">
        <v>41697</v>
      </c>
      <c r="E314" s="10">
        <v>31021</v>
      </c>
      <c r="F314" s="1">
        <v>41697</v>
      </c>
      <c r="G314">
        <v>-2920</v>
      </c>
      <c r="H314" s="1">
        <f t="shared" si="21"/>
        <v>41697</v>
      </c>
      <c r="I314">
        <f>IF(AND(MyRowHidden(ROW())=FALSE,MyRowHidden(ROW()-1)=TRUE),0,(E314-E313)*unitsOfDHp+I313)</f>
        <v>19960</v>
      </c>
      <c r="J314">
        <f>IF(AND(MyRowHidden(ROW())=FALSE,MyRowHidden(ROW()-1)=TRUE),0,(G314-G313)*unitsOfExo+J313)</f>
        <v>-75585</v>
      </c>
      <c r="K314" s="9">
        <f t="shared" si="22"/>
        <v>75585</v>
      </c>
      <c r="L314">
        <f t="shared" si="23"/>
        <v>-102512.32563018799</v>
      </c>
      <c r="M314">
        <f>IF(AND(MyRowHidden(ROW())=FALSE,MyRowHidden(ROW()-1)=TRUE),0,(G314-G313)*unitsFuturesCompare+M313)</f>
        <v>-151170</v>
      </c>
      <c r="N314">
        <f>IF(MyRowHidden(ROW())=TRUE,0,L314-M314)</f>
        <v>48657.674369812012</v>
      </c>
      <c r="O314">
        <f>MAX(N$12:N314)</f>
        <v>93774.651260375977</v>
      </c>
      <c r="P314">
        <f>IF(O314&gt;O313,(O314-O313)*percentSavingsParticipation,0)</f>
        <v>0</v>
      </c>
      <c r="Q314">
        <f t="shared" si="24"/>
        <v>46887.325630187988</v>
      </c>
      <c r="R314">
        <f t="shared" si="25"/>
        <v>-55625</v>
      </c>
    </row>
    <row r="315" spans="1:18" x14ac:dyDescent="0.25">
      <c r="A315" s="1"/>
      <c r="C315" s="1"/>
      <c r="D315" s="1">
        <v>41698</v>
      </c>
      <c r="E315" s="10">
        <v>32933.5</v>
      </c>
      <c r="F315" s="1">
        <v>41698</v>
      </c>
      <c r="G315">
        <v>-2595</v>
      </c>
      <c r="H315" s="1">
        <f t="shared" si="21"/>
        <v>41698</v>
      </c>
      <c r="I315">
        <f>IF(AND(MyRowHidden(ROW())=FALSE,MyRowHidden(ROW()-1)=TRUE),0,(E315-E314)*unitsOfDHp+I314)</f>
        <v>39085</v>
      </c>
      <c r="J315">
        <f>IF(AND(MyRowHidden(ROW())=FALSE,MyRowHidden(ROW()-1)=TRUE),0,(G315-G314)*unitsOfExo+J314)</f>
        <v>-72335</v>
      </c>
      <c r="K315" s="9">
        <f t="shared" si="22"/>
        <v>72335</v>
      </c>
      <c r="L315">
        <f t="shared" si="23"/>
        <v>-80137.325630187988</v>
      </c>
      <c r="M315">
        <f>IF(AND(MyRowHidden(ROW())=FALSE,MyRowHidden(ROW()-1)=TRUE),0,(G315-G314)*unitsFuturesCompare+M314)</f>
        <v>-144670</v>
      </c>
      <c r="N315">
        <f>IF(MyRowHidden(ROW())=TRUE,0,L315-M315)</f>
        <v>64532.674369812012</v>
      </c>
      <c r="O315">
        <f>MAX(N$12:N315)</f>
        <v>93774.651260375977</v>
      </c>
      <c r="P315">
        <f>IF(O315&gt;O314,(O315-O314)*percentSavingsParticipation,0)</f>
        <v>0</v>
      </c>
      <c r="Q315">
        <f t="shared" si="24"/>
        <v>46887.325630187988</v>
      </c>
      <c r="R315">
        <f t="shared" si="25"/>
        <v>-33250</v>
      </c>
    </row>
    <row r="316" spans="1:18" x14ac:dyDescent="0.25">
      <c r="A316" s="1"/>
      <c r="C316" s="1"/>
      <c r="D316" s="1">
        <v>41701</v>
      </c>
      <c r="E316" s="10">
        <v>33421</v>
      </c>
      <c r="F316" s="1">
        <v>41701</v>
      </c>
      <c r="G316">
        <v>-2444.5</v>
      </c>
      <c r="H316" s="1">
        <f t="shared" si="21"/>
        <v>41701</v>
      </c>
      <c r="I316">
        <f>IF(AND(MyRowHidden(ROW())=FALSE,MyRowHidden(ROW()-1)=TRUE),0,(E316-E315)*unitsOfDHp+I315)</f>
        <v>43960</v>
      </c>
      <c r="J316">
        <f>IF(AND(MyRowHidden(ROW())=FALSE,MyRowHidden(ROW()-1)=TRUE),0,(G316-G315)*unitsOfExo+J315)</f>
        <v>-70830</v>
      </c>
      <c r="K316" s="9">
        <f t="shared" si="22"/>
        <v>70830</v>
      </c>
      <c r="L316">
        <f t="shared" si="23"/>
        <v>-73757.325630187988</v>
      </c>
      <c r="M316">
        <f>IF(AND(MyRowHidden(ROW())=FALSE,MyRowHidden(ROW()-1)=TRUE),0,(G316-G315)*unitsFuturesCompare+M315)</f>
        <v>-141660</v>
      </c>
      <c r="N316">
        <f>IF(MyRowHidden(ROW())=TRUE,0,L316-M316)</f>
        <v>67902.674369812012</v>
      </c>
      <c r="O316">
        <f>MAX(N$12:N316)</f>
        <v>93774.651260375977</v>
      </c>
      <c r="P316">
        <f>IF(O316&gt;O315,(O316-O315)*percentSavingsParticipation,0)</f>
        <v>0</v>
      </c>
      <c r="Q316">
        <f t="shared" si="24"/>
        <v>46887.325630187988</v>
      </c>
      <c r="R316">
        <f t="shared" si="25"/>
        <v>-26870</v>
      </c>
    </row>
    <row r="317" spans="1:18" x14ac:dyDescent="0.25">
      <c r="A317" s="1"/>
      <c r="C317" s="1"/>
      <c r="D317" s="1">
        <v>41702</v>
      </c>
      <c r="E317" s="10">
        <v>34859.5</v>
      </c>
      <c r="F317" s="1">
        <v>41702</v>
      </c>
      <c r="G317">
        <v>-1757</v>
      </c>
      <c r="H317" s="1">
        <f t="shared" si="21"/>
        <v>41702</v>
      </c>
      <c r="I317">
        <f>IF(AND(MyRowHidden(ROW())=FALSE,MyRowHidden(ROW()-1)=TRUE),0,(E317-E316)*unitsOfDHp+I316)</f>
        <v>58345</v>
      </c>
      <c r="J317">
        <f>IF(AND(MyRowHidden(ROW())=FALSE,MyRowHidden(ROW()-1)=TRUE),0,(G317-G316)*unitsOfExo+J316)</f>
        <v>-63955</v>
      </c>
      <c r="K317" s="9">
        <f t="shared" si="22"/>
        <v>63955</v>
      </c>
      <c r="L317">
        <f t="shared" si="23"/>
        <v>-52497.325630187988</v>
      </c>
      <c r="M317">
        <f>IF(AND(MyRowHidden(ROW())=FALSE,MyRowHidden(ROW()-1)=TRUE),0,(G317-G316)*unitsFuturesCompare+M316)</f>
        <v>-127910</v>
      </c>
      <c r="N317">
        <f>IF(MyRowHidden(ROW())=TRUE,0,L317-M317)</f>
        <v>75412.674369812012</v>
      </c>
      <c r="O317">
        <f>MAX(N$12:N317)</f>
        <v>93774.651260375977</v>
      </c>
      <c r="P317">
        <f>IF(O317&gt;O316,(O317-O316)*percentSavingsParticipation,0)</f>
        <v>0</v>
      </c>
      <c r="Q317">
        <f t="shared" si="24"/>
        <v>46887.325630187988</v>
      </c>
      <c r="R317">
        <f t="shared" si="25"/>
        <v>-5610</v>
      </c>
    </row>
    <row r="318" spans="1:18" x14ac:dyDescent="0.25">
      <c r="A318" s="1"/>
      <c r="C318" s="1"/>
      <c r="D318" s="1">
        <v>41703</v>
      </c>
      <c r="E318" s="10">
        <v>34548.5</v>
      </c>
      <c r="F318" s="1">
        <v>41703</v>
      </c>
      <c r="G318">
        <v>-1719.5</v>
      </c>
      <c r="H318" s="1">
        <f t="shared" si="21"/>
        <v>41703</v>
      </c>
      <c r="I318">
        <f>IF(AND(MyRowHidden(ROW())=FALSE,MyRowHidden(ROW()-1)=TRUE),0,(E318-E317)*unitsOfDHp+I317)</f>
        <v>55235</v>
      </c>
      <c r="J318">
        <f>IF(AND(MyRowHidden(ROW())=FALSE,MyRowHidden(ROW()-1)=TRUE),0,(G318-G317)*unitsOfExo+J317)</f>
        <v>-63580</v>
      </c>
      <c r="K318" s="9">
        <f t="shared" si="22"/>
        <v>63580</v>
      </c>
      <c r="L318">
        <f t="shared" si="23"/>
        <v>-55232.325630187988</v>
      </c>
      <c r="M318">
        <f>IF(AND(MyRowHidden(ROW())=FALSE,MyRowHidden(ROW()-1)=TRUE),0,(G318-G317)*unitsFuturesCompare+M317)</f>
        <v>-127160</v>
      </c>
      <c r="N318">
        <f>IF(MyRowHidden(ROW())=TRUE,0,L318-M318)</f>
        <v>71927.674369812012</v>
      </c>
      <c r="O318">
        <f>MAX(N$12:N318)</f>
        <v>93774.651260375977</v>
      </c>
      <c r="P318">
        <f>IF(O318&gt;O317,(O318-O317)*percentSavingsParticipation,0)</f>
        <v>0</v>
      </c>
      <c r="Q318">
        <f t="shared" si="24"/>
        <v>46887.325630187988</v>
      </c>
      <c r="R318">
        <f t="shared" si="25"/>
        <v>-8345</v>
      </c>
    </row>
    <row r="319" spans="1:18" x14ac:dyDescent="0.25">
      <c r="A319" s="1"/>
      <c r="C319" s="1"/>
      <c r="D319" s="1">
        <v>41704</v>
      </c>
      <c r="E319" s="10">
        <v>35123.5</v>
      </c>
      <c r="F319" s="1">
        <v>41704</v>
      </c>
      <c r="G319">
        <v>-1182</v>
      </c>
      <c r="H319" s="1">
        <f t="shared" si="21"/>
        <v>41704</v>
      </c>
      <c r="I319">
        <f>IF(AND(MyRowHidden(ROW())=FALSE,MyRowHidden(ROW()-1)=TRUE),0,(E319-E318)*unitsOfDHp+I318)</f>
        <v>60985</v>
      </c>
      <c r="J319">
        <f>IF(AND(MyRowHidden(ROW())=FALSE,MyRowHidden(ROW()-1)=TRUE),0,(G319-G318)*unitsOfExo+J318)</f>
        <v>-58205</v>
      </c>
      <c r="K319" s="9">
        <f t="shared" si="22"/>
        <v>58205</v>
      </c>
      <c r="L319">
        <f t="shared" si="23"/>
        <v>-44107.325630187988</v>
      </c>
      <c r="M319">
        <f>IF(AND(MyRowHidden(ROW())=FALSE,MyRowHidden(ROW()-1)=TRUE),0,(G319-G318)*unitsFuturesCompare+M318)</f>
        <v>-116410</v>
      </c>
      <c r="N319">
        <f>IF(MyRowHidden(ROW())=TRUE,0,L319-M319)</f>
        <v>72302.674369812012</v>
      </c>
      <c r="O319">
        <f>MAX(N$12:N319)</f>
        <v>93774.651260375977</v>
      </c>
      <c r="P319">
        <f>IF(O319&gt;O318,(O319-O318)*percentSavingsParticipation,0)</f>
        <v>0</v>
      </c>
      <c r="Q319">
        <f t="shared" si="24"/>
        <v>46887.325630187988</v>
      </c>
      <c r="R319">
        <f t="shared" si="25"/>
        <v>2780</v>
      </c>
    </row>
    <row r="320" spans="1:18" x14ac:dyDescent="0.25">
      <c r="A320" s="1"/>
      <c r="C320" s="1"/>
      <c r="D320" s="1">
        <v>41705</v>
      </c>
      <c r="E320" s="10">
        <v>34939</v>
      </c>
      <c r="F320" s="1">
        <v>41705</v>
      </c>
      <c r="G320">
        <v>-1269.5</v>
      </c>
      <c r="H320" s="1">
        <f t="shared" si="21"/>
        <v>41705</v>
      </c>
      <c r="I320">
        <f>IF(AND(MyRowHidden(ROW())=FALSE,MyRowHidden(ROW()-1)=TRUE),0,(E320-E319)*unitsOfDHp+I319)</f>
        <v>59140</v>
      </c>
      <c r="J320">
        <f>IF(AND(MyRowHidden(ROW())=FALSE,MyRowHidden(ROW()-1)=TRUE),0,(G320-G319)*unitsOfExo+J319)</f>
        <v>-59080</v>
      </c>
      <c r="K320" s="9">
        <f t="shared" si="22"/>
        <v>59080</v>
      </c>
      <c r="L320">
        <f t="shared" si="23"/>
        <v>-46827.325630187988</v>
      </c>
      <c r="M320">
        <f>IF(AND(MyRowHidden(ROW())=FALSE,MyRowHidden(ROW()-1)=TRUE),0,(G320-G319)*unitsFuturesCompare+M319)</f>
        <v>-118160</v>
      </c>
      <c r="N320">
        <f>IF(MyRowHidden(ROW())=TRUE,0,L320-M320)</f>
        <v>71332.674369812012</v>
      </c>
      <c r="O320">
        <f>MAX(N$12:N320)</f>
        <v>93774.651260375977</v>
      </c>
      <c r="P320">
        <f>IF(O320&gt;O319,(O320-O319)*percentSavingsParticipation,0)</f>
        <v>0</v>
      </c>
      <c r="Q320">
        <f t="shared" si="24"/>
        <v>46887.325630187988</v>
      </c>
      <c r="R320">
        <f t="shared" si="25"/>
        <v>60</v>
      </c>
    </row>
    <row r="321" spans="1:18" x14ac:dyDescent="0.25">
      <c r="A321" s="1"/>
      <c r="C321" s="1"/>
      <c r="D321" s="1">
        <v>41708</v>
      </c>
      <c r="E321" s="10">
        <v>34876.5</v>
      </c>
      <c r="F321" s="1">
        <v>41708</v>
      </c>
      <c r="G321">
        <v>-1832</v>
      </c>
      <c r="H321" s="1">
        <f t="shared" si="21"/>
        <v>41708</v>
      </c>
      <c r="I321">
        <f>IF(AND(MyRowHidden(ROW())=FALSE,MyRowHidden(ROW()-1)=TRUE),0,(E321-E320)*unitsOfDHp+I320)</f>
        <v>58515</v>
      </c>
      <c r="J321">
        <f>IF(AND(MyRowHidden(ROW())=FALSE,MyRowHidden(ROW()-1)=TRUE),0,(G321-G320)*unitsOfExo+J320)</f>
        <v>-64705</v>
      </c>
      <c r="K321" s="9">
        <f t="shared" si="22"/>
        <v>64705</v>
      </c>
      <c r="L321">
        <f t="shared" si="23"/>
        <v>-53077.325630187988</v>
      </c>
      <c r="M321">
        <f>IF(AND(MyRowHidden(ROW())=FALSE,MyRowHidden(ROW()-1)=TRUE),0,(G321-G320)*unitsFuturesCompare+M320)</f>
        <v>-129410</v>
      </c>
      <c r="N321">
        <f>IF(MyRowHidden(ROW())=TRUE,0,L321-M321)</f>
        <v>76332.674369812012</v>
      </c>
      <c r="O321">
        <f>MAX(N$12:N321)</f>
        <v>93774.651260375977</v>
      </c>
      <c r="P321">
        <f>IF(O321&gt;O320,(O321-O320)*percentSavingsParticipation,0)</f>
        <v>0</v>
      </c>
      <c r="Q321">
        <f t="shared" si="24"/>
        <v>46887.325630187988</v>
      </c>
      <c r="R321">
        <f t="shared" si="25"/>
        <v>-6190</v>
      </c>
    </row>
    <row r="322" spans="1:18" x14ac:dyDescent="0.25">
      <c r="A322" s="1"/>
      <c r="C322" s="1"/>
      <c r="D322" s="1">
        <v>41709</v>
      </c>
      <c r="E322" s="10">
        <v>35089</v>
      </c>
      <c r="F322" s="1">
        <v>41709</v>
      </c>
      <c r="G322">
        <v>-1669.5</v>
      </c>
      <c r="H322" s="1">
        <f t="shared" si="21"/>
        <v>41709</v>
      </c>
      <c r="I322">
        <f>IF(AND(MyRowHidden(ROW())=FALSE,MyRowHidden(ROW()-1)=TRUE),0,(E322-E321)*unitsOfDHp+I321)</f>
        <v>60640</v>
      </c>
      <c r="J322">
        <f>IF(AND(MyRowHidden(ROW())=FALSE,MyRowHidden(ROW()-1)=TRUE),0,(G322-G321)*unitsOfExo+J321)</f>
        <v>-63080</v>
      </c>
      <c r="K322" s="9">
        <f t="shared" si="22"/>
        <v>63080</v>
      </c>
      <c r="L322">
        <f t="shared" si="23"/>
        <v>-49327.325630187988</v>
      </c>
      <c r="M322">
        <f>IF(AND(MyRowHidden(ROW())=FALSE,MyRowHidden(ROW()-1)=TRUE),0,(G322-G321)*unitsFuturesCompare+M321)</f>
        <v>-126160</v>
      </c>
      <c r="N322">
        <f>IF(MyRowHidden(ROW())=TRUE,0,L322-M322)</f>
        <v>76832.674369812012</v>
      </c>
      <c r="O322">
        <f>MAX(N$12:N322)</f>
        <v>93774.651260375977</v>
      </c>
      <c r="P322">
        <f>IF(O322&gt;O321,(O322-O321)*percentSavingsParticipation,0)</f>
        <v>0</v>
      </c>
      <c r="Q322">
        <f t="shared" si="24"/>
        <v>46887.325630187988</v>
      </c>
      <c r="R322">
        <f t="shared" si="25"/>
        <v>-2440</v>
      </c>
    </row>
    <row r="323" spans="1:18" x14ac:dyDescent="0.25">
      <c r="A323" s="1"/>
      <c r="C323" s="1"/>
      <c r="D323" s="1">
        <v>41710</v>
      </c>
      <c r="E323" s="10">
        <v>34939</v>
      </c>
      <c r="F323" s="1">
        <v>41710</v>
      </c>
      <c r="G323">
        <v>-1432</v>
      </c>
      <c r="H323" s="1">
        <f t="shared" si="21"/>
        <v>41710</v>
      </c>
      <c r="I323">
        <f>IF(AND(MyRowHidden(ROW())=FALSE,MyRowHidden(ROW()-1)=TRUE),0,(E323-E322)*unitsOfDHp+I322)</f>
        <v>59140</v>
      </c>
      <c r="J323">
        <f>IF(AND(MyRowHidden(ROW())=FALSE,MyRowHidden(ROW()-1)=TRUE),0,(G323-G322)*unitsOfExo+J322)</f>
        <v>-60705</v>
      </c>
      <c r="K323" s="9">
        <f t="shared" si="22"/>
        <v>60705</v>
      </c>
      <c r="L323">
        <f t="shared" si="23"/>
        <v>-48452.325630187988</v>
      </c>
      <c r="M323">
        <f>IF(AND(MyRowHidden(ROW())=FALSE,MyRowHidden(ROW()-1)=TRUE),0,(G323-G322)*unitsFuturesCompare+M322)</f>
        <v>-121410</v>
      </c>
      <c r="N323">
        <f>IF(MyRowHidden(ROW())=TRUE,0,L323-M323)</f>
        <v>72957.674369812012</v>
      </c>
      <c r="O323">
        <f>MAX(N$12:N323)</f>
        <v>93774.651260375977</v>
      </c>
      <c r="P323">
        <f>IF(O323&gt;O322,(O323-O322)*percentSavingsParticipation,0)</f>
        <v>0</v>
      </c>
      <c r="Q323">
        <f t="shared" si="24"/>
        <v>46887.325630187988</v>
      </c>
      <c r="R323">
        <f t="shared" si="25"/>
        <v>-1565</v>
      </c>
    </row>
    <row r="324" spans="1:18" x14ac:dyDescent="0.25">
      <c r="A324" s="1"/>
      <c r="C324" s="1"/>
      <c r="D324" s="1">
        <v>41711</v>
      </c>
      <c r="E324" s="10">
        <v>34814</v>
      </c>
      <c r="F324" s="1">
        <v>41711</v>
      </c>
      <c r="G324">
        <v>-1469.5</v>
      </c>
      <c r="H324" s="1">
        <f t="shared" si="21"/>
        <v>41711</v>
      </c>
      <c r="I324">
        <f>IF(AND(MyRowHidden(ROW())=FALSE,MyRowHidden(ROW()-1)=TRUE),0,(E324-E323)*unitsOfDHp+I323)</f>
        <v>57890</v>
      </c>
      <c r="J324">
        <f>IF(AND(MyRowHidden(ROW())=FALSE,MyRowHidden(ROW()-1)=TRUE),0,(G324-G323)*unitsOfExo+J323)</f>
        <v>-61080</v>
      </c>
      <c r="K324" s="9">
        <f t="shared" si="22"/>
        <v>61080</v>
      </c>
      <c r="L324">
        <f t="shared" si="23"/>
        <v>-50077.325630187988</v>
      </c>
      <c r="M324">
        <f>IF(AND(MyRowHidden(ROW())=FALSE,MyRowHidden(ROW()-1)=TRUE),0,(G324-G323)*unitsFuturesCompare+M323)</f>
        <v>-122160</v>
      </c>
      <c r="N324">
        <f>IF(MyRowHidden(ROW())=TRUE,0,L324-M324)</f>
        <v>72082.674369812012</v>
      </c>
      <c r="O324">
        <f>MAX(N$12:N324)</f>
        <v>93774.651260375977</v>
      </c>
      <c r="P324">
        <f>IF(O324&gt;O323,(O324-O323)*percentSavingsParticipation,0)</f>
        <v>0</v>
      </c>
      <c r="Q324">
        <f t="shared" si="24"/>
        <v>46887.325630187988</v>
      </c>
      <c r="R324">
        <f t="shared" si="25"/>
        <v>-3190</v>
      </c>
    </row>
    <row r="325" spans="1:18" x14ac:dyDescent="0.25">
      <c r="A325" s="1"/>
      <c r="C325" s="1"/>
      <c r="D325" s="1">
        <v>41712</v>
      </c>
      <c r="E325" s="10">
        <v>34876.5</v>
      </c>
      <c r="F325" s="1">
        <v>41712</v>
      </c>
      <c r="G325">
        <v>-1669.5</v>
      </c>
      <c r="H325" s="1">
        <f t="shared" si="21"/>
        <v>41712</v>
      </c>
      <c r="I325">
        <f>IF(AND(MyRowHidden(ROW())=FALSE,MyRowHidden(ROW()-1)=TRUE),0,(E325-E324)*unitsOfDHp+I324)</f>
        <v>58515</v>
      </c>
      <c r="J325">
        <f>IF(AND(MyRowHidden(ROW())=FALSE,MyRowHidden(ROW()-1)=TRUE),0,(G325-G324)*unitsOfExo+J324)</f>
        <v>-63080</v>
      </c>
      <c r="K325" s="9">
        <f t="shared" si="22"/>
        <v>63080</v>
      </c>
      <c r="L325">
        <f t="shared" si="23"/>
        <v>-51452.325630187988</v>
      </c>
      <c r="M325">
        <f>IF(AND(MyRowHidden(ROW())=FALSE,MyRowHidden(ROW()-1)=TRUE),0,(G325-G324)*unitsFuturesCompare+M324)</f>
        <v>-126160</v>
      </c>
      <c r="N325">
        <f>IF(MyRowHidden(ROW())=TRUE,0,L325-M325)</f>
        <v>74707.674369812012</v>
      </c>
      <c r="O325">
        <f>MAX(N$12:N325)</f>
        <v>93774.651260375977</v>
      </c>
      <c r="P325">
        <f>IF(O325&gt;O324,(O325-O324)*percentSavingsParticipation,0)</f>
        <v>0</v>
      </c>
      <c r="Q325">
        <f t="shared" si="24"/>
        <v>46887.325630187988</v>
      </c>
      <c r="R325">
        <f t="shared" si="25"/>
        <v>-4565</v>
      </c>
    </row>
    <row r="326" spans="1:18" x14ac:dyDescent="0.25">
      <c r="A326" s="1"/>
      <c r="C326" s="1"/>
      <c r="D326" s="1">
        <v>41715</v>
      </c>
      <c r="E326" s="10">
        <v>34851.5</v>
      </c>
      <c r="F326" s="1">
        <v>41715</v>
      </c>
      <c r="G326">
        <v>-1769.5</v>
      </c>
      <c r="H326" s="1">
        <f t="shared" si="21"/>
        <v>41715</v>
      </c>
      <c r="I326">
        <f>IF(AND(MyRowHidden(ROW())=FALSE,MyRowHidden(ROW()-1)=TRUE),0,(E326-E325)*unitsOfDHp+I325)</f>
        <v>58265</v>
      </c>
      <c r="J326">
        <f>IF(AND(MyRowHidden(ROW())=FALSE,MyRowHidden(ROW()-1)=TRUE),0,(G326-G325)*unitsOfExo+J325)</f>
        <v>-64080</v>
      </c>
      <c r="K326" s="9">
        <f t="shared" si="22"/>
        <v>64080</v>
      </c>
      <c r="L326">
        <f t="shared" si="23"/>
        <v>-52702.325630187988</v>
      </c>
      <c r="M326">
        <f>IF(AND(MyRowHidden(ROW())=FALSE,MyRowHidden(ROW()-1)=TRUE),0,(G326-G325)*unitsFuturesCompare+M325)</f>
        <v>-128160</v>
      </c>
      <c r="N326">
        <f>IF(MyRowHidden(ROW())=TRUE,0,L326-M326)</f>
        <v>75457.674369812012</v>
      </c>
      <c r="O326">
        <f>MAX(N$12:N326)</f>
        <v>93774.651260375977</v>
      </c>
      <c r="P326">
        <f>IF(O326&gt;O325,(O326-O325)*percentSavingsParticipation,0)</f>
        <v>0</v>
      </c>
      <c r="Q326">
        <f t="shared" si="24"/>
        <v>46887.325630187988</v>
      </c>
      <c r="R326">
        <f t="shared" si="25"/>
        <v>-5815</v>
      </c>
    </row>
    <row r="327" spans="1:18" x14ac:dyDescent="0.25">
      <c r="A327" s="1"/>
      <c r="C327" s="1"/>
      <c r="D327" s="1">
        <v>41716</v>
      </c>
      <c r="E327" s="10">
        <v>35001.5</v>
      </c>
      <c r="F327" s="1">
        <v>41716</v>
      </c>
      <c r="G327">
        <v>-1457</v>
      </c>
      <c r="H327" s="1">
        <f t="shared" si="21"/>
        <v>41716</v>
      </c>
      <c r="I327">
        <f>IF(AND(MyRowHidden(ROW())=FALSE,MyRowHidden(ROW()-1)=TRUE),0,(E327-E326)*unitsOfDHp+I326)</f>
        <v>59765</v>
      </c>
      <c r="J327">
        <f>IF(AND(MyRowHidden(ROW())=FALSE,MyRowHidden(ROW()-1)=TRUE),0,(G327-G326)*unitsOfExo+J326)</f>
        <v>-60955</v>
      </c>
      <c r="K327" s="9">
        <f t="shared" si="22"/>
        <v>60955</v>
      </c>
      <c r="L327">
        <f t="shared" si="23"/>
        <v>-48077.325630187988</v>
      </c>
      <c r="M327">
        <f>IF(AND(MyRowHidden(ROW())=FALSE,MyRowHidden(ROW()-1)=TRUE),0,(G327-G326)*unitsFuturesCompare+M326)</f>
        <v>-121910</v>
      </c>
      <c r="N327">
        <f>IF(MyRowHidden(ROW())=TRUE,0,L327-M327)</f>
        <v>73832.674369812012</v>
      </c>
      <c r="O327">
        <f>MAX(N$12:N327)</f>
        <v>93774.651260375977</v>
      </c>
      <c r="P327">
        <f>IF(O327&gt;O326,(O327-O326)*percentSavingsParticipation,0)</f>
        <v>0</v>
      </c>
      <c r="Q327">
        <f t="shared" si="24"/>
        <v>46887.325630187988</v>
      </c>
      <c r="R327">
        <f t="shared" si="25"/>
        <v>-1190</v>
      </c>
    </row>
    <row r="328" spans="1:18" x14ac:dyDescent="0.25">
      <c r="A328" s="1"/>
      <c r="C328" s="1"/>
      <c r="D328" s="1">
        <v>41717</v>
      </c>
      <c r="E328" s="10">
        <v>34989</v>
      </c>
      <c r="F328" s="1">
        <v>41717</v>
      </c>
      <c r="G328">
        <v>-1294.5</v>
      </c>
      <c r="H328" s="1">
        <f t="shared" si="21"/>
        <v>41717</v>
      </c>
      <c r="I328">
        <f>IF(AND(MyRowHidden(ROW())=FALSE,MyRowHidden(ROW()-1)=TRUE),0,(E328-E327)*unitsOfDHp+I327)</f>
        <v>59640</v>
      </c>
      <c r="J328">
        <f>IF(AND(MyRowHidden(ROW())=FALSE,MyRowHidden(ROW()-1)=TRUE),0,(G328-G327)*unitsOfExo+J327)</f>
        <v>-59330</v>
      </c>
      <c r="K328" s="9">
        <f t="shared" si="22"/>
        <v>59330</v>
      </c>
      <c r="L328">
        <f t="shared" si="23"/>
        <v>-46577.325630187988</v>
      </c>
      <c r="M328">
        <f>IF(AND(MyRowHidden(ROW())=FALSE,MyRowHidden(ROW()-1)=TRUE),0,(G328-G327)*unitsFuturesCompare+M327)</f>
        <v>-118660</v>
      </c>
      <c r="N328">
        <f>IF(MyRowHidden(ROW())=TRUE,0,L328-M328)</f>
        <v>72082.674369812012</v>
      </c>
      <c r="O328">
        <f>MAX(N$12:N328)</f>
        <v>93774.651260375977</v>
      </c>
      <c r="P328">
        <f>IF(O328&gt;O327,(O328-O327)*percentSavingsParticipation,0)</f>
        <v>0</v>
      </c>
      <c r="Q328">
        <f t="shared" si="24"/>
        <v>46887.325630187988</v>
      </c>
      <c r="R328">
        <f t="shared" si="25"/>
        <v>310</v>
      </c>
    </row>
    <row r="329" spans="1:18" x14ac:dyDescent="0.25">
      <c r="A329" s="1"/>
      <c r="C329" s="1"/>
      <c r="D329" s="1">
        <v>41718</v>
      </c>
      <c r="E329" s="10">
        <v>34992</v>
      </c>
      <c r="F329" s="1">
        <v>41718</v>
      </c>
      <c r="G329">
        <v>-1844.5</v>
      </c>
      <c r="H329" s="1">
        <f t="shared" si="21"/>
        <v>41718</v>
      </c>
      <c r="I329">
        <f>IF(AND(MyRowHidden(ROW())=FALSE,MyRowHidden(ROW()-1)=TRUE),0,(E329-E328)*unitsOfDHp+I328)</f>
        <v>59670</v>
      </c>
      <c r="J329">
        <f>IF(AND(MyRowHidden(ROW())=FALSE,MyRowHidden(ROW()-1)=TRUE),0,(G329-G328)*unitsOfExo+J328)</f>
        <v>-64830</v>
      </c>
      <c r="K329" s="9">
        <f t="shared" si="22"/>
        <v>64830</v>
      </c>
      <c r="L329">
        <f t="shared" si="23"/>
        <v>-52047.325630187988</v>
      </c>
      <c r="M329">
        <f>IF(AND(MyRowHidden(ROW())=FALSE,MyRowHidden(ROW()-1)=TRUE),0,(G329-G328)*unitsFuturesCompare+M328)</f>
        <v>-129660</v>
      </c>
      <c r="N329">
        <f>IF(MyRowHidden(ROW())=TRUE,0,L329-M329)</f>
        <v>77612.674369812012</v>
      </c>
      <c r="O329">
        <f>MAX(N$12:N329)</f>
        <v>93774.651260375977</v>
      </c>
      <c r="P329">
        <f>IF(O329&gt;O328,(O329-O328)*percentSavingsParticipation,0)</f>
        <v>0</v>
      </c>
      <c r="Q329">
        <f t="shared" si="24"/>
        <v>46887.325630187988</v>
      </c>
      <c r="R329">
        <f t="shared" si="25"/>
        <v>-5160</v>
      </c>
    </row>
    <row r="330" spans="1:18" x14ac:dyDescent="0.25">
      <c r="A330" s="1"/>
      <c r="C330" s="1"/>
      <c r="D330" s="1">
        <v>41719</v>
      </c>
      <c r="E330" s="10">
        <v>35092</v>
      </c>
      <c r="F330" s="1">
        <v>41719</v>
      </c>
      <c r="G330">
        <v>-1769.5</v>
      </c>
      <c r="H330" s="1">
        <f t="shared" si="21"/>
        <v>41719</v>
      </c>
      <c r="I330">
        <f>IF(AND(MyRowHidden(ROW())=FALSE,MyRowHidden(ROW()-1)=TRUE),0,(E330-E329)*unitsOfDHp+I329)</f>
        <v>60670</v>
      </c>
      <c r="J330">
        <f>IF(AND(MyRowHidden(ROW())=FALSE,MyRowHidden(ROW()-1)=TRUE),0,(G330-G329)*unitsOfExo+J329)</f>
        <v>-64080</v>
      </c>
      <c r="K330" s="9">
        <f t="shared" si="22"/>
        <v>64080</v>
      </c>
      <c r="L330">
        <f t="shared" si="23"/>
        <v>-50297.325630187988</v>
      </c>
      <c r="M330">
        <f>IF(AND(MyRowHidden(ROW())=FALSE,MyRowHidden(ROW()-1)=TRUE),0,(G330-G329)*unitsFuturesCompare+M329)</f>
        <v>-128160</v>
      </c>
      <c r="N330">
        <f>IF(MyRowHidden(ROW())=TRUE,0,L330-M330)</f>
        <v>77862.674369812012</v>
      </c>
      <c r="O330">
        <f>MAX(N$12:N330)</f>
        <v>93774.651260375977</v>
      </c>
      <c r="P330">
        <f>IF(O330&gt;O329,(O330-O329)*percentSavingsParticipation,0)</f>
        <v>0</v>
      </c>
      <c r="Q330">
        <f t="shared" si="24"/>
        <v>46887.325630187988</v>
      </c>
      <c r="R330">
        <f t="shared" si="25"/>
        <v>-3410</v>
      </c>
    </row>
    <row r="331" spans="1:18" x14ac:dyDescent="0.25">
      <c r="A331" s="1"/>
      <c r="C331" s="1"/>
      <c r="D331" s="1">
        <v>41722</v>
      </c>
      <c r="E331" s="10">
        <v>34805.5</v>
      </c>
      <c r="F331" s="1">
        <v>41722</v>
      </c>
      <c r="G331">
        <v>-1344.5</v>
      </c>
      <c r="H331" s="1">
        <f t="shared" si="21"/>
        <v>41722</v>
      </c>
      <c r="I331">
        <f>IF(AND(MyRowHidden(ROW())=FALSE,MyRowHidden(ROW()-1)=TRUE),0,(E331-E330)*unitsOfDHp+I330)</f>
        <v>57805</v>
      </c>
      <c r="J331">
        <f>IF(AND(MyRowHidden(ROW())=FALSE,MyRowHidden(ROW()-1)=TRUE),0,(G331-G330)*unitsOfExo+J330)</f>
        <v>-59830</v>
      </c>
      <c r="K331" s="9">
        <f t="shared" si="22"/>
        <v>59830</v>
      </c>
      <c r="L331">
        <f t="shared" si="23"/>
        <v>-48912.325630187988</v>
      </c>
      <c r="M331">
        <f>IF(AND(MyRowHidden(ROW())=FALSE,MyRowHidden(ROW()-1)=TRUE),0,(G331-G330)*unitsFuturesCompare+M330)</f>
        <v>-119660</v>
      </c>
      <c r="N331">
        <f>IF(MyRowHidden(ROW())=TRUE,0,L331-M331)</f>
        <v>70747.674369812012</v>
      </c>
      <c r="O331">
        <f>MAX(N$12:N331)</f>
        <v>93774.651260375977</v>
      </c>
      <c r="P331">
        <f>IF(O331&gt;O330,(O331-O330)*percentSavingsParticipation,0)</f>
        <v>0</v>
      </c>
      <c r="Q331">
        <f t="shared" si="24"/>
        <v>46887.325630187988</v>
      </c>
      <c r="R331">
        <f t="shared" si="25"/>
        <v>-2025</v>
      </c>
    </row>
    <row r="332" spans="1:18" x14ac:dyDescent="0.25">
      <c r="A332" s="1"/>
      <c r="C332" s="1"/>
      <c r="D332" s="1">
        <v>41723</v>
      </c>
      <c r="E332" s="10">
        <v>34868</v>
      </c>
      <c r="F332" s="1">
        <v>41723</v>
      </c>
      <c r="G332">
        <v>-1494.5</v>
      </c>
      <c r="H332" s="1">
        <f t="shared" si="21"/>
        <v>41723</v>
      </c>
      <c r="I332">
        <f>IF(AND(MyRowHidden(ROW())=FALSE,MyRowHidden(ROW()-1)=TRUE),0,(E332-E331)*unitsOfDHp+I331)</f>
        <v>58430</v>
      </c>
      <c r="J332">
        <f>IF(AND(MyRowHidden(ROW())=FALSE,MyRowHidden(ROW()-1)=TRUE),0,(G332-G331)*unitsOfExo+J331)</f>
        <v>-61330</v>
      </c>
      <c r="K332" s="9">
        <f t="shared" si="22"/>
        <v>61330</v>
      </c>
      <c r="L332">
        <f t="shared" si="23"/>
        <v>-49787.325630187988</v>
      </c>
      <c r="M332">
        <f>IF(AND(MyRowHidden(ROW())=FALSE,MyRowHidden(ROW()-1)=TRUE),0,(G332-G331)*unitsFuturesCompare+M331)</f>
        <v>-122660</v>
      </c>
      <c r="N332">
        <f>IF(MyRowHidden(ROW())=TRUE,0,L332-M332)</f>
        <v>72872.674369812012</v>
      </c>
      <c r="O332">
        <f>MAX(N$12:N332)</f>
        <v>93774.651260375977</v>
      </c>
      <c r="P332">
        <f>IF(O332&gt;O331,(O332-O331)*percentSavingsParticipation,0)</f>
        <v>0</v>
      </c>
      <c r="Q332">
        <f t="shared" si="24"/>
        <v>46887.325630187988</v>
      </c>
      <c r="R332">
        <f t="shared" si="25"/>
        <v>-2900</v>
      </c>
    </row>
    <row r="333" spans="1:18" x14ac:dyDescent="0.25">
      <c r="A333" s="1"/>
      <c r="C333" s="1"/>
      <c r="D333" s="1">
        <v>41724</v>
      </c>
      <c r="E333" s="10">
        <v>34868</v>
      </c>
      <c r="F333" s="1">
        <v>41724</v>
      </c>
      <c r="G333">
        <v>-1607</v>
      </c>
      <c r="H333" s="1">
        <f t="shared" ref="H333:H396" si="26">D333</f>
        <v>41724</v>
      </c>
      <c r="I333">
        <f>IF(AND(MyRowHidden(ROW())=FALSE,MyRowHidden(ROW()-1)=TRUE),0,(E333-E332)*unitsOfDHp+I332)</f>
        <v>58430</v>
      </c>
      <c r="J333">
        <f>IF(AND(MyRowHidden(ROW())=FALSE,MyRowHidden(ROW()-1)=TRUE),0,(G333-G332)*unitsOfExo+J332)</f>
        <v>-62455</v>
      </c>
      <c r="K333" s="9">
        <f t="shared" ref="K333:K396" si="27">-(J333-J332)+K332</f>
        <v>62455</v>
      </c>
      <c r="L333">
        <f t="shared" ref="L333:L396" si="28">I333-I332+J333-J332+L332-P332</f>
        <v>-50912.325630187988</v>
      </c>
      <c r="M333">
        <f>IF(AND(MyRowHidden(ROW())=FALSE,MyRowHidden(ROW()-1)=TRUE),0,(G333-G332)*unitsFuturesCompare+M332)</f>
        <v>-124910</v>
      </c>
      <c r="N333">
        <f>IF(MyRowHidden(ROW())=TRUE,0,L333-M333)</f>
        <v>73997.674369812012</v>
      </c>
      <c r="O333">
        <f>MAX(N$12:N333)</f>
        <v>93774.651260375977</v>
      </c>
      <c r="P333">
        <f>IF(O333&gt;O332,(O333-O332)*percentSavingsParticipation,0)</f>
        <v>0</v>
      </c>
      <c r="Q333">
        <f t="shared" ref="Q333:Q396" si="29">P333+Q332</f>
        <v>46887.325630187988</v>
      </c>
      <c r="R333">
        <f t="shared" ref="R333:R396" si="30">I333+J333</f>
        <v>-4025</v>
      </c>
    </row>
    <row r="334" spans="1:18" x14ac:dyDescent="0.25">
      <c r="A334" s="1"/>
      <c r="C334" s="1"/>
      <c r="D334" s="1">
        <v>41725</v>
      </c>
      <c r="E334" s="10">
        <v>34443</v>
      </c>
      <c r="F334" s="1">
        <v>41725</v>
      </c>
      <c r="G334">
        <v>-1207</v>
      </c>
      <c r="H334" s="1">
        <f t="shared" si="26"/>
        <v>41725</v>
      </c>
      <c r="I334">
        <f>IF(AND(MyRowHidden(ROW())=FALSE,MyRowHidden(ROW()-1)=TRUE),0,(E334-E333)*unitsOfDHp+I333)</f>
        <v>54180</v>
      </c>
      <c r="J334">
        <f>IF(AND(MyRowHidden(ROW())=FALSE,MyRowHidden(ROW()-1)=TRUE),0,(G334-G333)*unitsOfExo+J333)</f>
        <v>-58455</v>
      </c>
      <c r="K334" s="9">
        <f t="shared" si="27"/>
        <v>58455</v>
      </c>
      <c r="L334">
        <f t="shared" si="28"/>
        <v>-51162.325630187988</v>
      </c>
      <c r="M334">
        <f>IF(AND(MyRowHidden(ROW())=FALSE,MyRowHidden(ROW()-1)=TRUE),0,(G334-G333)*unitsFuturesCompare+M333)</f>
        <v>-116910</v>
      </c>
      <c r="N334">
        <f>IF(MyRowHidden(ROW())=TRUE,0,L334-M334)</f>
        <v>65747.674369812012</v>
      </c>
      <c r="O334">
        <f>MAX(N$12:N334)</f>
        <v>93774.651260375977</v>
      </c>
      <c r="P334">
        <f>IF(O334&gt;O333,(O334-O333)*percentSavingsParticipation,0)</f>
        <v>0</v>
      </c>
      <c r="Q334">
        <f t="shared" si="29"/>
        <v>46887.325630187988</v>
      </c>
      <c r="R334">
        <f t="shared" si="30"/>
        <v>-4275</v>
      </c>
    </row>
    <row r="335" spans="1:18" x14ac:dyDescent="0.25">
      <c r="A335" s="1"/>
      <c r="C335" s="1"/>
      <c r="D335" s="1">
        <v>41726</v>
      </c>
      <c r="E335" s="10">
        <v>34168</v>
      </c>
      <c r="F335" s="1">
        <v>41726</v>
      </c>
      <c r="G335">
        <v>-1107</v>
      </c>
      <c r="H335" s="1">
        <f t="shared" si="26"/>
        <v>41726</v>
      </c>
      <c r="I335">
        <f>IF(AND(MyRowHidden(ROW())=FALSE,MyRowHidden(ROW()-1)=TRUE),0,(E335-E334)*unitsOfDHp+I334)</f>
        <v>51430</v>
      </c>
      <c r="J335">
        <f>IF(AND(MyRowHidden(ROW())=FALSE,MyRowHidden(ROW()-1)=TRUE),0,(G335-G334)*unitsOfExo+J334)</f>
        <v>-57455</v>
      </c>
      <c r="K335" s="9">
        <f t="shared" si="27"/>
        <v>57455</v>
      </c>
      <c r="L335">
        <f t="shared" si="28"/>
        <v>-52912.325630187988</v>
      </c>
      <c r="M335">
        <f>IF(AND(MyRowHidden(ROW())=FALSE,MyRowHidden(ROW()-1)=TRUE),0,(G335-G334)*unitsFuturesCompare+M334)</f>
        <v>-114910</v>
      </c>
      <c r="N335">
        <f>IF(MyRowHidden(ROW())=TRUE,0,L335-M335)</f>
        <v>61997.674369812012</v>
      </c>
      <c r="O335">
        <f>MAX(N$12:N335)</f>
        <v>93774.651260375977</v>
      </c>
      <c r="P335">
        <f>IF(O335&gt;O334,(O335-O334)*percentSavingsParticipation,0)</f>
        <v>0</v>
      </c>
      <c r="Q335">
        <f t="shared" si="29"/>
        <v>46887.325630187988</v>
      </c>
      <c r="R335">
        <f t="shared" si="30"/>
        <v>-6025</v>
      </c>
    </row>
    <row r="336" spans="1:18" x14ac:dyDescent="0.25">
      <c r="A336" s="1"/>
      <c r="C336" s="1"/>
      <c r="D336" s="1">
        <v>41729</v>
      </c>
      <c r="E336" s="10">
        <v>33849.5</v>
      </c>
      <c r="F336" s="1">
        <v>41729</v>
      </c>
      <c r="G336">
        <v>-732</v>
      </c>
      <c r="H336" s="1">
        <f t="shared" si="26"/>
        <v>41729</v>
      </c>
      <c r="I336">
        <f>IF(AND(MyRowHidden(ROW())=FALSE,MyRowHidden(ROW()-1)=TRUE),0,(E336-E335)*unitsOfDHp+I335)</f>
        <v>48245</v>
      </c>
      <c r="J336">
        <f>IF(AND(MyRowHidden(ROW())=FALSE,MyRowHidden(ROW()-1)=TRUE),0,(G336-G335)*unitsOfExo+J335)</f>
        <v>-53705</v>
      </c>
      <c r="K336" s="9">
        <f t="shared" si="27"/>
        <v>53705</v>
      </c>
      <c r="L336">
        <f t="shared" si="28"/>
        <v>-52347.325630187988</v>
      </c>
      <c r="M336">
        <f>IF(AND(MyRowHidden(ROW())=FALSE,MyRowHidden(ROW()-1)=TRUE),0,(G336-G335)*unitsFuturesCompare+M335)</f>
        <v>-107410</v>
      </c>
      <c r="N336">
        <f>IF(MyRowHidden(ROW())=TRUE,0,L336-M336)</f>
        <v>55062.674369812012</v>
      </c>
      <c r="O336">
        <f>MAX(N$12:N336)</f>
        <v>93774.651260375977</v>
      </c>
      <c r="P336">
        <f>IF(O336&gt;O335,(O336-O335)*percentSavingsParticipation,0)</f>
        <v>0</v>
      </c>
      <c r="Q336">
        <f t="shared" si="29"/>
        <v>46887.325630187988</v>
      </c>
      <c r="R336">
        <f t="shared" si="30"/>
        <v>-5460</v>
      </c>
    </row>
    <row r="337" spans="1:18" x14ac:dyDescent="0.25">
      <c r="A337" s="1"/>
      <c r="C337" s="1"/>
      <c r="D337" s="1">
        <v>41730</v>
      </c>
      <c r="E337" s="10">
        <v>33055</v>
      </c>
      <c r="F337" s="1">
        <v>41730</v>
      </c>
      <c r="G337">
        <v>-394.5</v>
      </c>
      <c r="H337" s="1">
        <f t="shared" si="26"/>
        <v>41730</v>
      </c>
      <c r="I337">
        <f>IF(AND(MyRowHidden(ROW())=FALSE,MyRowHidden(ROW()-1)=TRUE),0,(E337-E336)*unitsOfDHp+I336)</f>
        <v>40300</v>
      </c>
      <c r="J337">
        <f>IF(AND(MyRowHidden(ROW())=FALSE,MyRowHidden(ROW()-1)=TRUE),0,(G337-G336)*unitsOfExo+J336)</f>
        <v>-50330</v>
      </c>
      <c r="K337" s="9">
        <f t="shared" si="27"/>
        <v>50330</v>
      </c>
      <c r="L337">
        <f t="shared" si="28"/>
        <v>-56917.325630187988</v>
      </c>
      <c r="M337">
        <f>IF(AND(MyRowHidden(ROW())=FALSE,MyRowHidden(ROW()-1)=TRUE),0,(G337-G336)*unitsFuturesCompare+M336)</f>
        <v>-100660</v>
      </c>
      <c r="N337">
        <f>IF(MyRowHidden(ROW())=TRUE,0,L337-M337)</f>
        <v>43742.674369812012</v>
      </c>
      <c r="O337">
        <f>MAX(N$12:N337)</f>
        <v>93774.651260375977</v>
      </c>
      <c r="P337">
        <f>IF(O337&gt;O336,(O337-O336)*percentSavingsParticipation,0)</f>
        <v>0</v>
      </c>
      <c r="Q337">
        <f t="shared" si="29"/>
        <v>46887.325630187988</v>
      </c>
      <c r="R337">
        <f t="shared" si="30"/>
        <v>-10030</v>
      </c>
    </row>
    <row r="338" spans="1:18" x14ac:dyDescent="0.25">
      <c r="A338" s="1"/>
      <c r="C338" s="1"/>
      <c r="D338" s="1">
        <v>41731</v>
      </c>
      <c r="E338" s="10">
        <v>34305</v>
      </c>
      <c r="F338" s="1">
        <v>41731</v>
      </c>
      <c r="G338">
        <v>-1069.5</v>
      </c>
      <c r="H338" s="1">
        <f t="shared" si="26"/>
        <v>41731</v>
      </c>
      <c r="I338">
        <f>IF(AND(MyRowHidden(ROW())=FALSE,MyRowHidden(ROW()-1)=TRUE),0,(E338-E337)*unitsOfDHp+I337)</f>
        <v>52800</v>
      </c>
      <c r="J338">
        <f>IF(AND(MyRowHidden(ROW())=FALSE,MyRowHidden(ROW()-1)=TRUE),0,(G338-G337)*unitsOfExo+J337)</f>
        <v>-57080</v>
      </c>
      <c r="K338" s="9">
        <f t="shared" si="27"/>
        <v>57080</v>
      </c>
      <c r="L338">
        <f t="shared" si="28"/>
        <v>-51167.325630187988</v>
      </c>
      <c r="M338">
        <f>IF(AND(MyRowHidden(ROW())=FALSE,MyRowHidden(ROW()-1)=TRUE),0,(G338-G337)*unitsFuturesCompare+M337)</f>
        <v>-114160</v>
      </c>
      <c r="N338">
        <f>IF(MyRowHidden(ROW())=TRUE,0,L338-M338)</f>
        <v>62992.674369812012</v>
      </c>
      <c r="O338">
        <f>MAX(N$12:N338)</f>
        <v>93774.651260375977</v>
      </c>
      <c r="P338">
        <f>IF(O338&gt;O337,(O338-O337)*percentSavingsParticipation,0)</f>
        <v>0</v>
      </c>
      <c r="Q338">
        <f t="shared" si="29"/>
        <v>46887.325630187988</v>
      </c>
      <c r="R338">
        <f t="shared" si="30"/>
        <v>-4280</v>
      </c>
    </row>
    <row r="339" spans="1:18" x14ac:dyDescent="0.25">
      <c r="A339" s="1"/>
      <c r="C339" s="1"/>
      <c r="D339" s="1">
        <v>41732</v>
      </c>
      <c r="E339" s="10">
        <v>34167.5</v>
      </c>
      <c r="F339" s="1">
        <v>41732</v>
      </c>
      <c r="G339">
        <v>-932</v>
      </c>
      <c r="H339" s="1">
        <f t="shared" si="26"/>
        <v>41732</v>
      </c>
      <c r="I339">
        <f>IF(AND(MyRowHidden(ROW())=FALSE,MyRowHidden(ROW()-1)=TRUE),0,(E339-E338)*unitsOfDHp+I338)</f>
        <v>51425</v>
      </c>
      <c r="J339">
        <f>IF(AND(MyRowHidden(ROW())=FALSE,MyRowHidden(ROW()-1)=TRUE),0,(G339-G338)*unitsOfExo+J338)</f>
        <v>-55705</v>
      </c>
      <c r="K339" s="9">
        <f t="shared" si="27"/>
        <v>55705</v>
      </c>
      <c r="L339">
        <f t="shared" si="28"/>
        <v>-51167.325630187988</v>
      </c>
      <c r="M339">
        <f>IF(AND(MyRowHidden(ROW())=FALSE,MyRowHidden(ROW()-1)=TRUE),0,(G339-G338)*unitsFuturesCompare+M338)</f>
        <v>-111410</v>
      </c>
      <c r="N339">
        <f>IF(MyRowHidden(ROW())=TRUE,0,L339-M339)</f>
        <v>60242.674369812012</v>
      </c>
      <c r="O339">
        <f>MAX(N$12:N339)</f>
        <v>93774.651260375977</v>
      </c>
      <c r="P339">
        <f>IF(O339&gt;O338,(O339-O338)*percentSavingsParticipation,0)</f>
        <v>0</v>
      </c>
      <c r="Q339">
        <f t="shared" si="29"/>
        <v>46887.325630187988</v>
      </c>
      <c r="R339">
        <f t="shared" si="30"/>
        <v>-4280</v>
      </c>
    </row>
    <row r="340" spans="1:18" x14ac:dyDescent="0.25">
      <c r="A340" s="1"/>
      <c r="C340" s="1"/>
      <c r="D340" s="1">
        <v>41733</v>
      </c>
      <c r="E340" s="10">
        <v>34017.5</v>
      </c>
      <c r="F340" s="1">
        <v>41733</v>
      </c>
      <c r="G340">
        <v>-819.5</v>
      </c>
      <c r="H340" s="1">
        <f t="shared" si="26"/>
        <v>41733</v>
      </c>
      <c r="I340">
        <f>IF(AND(MyRowHidden(ROW())=FALSE,MyRowHidden(ROW()-1)=TRUE),0,(E340-E339)*unitsOfDHp+I339)</f>
        <v>49925</v>
      </c>
      <c r="J340">
        <f>IF(AND(MyRowHidden(ROW())=FALSE,MyRowHidden(ROW()-1)=TRUE),0,(G340-G339)*unitsOfExo+J339)</f>
        <v>-54580</v>
      </c>
      <c r="K340" s="9">
        <f t="shared" si="27"/>
        <v>54580</v>
      </c>
      <c r="L340">
        <f t="shared" si="28"/>
        <v>-51542.325630187988</v>
      </c>
      <c r="M340">
        <f>IF(AND(MyRowHidden(ROW())=FALSE,MyRowHidden(ROW()-1)=TRUE),0,(G340-G339)*unitsFuturesCompare+M339)</f>
        <v>-109160</v>
      </c>
      <c r="N340">
        <f>IF(MyRowHidden(ROW())=TRUE,0,L340-M340)</f>
        <v>57617.674369812012</v>
      </c>
      <c r="O340">
        <f>MAX(N$12:N340)</f>
        <v>93774.651260375977</v>
      </c>
      <c r="P340">
        <f>IF(O340&gt;O339,(O340-O339)*percentSavingsParticipation,0)</f>
        <v>0</v>
      </c>
      <c r="Q340">
        <f t="shared" si="29"/>
        <v>46887.325630187988</v>
      </c>
      <c r="R340">
        <f t="shared" si="30"/>
        <v>-4655</v>
      </c>
    </row>
    <row r="341" spans="1:18" x14ac:dyDescent="0.25">
      <c r="A341" s="1"/>
      <c r="C341" s="1"/>
      <c r="D341" s="1">
        <v>41736</v>
      </c>
      <c r="E341" s="10">
        <v>34217.5</v>
      </c>
      <c r="F341" s="1">
        <v>41736</v>
      </c>
      <c r="G341">
        <v>-882</v>
      </c>
      <c r="H341" s="1">
        <f t="shared" si="26"/>
        <v>41736</v>
      </c>
      <c r="I341">
        <f>IF(AND(MyRowHidden(ROW())=FALSE,MyRowHidden(ROW()-1)=TRUE),0,(E341-E340)*unitsOfDHp+I340)</f>
        <v>51925</v>
      </c>
      <c r="J341">
        <f>IF(AND(MyRowHidden(ROW())=FALSE,MyRowHidden(ROW()-1)=TRUE),0,(G341-G340)*unitsOfExo+J340)</f>
        <v>-55205</v>
      </c>
      <c r="K341" s="9">
        <f t="shared" si="27"/>
        <v>55205</v>
      </c>
      <c r="L341">
        <f t="shared" si="28"/>
        <v>-50167.325630187988</v>
      </c>
      <c r="M341">
        <f>IF(AND(MyRowHidden(ROW())=FALSE,MyRowHidden(ROW()-1)=TRUE),0,(G341-G340)*unitsFuturesCompare+M340)</f>
        <v>-110410</v>
      </c>
      <c r="N341">
        <f>IF(MyRowHidden(ROW())=TRUE,0,L341-M341)</f>
        <v>60242.674369812012</v>
      </c>
      <c r="O341">
        <f>MAX(N$12:N341)</f>
        <v>93774.651260375977</v>
      </c>
      <c r="P341">
        <f>IF(O341&gt;O340,(O341-O340)*percentSavingsParticipation,0)</f>
        <v>0</v>
      </c>
      <c r="Q341">
        <f t="shared" si="29"/>
        <v>46887.325630187988</v>
      </c>
      <c r="R341">
        <f t="shared" si="30"/>
        <v>-3280</v>
      </c>
    </row>
    <row r="342" spans="1:18" x14ac:dyDescent="0.25">
      <c r="A342" s="1"/>
      <c r="C342" s="1"/>
      <c r="D342" s="1">
        <v>41737</v>
      </c>
      <c r="E342" s="10">
        <v>33292.5</v>
      </c>
      <c r="F342" s="1">
        <v>41737</v>
      </c>
      <c r="G342">
        <v>-444.5</v>
      </c>
      <c r="H342" s="1">
        <f t="shared" si="26"/>
        <v>41737</v>
      </c>
      <c r="I342">
        <f>IF(AND(MyRowHidden(ROW())=FALSE,MyRowHidden(ROW()-1)=TRUE),0,(E342-E341)*unitsOfDHp+I341)</f>
        <v>42675</v>
      </c>
      <c r="J342">
        <f>IF(AND(MyRowHidden(ROW())=FALSE,MyRowHidden(ROW()-1)=TRUE),0,(G342-G341)*unitsOfExo+J341)</f>
        <v>-50830</v>
      </c>
      <c r="K342" s="9">
        <f t="shared" si="27"/>
        <v>50830</v>
      </c>
      <c r="L342">
        <f t="shared" si="28"/>
        <v>-55042.325630187988</v>
      </c>
      <c r="M342">
        <f>IF(AND(MyRowHidden(ROW())=FALSE,MyRowHidden(ROW()-1)=TRUE),0,(G342-G341)*unitsFuturesCompare+M341)</f>
        <v>-101660</v>
      </c>
      <c r="N342">
        <f>IF(MyRowHidden(ROW())=TRUE,0,L342-M342)</f>
        <v>46617.674369812012</v>
      </c>
      <c r="O342">
        <f>MAX(N$12:N342)</f>
        <v>93774.651260375977</v>
      </c>
      <c r="P342">
        <f>IF(O342&gt;O341,(O342-O341)*percentSavingsParticipation,0)</f>
        <v>0</v>
      </c>
      <c r="Q342">
        <f t="shared" si="29"/>
        <v>46887.325630187988</v>
      </c>
      <c r="R342">
        <f t="shared" si="30"/>
        <v>-8155</v>
      </c>
    </row>
    <row r="343" spans="1:18" x14ac:dyDescent="0.25">
      <c r="A343" s="1"/>
      <c r="C343" s="1"/>
      <c r="D343" s="1">
        <v>41738</v>
      </c>
      <c r="E343" s="10">
        <v>33517.5</v>
      </c>
      <c r="F343" s="1">
        <v>41738</v>
      </c>
      <c r="G343">
        <v>-569.5</v>
      </c>
      <c r="H343" s="1">
        <f t="shared" si="26"/>
        <v>41738</v>
      </c>
      <c r="I343">
        <f>IF(AND(MyRowHidden(ROW())=FALSE,MyRowHidden(ROW()-1)=TRUE),0,(E343-E342)*unitsOfDHp+I342)</f>
        <v>44925</v>
      </c>
      <c r="J343">
        <f>IF(AND(MyRowHidden(ROW())=FALSE,MyRowHidden(ROW()-1)=TRUE),0,(G343-G342)*unitsOfExo+J342)</f>
        <v>-52080</v>
      </c>
      <c r="K343" s="9">
        <f t="shared" si="27"/>
        <v>52080</v>
      </c>
      <c r="L343">
        <f t="shared" si="28"/>
        <v>-54042.325630187988</v>
      </c>
      <c r="M343">
        <f>IF(AND(MyRowHidden(ROW())=FALSE,MyRowHidden(ROW()-1)=TRUE),0,(G343-G342)*unitsFuturesCompare+M342)</f>
        <v>-104160</v>
      </c>
      <c r="N343">
        <f>IF(MyRowHidden(ROW())=TRUE,0,L343-M343)</f>
        <v>50117.674369812012</v>
      </c>
      <c r="O343">
        <f>MAX(N$12:N343)</f>
        <v>93774.651260375977</v>
      </c>
      <c r="P343">
        <f>IF(O343&gt;O342,(O343-O342)*percentSavingsParticipation,0)</f>
        <v>0</v>
      </c>
      <c r="Q343">
        <f t="shared" si="29"/>
        <v>46887.325630187988</v>
      </c>
      <c r="R343">
        <f t="shared" si="30"/>
        <v>-7155</v>
      </c>
    </row>
    <row r="344" spans="1:18" x14ac:dyDescent="0.25">
      <c r="A344" s="1"/>
      <c r="C344" s="1"/>
      <c r="D344" s="1">
        <v>41739</v>
      </c>
      <c r="E344" s="10">
        <v>33805</v>
      </c>
      <c r="F344" s="1">
        <v>41739</v>
      </c>
      <c r="G344">
        <v>-669.5</v>
      </c>
      <c r="H344" s="1">
        <f t="shared" si="26"/>
        <v>41739</v>
      </c>
      <c r="I344">
        <f>IF(AND(MyRowHidden(ROW())=FALSE,MyRowHidden(ROW()-1)=TRUE),0,(E344-E343)*unitsOfDHp+I343)</f>
        <v>47800</v>
      </c>
      <c r="J344">
        <f>IF(AND(MyRowHidden(ROW())=FALSE,MyRowHidden(ROW()-1)=TRUE),0,(G344-G343)*unitsOfExo+J343)</f>
        <v>-53080</v>
      </c>
      <c r="K344" s="9">
        <f t="shared" si="27"/>
        <v>53080</v>
      </c>
      <c r="L344">
        <f t="shared" si="28"/>
        <v>-52167.325630187988</v>
      </c>
      <c r="M344">
        <f>IF(AND(MyRowHidden(ROW())=FALSE,MyRowHidden(ROW()-1)=TRUE),0,(G344-G343)*unitsFuturesCompare+M343)</f>
        <v>-106160</v>
      </c>
      <c r="N344">
        <f>IF(MyRowHidden(ROW())=TRUE,0,L344-M344)</f>
        <v>53992.674369812012</v>
      </c>
      <c r="O344">
        <f>MAX(N$12:N344)</f>
        <v>93774.651260375977</v>
      </c>
      <c r="P344">
        <f>IF(O344&gt;O343,(O344-O343)*percentSavingsParticipation,0)</f>
        <v>0</v>
      </c>
      <c r="Q344">
        <f t="shared" si="29"/>
        <v>46887.325630187988</v>
      </c>
      <c r="R344">
        <f t="shared" si="30"/>
        <v>-5280</v>
      </c>
    </row>
    <row r="345" spans="1:18" x14ac:dyDescent="0.25">
      <c r="A345" s="1"/>
      <c r="C345" s="1"/>
      <c r="D345" s="1">
        <v>41740</v>
      </c>
      <c r="E345" s="10">
        <v>34217.5</v>
      </c>
      <c r="F345" s="1">
        <v>41740</v>
      </c>
      <c r="G345">
        <v>-832</v>
      </c>
      <c r="H345" s="1">
        <f t="shared" si="26"/>
        <v>41740</v>
      </c>
      <c r="I345">
        <f>IF(AND(MyRowHidden(ROW())=FALSE,MyRowHidden(ROW()-1)=TRUE),0,(E345-E344)*unitsOfDHp+I344)</f>
        <v>51925</v>
      </c>
      <c r="J345">
        <f>IF(AND(MyRowHidden(ROW())=FALSE,MyRowHidden(ROW()-1)=TRUE),0,(G345-G344)*unitsOfExo+J344)</f>
        <v>-54705</v>
      </c>
      <c r="K345" s="9">
        <f t="shared" si="27"/>
        <v>54705</v>
      </c>
      <c r="L345">
        <f t="shared" si="28"/>
        <v>-49667.325630187988</v>
      </c>
      <c r="M345">
        <f>IF(AND(MyRowHidden(ROW())=FALSE,MyRowHidden(ROW()-1)=TRUE),0,(G345-G344)*unitsFuturesCompare+M344)</f>
        <v>-109410</v>
      </c>
      <c r="N345">
        <f>IF(MyRowHidden(ROW())=TRUE,0,L345-M345)</f>
        <v>59742.674369812012</v>
      </c>
      <c r="O345">
        <f>MAX(N$12:N345)</f>
        <v>93774.651260375977</v>
      </c>
      <c r="P345">
        <f>IF(O345&gt;O344,(O345-O344)*percentSavingsParticipation,0)</f>
        <v>0</v>
      </c>
      <c r="Q345">
        <f t="shared" si="29"/>
        <v>46887.325630187988</v>
      </c>
      <c r="R345">
        <f t="shared" si="30"/>
        <v>-2780</v>
      </c>
    </row>
    <row r="346" spans="1:18" x14ac:dyDescent="0.25">
      <c r="A346" s="1"/>
      <c r="C346" s="1"/>
      <c r="D346" s="1">
        <v>41743</v>
      </c>
      <c r="E346" s="10">
        <v>33592.5</v>
      </c>
      <c r="F346" s="1">
        <v>41743</v>
      </c>
      <c r="G346">
        <v>-582</v>
      </c>
      <c r="H346" s="1">
        <f t="shared" si="26"/>
        <v>41743</v>
      </c>
      <c r="I346">
        <f>IF(AND(MyRowHidden(ROW())=FALSE,MyRowHidden(ROW()-1)=TRUE),0,(E346-E345)*unitsOfDHp+I345)</f>
        <v>45675</v>
      </c>
      <c r="J346">
        <f>IF(AND(MyRowHidden(ROW())=FALSE,MyRowHidden(ROW()-1)=TRUE),0,(G346-G345)*unitsOfExo+J345)</f>
        <v>-52205</v>
      </c>
      <c r="K346" s="9">
        <f t="shared" si="27"/>
        <v>52205</v>
      </c>
      <c r="L346">
        <f t="shared" si="28"/>
        <v>-53417.325630187988</v>
      </c>
      <c r="M346">
        <f>IF(AND(MyRowHidden(ROW())=FALSE,MyRowHidden(ROW()-1)=TRUE),0,(G346-G345)*unitsFuturesCompare+M345)</f>
        <v>-104410</v>
      </c>
      <c r="N346">
        <f>IF(MyRowHidden(ROW())=TRUE,0,L346-M346)</f>
        <v>50992.674369812012</v>
      </c>
      <c r="O346">
        <f>MAX(N$12:N346)</f>
        <v>93774.651260375977</v>
      </c>
      <c r="P346">
        <f>IF(O346&gt;O345,(O346-O345)*percentSavingsParticipation,0)</f>
        <v>0</v>
      </c>
      <c r="Q346">
        <f t="shared" si="29"/>
        <v>46887.325630187988</v>
      </c>
      <c r="R346">
        <f t="shared" si="30"/>
        <v>-6530</v>
      </c>
    </row>
    <row r="347" spans="1:18" x14ac:dyDescent="0.25">
      <c r="A347" s="1"/>
      <c r="C347" s="1"/>
      <c r="D347" s="1">
        <v>41744</v>
      </c>
      <c r="E347" s="10">
        <v>33705</v>
      </c>
      <c r="F347" s="1">
        <v>41744</v>
      </c>
      <c r="G347">
        <v>-644.5</v>
      </c>
      <c r="H347" s="1">
        <f t="shared" si="26"/>
        <v>41744</v>
      </c>
      <c r="I347">
        <f>IF(AND(MyRowHidden(ROW())=FALSE,MyRowHidden(ROW()-1)=TRUE),0,(E347-E346)*unitsOfDHp+I346)</f>
        <v>46800</v>
      </c>
      <c r="J347">
        <f>IF(AND(MyRowHidden(ROW())=FALSE,MyRowHidden(ROW()-1)=TRUE),0,(G347-G346)*unitsOfExo+J346)</f>
        <v>-52830</v>
      </c>
      <c r="K347" s="9">
        <f t="shared" si="27"/>
        <v>52830</v>
      </c>
      <c r="L347">
        <f t="shared" si="28"/>
        <v>-52917.325630187988</v>
      </c>
      <c r="M347">
        <f>IF(AND(MyRowHidden(ROW())=FALSE,MyRowHidden(ROW()-1)=TRUE),0,(G347-G346)*unitsFuturesCompare+M346)</f>
        <v>-105660</v>
      </c>
      <c r="N347">
        <f>IF(MyRowHidden(ROW())=TRUE,0,L347-M347)</f>
        <v>52742.674369812012</v>
      </c>
      <c r="O347">
        <f>MAX(N$12:N347)</f>
        <v>93774.651260375977</v>
      </c>
      <c r="P347">
        <f>IF(O347&gt;O346,(O347-O346)*percentSavingsParticipation,0)</f>
        <v>0</v>
      </c>
      <c r="Q347">
        <f t="shared" si="29"/>
        <v>46887.325630187988</v>
      </c>
      <c r="R347">
        <f t="shared" si="30"/>
        <v>-6030</v>
      </c>
    </row>
    <row r="348" spans="1:18" x14ac:dyDescent="0.25">
      <c r="A348" s="1"/>
      <c r="C348" s="1"/>
      <c r="D348" s="1">
        <v>41745</v>
      </c>
      <c r="E348" s="10">
        <v>34505</v>
      </c>
      <c r="F348" s="1">
        <v>41745</v>
      </c>
      <c r="G348">
        <v>-957</v>
      </c>
      <c r="H348" s="1">
        <f t="shared" si="26"/>
        <v>41745</v>
      </c>
      <c r="I348">
        <f>IF(AND(MyRowHidden(ROW())=FALSE,MyRowHidden(ROW()-1)=TRUE),0,(E348-E347)*unitsOfDHp+I347)</f>
        <v>54800</v>
      </c>
      <c r="J348">
        <f>IF(AND(MyRowHidden(ROW())=FALSE,MyRowHidden(ROW()-1)=TRUE),0,(G348-G347)*unitsOfExo+J347)</f>
        <v>-55955</v>
      </c>
      <c r="K348" s="9">
        <f t="shared" si="27"/>
        <v>55955</v>
      </c>
      <c r="L348">
        <f t="shared" si="28"/>
        <v>-48042.325630187988</v>
      </c>
      <c r="M348">
        <f>IF(AND(MyRowHidden(ROW())=FALSE,MyRowHidden(ROW()-1)=TRUE),0,(G348-G347)*unitsFuturesCompare+M347)</f>
        <v>-111910</v>
      </c>
      <c r="N348">
        <f>IF(MyRowHidden(ROW())=TRUE,0,L348-M348)</f>
        <v>63867.674369812012</v>
      </c>
      <c r="O348">
        <f>MAX(N$12:N348)</f>
        <v>93774.651260375977</v>
      </c>
      <c r="P348">
        <f>IF(O348&gt;O347,(O348-O347)*percentSavingsParticipation,0)</f>
        <v>0</v>
      </c>
      <c r="Q348">
        <f t="shared" si="29"/>
        <v>46887.325630187988</v>
      </c>
      <c r="R348">
        <f t="shared" si="30"/>
        <v>-1155</v>
      </c>
    </row>
    <row r="349" spans="1:18" x14ac:dyDescent="0.25">
      <c r="A349" s="1"/>
      <c r="C349" s="1"/>
      <c r="D349" s="1">
        <v>41746</v>
      </c>
      <c r="E349" s="10">
        <v>34905</v>
      </c>
      <c r="F349" s="1">
        <v>41746</v>
      </c>
      <c r="G349">
        <v>-1107</v>
      </c>
      <c r="H349" s="1">
        <f t="shared" si="26"/>
        <v>41746</v>
      </c>
      <c r="I349">
        <f>IF(AND(MyRowHidden(ROW())=FALSE,MyRowHidden(ROW()-1)=TRUE),0,(E349-E348)*unitsOfDHp+I348)</f>
        <v>58800</v>
      </c>
      <c r="J349">
        <f>IF(AND(MyRowHidden(ROW())=FALSE,MyRowHidden(ROW()-1)=TRUE),0,(G349-G348)*unitsOfExo+J348)</f>
        <v>-57455</v>
      </c>
      <c r="K349" s="9">
        <f t="shared" si="27"/>
        <v>57455</v>
      </c>
      <c r="L349">
        <f t="shared" si="28"/>
        <v>-45542.325630187988</v>
      </c>
      <c r="M349">
        <f>IF(AND(MyRowHidden(ROW())=FALSE,MyRowHidden(ROW()-1)=TRUE),0,(G349-G348)*unitsFuturesCompare+M348)</f>
        <v>-114910</v>
      </c>
      <c r="N349">
        <f>IF(MyRowHidden(ROW())=TRUE,0,L349-M349)</f>
        <v>69367.674369812012</v>
      </c>
      <c r="O349">
        <f>MAX(N$12:N349)</f>
        <v>93774.651260375977</v>
      </c>
      <c r="P349">
        <f>IF(O349&gt;O348,(O349-O348)*percentSavingsParticipation,0)</f>
        <v>0</v>
      </c>
      <c r="Q349">
        <f t="shared" si="29"/>
        <v>46887.325630187988</v>
      </c>
      <c r="R349">
        <f t="shared" si="30"/>
        <v>1345</v>
      </c>
    </row>
    <row r="350" spans="1:18" x14ac:dyDescent="0.25">
      <c r="A350" s="1"/>
      <c r="C350" s="1"/>
      <c r="D350" s="1">
        <v>41747</v>
      </c>
      <c r="E350" s="10">
        <v>35042.5</v>
      </c>
      <c r="F350" s="1">
        <v>41747</v>
      </c>
      <c r="G350">
        <v>-1144.5</v>
      </c>
      <c r="H350" s="1">
        <f t="shared" si="26"/>
        <v>41747</v>
      </c>
      <c r="I350">
        <f>IF(AND(MyRowHidden(ROW())=FALSE,MyRowHidden(ROW()-1)=TRUE),0,(E350-E349)*unitsOfDHp+I349)</f>
        <v>60175</v>
      </c>
      <c r="J350">
        <f>IF(AND(MyRowHidden(ROW())=FALSE,MyRowHidden(ROW()-1)=TRUE),0,(G350-G349)*unitsOfExo+J349)</f>
        <v>-57830</v>
      </c>
      <c r="K350" s="9">
        <f t="shared" si="27"/>
        <v>57830</v>
      </c>
      <c r="L350">
        <f t="shared" si="28"/>
        <v>-44542.325630187988</v>
      </c>
      <c r="M350">
        <f>IF(AND(MyRowHidden(ROW())=FALSE,MyRowHidden(ROW()-1)=TRUE),0,(G350-G349)*unitsFuturesCompare+M349)</f>
        <v>-115660</v>
      </c>
      <c r="N350">
        <f>IF(MyRowHidden(ROW())=TRUE,0,L350-M350)</f>
        <v>71117.674369812012</v>
      </c>
      <c r="O350">
        <f>MAX(N$12:N350)</f>
        <v>93774.651260375977</v>
      </c>
      <c r="P350">
        <f>IF(O350&gt;O349,(O350-O349)*percentSavingsParticipation,0)</f>
        <v>0</v>
      </c>
      <c r="Q350">
        <f t="shared" si="29"/>
        <v>46887.325630187988</v>
      </c>
      <c r="R350">
        <f t="shared" si="30"/>
        <v>2345</v>
      </c>
    </row>
    <row r="351" spans="1:18" x14ac:dyDescent="0.25">
      <c r="A351" s="1"/>
      <c r="C351" s="1"/>
      <c r="D351" s="1">
        <v>41750</v>
      </c>
      <c r="E351" s="10">
        <v>35830</v>
      </c>
      <c r="F351" s="1">
        <v>41750</v>
      </c>
      <c r="G351">
        <v>-1419.5</v>
      </c>
      <c r="H351" s="1">
        <f t="shared" si="26"/>
        <v>41750</v>
      </c>
      <c r="I351">
        <f>IF(AND(MyRowHidden(ROW())=FALSE,MyRowHidden(ROW()-1)=TRUE),0,(E351-E350)*unitsOfDHp+I350)</f>
        <v>68050</v>
      </c>
      <c r="J351">
        <f>IF(AND(MyRowHidden(ROW())=FALSE,MyRowHidden(ROW()-1)=TRUE),0,(G351-G350)*unitsOfExo+J350)</f>
        <v>-60580</v>
      </c>
      <c r="K351" s="9">
        <f t="shared" si="27"/>
        <v>60580</v>
      </c>
      <c r="L351">
        <f t="shared" si="28"/>
        <v>-39417.325630187988</v>
      </c>
      <c r="M351">
        <f>IF(AND(MyRowHidden(ROW())=FALSE,MyRowHidden(ROW()-1)=TRUE),0,(G351-G350)*unitsFuturesCompare+M350)</f>
        <v>-121160</v>
      </c>
      <c r="N351">
        <f>IF(MyRowHidden(ROW())=TRUE,0,L351-M351)</f>
        <v>81742.674369812012</v>
      </c>
      <c r="O351">
        <f>MAX(N$12:N351)</f>
        <v>93774.651260375977</v>
      </c>
      <c r="P351">
        <f>IF(O351&gt;O350,(O351-O350)*percentSavingsParticipation,0)</f>
        <v>0</v>
      </c>
      <c r="Q351">
        <f t="shared" si="29"/>
        <v>46887.325630187988</v>
      </c>
      <c r="R351">
        <f t="shared" si="30"/>
        <v>7470</v>
      </c>
    </row>
    <row r="352" spans="1:18" x14ac:dyDescent="0.25">
      <c r="A352" s="1"/>
      <c r="C352" s="1"/>
      <c r="D352" s="1">
        <v>41751</v>
      </c>
      <c r="E352" s="10">
        <v>34280</v>
      </c>
      <c r="F352" s="1">
        <v>41751</v>
      </c>
      <c r="G352">
        <v>-882</v>
      </c>
      <c r="H352" s="1">
        <f t="shared" si="26"/>
        <v>41751</v>
      </c>
      <c r="I352">
        <f>IF(AND(MyRowHidden(ROW())=FALSE,MyRowHidden(ROW()-1)=TRUE),0,(E352-E351)*unitsOfDHp+I351)</f>
        <v>52550</v>
      </c>
      <c r="J352">
        <f>IF(AND(MyRowHidden(ROW())=FALSE,MyRowHidden(ROW()-1)=TRUE),0,(G352-G351)*unitsOfExo+J351)</f>
        <v>-55205</v>
      </c>
      <c r="K352" s="9">
        <f t="shared" si="27"/>
        <v>55205</v>
      </c>
      <c r="L352">
        <f t="shared" si="28"/>
        <v>-49542.325630187988</v>
      </c>
      <c r="M352">
        <f>IF(AND(MyRowHidden(ROW())=FALSE,MyRowHidden(ROW()-1)=TRUE),0,(G352-G351)*unitsFuturesCompare+M351)</f>
        <v>-110410</v>
      </c>
      <c r="N352">
        <f>IF(MyRowHidden(ROW())=TRUE,0,L352-M352)</f>
        <v>60867.674369812012</v>
      </c>
      <c r="O352">
        <f>MAX(N$12:N352)</f>
        <v>93774.651260375977</v>
      </c>
      <c r="P352">
        <f>IF(O352&gt;O351,(O352-O351)*percentSavingsParticipation,0)</f>
        <v>0</v>
      </c>
      <c r="Q352">
        <f t="shared" si="29"/>
        <v>46887.325630187988</v>
      </c>
      <c r="R352">
        <f t="shared" si="30"/>
        <v>-2655</v>
      </c>
    </row>
    <row r="353" spans="1:18" x14ac:dyDescent="0.25">
      <c r="A353" s="1"/>
      <c r="C353" s="1"/>
      <c r="D353" s="1">
        <v>41752</v>
      </c>
      <c r="E353" s="10">
        <v>33594.5</v>
      </c>
      <c r="F353" s="1">
        <v>41752</v>
      </c>
      <c r="G353">
        <v>-657</v>
      </c>
      <c r="H353" s="1">
        <f t="shared" si="26"/>
        <v>41752</v>
      </c>
      <c r="I353">
        <f>IF(AND(MyRowHidden(ROW())=FALSE,MyRowHidden(ROW()-1)=TRUE),0,(E353-E352)*unitsOfDHp+I352)</f>
        <v>45695</v>
      </c>
      <c r="J353">
        <f>IF(AND(MyRowHidden(ROW())=FALSE,MyRowHidden(ROW()-1)=TRUE),0,(G353-G352)*unitsOfExo+J352)</f>
        <v>-52955</v>
      </c>
      <c r="K353" s="9">
        <f t="shared" si="27"/>
        <v>52955</v>
      </c>
      <c r="L353">
        <f t="shared" si="28"/>
        <v>-54147.325630187988</v>
      </c>
      <c r="M353">
        <f>IF(AND(MyRowHidden(ROW())=FALSE,MyRowHidden(ROW()-1)=TRUE),0,(G353-G352)*unitsFuturesCompare+M352)</f>
        <v>-105910</v>
      </c>
      <c r="N353">
        <f>IF(MyRowHidden(ROW())=TRUE,0,L353-M353)</f>
        <v>51762.674369812012</v>
      </c>
      <c r="O353">
        <f>MAX(N$12:N353)</f>
        <v>93774.651260375977</v>
      </c>
      <c r="P353">
        <f>IF(O353&gt;O352,(O353-O352)*percentSavingsParticipation,0)</f>
        <v>0</v>
      </c>
      <c r="Q353">
        <f t="shared" si="29"/>
        <v>46887.325630187988</v>
      </c>
      <c r="R353">
        <f t="shared" si="30"/>
        <v>-7260</v>
      </c>
    </row>
    <row r="354" spans="1:18" x14ac:dyDescent="0.25">
      <c r="A354" s="1"/>
      <c r="C354" s="1"/>
      <c r="D354" s="1">
        <v>41753</v>
      </c>
      <c r="E354" s="10">
        <v>33427</v>
      </c>
      <c r="F354" s="1">
        <v>41753</v>
      </c>
      <c r="G354">
        <v>-744.5</v>
      </c>
      <c r="H354" s="1">
        <f t="shared" si="26"/>
        <v>41753</v>
      </c>
      <c r="I354">
        <f>IF(AND(MyRowHidden(ROW())=FALSE,MyRowHidden(ROW()-1)=TRUE),0,(E354-E353)*unitsOfDHp+I353)</f>
        <v>44020</v>
      </c>
      <c r="J354">
        <f>IF(AND(MyRowHidden(ROW())=FALSE,MyRowHidden(ROW()-1)=TRUE),0,(G354-G353)*unitsOfExo+J353)</f>
        <v>-53830</v>
      </c>
      <c r="K354" s="9">
        <f t="shared" si="27"/>
        <v>53830</v>
      </c>
      <c r="L354">
        <f t="shared" si="28"/>
        <v>-56697.325630187988</v>
      </c>
      <c r="M354">
        <f>IF(AND(MyRowHidden(ROW())=FALSE,MyRowHidden(ROW()-1)=TRUE),0,(G354-G353)*unitsFuturesCompare+M353)</f>
        <v>-107660</v>
      </c>
      <c r="N354">
        <f>IF(MyRowHidden(ROW())=TRUE,0,L354-M354)</f>
        <v>50962.674369812012</v>
      </c>
      <c r="O354">
        <f>MAX(N$12:N354)</f>
        <v>93774.651260375977</v>
      </c>
      <c r="P354">
        <f>IF(O354&gt;O353,(O354-O353)*percentSavingsParticipation,0)</f>
        <v>0</v>
      </c>
      <c r="Q354">
        <f t="shared" si="29"/>
        <v>46887.325630187988</v>
      </c>
      <c r="R354">
        <f t="shared" si="30"/>
        <v>-9810</v>
      </c>
    </row>
    <row r="355" spans="1:18" x14ac:dyDescent="0.25">
      <c r="A355" s="1"/>
      <c r="C355" s="1"/>
      <c r="D355" s="1">
        <v>41754</v>
      </c>
      <c r="E355" s="10">
        <v>33515.5</v>
      </c>
      <c r="F355" s="1">
        <v>41754</v>
      </c>
      <c r="G355">
        <v>-444.5</v>
      </c>
      <c r="H355" s="1">
        <f t="shared" si="26"/>
        <v>41754</v>
      </c>
      <c r="I355">
        <f>IF(AND(MyRowHidden(ROW())=FALSE,MyRowHidden(ROW()-1)=TRUE),0,(E355-E354)*unitsOfDHp+I354)</f>
        <v>44905</v>
      </c>
      <c r="J355">
        <f>IF(AND(MyRowHidden(ROW())=FALSE,MyRowHidden(ROW()-1)=TRUE),0,(G355-G354)*unitsOfExo+J354)</f>
        <v>-50830</v>
      </c>
      <c r="K355" s="9">
        <f t="shared" si="27"/>
        <v>50830</v>
      </c>
      <c r="L355">
        <f t="shared" si="28"/>
        <v>-52812.325630187988</v>
      </c>
      <c r="M355">
        <f>IF(AND(MyRowHidden(ROW())=FALSE,MyRowHidden(ROW()-1)=TRUE),0,(G355-G354)*unitsFuturesCompare+M354)</f>
        <v>-101660</v>
      </c>
      <c r="N355">
        <f>IF(MyRowHidden(ROW())=TRUE,0,L355-M355)</f>
        <v>48847.674369812012</v>
      </c>
      <c r="O355">
        <f>MAX(N$12:N355)</f>
        <v>93774.651260375977</v>
      </c>
      <c r="P355">
        <f>IF(O355&gt;O354,(O355-O354)*percentSavingsParticipation,0)</f>
        <v>0</v>
      </c>
      <c r="Q355">
        <f t="shared" si="29"/>
        <v>46887.325630187988</v>
      </c>
      <c r="R355">
        <f t="shared" si="30"/>
        <v>-5925</v>
      </c>
    </row>
    <row r="356" spans="1:18" x14ac:dyDescent="0.25">
      <c r="A356" s="1"/>
      <c r="C356" s="1"/>
      <c r="D356" s="1">
        <v>41757</v>
      </c>
      <c r="E356" s="10">
        <v>33590.5</v>
      </c>
      <c r="F356" s="1">
        <v>41757</v>
      </c>
      <c r="G356">
        <v>-382</v>
      </c>
      <c r="H356" s="1">
        <f t="shared" si="26"/>
        <v>41757</v>
      </c>
      <c r="I356">
        <f>IF(AND(MyRowHidden(ROW())=FALSE,MyRowHidden(ROW()-1)=TRUE),0,(E356-E355)*unitsOfDHp+I355)</f>
        <v>45655</v>
      </c>
      <c r="J356">
        <f>IF(AND(MyRowHidden(ROW())=FALSE,MyRowHidden(ROW()-1)=TRUE),0,(G356-G355)*unitsOfExo+J355)</f>
        <v>-50205</v>
      </c>
      <c r="K356" s="9">
        <f t="shared" si="27"/>
        <v>50205</v>
      </c>
      <c r="L356">
        <f t="shared" si="28"/>
        <v>-51437.325630187988</v>
      </c>
      <c r="M356">
        <f>IF(AND(MyRowHidden(ROW())=FALSE,MyRowHidden(ROW()-1)=TRUE),0,(G356-G355)*unitsFuturesCompare+M355)</f>
        <v>-100410</v>
      </c>
      <c r="N356">
        <f>IF(MyRowHidden(ROW())=TRUE,0,L356-M356)</f>
        <v>48972.674369812012</v>
      </c>
      <c r="O356">
        <f>MAX(N$12:N356)</f>
        <v>93774.651260375977</v>
      </c>
      <c r="P356">
        <f>IF(O356&gt;O355,(O356-O355)*percentSavingsParticipation,0)</f>
        <v>0</v>
      </c>
      <c r="Q356">
        <f t="shared" si="29"/>
        <v>46887.325630187988</v>
      </c>
      <c r="R356">
        <f t="shared" si="30"/>
        <v>-4550</v>
      </c>
    </row>
    <row r="357" spans="1:18" x14ac:dyDescent="0.25">
      <c r="A357" s="1"/>
      <c r="C357" s="1"/>
      <c r="D357" s="1">
        <v>41758</v>
      </c>
      <c r="E357" s="10">
        <v>33715.5</v>
      </c>
      <c r="F357" s="1">
        <v>41758</v>
      </c>
      <c r="G357">
        <v>-82</v>
      </c>
      <c r="H357" s="1">
        <f t="shared" si="26"/>
        <v>41758</v>
      </c>
      <c r="I357">
        <f>IF(AND(MyRowHidden(ROW())=FALSE,MyRowHidden(ROW()-1)=TRUE),0,(E357-E356)*unitsOfDHp+I356)</f>
        <v>46905</v>
      </c>
      <c r="J357">
        <f>IF(AND(MyRowHidden(ROW())=FALSE,MyRowHidden(ROW()-1)=TRUE),0,(G357-G356)*unitsOfExo+J356)</f>
        <v>-47205</v>
      </c>
      <c r="K357" s="9">
        <f t="shared" si="27"/>
        <v>47205</v>
      </c>
      <c r="L357">
        <f t="shared" si="28"/>
        <v>-47187.325630187988</v>
      </c>
      <c r="M357">
        <f>IF(AND(MyRowHidden(ROW())=FALSE,MyRowHidden(ROW()-1)=TRUE),0,(G357-G356)*unitsFuturesCompare+M356)</f>
        <v>-94410</v>
      </c>
      <c r="N357">
        <f>IF(MyRowHidden(ROW())=TRUE,0,L357-M357)</f>
        <v>47222.674369812012</v>
      </c>
      <c r="O357">
        <f>MAX(N$12:N357)</f>
        <v>93774.651260375977</v>
      </c>
      <c r="P357">
        <f>IF(O357&gt;O356,(O357-O356)*percentSavingsParticipation,0)</f>
        <v>0</v>
      </c>
      <c r="Q357">
        <f t="shared" si="29"/>
        <v>46887.325630187988</v>
      </c>
      <c r="R357">
        <f t="shared" si="30"/>
        <v>-300</v>
      </c>
    </row>
    <row r="358" spans="1:18" x14ac:dyDescent="0.25">
      <c r="A358" s="1"/>
      <c r="C358" s="1"/>
      <c r="D358" s="1">
        <v>41759</v>
      </c>
      <c r="E358" s="10">
        <v>33815.5</v>
      </c>
      <c r="F358" s="1">
        <v>41759</v>
      </c>
      <c r="G358">
        <v>-194.5</v>
      </c>
      <c r="H358" s="1">
        <f t="shared" si="26"/>
        <v>41759</v>
      </c>
      <c r="I358">
        <f>IF(AND(MyRowHidden(ROW())=FALSE,MyRowHidden(ROW()-1)=TRUE),0,(E358-E357)*unitsOfDHp+I357)</f>
        <v>47905</v>
      </c>
      <c r="J358">
        <f>IF(AND(MyRowHidden(ROW())=FALSE,MyRowHidden(ROW()-1)=TRUE),0,(G358-G357)*unitsOfExo+J357)</f>
        <v>-48330</v>
      </c>
      <c r="K358" s="9">
        <f t="shared" si="27"/>
        <v>48330</v>
      </c>
      <c r="L358">
        <f t="shared" si="28"/>
        <v>-47312.325630187988</v>
      </c>
      <c r="M358">
        <f>IF(AND(MyRowHidden(ROW())=FALSE,MyRowHidden(ROW()-1)=TRUE),0,(G358-G357)*unitsFuturesCompare+M357)</f>
        <v>-96660</v>
      </c>
      <c r="N358">
        <f>IF(MyRowHidden(ROW())=TRUE,0,L358-M358)</f>
        <v>49347.674369812012</v>
      </c>
      <c r="O358">
        <f>MAX(N$12:N358)</f>
        <v>93774.651260375977</v>
      </c>
      <c r="P358">
        <f>IF(O358&gt;O357,(O358-O357)*percentSavingsParticipation,0)</f>
        <v>0</v>
      </c>
      <c r="Q358">
        <f t="shared" si="29"/>
        <v>46887.325630187988</v>
      </c>
      <c r="R358">
        <f t="shared" si="30"/>
        <v>-425</v>
      </c>
    </row>
    <row r="359" spans="1:18" x14ac:dyDescent="0.25">
      <c r="A359" s="1"/>
      <c r="C359" s="1"/>
      <c r="D359" s="1">
        <v>41760</v>
      </c>
      <c r="E359" s="10">
        <v>33566.5</v>
      </c>
      <c r="F359" s="1">
        <v>41760</v>
      </c>
      <c r="G359">
        <v>-744</v>
      </c>
      <c r="H359" s="1">
        <f t="shared" si="26"/>
        <v>41760</v>
      </c>
      <c r="I359">
        <f>IF(AND(MyRowHidden(ROW())=FALSE,MyRowHidden(ROW()-1)=TRUE),0,(E359-E358)*unitsOfDHp+I358)</f>
        <v>45415</v>
      </c>
      <c r="J359">
        <f>IF(AND(MyRowHidden(ROW())=FALSE,MyRowHidden(ROW()-1)=TRUE),0,(G359-G358)*unitsOfExo+J358)</f>
        <v>-53825</v>
      </c>
      <c r="K359" s="9">
        <f t="shared" si="27"/>
        <v>53825</v>
      </c>
      <c r="L359">
        <f t="shared" si="28"/>
        <v>-55297.325630187988</v>
      </c>
      <c r="M359">
        <f>IF(AND(MyRowHidden(ROW())=FALSE,MyRowHidden(ROW()-1)=TRUE),0,(G359-G358)*unitsFuturesCompare+M358)</f>
        <v>-107650</v>
      </c>
      <c r="N359">
        <f>IF(MyRowHidden(ROW())=TRUE,0,L359-M359)</f>
        <v>52352.674369812012</v>
      </c>
      <c r="O359">
        <f>MAX(N$12:N359)</f>
        <v>93774.651260375977</v>
      </c>
      <c r="P359">
        <f>IF(O359&gt;O358,(O359-O358)*percentSavingsParticipation,0)</f>
        <v>0</v>
      </c>
      <c r="Q359">
        <f t="shared" si="29"/>
        <v>46887.325630187988</v>
      </c>
      <c r="R359">
        <f t="shared" si="30"/>
        <v>-8410</v>
      </c>
    </row>
    <row r="360" spans="1:18" x14ac:dyDescent="0.25">
      <c r="A360" s="1"/>
      <c r="C360" s="1"/>
      <c r="D360" s="1">
        <v>41761</v>
      </c>
      <c r="E360" s="10">
        <v>33233.5</v>
      </c>
      <c r="F360" s="1">
        <v>41761</v>
      </c>
      <c r="G360">
        <v>-1206.5</v>
      </c>
      <c r="H360" s="1">
        <f t="shared" si="26"/>
        <v>41761</v>
      </c>
      <c r="I360">
        <f>IF(AND(MyRowHidden(ROW())=FALSE,MyRowHidden(ROW()-1)=TRUE),0,(E360-E359)*unitsOfDHp+I359)</f>
        <v>42085</v>
      </c>
      <c r="J360">
        <f>IF(AND(MyRowHidden(ROW())=FALSE,MyRowHidden(ROW()-1)=TRUE),0,(G360-G359)*unitsOfExo+J359)</f>
        <v>-58450</v>
      </c>
      <c r="K360" s="9">
        <f t="shared" si="27"/>
        <v>58450</v>
      </c>
      <c r="L360">
        <f t="shared" si="28"/>
        <v>-63252.325630187988</v>
      </c>
      <c r="M360">
        <f>IF(AND(MyRowHidden(ROW())=FALSE,MyRowHidden(ROW()-1)=TRUE),0,(G360-G359)*unitsFuturesCompare+M359)</f>
        <v>-116900</v>
      </c>
      <c r="N360">
        <f>IF(MyRowHidden(ROW())=TRUE,0,L360-M360)</f>
        <v>53647.674369812012</v>
      </c>
      <c r="O360">
        <f>MAX(N$12:N360)</f>
        <v>93774.651260375977</v>
      </c>
      <c r="P360">
        <f>IF(O360&gt;O359,(O360-O359)*percentSavingsParticipation,0)</f>
        <v>0</v>
      </c>
      <c r="Q360">
        <f t="shared" si="29"/>
        <v>46887.325630187988</v>
      </c>
      <c r="R360">
        <f t="shared" si="30"/>
        <v>-16365</v>
      </c>
    </row>
    <row r="361" spans="1:18" x14ac:dyDescent="0.25">
      <c r="A361" s="1"/>
      <c r="C361" s="1"/>
      <c r="D361" s="1">
        <v>41764</v>
      </c>
      <c r="E361" s="10">
        <v>32989.5</v>
      </c>
      <c r="F361" s="1">
        <v>41764</v>
      </c>
      <c r="G361">
        <v>-669</v>
      </c>
      <c r="H361" s="1">
        <f t="shared" si="26"/>
        <v>41764</v>
      </c>
      <c r="I361">
        <f>IF(AND(MyRowHidden(ROW())=FALSE,MyRowHidden(ROW()-1)=TRUE),0,(E361-E360)*unitsOfDHp+I360)</f>
        <v>39645</v>
      </c>
      <c r="J361">
        <f>IF(AND(MyRowHidden(ROW())=FALSE,MyRowHidden(ROW()-1)=TRUE),0,(G361-G360)*unitsOfExo+J360)</f>
        <v>-53075</v>
      </c>
      <c r="K361" s="9">
        <f t="shared" si="27"/>
        <v>53075</v>
      </c>
      <c r="L361">
        <f t="shared" si="28"/>
        <v>-60317.325630187988</v>
      </c>
      <c r="M361">
        <f>IF(AND(MyRowHidden(ROW())=FALSE,MyRowHidden(ROW()-1)=TRUE),0,(G361-G360)*unitsFuturesCompare+M360)</f>
        <v>-106150</v>
      </c>
      <c r="N361">
        <f>IF(MyRowHidden(ROW())=TRUE,0,L361-M361)</f>
        <v>45832.674369812012</v>
      </c>
      <c r="O361">
        <f>MAX(N$12:N361)</f>
        <v>93774.651260375977</v>
      </c>
      <c r="P361">
        <f>IF(O361&gt;O360,(O361-O360)*percentSavingsParticipation,0)</f>
        <v>0</v>
      </c>
      <c r="Q361">
        <f t="shared" si="29"/>
        <v>46887.325630187988</v>
      </c>
      <c r="R361">
        <f t="shared" si="30"/>
        <v>-13430</v>
      </c>
    </row>
    <row r="362" spans="1:18" x14ac:dyDescent="0.25">
      <c r="A362" s="1"/>
      <c r="C362" s="1"/>
      <c r="D362" s="1">
        <v>41765</v>
      </c>
      <c r="E362" s="10">
        <v>32714.5</v>
      </c>
      <c r="F362" s="1">
        <v>41765</v>
      </c>
      <c r="G362">
        <v>-231.5</v>
      </c>
      <c r="H362" s="1">
        <f t="shared" si="26"/>
        <v>41765</v>
      </c>
      <c r="I362">
        <f>IF(AND(MyRowHidden(ROW())=FALSE,MyRowHidden(ROW()-1)=TRUE),0,(E362-E361)*unitsOfDHp+I361)</f>
        <v>36895</v>
      </c>
      <c r="J362">
        <f>IF(AND(MyRowHidden(ROW())=FALSE,MyRowHidden(ROW()-1)=TRUE),0,(G362-G361)*unitsOfExo+J361)</f>
        <v>-48700</v>
      </c>
      <c r="K362" s="9">
        <f t="shared" si="27"/>
        <v>48700</v>
      </c>
      <c r="L362">
        <f t="shared" si="28"/>
        <v>-58692.325630187988</v>
      </c>
      <c r="M362">
        <f>IF(AND(MyRowHidden(ROW())=FALSE,MyRowHidden(ROW()-1)=TRUE),0,(G362-G361)*unitsFuturesCompare+M361)</f>
        <v>-97400</v>
      </c>
      <c r="N362">
        <f>IF(MyRowHidden(ROW())=TRUE,0,L362-M362)</f>
        <v>38707.674369812012</v>
      </c>
      <c r="O362">
        <f>MAX(N$12:N362)</f>
        <v>93774.651260375977</v>
      </c>
      <c r="P362">
        <f>IF(O362&gt;O361,(O362-O361)*percentSavingsParticipation,0)</f>
        <v>0</v>
      </c>
      <c r="Q362">
        <f t="shared" si="29"/>
        <v>46887.325630187988</v>
      </c>
      <c r="R362">
        <f t="shared" si="30"/>
        <v>-11805</v>
      </c>
    </row>
    <row r="363" spans="1:18" x14ac:dyDescent="0.25">
      <c r="A363" s="1"/>
      <c r="C363" s="1"/>
      <c r="D363" s="1">
        <v>41766</v>
      </c>
      <c r="E363" s="10">
        <v>32927</v>
      </c>
      <c r="F363" s="1">
        <v>41766</v>
      </c>
      <c r="G363">
        <v>-569</v>
      </c>
      <c r="H363" s="1">
        <f t="shared" si="26"/>
        <v>41766</v>
      </c>
      <c r="I363">
        <f>IF(AND(MyRowHidden(ROW())=FALSE,MyRowHidden(ROW()-1)=TRUE),0,(E363-E362)*unitsOfDHp+I362)</f>
        <v>39020</v>
      </c>
      <c r="J363">
        <f>IF(AND(MyRowHidden(ROW())=FALSE,MyRowHidden(ROW()-1)=TRUE),0,(G363-G362)*unitsOfExo+J362)</f>
        <v>-52075</v>
      </c>
      <c r="K363" s="9">
        <f t="shared" si="27"/>
        <v>52075</v>
      </c>
      <c r="L363">
        <f t="shared" si="28"/>
        <v>-59942.325630187988</v>
      </c>
      <c r="M363">
        <f>IF(AND(MyRowHidden(ROW())=FALSE,MyRowHidden(ROW()-1)=TRUE),0,(G363-G362)*unitsFuturesCompare+M362)</f>
        <v>-104150</v>
      </c>
      <c r="N363">
        <f>IF(MyRowHidden(ROW())=TRUE,0,L363-M363)</f>
        <v>44207.674369812012</v>
      </c>
      <c r="O363">
        <f>MAX(N$12:N363)</f>
        <v>93774.651260375977</v>
      </c>
      <c r="P363">
        <f>IF(O363&gt;O362,(O363-O362)*percentSavingsParticipation,0)</f>
        <v>0</v>
      </c>
      <c r="Q363">
        <f t="shared" si="29"/>
        <v>46887.325630187988</v>
      </c>
      <c r="R363">
        <f t="shared" si="30"/>
        <v>-13055</v>
      </c>
    </row>
    <row r="364" spans="1:18" x14ac:dyDescent="0.25">
      <c r="A364" s="1"/>
      <c r="C364" s="1"/>
      <c r="D364" s="1">
        <v>41767</v>
      </c>
      <c r="E364" s="10">
        <v>32927</v>
      </c>
      <c r="F364" s="1">
        <v>41767</v>
      </c>
      <c r="G364">
        <v>-306.5</v>
      </c>
      <c r="H364" s="1">
        <f t="shared" si="26"/>
        <v>41767</v>
      </c>
      <c r="I364">
        <f>IF(AND(MyRowHidden(ROW())=FALSE,MyRowHidden(ROW()-1)=TRUE),0,(E364-E363)*unitsOfDHp+I363)</f>
        <v>39020</v>
      </c>
      <c r="J364">
        <f>IF(AND(MyRowHidden(ROW())=FALSE,MyRowHidden(ROW()-1)=TRUE),0,(G364-G363)*unitsOfExo+J363)</f>
        <v>-49450</v>
      </c>
      <c r="K364" s="9">
        <f t="shared" si="27"/>
        <v>49450</v>
      </c>
      <c r="L364">
        <f t="shared" si="28"/>
        <v>-57317.325630187988</v>
      </c>
      <c r="M364">
        <f>IF(AND(MyRowHidden(ROW())=FALSE,MyRowHidden(ROW()-1)=TRUE),0,(G364-G363)*unitsFuturesCompare+M363)</f>
        <v>-98900</v>
      </c>
      <c r="N364">
        <f>IF(MyRowHidden(ROW())=TRUE,0,L364-M364)</f>
        <v>41582.674369812012</v>
      </c>
      <c r="O364">
        <f>MAX(N$12:N364)</f>
        <v>93774.651260375977</v>
      </c>
      <c r="P364">
        <f>IF(O364&gt;O363,(O364-O363)*percentSavingsParticipation,0)</f>
        <v>0</v>
      </c>
      <c r="Q364">
        <f t="shared" si="29"/>
        <v>46887.325630187988</v>
      </c>
      <c r="R364">
        <f t="shared" si="30"/>
        <v>-10430</v>
      </c>
    </row>
    <row r="365" spans="1:18" x14ac:dyDescent="0.25">
      <c r="A365" s="1"/>
      <c r="C365" s="1"/>
      <c r="D365" s="1">
        <v>41768</v>
      </c>
      <c r="E365" s="10">
        <v>32927</v>
      </c>
      <c r="F365" s="1">
        <v>41768</v>
      </c>
      <c r="G365">
        <v>-594</v>
      </c>
      <c r="H365" s="1">
        <f t="shared" si="26"/>
        <v>41768</v>
      </c>
      <c r="I365">
        <f>IF(AND(MyRowHidden(ROW())=FALSE,MyRowHidden(ROW()-1)=TRUE),0,(E365-E364)*unitsOfDHp+I364)</f>
        <v>39020</v>
      </c>
      <c r="J365">
        <f>IF(AND(MyRowHidden(ROW())=FALSE,MyRowHidden(ROW()-1)=TRUE),0,(G365-G364)*unitsOfExo+J364)</f>
        <v>-52325</v>
      </c>
      <c r="K365" s="9">
        <f t="shared" si="27"/>
        <v>52325</v>
      </c>
      <c r="L365">
        <f t="shared" si="28"/>
        <v>-60192.325630187988</v>
      </c>
      <c r="M365">
        <f>IF(AND(MyRowHidden(ROW())=FALSE,MyRowHidden(ROW()-1)=TRUE),0,(G365-G364)*unitsFuturesCompare+M364)</f>
        <v>-104650</v>
      </c>
      <c r="N365">
        <f>IF(MyRowHidden(ROW())=TRUE,0,L365-M365)</f>
        <v>44457.674369812012</v>
      </c>
      <c r="O365">
        <f>MAX(N$12:N365)</f>
        <v>93774.651260375977</v>
      </c>
      <c r="P365">
        <f>IF(O365&gt;O364,(O365-O364)*percentSavingsParticipation,0)</f>
        <v>0</v>
      </c>
      <c r="Q365">
        <f t="shared" si="29"/>
        <v>46887.325630187988</v>
      </c>
      <c r="R365">
        <f t="shared" si="30"/>
        <v>-13305</v>
      </c>
    </row>
    <row r="366" spans="1:18" x14ac:dyDescent="0.25">
      <c r="A366" s="1"/>
      <c r="C366" s="1"/>
      <c r="D366" s="1">
        <v>41771</v>
      </c>
      <c r="E366" s="10">
        <v>32927</v>
      </c>
      <c r="F366" s="1">
        <v>41771</v>
      </c>
      <c r="G366">
        <v>-1144</v>
      </c>
      <c r="H366" s="1">
        <f t="shared" si="26"/>
        <v>41771</v>
      </c>
      <c r="I366">
        <f>IF(AND(MyRowHidden(ROW())=FALSE,MyRowHidden(ROW()-1)=TRUE),0,(E366-E365)*unitsOfDHp+I365)</f>
        <v>39020</v>
      </c>
      <c r="J366">
        <f>IF(AND(MyRowHidden(ROW())=FALSE,MyRowHidden(ROW()-1)=TRUE),0,(G366-G365)*unitsOfExo+J365)</f>
        <v>-57825</v>
      </c>
      <c r="K366" s="9">
        <f t="shared" si="27"/>
        <v>57825</v>
      </c>
      <c r="L366">
        <f t="shared" si="28"/>
        <v>-65692.325630187988</v>
      </c>
      <c r="M366">
        <f>IF(AND(MyRowHidden(ROW())=FALSE,MyRowHidden(ROW()-1)=TRUE),0,(G366-G365)*unitsFuturesCompare+M365)</f>
        <v>-115650</v>
      </c>
      <c r="N366">
        <f>IF(MyRowHidden(ROW())=TRUE,0,L366-M366)</f>
        <v>49957.674369812012</v>
      </c>
      <c r="O366">
        <f>MAX(N$12:N366)</f>
        <v>93774.651260375977</v>
      </c>
      <c r="P366">
        <f>IF(O366&gt;O365,(O366-O365)*percentSavingsParticipation,0)</f>
        <v>0</v>
      </c>
      <c r="Q366">
        <f t="shared" si="29"/>
        <v>46887.325630187988</v>
      </c>
      <c r="R366">
        <f t="shared" si="30"/>
        <v>-18805</v>
      </c>
    </row>
    <row r="367" spans="1:18" x14ac:dyDescent="0.25">
      <c r="A367" s="1"/>
      <c r="C367" s="1"/>
      <c r="D367" s="1">
        <v>41772</v>
      </c>
      <c r="E367" s="10">
        <v>32927</v>
      </c>
      <c r="F367" s="1">
        <v>41772</v>
      </c>
      <c r="G367">
        <v>-1044</v>
      </c>
      <c r="H367" s="1">
        <f t="shared" si="26"/>
        <v>41772</v>
      </c>
      <c r="I367">
        <f>IF(AND(MyRowHidden(ROW())=FALSE,MyRowHidden(ROW()-1)=TRUE),0,(E367-E366)*unitsOfDHp+I366)</f>
        <v>39020</v>
      </c>
      <c r="J367">
        <f>IF(AND(MyRowHidden(ROW())=FALSE,MyRowHidden(ROW()-1)=TRUE),0,(G367-G366)*unitsOfExo+J366)</f>
        <v>-56825</v>
      </c>
      <c r="K367" s="9">
        <f t="shared" si="27"/>
        <v>56825</v>
      </c>
      <c r="L367">
        <f t="shared" si="28"/>
        <v>-64692.325630187988</v>
      </c>
      <c r="M367">
        <f>IF(AND(MyRowHidden(ROW())=FALSE,MyRowHidden(ROW()-1)=TRUE),0,(G367-G366)*unitsFuturesCompare+M366)</f>
        <v>-113650</v>
      </c>
      <c r="N367">
        <f>IF(MyRowHidden(ROW())=TRUE,0,L367-M367)</f>
        <v>48957.674369812012</v>
      </c>
      <c r="O367">
        <f>MAX(N$12:N367)</f>
        <v>93774.651260375977</v>
      </c>
      <c r="P367">
        <f>IF(O367&gt;O366,(O367-O366)*percentSavingsParticipation,0)</f>
        <v>0</v>
      </c>
      <c r="Q367">
        <f t="shared" si="29"/>
        <v>46887.325630187988</v>
      </c>
      <c r="R367">
        <f t="shared" si="30"/>
        <v>-17805</v>
      </c>
    </row>
    <row r="368" spans="1:18" x14ac:dyDescent="0.25">
      <c r="A368" s="1"/>
      <c r="C368" s="1"/>
      <c r="D368" s="1">
        <v>41773</v>
      </c>
      <c r="E368" s="10">
        <v>33615.5</v>
      </c>
      <c r="F368" s="1">
        <v>41773</v>
      </c>
      <c r="G368">
        <v>-1306.5</v>
      </c>
      <c r="H368" s="1">
        <f t="shared" si="26"/>
        <v>41773</v>
      </c>
      <c r="I368">
        <f>IF(AND(MyRowHidden(ROW())=FALSE,MyRowHidden(ROW()-1)=TRUE),0,(E368-E367)*unitsOfDHp+I367)</f>
        <v>45905</v>
      </c>
      <c r="J368">
        <f>IF(AND(MyRowHidden(ROW())=FALSE,MyRowHidden(ROW()-1)=TRUE),0,(G368-G367)*unitsOfExo+J367)</f>
        <v>-59450</v>
      </c>
      <c r="K368" s="9">
        <f t="shared" si="27"/>
        <v>59450</v>
      </c>
      <c r="L368">
        <f t="shared" si="28"/>
        <v>-60432.325630187988</v>
      </c>
      <c r="M368">
        <f>IF(AND(MyRowHidden(ROW())=FALSE,MyRowHidden(ROW()-1)=TRUE),0,(G368-G367)*unitsFuturesCompare+M367)</f>
        <v>-118900</v>
      </c>
      <c r="N368">
        <f>IF(MyRowHidden(ROW())=TRUE,0,L368-M368)</f>
        <v>58467.674369812012</v>
      </c>
      <c r="O368">
        <f>MAX(N$12:N368)</f>
        <v>93774.651260375977</v>
      </c>
      <c r="P368">
        <f>IF(O368&gt;O367,(O368-O367)*percentSavingsParticipation,0)</f>
        <v>0</v>
      </c>
      <c r="Q368">
        <f t="shared" si="29"/>
        <v>46887.325630187988</v>
      </c>
      <c r="R368">
        <f t="shared" si="30"/>
        <v>-13545</v>
      </c>
    </row>
    <row r="369" spans="1:18" x14ac:dyDescent="0.25">
      <c r="A369" s="1"/>
      <c r="C369" s="1"/>
      <c r="D369" s="1">
        <v>41774</v>
      </c>
      <c r="E369" s="10">
        <v>35229</v>
      </c>
      <c r="F369" s="1">
        <v>41774</v>
      </c>
      <c r="G369">
        <v>-1906.5</v>
      </c>
      <c r="H369" s="1">
        <f t="shared" si="26"/>
        <v>41774</v>
      </c>
      <c r="I369">
        <f>IF(AND(MyRowHidden(ROW())=FALSE,MyRowHidden(ROW()-1)=TRUE),0,(E369-E368)*unitsOfDHp+I368)</f>
        <v>62040</v>
      </c>
      <c r="J369">
        <f>IF(AND(MyRowHidden(ROW())=FALSE,MyRowHidden(ROW()-1)=TRUE),0,(G369-G368)*unitsOfExo+J368)</f>
        <v>-65450</v>
      </c>
      <c r="K369" s="9">
        <f t="shared" si="27"/>
        <v>65450</v>
      </c>
      <c r="L369">
        <f t="shared" si="28"/>
        <v>-50297.325630187988</v>
      </c>
      <c r="M369">
        <f>IF(AND(MyRowHidden(ROW())=FALSE,MyRowHidden(ROW()-1)=TRUE),0,(G369-G368)*unitsFuturesCompare+M368)</f>
        <v>-130900</v>
      </c>
      <c r="N369">
        <f>IF(MyRowHidden(ROW())=TRUE,0,L369-M369)</f>
        <v>80602.674369812012</v>
      </c>
      <c r="O369">
        <f>MAX(N$12:N369)</f>
        <v>93774.651260375977</v>
      </c>
      <c r="P369">
        <f>IF(O369&gt;O368,(O369-O368)*percentSavingsParticipation,0)</f>
        <v>0</v>
      </c>
      <c r="Q369">
        <f t="shared" si="29"/>
        <v>46887.325630187988</v>
      </c>
      <c r="R369">
        <f t="shared" si="30"/>
        <v>-3410</v>
      </c>
    </row>
    <row r="370" spans="1:18" x14ac:dyDescent="0.25">
      <c r="A370" s="1"/>
      <c r="C370" s="1"/>
      <c r="D370" s="1">
        <v>41775</v>
      </c>
      <c r="E370" s="10">
        <v>35179</v>
      </c>
      <c r="F370" s="1">
        <v>41775</v>
      </c>
      <c r="G370">
        <v>-2006.5</v>
      </c>
      <c r="H370" s="1">
        <f t="shared" si="26"/>
        <v>41775</v>
      </c>
      <c r="I370">
        <f>IF(AND(MyRowHidden(ROW())=FALSE,MyRowHidden(ROW()-1)=TRUE),0,(E370-E369)*unitsOfDHp+I369)</f>
        <v>61540</v>
      </c>
      <c r="J370">
        <f>IF(AND(MyRowHidden(ROW())=FALSE,MyRowHidden(ROW()-1)=TRUE),0,(G370-G369)*unitsOfExo+J369)</f>
        <v>-66450</v>
      </c>
      <c r="K370" s="9">
        <f t="shared" si="27"/>
        <v>66450</v>
      </c>
      <c r="L370">
        <f t="shared" si="28"/>
        <v>-51797.325630187988</v>
      </c>
      <c r="M370">
        <f>IF(AND(MyRowHidden(ROW())=FALSE,MyRowHidden(ROW()-1)=TRUE),0,(G370-G369)*unitsFuturesCompare+M369)</f>
        <v>-132900</v>
      </c>
      <c r="N370">
        <f>IF(MyRowHidden(ROW())=TRUE,0,L370-M370)</f>
        <v>81102.674369812012</v>
      </c>
      <c r="O370">
        <f>MAX(N$12:N370)</f>
        <v>93774.651260375977</v>
      </c>
      <c r="P370">
        <f>IF(O370&gt;O369,(O370-O369)*percentSavingsParticipation,0)</f>
        <v>0</v>
      </c>
      <c r="Q370">
        <f t="shared" si="29"/>
        <v>46887.325630187988</v>
      </c>
      <c r="R370">
        <f t="shared" si="30"/>
        <v>-4910</v>
      </c>
    </row>
    <row r="371" spans="1:18" x14ac:dyDescent="0.25">
      <c r="A371" s="1"/>
      <c r="C371" s="1"/>
      <c r="D371" s="1">
        <v>41778</v>
      </c>
      <c r="E371" s="10">
        <v>35879</v>
      </c>
      <c r="F371" s="1">
        <v>41778</v>
      </c>
      <c r="G371">
        <v>-2256.5</v>
      </c>
      <c r="H371" s="1">
        <f t="shared" si="26"/>
        <v>41778</v>
      </c>
      <c r="I371">
        <f>IF(AND(MyRowHidden(ROW())=FALSE,MyRowHidden(ROW()-1)=TRUE),0,(E371-E370)*unitsOfDHp+I370)</f>
        <v>68540</v>
      </c>
      <c r="J371">
        <f>IF(AND(MyRowHidden(ROW())=FALSE,MyRowHidden(ROW()-1)=TRUE),0,(G371-G370)*unitsOfExo+J370)</f>
        <v>-68950</v>
      </c>
      <c r="K371" s="9">
        <f t="shared" si="27"/>
        <v>68950</v>
      </c>
      <c r="L371">
        <f t="shared" si="28"/>
        <v>-47297.325630187988</v>
      </c>
      <c r="M371">
        <f>IF(AND(MyRowHidden(ROW())=FALSE,MyRowHidden(ROW()-1)=TRUE),0,(G371-G370)*unitsFuturesCompare+M370)</f>
        <v>-137900</v>
      </c>
      <c r="N371">
        <f>IF(MyRowHidden(ROW())=TRUE,0,L371-M371)</f>
        <v>90602.674369812012</v>
      </c>
      <c r="O371">
        <f>MAX(N$12:N371)</f>
        <v>93774.651260375977</v>
      </c>
      <c r="P371">
        <f>IF(O371&gt;O370,(O371-O370)*percentSavingsParticipation,0)</f>
        <v>0</v>
      </c>
      <c r="Q371">
        <f t="shared" si="29"/>
        <v>46887.325630187988</v>
      </c>
      <c r="R371">
        <f t="shared" si="30"/>
        <v>-410</v>
      </c>
    </row>
    <row r="372" spans="1:18" x14ac:dyDescent="0.25">
      <c r="A372" s="1"/>
      <c r="C372" s="1"/>
      <c r="D372" s="1">
        <v>41779</v>
      </c>
      <c r="E372" s="10">
        <v>36191.5</v>
      </c>
      <c r="F372" s="1">
        <v>41779</v>
      </c>
      <c r="G372">
        <v>-2406.5</v>
      </c>
      <c r="H372" s="1">
        <f t="shared" si="26"/>
        <v>41779</v>
      </c>
      <c r="I372">
        <f>IF(AND(MyRowHidden(ROW())=FALSE,MyRowHidden(ROW()-1)=TRUE),0,(E372-E371)*unitsOfDHp+I371)</f>
        <v>71665</v>
      </c>
      <c r="J372">
        <f>IF(AND(MyRowHidden(ROW())=FALSE,MyRowHidden(ROW()-1)=TRUE),0,(G372-G371)*unitsOfExo+J371)</f>
        <v>-70450</v>
      </c>
      <c r="K372" s="9">
        <f t="shared" si="27"/>
        <v>70450</v>
      </c>
      <c r="L372">
        <f t="shared" si="28"/>
        <v>-45672.325630187988</v>
      </c>
      <c r="M372">
        <f>IF(AND(MyRowHidden(ROW())=FALSE,MyRowHidden(ROW()-1)=TRUE),0,(G372-G371)*unitsFuturesCompare+M371)</f>
        <v>-140900</v>
      </c>
      <c r="N372">
        <f>IF(MyRowHidden(ROW())=TRUE,0,L372-M372)</f>
        <v>95227.674369812012</v>
      </c>
      <c r="O372">
        <f>MAX(N$12:N372)</f>
        <v>95227.674369812012</v>
      </c>
      <c r="P372">
        <f>IF(O372&gt;O371,(O372-O371)*percentSavingsParticipation,0)</f>
        <v>726.51155471801758</v>
      </c>
      <c r="Q372">
        <f t="shared" si="29"/>
        <v>47613.837184906006</v>
      </c>
      <c r="R372">
        <f t="shared" si="30"/>
        <v>1215</v>
      </c>
    </row>
    <row r="373" spans="1:18" x14ac:dyDescent="0.25">
      <c r="A373" s="1"/>
      <c r="C373" s="1"/>
      <c r="D373" s="1">
        <v>41780</v>
      </c>
      <c r="E373" s="10">
        <v>36080.5</v>
      </c>
      <c r="F373" s="1">
        <v>41780</v>
      </c>
      <c r="G373">
        <v>-2394</v>
      </c>
      <c r="H373" s="1">
        <f t="shared" si="26"/>
        <v>41780</v>
      </c>
      <c r="I373">
        <f>IF(AND(MyRowHidden(ROW())=FALSE,MyRowHidden(ROW()-1)=TRUE),0,(E373-E372)*unitsOfDHp+I372)</f>
        <v>70555</v>
      </c>
      <c r="J373">
        <f>IF(AND(MyRowHidden(ROW())=FALSE,MyRowHidden(ROW()-1)=TRUE),0,(G373-G372)*unitsOfExo+J372)</f>
        <v>-70325</v>
      </c>
      <c r="K373" s="9">
        <f t="shared" si="27"/>
        <v>70325</v>
      </c>
      <c r="L373">
        <f t="shared" si="28"/>
        <v>-47383.837184906006</v>
      </c>
      <c r="M373">
        <f>IF(AND(MyRowHidden(ROW())=FALSE,MyRowHidden(ROW()-1)=TRUE),0,(G373-G372)*unitsFuturesCompare+M372)</f>
        <v>-140650</v>
      </c>
      <c r="N373">
        <f>IF(MyRowHidden(ROW())=TRUE,0,L373-M373)</f>
        <v>93266.162815093994</v>
      </c>
      <c r="O373">
        <f>MAX(N$12:N373)</f>
        <v>95227.674369812012</v>
      </c>
      <c r="P373">
        <f>IF(O373&gt;O372,(O373-O372)*percentSavingsParticipation,0)</f>
        <v>0</v>
      </c>
      <c r="Q373">
        <f t="shared" si="29"/>
        <v>47613.837184906006</v>
      </c>
      <c r="R373">
        <f t="shared" si="30"/>
        <v>230</v>
      </c>
    </row>
    <row r="374" spans="1:18" x14ac:dyDescent="0.25">
      <c r="A374" s="1"/>
      <c r="C374" s="1"/>
      <c r="D374" s="1">
        <v>41781</v>
      </c>
      <c r="E374" s="10">
        <v>35868</v>
      </c>
      <c r="F374" s="1">
        <v>41781</v>
      </c>
      <c r="G374">
        <v>-2331.5</v>
      </c>
      <c r="H374" s="1">
        <f t="shared" si="26"/>
        <v>41781</v>
      </c>
      <c r="I374">
        <f>IF(AND(MyRowHidden(ROW())=FALSE,MyRowHidden(ROW()-1)=TRUE),0,(E374-E373)*unitsOfDHp+I373)</f>
        <v>68430</v>
      </c>
      <c r="J374">
        <f>IF(AND(MyRowHidden(ROW())=FALSE,MyRowHidden(ROW()-1)=TRUE),0,(G374-G373)*unitsOfExo+J373)</f>
        <v>-69700</v>
      </c>
      <c r="K374" s="9">
        <f t="shared" si="27"/>
        <v>69700</v>
      </c>
      <c r="L374">
        <f t="shared" si="28"/>
        <v>-48883.837184906006</v>
      </c>
      <c r="M374">
        <f>IF(AND(MyRowHidden(ROW())=FALSE,MyRowHidden(ROW()-1)=TRUE),0,(G374-G373)*unitsFuturesCompare+M373)</f>
        <v>-139400</v>
      </c>
      <c r="N374">
        <f>IF(MyRowHidden(ROW())=TRUE,0,L374-M374)</f>
        <v>90516.162815093994</v>
      </c>
      <c r="O374">
        <f>MAX(N$12:N374)</f>
        <v>95227.674369812012</v>
      </c>
      <c r="P374">
        <f>IF(O374&gt;O373,(O374-O373)*percentSavingsParticipation,0)</f>
        <v>0</v>
      </c>
      <c r="Q374">
        <f t="shared" si="29"/>
        <v>47613.837184906006</v>
      </c>
      <c r="R374">
        <f t="shared" si="30"/>
        <v>-1270</v>
      </c>
    </row>
    <row r="375" spans="1:18" x14ac:dyDescent="0.25">
      <c r="A375" s="1"/>
      <c r="C375" s="1"/>
      <c r="D375" s="1">
        <v>41782</v>
      </c>
      <c r="E375" s="10">
        <v>35993</v>
      </c>
      <c r="F375" s="1">
        <v>41782</v>
      </c>
      <c r="G375">
        <v>-2244</v>
      </c>
      <c r="H375" s="1">
        <f t="shared" si="26"/>
        <v>41782</v>
      </c>
      <c r="I375">
        <f>IF(AND(MyRowHidden(ROW())=FALSE,MyRowHidden(ROW()-1)=TRUE),0,(E375-E374)*unitsOfDHp+I374)</f>
        <v>69680</v>
      </c>
      <c r="J375">
        <f>IF(AND(MyRowHidden(ROW())=FALSE,MyRowHidden(ROW()-1)=TRUE),0,(G375-G374)*unitsOfExo+J374)</f>
        <v>-68825</v>
      </c>
      <c r="K375" s="9">
        <f t="shared" si="27"/>
        <v>68825</v>
      </c>
      <c r="L375">
        <f t="shared" si="28"/>
        <v>-46758.837184906006</v>
      </c>
      <c r="M375">
        <f>IF(AND(MyRowHidden(ROW())=FALSE,MyRowHidden(ROW()-1)=TRUE),0,(G375-G374)*unitsFuturesCompare+M374)</f>
        <v>-137650</v>
      </c>
      <c r="N375">
        <f>IF(MyRowHidden(ROW())=TRUE,0,L375-M375)</f>
        <v>90891.162815093994</v>
      </c>
      <c r="O375">
        <f>MAX(N$12:N375)</f>
        <v>95227.674369812012</v>
      </c>
      <c r="P375">
        <f>IF(O375&gt;O374,(O375-O374)*percentSavingsParticipation,0)</f>
        <v>0</v>
      </c>
      <c r="Q375">
        <f t="shared" si="29"/>
        <v>47613.837184906006</v>
      </c>
      <c r="R375">
        <f t="shared" si="30"/>
        <v>855</v>
      </c>
    </row>
    <row r="376" spans="1:18" x14ac:dyDescent="0.25">
      <c r="A376" s="1"/>
      <c r="C376" s="1"/>
      <c r="D376" s="1">
        <v>41785</v>
      </c>
      <c r="E376" s="10">
        <v>35972.5</v>
      </c>
      <c r="F376" s="1">
        <v>41785</v>
      </c>
      <c r="G376">
        <v>-2206.5</v>
      </c>
      <c r="H376" s="1">
        <f t="shared" si="26"/>
        <v>41785</v>
      </c>
      <c r="I376">
        <f>IF(AND(MyRowHidden(ROW())=FALSE,MyRowHidden(ROW()-1)=TRUE),0,(E376-E375)*unitsOfDHp+I375)</f>
        <v>69475</v>
      </c>
      <c r="J376">
        <f>IF(AND(MyRowHidden(ROW())=FALSE,MyRowHidden(ROW()-1)=TRUE),0,(G376-G375)*unitsOfExo+J375)</f>
        <v>-68450</v>
      </c>
      <c r="K376" s="9">
        <f t="shared" si="27"/>
        <v>68450</v>
      </c>
      <c r="L376">
        <f t="shared" si="28"/>
        <v>-46588.837184906006</v>
      </c>
      <c r="M376">
        <f>IF(AND(MyRowHidden(ROW())=FALSE,MyRowHidden(ROW()-1)=TRUE),0,(G376-G375)*unitsFuturesCompare+M375)</f>
        <v>-136900</v>
      </c>
      <c r="N376">
        <f>IF(MyRowHidden(ROW())=TRUE,0,L376-M376)</f>
        <v>90311.162815093994</v>
      </c>
      <c r="O376">
        <f>MAX(N$12:N376)</f>
        <v>95227.674369812012</v>
      </c>
      <c r="P376">
        <f>IF(O376&gt;O375,(O376-O375)*percentSavingsParticipation,0)</f>
        <v>0</v>
      </c>
      <c r="Q376">
        <f t="shared" si="29"/>
        <v>47613.837184906006</v>
      </c>
      <c r="R376">
        <f t="shared" si="30"/>
        <v>1025</v>
      </c>
    </row>
    <row r="377" spans="1:18" x14ac:dyDescent="0.25">
      <c r="A377" s="1"/>
      <c r="C377" s="1"/>
      <c r="D377" s="1">
        <v>41786</v>
      </c>
      <c r="E377" s="10">
        <v>36027</v>
      </c>
      <c r="F377" s="1">
        <v>41786</v>
      </c>
      <c r="G377">
        <v>-2594</v>
      </c>
      <c r="H377" s="1">
        <f t="shared" si="26"/>
        <v>41786</v>
      </c>
      <c r="I377">
        <f>IF(AND(MyRowHidden(ROW())=FALSE,MyRowHidden(ROW()-1)=TRUE),0,(E377-E376)*unitsOfDHp+I376)</f>
        <v>70020</v>
      </c>
      <c r="J377">
        <f>IF(AND(MyRowHidden(ROW())=FALSE,MyRowHidden(ROW()-1)=TRUE),0,(G377-G376)*unitsOfExo+J376)</f>
        <v>-72325</v>
      </c>
      <c r="K377" s="9">
        <f t="shared" si="27"/>
        <v>72325</v>
      </c>
      <c r="L377">
        <f t="shared" si="28"/>
        <v>-49918.837184906006</v>
      </c>
      <c r="M377">
        <f>IF(AND(MyRowHidden(ROW())=FALSE,MyRowHidden(ROW()-1)=TRUE),0,(G377-G376)*unitsFuturesCompare+M376)</f>
        <v>-144650</v>
      </c>
      <c r="N377">
        <f>IF(MyRowHidden(ROW())=TRUE,0,L377-M377)</f>
        <v>94731.162815093994</v>
      </c>
      <c r="O377">
        <f>MAX(N$12:N377)</f>
        <v>95227.674369812012</v>
      </c>
      <c r="P377">
        <f>IF(O377&gt;O376,(O377-O376)*percentSavingsParticipation,0)</f>
        <v>0</v>
      </c>
      <c r="Q377">
        <f t="shared" si="29"/>
        <v>47613.837184906006</v>
      </c>
      <c r="R377">
        <f t="shared" si="30"/>
        <v>-2305</v>
      </c>
    </row>
    <row r="378" spans="1:18" x14ac:dyDescent="0.25">
      <c r="A378" s="1"/>
      <c r="C378" s="1"/>
      <c r="D378" s="1">
        <v>41787</v>
      </c>
      <c r="E378" s="10">
        <v>35864.5</v>
      </c>
      <c r="F378" s="1">
        <v>41787</v>
      </c>
      <c r="G378">
        <v>-2519</v>
      </c>
      <c r="H378" s="1">
        <f t="shared" si="26"/>
        <v>41787</v>
      </c>
      <c r="I378">
        <f>IF(AND(MyRowHidden(ROW())=FALSE,MyRowHidden(ROW()-1)=TRUE),0,(E378-E377)*unitsOfDHp+I377)</f>
        <v>68395</v>
      </c>
      <c r="J378">
        <f>IF(AND(MyRowHidden(ROW())=FALSE,MyRowHidden(ROW()-1)=TRUE),0,(G378-G377)*unitsOfExo+J377)</f>
        <v>-71575</v>
      </c>
      <c r="K378" s="9">
        <f t="shared" si="27"/>
        <v>71575</v>
      </c>
      <c r="L378">
        <f t="shared" si="28"/>
        <v>-50793.837184906006</v>
      </c>
      <c r="M378">
        <f>IF(AND(MyRowHidden(ROW())=FALSE,MyRowHidden(ROW()-1)=TRUE),0,(G378-G377)*unitsFuturesCompare+M377)</f>
        <v>-143150</v>
      </c>
      <c r="N378">
        <f>IF(MyRowHidden(ROW())=TRUE,0,L378-M378)</f>
        <v>92356.162815093994</v>
      </c>
      <c r="O378">
        <f>MAX(N$12:N378)</f>
        <v>95227.674369812012</v>
      </c>
      <c r="P378">
        <f>IF(O378&gt;O377,(O378-O377)*percentSavingsParticipation,0)</f>
        <v>0</v>
      </c>
      <c r="Q378">
        <f t="shared" si="29"/>
        <v>47613.837184906006</v>
      </c>
      <c r="R378">
        <f t="shared" si="30"/>
        <v>-3180</v>
      </c>
    </row>
    <row r="379" spans="1:18" x14ac:dyDescent="0.25">
      <c r="A379" s="1"/>
      <c r="C379" s="1"/>
      <c r="D379" s="1">
        <v>41788</v>
      </c>
      <c r="E379" s="10">
        <v>36527</v>
      </c>
      <c r="F379" s="1">
        <v>41788</v>
      </c>
      <c r="G379">
        <v>-2681.5</v>
      </c>
      <c r="H379" s="1">
        <f t="shared" si="26"/>
        <v>41788</v>
      </c>
      <c r="I379">
        <f>IF(AND(MyRowHidden(ROW())=FALSE,MyRowHidden(ROW()-1)=TRUE),0,(E379-E378)*unitsOfDHp+I378)</f>
        <v>75020</v>
      </c>
      <c r="J379">
        <f>IF(AND(MyRowHidden(ROW())=FALSE,MyRowHidden(ROW()-1)=TRUE),0,(G379-G378)*unitsOfExo+J378)</f>
        <v>-73200</v>
      </c>
      <c r="K379" s="9">
        <f t="shared" si="27"/>
        <v>73200</v>
      </c>
      <c r="L379">
        <f t="shared" si="28"/>
        <v>-45793.837184906006</v>
      </c>
      <c r="M379">
        <f>IF(AND(MyRowHidden(ROW())=FALSE,MyRowHidden(ROW()-1)=TRUE),0,(G379-G378)*unitsFuturesCompare+M378)</f>
        <v>-146400</v>
      </c>
      <c r="N379">
        <f>IF(MyRowHidden(ROW())=TRUE,0,L379-M379)</f>
        <v>100606.16281509399</v>
      </c>
      <c r="O379">
        <f>MAX(N$12:N379)</f>
        <v>100606.16281509399</v>
      </c>
      <c r="P379">
        <f>IF(O379&gt;O378,(O379-O378)*percentSavingsParticipation,0)</f>
        <v>2689.2442226409912</v>
      </c>
      <c r="Q379">
        <f t="shared" si="29"/>
        <v>50303.081407546997</v>
      </c>
      <c r="R379">
        <f t="shared" si="30"/>
        <v>1820</v>
      </c>
    </row>
    <row r="380" spans="1:18" x14ac:dyDescent="0.25">
      <c r="A380" s="1"/>
      <c r="C380" s="1"/>
      <c r="D380" s="1">
        <v>41789</v>
      </c>
      <c r="E380" s="10">
        <v>36653</v>
      </c>
      <c r="F380" s="1">
        <v>41789</v>
      </c>
      <c r="G380">
        <v>-2769</v>
      </c>
      <c r="H380" s="1">
        <f t="shared" si="26"/>
        <v>41789</v>
      </c>
      <c r="I380">
        <f>IF(AND(MyRowHidden(ROW())=FALSE,MyRowHidden(ROW()-1)=TRUE),0,(E380-E379)*unitsOfDHp+I379)</f>
        <v>76280</v>
      </c>
      <c r="J380">
        <f>IF(AND(MyRowHidden(ROW())=FALSE,MyRowHidden(ROW()-1)=TRUE),0,(G380-G379)*unitsOfExo+J379)</f>
        <v>-74075</v>
      </c>
      <c r="K380" s="9">
        <f t="shared" si="27"/>
        <v>74075</v>
      </c>
      <c r="L380">
        <f t="shared" si="28"/>
        <v>-48098.081407546997</v>
      </c>
      <c r="M380">
        <f>IF(AND(MyRowHidden(ROW())=FALSE,MyRowHidden(ROW()-1)=TRUE),0,(G380-G379)*unitsFuturesCompare+M379)</f>
        <v>-148150</v>
      </c>
      <c r="N380">
        <f>IF(MyRowHidden(ROW())=TRUE,0,L380-M380)</f>
        <v>100051.918592453</v>
      </c>
      <c r="O380">
        <f>MAX(N$12:N380)</f>
        <v>100606.16281509399</v>
      </c>
      <c r="P380">
        <f>IF(O380&gt;O379,(O380-O379)*percentSavingsParticipation,0)</f>
        <v>0</v>
      </c>
      <c r="Q380">
        <f t="shared" si="29"/>
        <v>50303.081407546997</v>
      </c>
      <c r="R380">
        <f t="shared" si="30"/>
        <v>2205</v>
      </c>
    </row>
    <row r="381" spans="1:18" x14ac:dyDescent="0.25">
      <c r="A381" s="1"/>
      <c r="C381" s="1"/>
      <c r="D381" s="1">
        <v>41792</v>
      </c>
      <c r="E381" s="10">
        <v>36965.5</v>
      </c>
      <c r="F381" s="1">
        <v>41792</v>
      </c>
      <c r="G381">
        <v>-2769</v>
      </c>
      <c r="H381" s="1">
        <f t="shared" si="26"/>
        <v>41792</v>
      </c>
      <c r="I381">
        <f>IF(AND(MyRowHidden(ROW())=FALSE,MyRowHidden(ROW()-1)=TRUE),0,(E381-E380)*unitsOfDHp+I380)</f>
        <v>79405</v>
      </c>
      <c r="J381">
        <f>IF(AND(MyRowHidden(ROW())=FALSE,MyRowHidden(ROW()-1)=TRUE),0,(G381-G380)*unitsOfExo+J380)</f>
        <v>-74075</v>
      </c>
      <c r="K381" s="9">
        <f t="shared" si="27"/>
        <v>74075</v>
      </c>
      <c r="L381">
        <f t="shared" si="28"/>
        <v>-44973.081407546997</v>
      </c>
      <c r="M381">
        <f>IF(AND(MyRowHidden(ROW())=FALSE,MyRowHidden(ROW()-1)=TRUE),0,(G381-G380)*unitsFuturesCompare+M380)</f>
        <v>-148150</v>
      </c>
      <c r="N381">
        <f>IF(MyRowHidden(ROW())=TRUE,0,L381-M381)</f>
        <v>103176.918592453</v>
      </c>
      <c r="O381">
        <f>MAX(N$12:N381)</f>
        <v>103176.918592453</v>
      </c>
      <c r="P381">
        <f>IF(O381&gt;O380,(O381-O380)*percentSavingsParticipation,0)</f>
        <v>1285.3778886795044</v>
      </c>
      <c r="Q381">
        <f t="shared" si="29"/>
        <v>51588.459296226501</v>
      </c>
      <c r="R381">
        <f t="shared" si="30"/>
        <v>5330</v>
      </c>
    </row>
    <row r="382" spans="1:18" x14ac:dyDescent="0.25">
      <c r="A382" s="1"/>
      <c r="C382" s="1"/>
      <c r="D382" s="1">
        <v>41793</v>
      </c>
      <c r="E382" s="10">
        <v>36928</v>
      </c>
      <c r="F382" s="1">
        <v>41793</v>
      </c>
      <c r="G382">
        <v>-3244</v>
      </c>
      <c r="H382" s="1">
        <f t="shared" si="26"/>
        <v>41793</v>
      </c>
      <c r="I382">
        <f>IF(AND(MyRowHidden(ROW())=FALSE,MyRowHidden(ROW()-1)=TRUE),0,(E382-E381)*unitsOfDHp+I381)</f>
        <v>79030</v>
      </c>
      <c r="J382">
        <f>IF(AND(MyRowHidden(ROW())=FALSE,MyRowHidden(ROW()-1)=TRUE),0,(G382-G381)*unitsOfExo+J381)</f>
        <v>-78825</v>
      </c>
      <c r="K382" s="9">
        <f t="shared" si="27"/>
        <v>78825</v>
      </c>
      <c r="L382">
        <f t="shared" si="28"/>
        <v>-51383.459296226501</v>
      </c>
      <c r="M382">
        <f>IF(AND(MyRowHidden(ROW())=FALSE,MyRowHidden(ROW()-1)=TRUE),0,(G382-G381)*unitsFuturesCompare+M381)</f>
        <v>-157650</v>
      </c>
      <c r="N382">
        <f>IF(MyRowHidden(ROW())=TRUE,0,L382-M382)</f>
        <v>106266.5407037735</v>
      </c>
      <c r="O382">
        <f>MAX(N$12:N382)</f>
        <v>106266.5407037735</v>
      </c>
      <c r="P382">
        <f>IF(O382&gt;O381,(O382-O381)*percentSavingsParticipation,0)</f>
        <v>1544.8110556602478</v>
      </c>
      <c r="Q382">
        <f t="shared" si="29"/>
        <v>53133.270351886749</v>
      </c>
      <c r="R382">
        <f t="shared" si="30"/>
        <v>205</v>
      </c>
    </row>
    <row r="383" spans="1:18" x14ac:dyDescent="0.25">
      <c r="A383" s="1"/>
      <c r="C383" s="1"/>
      <c r="D383" s="1">
        <v>41794</v>
      </c>
      <c r="E383" s="10">
        <v>36978</v>
      </c>
      <c r="F383" s="1">
        <v>41794</v>
      </c>
      <c r="G383">
        <v>-3294</v>
      </c>
      <c r="H383" s="1">
        <f t="shared" si="26"/>
        <v>41794</v>
      </c>
      <c r="I383">
        <f>IF(AND(MyRowHidden(ROW())=FALSE,MyRowHidden(ROW()-1)=TRUE),0,(E383-E382)*unitsOfDHp+I382)</f>
        <v>79530</v>
      </c>
      <c r="J383">
        <f>IF(AND(MyRowHidden(ROW())=FALSE,MyRowHidden(ROW()-1)=TRUE),0,(G383-G382)*unitsOfExo+J382)</f>
        <v>-79325</v>
      </c>
      <c r="K383" s="9">
        <f t="shared" si="27"/>
        <v>79325</v>
      </c>
      <c r="L383">
        <f t="shared" si="28"/>
        <v>-52928.270351886749</v>
      </c>
      <c r="M383">
        <f>IF(AND(MyRowHidden(ROW())=FALSE,MyRowHidden(ROW()-1)=TRUE),0,(G383-G382)*unitsFuturesCompare+M382)</f>
        <v>-158650</v>
      </c>
      <c r="N383">
        <f>IF(MyRowHidden(ROW())=TRUE,0,L383-M383)</f>
        <v>105721.72964811325</v>
      </c>
      <c r="O383">
        <f>MAX(N$12:N383)</f>
        <v>106266.5407037735</v>
      </c>
      <c r="P383">
        <f>IF(O383&gt;O382,(O383-O382)*percentSavingsParticipation,0)</f>
        <v>0</v>
      </c>
      <c r="Q383">
        <f t="shared" si="29"/>
        <v>53133.270351886749</v>
      </c>
      <c r="R383">
        <f t="shared" si="30"/>
        <v>205</v>
      </c>
    </row>
    <row r="384" spans="1:18" x14ac:dyDescent="0.25">
      <c r="A384" s="1"/>
      <c r="C384" s="1"/>
      <c r="D384" s="1">
        <v>41795</v>
      </c>
      <c r="E384" s="10">
        <v>36878</v>
      </c>
      <c r="F384" s="1">
        <v>41795</v>
      </c>
      <c r="G384">
        <v>-3594</v>
      </c>
      <c r="H384" s="1">
        <f t="shared" si="26"/>
        <v>41795</v>
      </c>
      <c r="I384">
        <f>IF(AND(MyRowHidden(ROW())=FALSE,MyRowHidden(ROW()-1)=TRUE),0,(E384-E383)*unitsOfDHp+I383)</f>
        <v>78530</v>
      </c>
      <c r="J384">
        <f>IF(AND(MyRowHidden(ROW())=FALSE,MyRowHidden(ROW()-1)=TRUE),0,(G384-G383)*unitsOfExo+J383)</f>
        <v>-82325</v>
      </c>
      <c r="K384" s="9">
        <f t="shared" si="27"/>
        <v>82325</v>
      </c>
      <c r="L384">
        <f t="shared" si="28"/>
        <v>-56928.270351886749</v>
      </c>
      <c r="M384">
        <f>IF(AND(MyRowHidden(ROW())=FALSE,MyRowHidden(ROW()-1)=TRUE),0,(G384-G383)*unitsFuturesCompare+M383)</f>
        <v>-164650</v>
      </c>
      <c r="N384">
        <f>IF(MyRowHidden(ROW())=TRUE,0,L384-M384)</f>
        <v>107721.72964811325</v>
      </c>
      <c r="O384">
        <f>MAX(N$12:N384)</f>
        <v>107721.72964811325</v>
      </c>
      <c r="P384">
        <f>IF(O384&gt;O383,(O384-O383)*percentSavingsParticipation,0)</f>
        <v>727.5944721698761</v>
      </c>
      <c r="Q384">
        <f t="shared" si="29"/>
        <v>53860.864824056625</v>
      </c>
      <c r="R384">
        <f t="shared" si="30"/>
        <v>-3795</v>
      </c>
    </row>
    <row r="385" spans="1:18" x14ac:dyDescent="0.25">
      <c r="A385" s="1"/>
      <c r="C385" s="1"/>
      <c r="D385" s="1">
        <v>41796</v>
      </c>
      <c r="E385" s="10">
        <v>37028</v>
      </c>
      <c r="F385" s="1">
        <v>41796</v>
      </c>
      <c r="G385">
        <v>-3269</v>
      </c>
      <c r="H385" s="1">
        <f t="shared" si="26"/>
        <v>41796</v>
      </c>
      <c r="I385">
        <f>IF(AND(MyRowHidden(ROW())=FALSE,MyRowHidden(ROW()-1)=TRUE),0,(E385-E384)*unitsOfDHp+I384)</f>
        <v>80030</v>
      </c>
      <c r="J385">
        <f>IF(AND(MyRowHidden(ROW())=FALSE,MyRowHidden(ROW()-1)=TRUE),0,(G385-G384)*unitsOfExo+J384)</f>
        <v>-79075</v>
      </c>
      <c r="K385" s="9">
        <f t="shared" si="27"/>
        <v>79075</v>
      </c>
      <c r="L385">
        <f t="shared" si="28"/>
        <v>-52905.864824056625</v>
      </c>
      <c r="M385">
        <f>IF(AND(MyRowHidden(ROW())=FALSE,MyRowHidden(ROW()-1)=TRUE),0,(G385-G384)*unitsFuturesCompare+M384)</f>
        <v>-158150</v>
      </c>
      <c r="N385">
        <f>IF(MyRowHidden(ROW())=TRUE,0,L385-M385)</f>
        <v>105244.13517594337</v>
      </c>
      <c r="O385">
        <f>MAX(N$12:N385)</f>
        <v>107721.72964811325</v>
      </c>
      <c r="P385">
        <f>IF(O385&gt;O384,(O385-O384)*percentSavingsParticipation,0)</f>
        <v>0</v>
      </c>
      <c r="Q385">
        <f t="shared" si="29"/>
        <v>53860.864824056625</v>
      </c>
      <c r="R385">
        <f t="shared" si="30"/>
        <v>955</v>
      </c>
    </row>
    <row r="386" spans="1:18" x14ac:dyDescent="0.25">
      <c r="A386" s="1"/>
      <c r="C386" s="1"/>
      <c r="D386" s="1">
        <v>41799</v>
      </c>
      <c r="E386" s="10">
        <v>36728</v>
      </c>
      <c r="F386" s="1">
        <v>41799</v>
      </c>
      <c r="G386">
        <v>-3744</v>
      </c>
      <c r="H386" s="1">
        <f t="shared" si="26"/>
        <v>41799</v>
      </c>
      <c r="I386">
        <f>IF(AND(MyRowHidden(ROW())=FALSE,MyRowHidden(ROW()-1)=TRUE),0,(E386-E385)*unitsOfDHp+I385)</f>
        <v>77030</v>
      </c>
      <c r="J386">
        <f>IF(AND(MyRowHidden(ROW())=FALSE,MyRowHidden(ROW()-1)=TRUE),0,(G386-G385)*unitsOfExo+J385)</f>
        <v>-83825</v>
      </c>
      <c r="K386" s="9">
        <f t="shared" si="27"/>
        <v>83825</v>
      </c>
      <c r="L386">
        <f t="shared" si="28"/>
        <v>-60655.864824056625</v>
      </c>
      <c r="M386">
        <f>IF(AND(MyRowHidden(ROW())=FALSE,MyRowHidden(ROW()-1)=TRUE),0,(G386-G385)*unitsFuturesCompare+M385)</f>
        <v>-167650</v>
      </c>
      <c r="N386">
        <f>IF(MyRowHidden(ROW())=TRUE,0,L386-M386)</f>
        <v>106994.13517594337</v>
      </c>
      <c r="O386">
        <f>MAX(N$12:N386)</f>
        <v>107721.72964811325</v>
      </c>
      <c r="P386">
        <f>IF(O386&gt;O385,(O386-O385)*percentSavingsParticipation,0)</f>
        <v>0</v>
      </c>
      <c r="Q386">
        <f t="shared" si="29"/>
        <v>53860.864824056625</v>
      </c>
      <c r="R386">
        <f t="shared" si="30"/>
        <v>-6795</v>
      </c>
    </row>
    <row r="387" spans="1:18" x14ac:dyDescent="0.25">
      <c r="A387" s="1"/>
      <c r="C387" s="1"/>
      <c r="D387" s="1">
        <v>41800</v>
      </c>
      <c r="E387" s="10">
        <v>36731</v>
      </c>
      <c r="F387" s="1">
        <v>41800</v>
      </c>
      <c r="G387">
        <v>-3794</v>
      </c>
      <c r="H387" s="1">
        <f t="shared" si="26"/>
        <v>41800</v>
      </c>
      <c r="I387">
        <f>IF(AND(MyRowHidden(ROW())=FALSE,MyRowHidden(ROW()-1)=TRUE),0,(E387-E386)*unitsOfDHp+I386)</f>
        <v>77060</v>
      </c>
      <c r="J387">
        <f>IF(AND(MyRowHidden(ROW())=FALSE,MyRowHidden(ROW()-1)=TRUE),0,(G387-G386)*unitsOfExo+J386)</f>
        <v>-84325</v>
      </c>
      <c r="K387" s="9">
        <f t="shared" si="27"/>
        <v>84325</v>
      </c>
      <c r="L387">
        <f t="shared" si="28"/>
        <v>-61125.864824056625</v>
      </c>
      <c r="M387">
        <f>IF(AND(MyRowHidden(ROW())=FALSE,MyRowHidden(ROW()-1)=TRUE),0,(G387-G386)*unitsFuturesCompare+M386)</f>
        <v>-168650</v>
      </c>
      <c r="N387">
        <f>IF(MyRowHidden(ROW())=TRUE,0,L387-M387)</f>
        <v>107524.13517594337</v>
      </c>
      <c r="O387">
        <f>MAX(N$12:N387)</f>
        <v>107721.72964811325</v>
      </c>
      <c r="P387">
        <f>IF(O387&gt;O386,(O387-O386)*percentSavingsParticipation,0)</f>
        <v>0</v>
      </c>
      <c r="Q387">
        <f t="shared" si="29"/>
        <v>53860.864824056625</v>
      </c>
      <c r="R387">
        <f t="shared" si="30"/>
        <v>-7265</v>
      </c>
    </row>
    <row r="388" spans="1:18" x14ac:dyDescent="0.25">
      <c r="A388" s="1"/>
      <c r="C388" s="1"/>
      <c r="D388" s="1">
        <v>41801</v>
      </c>
      <c r="E388" s="10">
        <v>36318.5</v>
      </c>
      <c r="F388" s="1">
        <v>41801</v>
      </c>
      <c r="G388">
        <v>-4106.5</v>
      </c>
      <c r="H388" s="1">
        <f t="shared" si="26"/>
        <v>41801</v>
      </c>
      <c r="I388">
        <f>IF(AND(MyRowHidden(ROW())=FALSE,MyRowHidden(ROW()-1)=TRUE),0,(E388-E387)*unitsOfDHp+I387)</f>
        <v>72935</v>
      </c>
      <c r="J388">
        <f>IF(AND(MyRowHidden(ROW())=FALSE,MyRowHidden(ROW()-1)=TRUE),0,(G388-G387)*unitsOfExo+J387)</f>
        <v>-87450</v>
      </c>
      <c r="K388" s="9">
        <f t="shared" si="27"/>
        <v>87450</v>
      </c>
      <c r="L388">
        <f t="shared" si="28"/>
        <v>-68375.864824056625</v>
      </c>
      <c r="M388">
        <f>IF(AND(MyRowHidden(ROW())=FALSE,MyRowHidden(ROW()-1)=TRUE),0,(G388-G387)*unitsFuturesCompare+M387)</f>
        <v>-174900</v>
      </c>
      <c r="N388">
        <f>IF(MyRowHidden(ROW())=TRUE,0,L388-M388)</f>
        <v>106524.13517594337</v>
      </c>
      <c r="O388">
        <f>MAX(N$12:N388)</f>
        <v>107721.72964811325</v>
      </c>
      <c r="P388">
        <f>IF(O388&gt;O387,(O388-O387)*percentSavingsParticipation,0)</f>
        <v>0</v>
      </c>
      <c r="Q388">
        <f t="shared" si="29"/>
        <v>53860.864824056625</v>
      </c>
      <c r="R388">
        <f t="shared" si="30"/>
        <v>-14515</v>
      </c>
    </row>
    <row r="389" spans="1:18" x14ac:dyDescent="0.25">
      <c r="A389" s="1"/>
      <c r="C389" s="1"/>
      <c r="D389" s="1">
        <v>41802</v>
      </c>
      <c r="E389" s="10">
        <v>36543.5</v>
      </c>
      <c r="F389" s="1">
        <v>41802</v>
      </c>
      <c r="G389">
        <v>-3994</v>
      </c>
      <c r="H389" s="1">
        <f t="shared" si="26"/>
        <v>41802</v>
      </c>
      <c r="I389">
        <f>IF(AND(MyRowHidden(ROW())=FALSE,MyRowHidden(ROW()-1)=TRUE),0,(E389-E388)*unitsOfDHp+I388)</f>
        <v>75185</v>
      </c>
      <c r="J389">
        <f>IF(AND(MyRowHidden(ROW())=FALSE,MyRowHidden(ROW()-1)=TRUE),0,(G389-G388)*unitsOfExo+J388)</f>
        <v>-86325</v>
      </c>
      <c r="K389" s="9">
        <f t="shared" si="27"/>
        <v>86325</v>
      </c>
      <c r="L389">
        <f t="shared" si="28"/>
        <v>-65000.864824056625</v>
      </c>
      <c r="M389">
        <f>IF(AND(MyRowHidden(ROW())=FALSE,MyRowHidden(ROW()-1)=TRUE),0,(G389-G388)*unitsFuturesCompare+M388)</f>
        <v>-172650</v>
      </c>
      <c r="N389">
        <f>IF(MyRowHidden(ROW())=TRUE,0,L389-M389)</f>
        <v>107649.13517594337</v>
      </c>
      <c r="O389">
        <f>MAX(N$12:N389)</f>
        <v>107721.72964811325</v>
      </c>
      <c r="P389">
        <f>IF(O389&gt;O388,(O389-O388)*percentSavingsParticipation,0)</f>
        <v>0</v>
      </c>
      <c r="Q389">
        <f t="shared" si="29"/>
        <v>53860.864824056625</v>
      </c>
      <c r="R389">
        <f t="shared" si="30"/>
        <v>-11140</v>
      </c>
    </row>
    <row r="390" spans="1:18" x14ac:dyDescent="0.25">
      <c r="A390" s="1"/>
      <c r="C390" s="1"/>
      <c r="D390" s="1">
        <v>41803</v>
      </c>
      <c r="E390" s="10">
        <v>36743.5</v>
      </c>
      <c r="F390" s="1">
        <v>41803</v>
      </c>
      <c r="G390">
        <v>-3869</v>
      </c>
      <c r="H390" s="1">
        <f t="shared" si="26"/>
        <v>41803</v>
      </c>
      <c r="I390">
        <f>IF(AND(MyRowHidden(ROW())=FALSE,MyRowHidden(ROW()-1)=TRUE),0,(E390-E389)*unitsOfDHp+I389)</f>
        <v>77185</v>
      </c>
      <c r="J390">
        <f>IF(AND(MyRowHidden(ROW())=FALSE,MyRowHidden(ROW()-1)=TRUE),0,(G390-G389)*unitsOfExo+J389)</f>
        <v>-85075</v>
      </c>
      <c r="K390" s="9">
        <f t="shared" si="27"/>
        <v>85075</v>
      </c>
      <c r="L390">
        <f t="shared" si="28"/>
        <v>-61750.864824056625</v>
      </c>
      <c r="M390">
        <f>IF(AND(MyRowHidden(ROW())=FALSE,MyRowHidden(ROW()-1)=TRUE),0,(G390-G389)*unitsFuturesCompare+M389)</f>
        <v>-170150</v>
      </c>
      <c r="N390">
        <f>IF(MyRowHidden(ROW())=TRUE,0,L390-M390)</f>
        <v>108399.13517594337</v>
      </c>
      <c r="O390">
        <f>MAX(N$12:N390)</f>
        <v>108399.13517594337</v>
      </c>
      <c r="P390">
        <f>IF(O390&gt;O389,(O390-O389)*percentSavingsParticipation,0)</f>
        <v>338.70276391506195</v>
      </c>
      <c r="Q390">
        <f t="shared" si="29"/>
        <v>54199.567587971687</v>
      </c>
      <c r="R390">
        <f t="shared" si="30"/>
        <v>-7890</v>
      </c>
    </row>
    <row r="391" spans="1:18" x14ac:dyDescent="0.25">
      <c r="A391" s="1"/>
      <c r="C391" s="1"/>
      <c r="D391" s="1">
        <v>41806</v>
      </c>
      <c r="E391" s="10">
        <v>36481</v>
      </c>
      <c r="F391" s="1">
        <v>41806</v>
      </c>
      <c r="G391">
        <v>-4044</v>
      </c>
      <c r="H391" s="1">
        <f t="shared" si="26"/>
        <v>41806</v>
      </c>
      <c r="I391">
        <f>IF(AND(MyRowHidden(ROW())=FALSE,MyRowHidden(ROW()-1)=TRUE),0,(E391-E390)*unitsOfDHp+I390)</f>
        <v>74560</v>
      </c>
      <c r="J391">
        <f>IF(AND(MyRowHidden(ROW())=FALSE,MyRowHidden(ROW()-1)=TRUE),0,(G391-G390)*unitsOfExo+J390)</f>
        <v>-86825</v>
      </c>
      <c r="K391" s="9">
        <f t="shared" si="27"/>
        <v>86825</v>
      </c>
      <c r="L391">
        <f t="shared" si="28"/>
        <v>-66464.567587971687</v>
      </c>
      <c r="M391">
        <f>IF(AND(MyRowHidden(ROW())=FALSE,MyRowHidden(ROW()-1)=TRUE),0,(G391-G390)*unitsFuturesCompare+M390)</f>
        <v>-173650</v>
      </c>
      <c r="N391">
        <f>IF(MyRowHidden(ROW())=TRUE,0,L391-M391)</f>
        <v>107185.43241202831</v>
      </c>
      <c r="O391">
        <f>MAX(N$12:N391)</f>
        <v>108399.13517594337</v>
      </c>
      <c r="P391">
        <f>IF(O391&gt;O390,(O391-O390)*percentSavingsParticipation,0)</f>
        <v>0</v>
      </c>
      <c r="Q391">
        <f t="shared" si="29"/>
        <v>54199.567587971687</v>
      </c>
      <c r="R391">
        <f t="shared" si="30"/>
        <v>-12265</v>
      </c>
    </row>
    <row r="392" spans="1:18" x14ac:dyDescent="0.25">
      <c r="A392" s="1"/>
      <c r="C392" s="1"/>
      <c r="D392" s="1">
        <v>41807</v>
      </c>
      <c r="E392" s="10">
        <v>36268.5</v>
      </c>
      <c r="F392" s="1">
        <v>41807</v>
      </c>
      <c r="G392">
        <v>-4169</v>
      </c>
      <c r="H392" s="1">
        <f t="shared" si="26"/>
        <v>41807</v>
      </c>
      <c r="I392">
        <f>IF(AND(MyRowHidden(ROW())=FALSE,MyRowHidden(ROW()-1)=TRUE),0,(E392-E391)*unitsOfDHp+I391)</f>
        <v>72435</v>
      </c>
      <c r="J392">
        <f>IF(AND(MyRowHidden(ROW())=FALSE,MyRowHidden(ROW()-1)=TRUE),0,(G392-G391)*unitsOfExo+J391)</f>
        <v>-88075</v>
      </c>
      <c r="K392" s="9">
        <f t="shared" si="27"/>
        <v>88075</v>
      </c>
      <c r="L392">
        <f t="shared" si="28"/>
        <v>-69839.567587971687</v>
      </c>
      <c r="M392">
        <f>IF(AND(MyRowHidden(ROW())=FALSE,MyRowHidden(ROW()-1)=TRUE),0,(G392-G391)*unitsFuturesCompare+M391)</f>
        <v>-176150</v>
      </c>
      <c r="N392">
        <f>IF(MyRowHidden(ROW())=TRUE,0,L392-M392)</f>
        <v>106310.43241202831</v>
      </c>
      <c r="O392">
        <f>MAX(N$12:N392)</f>
        <v>108399.13517594337</v>
      </c>
      <c r="P392">
        <f>IF(O392&gt;O391,(O392-O391)*percentSavingsParticipation,0)</f>
        <v>0</v>
      </c>
      <c r="Q392">
        <f t="shared" si="29"/>
        <v>54199.567587971687</v>
      </c>
      <c r="R392">
        <f t="shared" si="30"/>
        <v>-15640</v>
      </c>
    </row>
    <row r="393" spans="1:18" x14ac:dyDescent="0.25">
      <c r="A393" s="1"/>
      <c r="C393" s="1"/>
      <c r="D393" s="1">
        <v>41808</v>
      </c>
      <c r="E393" s="10">
        <v>36583</v>
      </c>
      <c r="F393" s="1">
        <v>41808</v>
      </c>
      <c r="G393">
        <v>-3994</v>
      </c>
      <c r="H393" s="1">
        <f t="shared" si="26"/>
        <v>41808</v>
      </c>
      <c r="I393">
        <f>IF(AND(MyRowHidden(ROW())=FALSE,MyRowHidden(ROW()-1)=TRUE),0,(E393-E392)*unitsOfDHp+I392)</f>
        <v>75580</v>
      </c>
      <c r="J393">
        <f>IF(AND(MyRowHidden(ROW())=FALSE,MyRowHidden(ROW()-1)=TRUE),0,(G393-G392)*unitsOfExo+J392)</f>
        <v>-86325</v>
      </c>
      <c r="K393" s="9">
        <f t="shared" si="27"/>
        <v>86325</v>
      </c>
      <c r="L393">
        <f t="shared" si="28"/>
        <v>-64944.567587971687</v>
      </c>
      <c r="M393">
        <f>IF(AND(MyRowHidden(ROW())=FALSE,MyRowHidden(ROW()-1)=TRUE),0,(G393-G392)*unitsFuturesCompare+M392)</f>
        <v>-172650</v>
      </c>
      <c r="N393">
        <f>IF(MyRowHidden(ROW())=TRUE,0,L393-M393)</f>
        <v>107705.43241202831</v>
      </c>
      <c r="O393">
        <f>MAX(N$12:N393)</f>
        <v>108399.13517594337</v>
      </c>
      <c r="P393">
        <f>IF(O393&gt;O392,(O393-O392)*percentSavingsParticipation,0)</f>
        <v>0</v>
      </c>
      <c r="Q393">
        <f t="shared" si="29"/>
        <v>54199.567587971687</v>
      </c>
      <c r="R393">
        <f t="shared" si="30"/>
        <v>-10745</v>
      </c>
    </row>
    <row r="394" spans="1:18" x14ac:dyDescent="0.25">
      <c r="A394" s="1"/>
      <c r="C394" s="1"/>
      <c r="D394" s="1">
        <v>41809</v>
      </c>
      <c r="E394" s="10">
        <v>36633.75</v>
      </c>
      <c r="F394" s="1">
        <v>41809</v>
      </c>
      <c r="G394">
        <v>-3669</v>
      </c>
      <c r="H394" s="1">
        <f t="shared" si="26"/>
        <v>41809</v>
      </c>
      <c r="I394">
        <f>IF(AND(MyRowHidden(ROW())=FALSE,MyRowHidden(ROW()-1)=TRUE),0,(E394-E393)*unitsOfDHp+I393)</f>
        <v>76087.5</v>
      </c>
      <c r="J394">
        <f>IF(AND(MyRowHidden(ROW())=FALSE,MyRowHidden(ROW()-1)=TRUE),0,(G394-G393)*unitsOfExo+J393)</f>
        <v>-83075</v>
      </c>
      <c r="K394" s="9">
        <f t="shared" si="27"/>
        <v>83075</v>
      </c>
      <c r="L394">
        <f t="shared" si="28"/>
        <v>-61187.067587971687</v>
      </c>
      <c r="M394">
        <f>IF(AND(MyRowHidden(ROW())=FALSE,MyRowHidden(ROW()-1)=TRUE),0,(G394-G393)*unitsFuturesCompare+M393)</f>
        <v>-166150</v>
      </c>
      <c r="N394">
        <f>IF(MyRowHidden(ROW())=TRUE,0,L394-M394)</f>
        <v>104962.93241202831</v>
      </c>
      <c r="O394">
        <f>MAX(N$12:N394)</f>
        <v>108399.13517594337</v>
      </c>
      <c r="P394">
        <f>IF(O394&gt;O393,(O394-O393)*percentSavingsParticipation,0)</f>
        <v>0</v>
      </c>
      <c r="Q394">
        <f t="shared" si="29"/>
        <v>54199.567587971687</v>
      </c>
      <c r="R394">
        <f t="shared" si="30"/>
        <v>-6987.5</v>
      </c>
    </row>
    <row r="395" spans="1:18" x14ac:dyDescent="0.25">
      <c r="A395" s="1"/>
      <c r="C395" s="1"/>
      <c r="D395" s="1">
        <v>41810</v>
      </c>
      <c r="E395" s="10">
        <v>36634.75</v>
      </c>
      <c r="F395" s="1">
        <v>41810</v>
      </c>
      <c r="G395">
        <v>-3469</v>
      </c>
      <c r="H395" s="1">
        <f t="shared" si="26"/>
        <v>41810</v>
      </c>
      <c r="I395">
        <f>IF(AND(MyRowHidden(ROW())=FALSE,MyRowHidden(ROW()-1)=TRUE),0,(E395-E394)*unitsOfDHp+I394)</f>
        <v>76097.5</v>
      </c>
      <c r="J395">
        <f>IF(AND(MyRowHidden(ROW())=FALSE,MyRowHidden(ROW()-1)=TRUE),0,(G395-G394)*unitsOfExo+J394)</f>
        <v>-81075</v>
      </c>
      <c r="K395" s="9">
        <f t="shared" si="27"/>
        <v>81075</v>
      </c>
      <c r="L395">
        <f t="shared" si="28"/>
        <v>-59177.067587971687</v>
      </c>
      <c r="M395">
        <f>IF(AND(MyRowHidden(ROW())=FALSE,MyRowHidden(ROW()-1)=TRUE),0,(G395-G394)*unitsFuturesCompare+M394)</f>
        <v>-162150</v>
      </c>
      <c r="N395">
        <f>IF(MyRowHidden(ROW())=TRUE,0,L395-M395)</f>
        <v>102972.93241202831</v>
      </c>
      <c r="O395">
        <f>MAX(N$12:N395)</f>
        <v>108399.13517594337</v>
      </c>
      <c r="P395">
        <f>IF(O395&gt;O394,(O395-O394)*percentSavingsParticipation,0)</f>
        <v>0</v>
      </c>
      <c r="Q395">
        <f t="shared" si="29"/>
        <v>54199.567587971687</v>
      </c>
      <c r="R395">
        <f t="shared" si="30"/>
        <v>-4977.5</v>
      </c>
    </row>
    <row r="396" spans="1:18" x14ac:dyDescent="0.25">
      <c r="A396" s="1"/>
      <c r="C396" s="1"/>
      <c r="D396" s="1">
        <v>41813</v>
      </c>
      <c r="E396" s="10">
        <v>36634.75</v>
      </c>
      <c r="F396" s="1">
        <v>41813</v>
      </c>
      <c r="G396">
        <v>-3831.5</v>
      </c>
      <c r="H396" s="1">
        <f t="shared" si="26"/>
        <v>41813</v>
      </c>
      <c r="I396">
        <f>IF(AND(MyRowHidden(ROW())=FALSE,MyRowHidden(ROW()-1)=TRUE),0,(E396-E395)*unitsOfDHp+I395)</f>
        <v>76097.5</v>
      </c>
      <c r="J396">
        <f>IF(AND(MyRowHidden(ROW())=FALSE,MyRowHidden(ROW()-1)=TRUE),0,(G396-G395)*unitsOfExo+J395)</f>
        <v>-84700</v>
      </c>
      <c r="K396" s="9">
        <f t="shared" si="27"/>
        <v>84700</v>
      </c>
      <c r="L396">
        <f t="shared" si="28"/>
        <v>-62802.067587971687</v>
      </c>
      <c r="M396">
        <f>IF(AND(MyRowHidden(ROW())=FALSE,MyRowHidden(ROW()-1)=TRUE),0,(G396-G395)*unitsFuturesCompare+M395)</f>
        <v>-169400</v>
      </c>
      <c r="N396">
        <f>IF(MyRowHidden(ROW())=TRUE,0,L396-M396)</f>
        <v>106597.93241202831</v>
      </c>
      <c r="O396">
        <f>MAX(N$12:N396)</f>
        <v>108399.13517594337</v>
      </c>
      <c r="P396">
        <f>IF(O396&gt;O395,(O396-O395)*percentSavingsParticipation,0)</f>
        <v>0</v>
      </c>
      <c r="Q396">
        <f t="shared" si="29"/>
        <v>54199.567587971687</v>
      </c>
      <c r="R396">
        <f t="shared" si="30"/>
        <v>-8602.5</v>
      </c>
    </row>
    <row r="397" spans="1:18" x14ac:dyDescent="0.25">
      <c r="A397" s="1"/>
      <c r="C397" s="1"/>
      <c r="D397" s="1">
        <v>41814</v>
      </c>
      <c r="E397" s="10">
        <v>36634.75</v>
      </c>
      <c r="F397" s="1">
        <v>41814</v>
      </c>
      <c r="G397">
        <v>-4019</v>
      </c>
      <c r="H397" s="1">
        <f t="shared" ref="H397:H460" si="31">D397</f>
        <v>41814</v>
      </c>
      <c r="I397">
        <f>IF(AND(MyRowHidden(ROW())=FALSE,MyRowHidden(ROW()-1)=TRUE),0,(E397-E396)*unitsOfDHp+I396)</f>
        <v>76097.5</v>
      </c>
      <c r="J397">
        <f>IF(AND(MyRowHidden(ROW())=FALSE,MyRowHidden(ROW()-1)=TRUE),0,(G397-G396)*unitsOfExo+J396)</f>
        <v>-86575</v>
      </c>
      <c r="K397" s="9">
        <f t="shared" ref="K397:K460" si="32">-(J397-J396)+K396</f>
        <v>86575</v>
      </c>
      <c r="L397">
        <f t="shared" ref="L397:L460" si="33">I397-I396+J397-J396+L396-P396</f>
        <v>-64677.067587971687</v>
      </c>
      <c r="M397">
        <f>IF(AND(MyRowHidden(ROW())=FALSE,MyRowHidden(ROW()-1)=TRUE),0,(G397-G396)*unitsFuturesCompare+M396)</f>
        <v>-173150</v>
      </c>
      <c r="N397">
        <f>IF(MyRowHidden(ROW())=TRUE,0,L397-M397)</f>
        <v>108472.93241202831</v>
      </c>
      <c r="O397">
        <f>MAX(N$12:N397)</f>
        <v>108472.93241202831</v>
      </c>
      <c r="P397">
        <f>IF(O397&gt;O396,(O397-O396)*percentSavingsParticipation,0)</f>
        <v>36.898618042469025</v>
      </c>
      <c r="Q397">
        <f t="shared" ref="Q397:Q460" si="34">P397+Q396</f>
        <v>54236.466206014156</v>
      </c>
      <c r="R397">
        <f t="shared" ref="R397:R460" si="35">I397+J397</f>
        <v>-10477.5</v>
      </c>
    </row>
    <row r="398" spans="1:18" x14ac:dyDescent="0.25">
      <c r="A398" s="1"/>
      <c r="C398" s="1"/>
      <c r="D398" s="1">
        <v>41815</v>
      </c>
      <c r="E398" s="10">
        <v>36659.75</v>
      </c>
      <c r="F398" s="1">
        <v>41815</v>
      </c>
      <c r="G398">
        <v>-4069</v>
      </c>
      <c r="H398" s="1">
        <f t="shared" si="31"/>
        <v>41815</v>
      </c>
      <c r="I398">
        <f>IF(AND(MyRowHidden(ROW())=FALSE,MyRowHidden(ROW()-1)=TRUE),0,(E398-E397)*unitsOfDHp+I397)</f>
        <v>76347.5</v>
      </c>
      <c r="J398">
        <f>IF(AND(MyRowHidden(ROW())=FALSE,MyRowHidden(ROW()-1)=TRUE),0,(G398-G397)*unitsOfExo+J397)</f>
        <v>-87075</v>
      </c>
      <c r="K398" s="9">
        <f t="shared" si="32"/>
        <v>87075</v>
      </c>
      <c r="L398">
        <f t="shared" si="33"/>
        <v>-64963.966206014156</v>
      </c>
      <c r="M398">
        <f>IF(AND(MyRowHidden(ROW())=FALSE,MyRowHidden(ROW()-1)=TRUE),0,(G398-G397)*unitsFuturesCompare+M397)</f>
        <v>-174150</v>
      </c>
      <c r="N398">
        <f>IF(MyRowHidden(ROW())=TRUE,0,L398-M398)</f>
        <v>109186.03379398584</v>
      </c>
      <c r="O398">
        <f>MAX(N$12:N398)</f>
        <v>109186.03379398584</v>
      </c>
      <c r="P398">
        <f>IF(O398&gt;O397,(O398-O397)*percentSavingsParticipation,0)</f>
        <v>356.55069097876549</v>
      </c>
      <c r="Q398">
        <f t="shared" si="34"/>
        <v>54593.016896992922</v>
      </c>
      <c r="R398">
        <f t="shared" si="35"/>
        <v>-10727.5</v>
      </c>
    </row>
    <row r="399" spans="1:18" x14ac:dyDescent="0.25">
      <c r="A399" s="1"/>
      <c r="C399" s="1"/>
      <c r="D399" s="1">
        <v>41816</v>
      </c>
      <c r="E399" s="10">
        <v>36772.25</v>
      </c>
      <c r="F399" s="1">
        <v>41816</v>
      </c>
      <c r="G399">
        <v>-3794</v>
      </c>
      <c r="H399" s="1">
        <f t="shared" si="31"/>
        <v>41816</v>
      </c>
      <c r="I399">
        <f>IF(AND(MyRowHidden(ROW())=FALSE,MyRowHidden(ROW()-1)=TRUE),0,(E399-E398)*unitsOfDHp+I398)</f>
        <v>77472.5</v>
      </c>
      <c r="J399">
        <f>IF(AND(MyRowHidden(ROW())=FALSE,MyRowHidden(ROW()-1)=TRUE),0,(G399-G398)*unitsOfExo+J398)</f>
        <v>-84325</v>
      </c>
      <c r="K399" s="9">
        <f t="shared" si="32"/>
        <v>84325</v>
      </c>
      <c r="L399">
        <f t="shared" si="33"/>
        <v>-61445.516896992922</v>
      </c>
      <c r="M399">
        <f>IF(AND(MyRowHidden(ROW())=FALSE,MyRowHidden(ROW()-1)=TRUE),0,(G399-G398)*unitsFuturesCompare+M398)</f>
        <v>-168650</v>
      </c>
      <c r="N399">
        <f>IF(MyRowHidden(ROW())=TRUE,0,L399-M399)</f>
        <v>107204.48310300708</v>
      </c>
      <c r="O399">
        <f>MAX(N$12:N399)</f>
        <v>109186.03379398584</v>
      </c>
      <c r="P399">
        <f>IF(O399&gt;O398,(O399-O398)*percentSavingsParticipation,0)</f>
        <v>0</v>
      </c>
      <c r="Q399">
        <f t="shared" si="34"/>
        <v>54593.016896992922</v>
      </c>
      <c r="R399">
        <f t="shared" si="35"/>
        <v>-6852.5</v>
      </c>
    </row>
    <row r="400" spans="1:18" x14ac:dyDescent="0.25">
      <c r="A400" s="1"/>
      <c r="C400" s="1"/>
      <c r="D400" s="1">
        <v>41817</v>
      </c>
      <c r="E400" s="10">
        <v>36747.25</v>
      </c>
      <c r="F400" s="1">
        <v>41817</v>
      </c>
      <c r="G400">
        <v>-3769</v>
      </c>
      <c r="H400" s="1">
        <f t="shared" si="31"/>
        <v>41817</v>
      </c>
      <c r="I400">
        <f>IF(AND(MyRowHidden(ROW())=FALSE,MyRowHidden(ROW()-1)=TRUE),0,(E400-E399)*unitsOfDHp+I399)</f>
        <v>77222.5</v>
      </c>
      <c r="J400">
        <f>IF(AND(MyRowHidden(ROW())=FALSE,MyRowHidden(ROW()-1)=TRUE),0,(G400-G399)*unitsOfExo+J399)</f>
        <v>-84075</v>
      </c>
      <c r="K400" s="9">
        <f t="shared" si="32"/>
        <v>84075</v>
      </c>
      <c r="L400">
        <f t="shared" si="33"/>
        <v>-61445.516896992922</v>
      </c>
      <c r="M400">
        <f>IF(AND(MyRowHidden(ROW())=FALSE,MyRowHidden(ROW()-1)=TRUE),0,(G400-G399)*unitsFuturesCompare+M399)</f>
        <v>-168150</v>
      </c>
      <c r="N400">
        <f>IF(MyRowHidden(ROW())=TRUE,0,L400-M400)</f>
        <v>106704.48310300708</v>
      </c>
      <c r="O400">
        <f>MAX(N$12:N400)</f>
        <v>109186.03379398584</v>
      </c>
      <c r="P400">
        <f>IF(O400&gt;O399,(O400-O399)*percentSavingsParticipation,0)</f>
        <v>0</v>
      </c>
      <c r="Q400">
        <f t="shared" si="34"/>
        <v>54593.016896992922</v>
      </c>
      <c r="R400">
        <f t="shared" si="35"/>
        <v>-6852.5</v>
      </c>
    </row>
    <row r="401" spans="1:18" x14ac:dyDescent="0.25">
      <c r="A401" s="1"/>
      <c r="C401" s="1"/>
      <c r="D401" s="1">
        <v>41820</v>
      </c>
      <c r="E401" s="10">
        <v>36111.25</v>
      </c>
      <c r="F401" s="1">
        <v>41820</v>
      </c>
      <c r="G401">
        <v>-4844</v>
      </c>
      <c r="H401" s="1">
        <f t="shared" si="31"/>
        <v>41820</v>
      </c>
      <c r="I401">
        <f>IF(AND(MyRowHidden(ROW())=FALSE,MyRowHidden(ROW()-1)=TRUE),0,(E401-E400)*unitsOfDHp+I400)</f>
        <v>70862.5</v>
      </c>
      <c r="J401">
        <f>IF(AND(MyRowHidden(ROW())=FALSE,MyRowHidden(ROW()-1)=TRUE),0,(G401-G400)*unitsOfExo+J400)</f>
        <v>-94825</v>
      </c>
      <c r="K401" s="9">
        <f t="shared" si="32"/>
        <v>94825</v>
      </c>
      <c r="L401">
        <f t="shared" si="33"/>
        <v>-78555.516896992922</v>
      </c>
      <c r="M401">
        <f>IF(AND(MyRowHidden(ROW())=FALSE,MyRowHidden(ROW()-1)=TRUE),0,(G401-G400)*unitsFuturesCompare+M400)</f>
        <v>-189650</v>
      </c>
      <c r="N401">
        <f>IF(MyRowHidden(ROW())=TRUE,0,L401-M401)</f>
        <v>111094.48310300708</v>
      </c>
      <c r="O401">
        <f>MAX(N$12:N401)</f>
        <v>111094.48310300708</v>
      </c>
      <c r="P401">
        <f>IF(O401&gt;O400,(O401-O400)*percentSavingsParticipation,0)</f>
        <v>954.22465451061726</v>
      </c>
      <c r="Q401">
        <f t="shared" si="34"/>
        <v>55547.241551503539</v>
      </c>
      <c r="R401">
        <f t="shared" si="35"/>
        <v>-23962.5</v>
      </c>
    </row>
    <row r="402" spans="1:18" x14ac:dyDescent="0.25">
      <c r="A402" s="1"/>
      <c r="C402" s="1"/>
      <c r="D402" s="1">
        <v>41821</v>
      </c>
      <c r="E402" s="10">
        <v>36223.75</v>
      </c>
      <c r="F402" s="1">
        <v>41821</v>
      </c>
      <c r="G402">
        <v>-5081</v>
      </c>
      <c r="H402" s="1">
        <f t="shared" si="31"/>
        <v>41821</v>
      </c>
      <c r="I402">
        <f>IF(AND(MyRowHidden(ROW())=FALSE,MyRowHidden(ROW()-1)=TRUE),0,(E402-E401)*unitsOfDHp+I401)</f>
        <v>71987.5</v>
      </c>
      <c r="J402">
        <f>IF(AND(MyRowHidden(ROW())=FALSE,MyRowHidden(ROW()-1)=TRUE),0,(G402-G401)*unitsOfExo+J401)</f>
        <v>-97195</v>
      </c>
      <c r="K402" s="9">
        <f t="shared" si="32"/>
        <v>97195</v>
      </c>
      <c r="L402">
        <f t="shared" si="33"/>
        <v>-80754.741551503539</v>
      </c>
      <c r="M402">
        <f>IF(AND(MyRowHidden(ROW())=FALSE,MyRowHidden(ROW()-1)=TRUE),0,(G402-G401)*unitsFuturesCompare+M401)</f>
        <v>-194390</v>
      </c>
      <c r="N402">
        <f>IF(MyRowHidden(ROW())=TRUE,0,L402-M402)</f>
        <v>113635.25844849646</v>
      </c>
      <c r="O402">
        <f>MAX(N$12:N402)</f>
        <v>113635.25844849646</v>
      </c>
      <c r="P402">
        <f>IF(O402&gt;O401,(O402-O401)*percentSavingsParticipation,0)</f>
        <v>1270.3876727446914</v>
      </c>
      <c r="Q402">
        <f t="shared" si="34"/>
        <v>56817.62922424823</v>
      </c>
      <c r="R402">
        <f t="shared" si="35"/>
        <v>-25207.5</v>
      </c>
    </row>
    <row r="403" spans="1:18" x14ac:dyDescent="0.25">
      <c r="A403" s="1"/>
      <c r="C403" s="1"/>
      <c r="D403" s="1">
        <v>41822</v>
      </c>
      <c r="E403" s="10">
        <v>36336.25</v>
      </c>
      <c r="F403" s="1">
        <v>41822</v>
      </c>
      <c r="G403">
        <v>-5231</v>
      </c>
      <c r="H403" s="1">
        <f t="shared" si="31"/>
        <v>41822</v>
      </c>
      <c r="I403">
        <f>IF(AND(MyRowHidden(ROW())=FALSE,MyRowHidden(ROW()-1)=TRUE),0,(E403-E402)*unitsOfDHp+I402)</f>
        <v>73112.5</v>
      </c>
      <c r="J403">
        <f>IF(AND(MyRowHidden(ROW())=FALSE,MyRowHidden(ROW()-1)=TRUE),0,(G403-G402)*unitsOfExo+J402)</f>
        <v>-98695</v>
      </c>
      <c r="K403" s="9">
        <f t="shared" si="32"/>
        <v>98695</v>
      </c>
      <c r="L403">
        <f t="shared" si="33"/>
        <v>-82400.12922424823</v>
      </c>
      <c r="M403">
        <f>IF(AND(MyRowHidden(ROW())=FALSE,MyRowHidden(ROW()-1)=TRUE),0,(G403-G402)*unitsFuturesCompare+M402)</f>
        <v>-197390</v>
      </c>
      <c r="N403">
        <f>IF(MyRowHidden(ROW())=TRUE,0,L403-M403)</f>
        <v>114989.87077575177</v>
      </c>
      <c r="O403">
        <f>MAX(N$12:N403)</f>
        <v>114989.87077575177</v>
      </c>
      <c r="P403">
        <f>IF(O403&gt;O402,(O403-O402)*percentSavingsParticipation,0)</f>
        <v>677.30616362765431</v>
      </c>
      <c r="Q403">
        <f t="shared" si="34"/>
        <v>57494.935387875885</v>
      </c>
      <c r="R403">
        <f t="shared" si="35"/>
        <v>-25582.5</v>
      </c>
    </row>
    <row r="404" spans="1:18" x14ac:dyDescent="0.25">
      <c r="A404" s="1"/>
      <c r="C404" s="1"/>
      <c r="D404" s="1">
        <v>41823</v>
      </c>
      <c r="E404" s="10">
        <v>36311.25</v>
      </c>
      <c r="F404" s="1">
        <v>41823</v>
      </c>
      <c r="G404">
        <v>-5356</v>
      </c>
      <c r="H404" s="1">
        <f t="shared" si="31"/>
        <v>41823</v>
      </c>
      <c r="I404">
        <f>IF(AND(MyRowHidden(ROW())=FALSE,MyRowHidden(ROW()-1)=TRUE),0,(E404-E403)*unitsOfDHp+I403)</f>
        <v>72862.5</v>
      </c>
      <c r="J404">
        <f>IF(AND(MyRowHidden(ROW())=FALSE,MyRowHidden(ROW()-1)=TRUE),0,(G404-G403)*unitsOfExo+J403)</f>
        <v>-99945</v>
      </c>
      <c r="K404" s="9">
        <f t="shared" si="32"/>
        <v>99945</v>
      </c>
      <c r="L404">
        <f t="shared" si="33"/>
        <v>-84577.435387875885</v>
      </c>
      <c r="M404">
        <f>IF(AND(MyRowHidden(ROW())=FALSE,MyRowHidden(ROW()-1)=TRUE),0,(G404-G403)*unitsFuturesCompare+M403)</f>
        <v>-199890</v>
      </c>
      <c r="N404">
        <f>IF(MyRowHidden(ROW())=TRUE,0,L404-M404)</f>
        <v>115312.56461212412</v>
      </c>
      <c r="O404">
        <f>MAX(N$12:N404)</f>
        <v>115312.56461212412</v>
      </c>
      <c r="P404">
        <f>IF(O404&gt;O403,(O404-O403)*percentSavingsParticipation,0)</f>
        <v>161.34691818617284</v>
      </c>
      <c r="Q404">
        <f t="shared" si="34"/>
        <v>57656.282306062058</v>
      </c>
      <c r="R404">
        <f t="shared" si="35"/>
        <v>-27082.5</v>
      </c>
    </row>
    <row r="405" spans="1:18" x14ac:dyDescent="0.25">
      <c r="A405" s="1"/>
      <c r="C405" s="1"/>
      <c r="D405" s="1">
        <v>41824</v>
      </c>
      <c r="E405" s="10">
        <v>35948.75</v>
      </c>
      <c r="F405" s="1">
        <v>41824</v>
      </c>
      <c r="G405">
        <v>-5718.5</v>
      </c>
      <c r="H405" s="1">
        <f t="shared" si="31"/>
        <v>41824</v>
      </c>
      <c r="I405">
        <f>IF(AND(MyRowHidden(ROW())=FALSE,MyRowHidden(ROW()-1)=TRUE),0,(E405-E404)*unitsOfDHp+I404)</f>
        <v>69237.5</v>
      </c>
      <c r="J405">
        <f>IF(AND(MyRowHidden(ROW())=FALSE,MyRowHidden(ROW()-1)=TRUE),0,(G405-G404)*unitsOfExo+J404)</f>
        <v>-103570</v>
      </c>
      <c r="K405" s="9">
        <f t="shared" si="32"/>
        <v>103570</v>
      </c>
      <c r="L405">
        <f t="shared" si="33"/>
        <v>-91988.782306062058</v>
      </c>
      <c r="M405">
        <f>IF(AND(MyRowHidden(ROW())=FALSE,MyRowHidden(ROW()-1)=TRUE),0,(G405-G404)*unitsFuturesCompare+M404)</f>
        <v>-207140</v>
      </c>
      <c r="N405">
        <f>IF(MyRowHidden(ROW())=TRUE,0,L405-M405)</f>
        <v>115151.21769393794</v>
      </c>
      <c r="O405">
        <f>MAX(N$12:N405)</f>
        <v>115312.56461212412</v>
      </c>
      <c r="P405">
        <f>IF(O405&gt;O404,(O405-O404)*percentSavingsParticipation,0)</f>
        <v>0</v>
      </c>
      <c r="Q405">
        <f t="shared" si="34"/>
        <v>57656.282306062058</v>
      </c>
      <c r="R405">
        <f t="shared" si="35"/>
        <v>-34332.5</v>
      </c>
    </row>
    <row r="406" spans="1:18" x14ac:dyDescent="0.25">
      <c r="A406" s="1"/>
      <c r="C406" s="1"/>
      <c r="D406" s="1">
        <v>41827</v>
      </c>
      <c r="E406" s="10">
        <v>35811.25</v>
      </c>
      <c r="F406" s="1">
        <v>41827</v>
      </c>
      <c r="G406">
        <v>-5793.5</v>
      </c>
      <c r="H406" s="1">
        <f t="shared" si="31"/>
        <v>41827</v>
      </c>
      <c r="I406">
        <f>IF(AND(MyRowHidden(ROW())=FALSE,MyRowHidden(ROW()-1)=TRUE),0,(E406-E405)*unitsOfDHp+I405)</f>
        <v>67862.5</v>
      </c>
      <c r="J406">
        <f>IF(AND(MyRowHidden(ROW())=FALSE,MyRowHidden(ROW()-1)=TRUE),0,(G406-G405)*unitsOfExo+J405)</f>
        <v>-104320</v>
      </c>
      <c r="K406" s="9">
        <f t="shared" si="32"/>
        <v>104320</v>
      </c>
      <c r="L406">
        <f t="shared" si="33"/>
        <v>-94113.782306062058</v>
      </c>
      <c r="M406">
        <f>IF(AND(MyRowHidden(ROW())=FALSE,MyRowHidden(ROW()-1)=TRUE),0,(G406-G405)*unitsFuturesCompare+M405)</f>
        <v>-208640</v>
      </c>
      <c r="N406">
        <f>IF(MyRowHidden(ROW())=TRUE,0,L406-M406)</f>
        <v>114526.21769393794</v>
      </c>
      <c r="O406">
        <f>MAX(N$12:N406)</f>
        <v>115312.56461212412</v>
      </c>
      <c r="P406">
        <f>IF(O406&gt;O405,(O406-O405)*percentSavingsParticipation,0)</f>
        <v>0</v>
      </c>
      <c r="Q406">
        <f t="shared" si="34"/>
        <v>57656.282306062058</v>
      </c>
      <c r="R406">
        <f t="shared" si="35"/>
        <v>-36457.5</v>
      </c>
    </row>
    <row r="407" spans="1:18" x14ac:dyDescent="0.25">
      <c r="A407" s="1"/>
      <c r="C407" s="1"/>
      <c r="D407" s="1">
        <v>41828</v>
      </c>
      <c r="E407" s="10">
        <v>35661.25</v>
      </c>
      <c r="F407" s="1">
        <v>41828</v>
      </c>
      <c r="G407">
        <v>-5956</v>
      </c>
      <c r="H407" s="1">
        <f t="shared" si="31"/>
        <v>41828</v>
      </c>
      <c r="I407">
        <f>IF(AND(MyRowHidden(ROW())=FALSE,MyRowHidden(ROW()-1)=TRUE),0,(E407-E406)*unitsOfDHp+I406)</f>
        <v>66362.5</v>
      </c>
      <c r="J407">
        <f>IF(AND(MyRowHidden(ROW())=FALSE,MyRowHidden(ROW()-1)=TRUE),0,(G407-G406)*unitsOfExo+J406)</f>
        <v>-105945</v>
      </c>
      <c r="K407" s="9">
        <f t="shared" si="32"/>
        <v>105945</v>
      </c>
      <c r="L407">
        <f t="shared" si="33"/>
        <v>-97238.782306062058</v>
      </c>
      <c r="M407">
        <f>IF(AND(MyRowHidden(ROW())=FALSE,MyRowHidden(ROW()-1)=TRUE),0,(G407-G406)*unitsFuturesCompare+M406)</f>
        <v>-211890</v>
      </c>
      <c r="N407">
        <f>IF(MyRowHidden(ROW())=TRUE,0,L407-M407)</f>
        <v>114651.21769393794</v>
      </c>
      <c r="O407">
        <f>MAX(N$12:N407)</f>
        <v>115312.56461212412</v>
      </c>
      <c r="P407">
        <f>IF(O407&gt;O406,(O407-O406)*percentSavingsParticipation,0)</f>
        <v>0</v>
      </c>
      <c r="Q407">
        <f t="shared" si="34"/>
        <v>57656.282306062058</v>
      </c>
      <c r="R407">
        <f t="shared" si="35"/>
        <v>-39582.5</v>
      </c>
    </row>
    <row r="408" spans="1:18" x14ac:dyDescent="0.25">
      <c r="A408" s="1"/>
      <c r="C408" s="1"/>
      <c r="D408" s="1">
        <v>41829</v>
      </c>
      <c r="E408" s="10">
        <v>35548.75</v>
      </c>
      <c r="F408" s="1">
        <v>41829</v>
      </c>
      <c r="G408">
        <v>-6331</v>
      </c>
      <c r="H408" s="1">
        <f t="shared" si="31"/>
        <v>41829</v>
      </c>
      <c r="I408">
        <f>IF(AND(MyRowHidden(ROW())=FALSE,MyRowHidden(ROW()-1)=TRUE),0,(E408-E407)*unitsOfDHp+I407)</f>
        <v>65237.5</v>
      </c>
      <c r="J408">
        <f>IF(AND(MyRowHidden(ROW())=FALSE,MyRowHidden(ROW()-1)=TRUE),0,(G408-G407)*unitsOfExo+J407)</f>
        <v>-109695</v>
      </c>
      <c r="K408" s="9">
        <f t="shared" si="32"/>
        <v>109695</v>
      </c>
      <c r="L408">
        <f t="shared" si="33"/>
        <v>-102113.78230606206</v>
      </c>
      <c r="M408">
        <f>IF(AND(MyRowHidden(ROW())=FALSE,MyRowHidden(ROW()-1)=TRUE),0,(G408-G407)*unitsFuturesCompare+M407)</f>
        <v>-219390</v>
      </c>
      <c r="N408">
        <f>IF(MyRowHidden(ROW())=TRUE,0,L408-M408)</f>
        <v>117276.21769393794</v>
      </c>
      <c r="O408">
        <f>MAX(N$12:N408)</f>
        <v>117276.21769393794</v>
      </c>
      <c r="P408">
        <f>IF(O408&gt;O407,(O408-O407)*percentSavingsParticipation,0)</f>
        <v>981.82654090691358</v>
      </c>
      <c r="Q408">
        <f t="shared" si="34"/>
        <v>58638.108846968971</v>
      </c>
      <c r="R408">
        <f t="shared" si="35"/>
        <v>-44457.5</v>
      </c>
    </row>
    <row r="409" spans="1:18" x14ac:dyDescent="0.25">
      <c r="A409" s="1"/>
      <c r="C409" s="1"/>
      <c r="D409" s="1">
        <v>41830</v>
      </c>
      <c r="E409" s="10">
        <v>35386.25</v>
      </c>
      <c r="F409" s="1">
        <v>41830</v>
      </c>
      <c r="G409">
        <v>-6531</v>
      </c>
      <c r="H409" s="1">
        <f t="shared" si="31"/>
        <v>41830</v>
      </c>
      <c r="I409">
        <f>IF(AND(MyRowHidden(ROW())=FALSE,MyRowHidden(ROW()-1)=TRUE),0,(E409-E408)*unitsOfDHp+I408)</f>
        <v>63612.5</v>
      </c>
      <c r="J409">
        <f>IF(AND(MyRowHidden(ROW())=FALSE,MyRowHidden(ROW()-1)=TRUE),0,(G409-G408)*unitsOfExo+J408)</f>
        <v>-111695</v>
      </c>
      <c r="K409" s="9">
        <f t="shared" si="32"/>
        <v>111695</v>
      </c>
      <c r="L409">
        <f t="shared" si="33"/>
        <v>-106720.60884696897</v>
      </c>
      <c r="M409">
        <f>IF(AND(MyRowHidden(ROW())=FALSE,MyRowHidden(ROW()-1)=TRUE),0,(G409-G408)*unitsFuturesCompare+M408)</f>
        <v>-223390</v>
      </c>
      <c r="N409">
        <f>IF(MyRowHidden(ROW())=TRUE,0,L409-M409)</f>
        <v>116669.39115303103</v>
      </c>
      <c r="O409">
        <f>MAX(N$12:N409)</f>
        <v>117276.21769393794</v>
      </c>
      <c r="P409">
        <f>IF(O409&gt;O408,(O409-O408)*percentSavingsParticipation,0)</f>
        <v>0</v>
      </c>
      <c r="Q409">
        <f t="shared" si="34"/>
        <v>58638.108846968971</v>
      </c>
      <c r="R409">
        <f t="shared" si="35"/>
        <v>-48082.5</v>
      </c>
    </row>
    <row r="410" spans="1:18" x14ac:dyDescent="0.25">
      <c r="A410" s="1"/>
      <c r="C410" s="1"/>
      <c r="D410" s="1">
        <v>41831</v>
      </c>
      <c r="E410" s="10">
        <v>35200.25</v>
      </c>
      <c r="F410" s="1">
        <v>41831</v>
      </c>
      <c r="G410">
        <v>-6881</v>
      </c>
      <c r="H410" s="1">
        <f t="shared" si="31"/>
        <v>41831</v>
      </c>
      <c r="I410">
        <f>IF(AND(MyRowHidden(ROW())=FALSE,MyRowHidden(ROW()-1)=TRUE),0,(E410-E409)*unitsOfDHp+I409)</f>
        <v>61752.5</v>
      </c>
      <c r="J410">
        <f>IF(AND(MyRowHidden(ROW())=FALSE,MyRowHidden(ROW()-1)=TRUE),0,(G410-G409)*unitsOfExo+J409)</f>
        <v>-115195</v>
      </c>
      <c r="K410" s="9">
        <f t="shared" si="32"/>
        <v>115195</v>
      </c>
      <c r="L410">
        <f t="shared" si="33"/>
        <v>-112080.60884696897</v>
      </c>
      <c r="M410">
        <f>IF(AND(MyRowHidden(ROW())=FALSE,MyRowHidden(ROW()-1)=TRUE),0,(G410-G409)*unitsFuturesCompare+M409)</f>
        <v>-230390</v>
      </c>
      <c r="N410">
        <f>IF(MyRowHidden(ROW())=TRUE,0,L410-M410)</f>
        <v>118309.39115303103</v>
      </c>
      <c r="O410">
        <f>MAX(N$12:N410)</f>
        <v>118309.39115303103</v>
      </c>
      <c r="P410">
        <f>IF(O410&gt;O409,(O410-O409)*percentSavingsParticipation,0)</f>
        <v>516.58672954654321</v>
      </c>
      <c r="Q410">
        <f t="shared" si="34"/>
        <v>59154.695576515514</v>
      </c>
      <c r="R410">
        <f t="shared" si="35"/>
        <v>-53442.5</v>
      </c>
    </row>
    <row r="411" spans="1:18" x14ac:dyDescent="0.25">
      <c r="A411" s="1"/>
      <c r="C411" s="1"/>
      <c r="D411" s="1">
        <v>41834</v>
      </c>
      <c r="E411" s="10">
        <v>35275.25</v>
      </c>
      <c r="F411" s="1">
        <v>41834</v>
      </c>
      <c r="G411">
        <v>-6781</v>
      </c>
      <c r="H411" s="1">
        <f t="shared" si="31"/>
        <v>41834</v>
      </c>
      <c r="I411">
        <f>IF(AND(MyRowHidden(ROW())=FALSE,MyRowHidden(ROW()-1)=TRUE),0,(E411-E410)*unitsOfDHp+I410)</f>
        <v>62502.5</v>
      </c>
      <c r="J411">
        <f>IF(AND(MyRowHidden(ROW())=FALSE,MyRowHidden(ROW()-1)=TRUE),0,(G411-G410)*unitsOfExo+J410)</f>
        <v>-114195</v>
      </c>
      <c r="K411" s="9">
        <f t="shared" si="32"/>
        <v>114195</v>
      </c>
      <c r="L411">
        <f t="shared" si="33"/>
        <v>-110847.19557651551</v>
      </c>
      <c r="M411">
        <f>IF(AND(MyRowHidden(ROW())=FALSE,MyRowHidden(ROW()-1)=TRUE),0,(G411-G410)*unitsFuturesCompare+M410)</f>
        <v>-228390</v>
      </c>
      <c r="N411">
        <f>IF(MyRowHidden(ROW())=TRUE,0,L411-M411)</f>
        <v>117542.80442348449</v>
      </c>
      <c r="O411">
        <f>MAX(N$12:N411)</f>
        <v>118309.39115303103</v>
      </c>
      <c r="P411">
        <f>IF(O411&gt;O410,(O411-O410)*percentSavingsParticipation,0)</f>
        <v>0</v>
      </c>
      <c r="Q411">
        <f t="shared" si="34"/>
        <v>59154.695576515514</v>
      </c>
      <c r="R411">
        <f t="shared" si="35"/>
        <v>-51692.5</v>
      </c>
    </row>
    <row r="412" spans="1:18" x14ac:dyDescent="0.25">
      <c r="A412" s="1"/>
      <c r="C412" s="1"/>
      <c r="D412" s="1">
        <v>41835</v>
      </c>
      <c r="E412" s="10">
        <v>35087.75</v>
      </c>
      <c r="F412" s="1">
        <v>41835</v>
      </c>
      <c r="G412">
        <v>-7093.5</v>
      </c>
      <c r="H412" s="1">
        <f t="shared" si="31"/>
        <v>41835</v>
      </c>
      <c r="I412">
        <f>IF(AND(MyRowHidden(ROW())=FALSE,MyRowHidden(ROW()-1)=TRUE),0,(E412-E411)*unitsOfDHp+I411)</f>
        <v>60627.5</v>
      </c>
      <c r="J412">
        <f>IF(AND(MyRowHidden(ROW())=FALSE,MyRowHidden(ROW()-1)=TRUE),0,(G412-G411)*unitsOfExo+J411)</f>
        <v>-117320</v>
      </c>
      <c r="K412" s="9">
        <f t="shared" si="32"/>
        <v>117320</v>
      </c>
      <c r="L412">
        <f t="shared" si="33"/>
        <v>-115847.19557651551</v>
      </c>
      <c r="M412">
        <f>IF(AND(MyRowHidden(ROW())=FALSE,MyRowHidden(ROW()-1)=TRUE),0,(G412-G411)*unitsFuturesCompare+M411)</f>
        <v>-234640</v>
      </c>
      <c r="N412">
        <f>IF(MyRowHidden(ROW())=TRUE,0,L412-M412)</f>
        <v>118792.80442348449</v>
      </c>
      <c r="O412">
        <f>MAX(N$12:N412)</f>
        <v>118792.80442348449</v>
      </c>
      <c r="P412">
        <f>IF(O412&gt;O411,(O412-O411)*percentSavingsParticipation,0)</f>
        <v>241.70663522672839</v>
      </c>
      <c r="Q412">
        <f t="shared" si="34"/>
        <v>59396.402211742243</v>
      </c>
      <c r="R412">
        <f t="shared" si="35"/>
        <v>-56692.5</v>
      </c>
    </row>
    <row r="413" spans="1:18" x14ac:dyDescent="0.25">
      <c r="A413" s="1"/>
      <c r="C413" s="1"/>
      <c r="D413" s="1">
        <v>41836</v>
      </c>
      <c r="E413" s="10">
        <v>35125.25</v>
      </c>
      <c r="F413" s="1">
        <v>41836</v>
      </c>
      <c r="G413">
        <v>-7031</v>
      </c>
      <c r="H413" s="1">
        <f t="shared" si="31"/>
        <v>41836</v>
      </c>
      <c r="I413">
        <f>IF(AND(MyRowHidden(ROW())=FALSE,MyRowHidden(ROW()-1)=TRUE),0,(E413-E412)*unitsOfDHp+I412)</f>
        <v>61002.5</v>
      </c>
      <c r="J413">
        <f>IF(AND(MyRowHidden(ROW())=FALSE,MyRowHidden(ROW()-1)=TRUE),0,(G413-G412)*unitsOfExo+J412)</f>
        <v>-116695</v>
      </c>
      <c r="K413" s="9">
        <f t="shared" si="32"/>
        <v>116695</v>
      </c>
      <c r="L413">
        <f t="shared" si="33"/>
        <v>-115088.90221174224</v>
      </c>
      <c r="M413">
        <f>IF(AND(MyRowHidden(ROW())=FALSE,MyRowHidden(ROW()-1)=TRUE),0,(G413-G412)*unitsFuturesCompare+M412)</f>
        <v>-233390</v>
      </c>
      <c r="N413">
        <f>IF(MyRowHidden(ROW())=TRUE,0,L413-M413)</f>
        <v>118301.09778825776</v>
      </c>
      <c r="O413">
        <f>MAX(N$12:N413)</f>
        <v>118792.80442348449</v>
      </c>
      <c r="P413">
        <f>IF(O413&gt;O412,(O413-O412)*percentSavingsParticipation,0)</f>
        <v>0</v>
      </c>
      <c r="Q413">
        <f t="shared" si="34"/>
        <v>59396.402211742243</v>
      </c>
      <c r="R413">
        <f t="shared" si="35"/>
        <v>-55692.5</v>
      </c>
    </row>
    <row r="414" spans="1:18" x14ac:dyDescent="0.25">
      <c r="A414" s="1"/>
      <c r="C414" s="1"/>
      <c r="D414" s="1">
        <v>41837</v>
      </c>
      <c r="E414" s="10">
        <v>35237.75</v>
      </c>
      <c r="F414" s="1">
        <v>41837</v>
      </c>
      <c r="G414">
        <v>-6856</v>
      </c>
      <c r="H414" s="1">
        <f t="shared" si="31"/>
        <v>41837</v>
      </c>
      <c r="I414">
        <f>IF(AND(MyRowHidden(ROW())=FALSE,MyRowHidden(ROW()-1)=TRUE),0,(E414-E413)*unitsOfDHp+I413)</f>
        <v>62127.5</v>
      </c>
      <c r="J414">
        <f>IF(AND(MyRowHidden(ROW())=FALSE,MyRowHidden(ROW()-1)=TRUE),0,(G414-G413)*unitsOfExo+J413)</f>
        <v>-114945</v>
      </c>
      <c r="K414" s="9">
        <f t="shared" si="32"/>
        <v>114945</v>
      </c>
      <c r="L414">
        <f t="shared" si="33"/>
        <v>-112213.90221174224</v>
      </c>
      <c r="M414">
        <f>IF(AND(MyRowHidden(ROW())=FALSE,MyRowHidden(ROW()-1)=TRUE),0,(G414-G413)*unitsFuturesCompare+M413)</f>
        <v>-229890</v>
      </c>
      <c r="N414">
        <f>IF(MyRowHidden(ROW())=TRUE,0,L414-M414)</f>
        <v>117676.09778825776</v>
      </c>
      <c r="O414">
        <f>MAX(N$12:N414)</f>
        <v>118792.80442348449</v>
      </c>
      <c r="P414">
        <f>IF(O414&gt;O413,(O414-O413)*percentSavingsParticipation,0)</f>
        <v>0</v>
      </c>
      <c r="Q414">
        <f t="shared" si="34"/>
        <v>59396.402211742243</v>
      </c>
      <c r="R414">
        <f t="shared" si="35"/>
        <v>-52817.5</v>
      </c>
    </row>
    <row r="415" spans="1:18" x14ac:dyDescent="0.25">
      <c r="A415" s="1"/>
      <c r="C415" s="1"/>
      <c r="D415" s="1">
        <v>41838</v>
      </c>
      <c r="E415" s="10">
        <v>34975.25</v>
      </c>
      <c r="F415" s="1">
        <v>41838</v>
      </c>
      <c r="G415">
        <v>-7231</v>
      </c>
      <c r="H415" s="1">
        <f t="shared" si="31"/>
        <v>41838</v>
      </c>
      <c r="I415">
        <f>IF(AND(MyRowHidden(ROW())=FALSE,MyRowHidden(ROW()-1)=TRUE),0,(E415-E414)*unitsOfDHp+I414)</f>
        <v>59502.5</v>
      </c>
      <c r="J415">
        <f>IF(AND(MyRowHidden(ROW())=FALSE,MyRowHidden(ROW()-1)=TRUE),0,(G415-G414)*unitsOfExo+J414)</f>
        <v>-118695</v>
      </c>
      <c r="K415" s="9">
        <f t="shared" si="32"/>
        <v>118695</v>
      </c>
      <c r="L415">
        <f t="shared" si="33"/>
        <v>-118588.90221174224</v>
      </c>
      <c r="M415">
        <f>IF(AND(MyRowHidden(ROW())=FALSE,MyRowHidden(ROW()-1)=TRUE),0,(G415-G414)*unitsFuturesCompare+M414)</f>
        <v>-237390</v>
      </c>
      <c r="N415">
        <f>IF(MyRowHidden(ROW())=TRUE,0,L415-M415)</f>
        <v>118801.09778825776</v>
      </c>
      <c r="O415">
        <f>MAX(N$12:N415)</f>
        <v>118801.09778825776</v>
      </c>
      <c r="P415">
        <f>IF(O415&gt;O414,(O415-O414)*percentSavingsParticipation,0)</f>
        <v>4.1466823866358027</v>
      </c>
      <c r="Q415">
        <f t="shared" si="34"/>
        <v>59400.548894128879</v>
      </c>
      <c r="R415">
        <f t="shared" si="35"/>
        <v>-59192.5</v>
      </c>
    </row>
    <row r="416" spans="1:18" x14ac:dyDescent="0.25">
      <c r="A416" s="1"/>
      <c r="C416" s="1"/>
      <c r="D416" s="1">
        <v>41841</v>
      </c>
      <c r="E416" s="10">
        <v>34675.25</v>
      </c>
      <c r="F416" s="1">
        <v>41841</v>
      </c>
      <c r="G416">
        <v>-7581</v>
      </c>
      <c r="H416" s="1">
        <f t="shared" si="31"/>
        <v>41841</v>
      </c>
      <c r="I416">
        <f>IF(AND(MyRowHidden(ROW())=FALSE,MyRowHidden(ROW()-1)=TRUE),0,(E416-E415)*unitsOfDHp+I415)</f>
        <v>56502.5</v>
      </c>
      <c r="J416">
        <f>IF(AND(MyRowHidden(ROW())=FALSE,MyRowHidden(ROW()-1)=TRUE),0,(G416-G415)*unitsOfExo+J415)</f>
        <v>-122195</v>
      </c>
      <c r="K416" s="9">
        <f t="shared" si="32"/>
        <v>122195</v>
      </c>
      <c r="L416">
        <f t="shared" si="33"/>
        <v>-125093.04889412888</v>
      </c>
      <c r="M416">
        <f>IF(AND(MyRowHidden(ROW())=FALSE,MyRowHidden(ROW()-1)=TRUE),0,(G416-G415)*unitsFuturesCompare+M415)</f>
        <v>-244390</v>
      </c>
      <c r="N416">
        <f>IF(MyRowHidden(ROW())=TRUE,0,L416-M416)</f>
        <v>119296.95110587112</v>
      </c>
      <c r="O416">
        <f>MAX(N$12:N416)</f>
        <v>119296.95110587112</v>
      </c>
      <c r="P416">
        <f>IF(O416&gt;O415,(O416-O415)*percentSavingsParticipation,0)</f>
        <v>247.9266588066821</v>
      </c>
      <c r="Q416">
        <f t="shared" si="34"/>
        <v>59648.475552935561</v>
      </c>
      <c r="R416">
        <f t="shared" si="35"/>
        <v>-65692.5</v>
      </c>
    </row>
    <row r="417" spans="1:18" x14ac:dyDescent="0.25">
      <c r="A417" s="1"/>
      <c r="C417" s="1"/>
      <c r="D417" s="1">
        <v>41842</v>
      </c>
      <c r="E417" s="10">
        <v>34512.75</v>
      </c>
      <c r="F417" s="1">
        <v>41842</v>
      </c>
      <c r="G417">
        <v>-7781</v>
      </c>
      <c r="H417" s="1">
        <f t="shared" si="31"/>
        <v>41842</v>
      </c>
      <c r="I417">
        <f>IF(AND(MyRowHidden(ROW())=FALSE,MyRowHidden(ROW()-1)=TRUE),0,(E417-E416)*unitsOfDHp+I416)</f>
        <v>54877.5</v>
      </c>
      <c r="J417">
        <f>IF(AND(MyRowHidden(ROW())=FALSE,MyRowHidden(ROW()-1)=TRUE),0,(G417-G416)*unitsOfExo+J416)</f>
        <v>-124195</v>
      </c>
      <c r="K417" s="9">
        <f t="shared" si="32"/>
        <v>124195</v>
      </c>
      <c r="L417">
        <f t="shared" si="33"/>
        <v>-128965.97555293556</v>
      </c>
      <c r="M417">
        <f>IF(AND(MyRowHidden(ROW())=FALSE,MyRowHidden(ROW()-1)=TRUE),0,(G417-G416)*unitsFuturesCompare+M416)</f>
        <v>-248390</v>
      </c>
      <c r="N417">
        <f>IF(MyRowHidden(ROW())=TRUE,0,L417-M417)</f>
        <v>119424.02444706444</v>
      </c>
      <c r="O417">
        <f>MAX(N$12:N417)</f>
        <v>119424.02444706444</v>
      </c>
      <c r="P417">
        <f>IF(O417&gt;O416,(O417-O416)*percentSavingsParticipation,0)</f>
        <v>63.536670596658951</v>
      </c>
      <c r="Q417">
        <f t="shared" si="34"/>
        <v>59712.01222353222</v>
      </c>
      <c r="R417">
        <f t="shared" si="35"/>
        <v>-69317.5</v>
      </c>
    </row>
    <row r="418" spans="1:18" x14ac:dyDescent="0.25">
      <c r="A418" s="1"/>
      <c r="C418" s="1"/>
      <c r="D418" s="1">
        <v>41843</v>
      </c>
      <c r="E418" s="10">
        <v>34512.75</v>
      </c>
      <c r="F418" s="1">
        <v>41843</v>
      </c>
      <c r="G418">
        <v>-7731</v>
      </c>
      <c r="H418" s="1">
        <f t="shared" si="31"/>
        <v>41843</v>
      </c>
      <c r="I418">
        <f>IF(AND(MyRowHidden(ROW())=FALSE,MyRowHidden(ROW()-1)=TRUE),0,(E418-E417)*unitsOfDHp+I417)</f>
        <v>54877.5</v>
      </c>
      <c r="J418">
        <f>IF(AND(MyRowHidden(ROW())=FALSE,MyRowHidden(ROW()-1)=TRUE),0,(G418-G417)*unitsOfExo+J417)</f>
        <v>-123695</v>
      </c>
      <c r="K418" s="9">
        <f t="shared" si="32"/>
        <v>123695</v>
      </c>
      <c r="L418">
        <f t="shared" si="33"/>
        <v>-128529.51222353222</v>
      </c>
      <c r="M418">
        <f>IF(AND(MyRowHidden(ROW())=FALSE,MyRowHidden(ROW()-1)=TRUE),0,(G418-G417)*unitsFuturesCompare+M417)</f>
        <v>-247390</v>
      </c>
      <c r="N418">
        <f>IF(MyRowHidden(ROW())=TRUE,0,L418-M418)</f>
        <v>118860.48777646778</v>
      </c>
      <c r="O418">
        <f>MAX(N$12:N418)</f>
        <v>119424.02444706444</v>
      </c>
      <c r="P418">
        <f>IF(O418&gt;O417,(O418-O417)*percentSavingsParticipation,0)</f>
        <v>0</v>
      </c>
      <c r="Q418">
        <f t="shared" si="34"/>
        <v>59712.01222353222</v>
      </c>
      <c r="R418">
        <f t="shared" si="35"/>
        <v>-68817.5</v>
      </c>
    </row>
    <row r="419" spans="1:18" x14ac:dyDescent="0.25">
      <c r="A419" s="1"/>
      <c r="C419" s="1"/>
      <c r="D419" s="1">
        <v>41844</v>
      </c>
      <c r="E419" s="10">
        <v>34475.25</v>
      </c>
      <c r="F419" s="1">
        <v>41844</v>
      </c>
      <c r="G419">
        <v>-7806</v>
      </c>
      <c r="H419" s="1">
        <f t="shared" si="31"/>
        <v>41844</v>
      </c>
      <c r="I419">
        <f>IF(AND(MyRowHidden(ROW())=FALSE,MyRowHidden(ROW()-1)=TRUE),0,(E419-E418)*unitsOfDHp+I418)</f>
        <v>54502.5</v>
      </c>
      <c r="J419">
        <f>IF(AND(MyRowHidden(ROW())=FALSE,MyRowHidden(ROW()-1)=TRUE),0,(G419-G418)*unitsOfExo+J418)</f>
        <v>-124445</v>
      </c>
      <c r="K419" s="9">
        <f t="shared" si="32"/>
        <v>124445</v>
      </c>
      <c r="L419">
        <f t="shared" si="33"/>
        <v>-129654.51222353222</v>
      </c>
      <c r="M419">
        <f>IF(AND(MyRowHidden(ROW())=FALSE,MyRowHidden(ROW()-1)=TRUE),0,(G419-G418)*unitsFuturesCompare+M418)</f>
        <v>-248890</v>
      </c>
      <c r="N419">
        <f>IF(MyRowHidden(ROW())=TRUE,0,L419-M419)</f>
        <v>119235.48777646778</v>
      </c>
      <c r="O419">
        <f>MAX(N$12:N419)</f>
        <v>119424.02444706444</v>
      </c>
      <c r="P419">
        <f>IF(O419&gt;O418,(O419-O418)*percentSavingsParticipation,0)</f>
        <v>0</v>
      </c>
      <c r="Q419">
        <f t="shared" si="34"/>
        <v>59712.01222353222</v>
      </c>
      <c r="R419">
        <f t="shared" si="35"/>
        <v>-69942.5</v>
      </c>
    </row>
    <row r="420" spans="1:18" x14ac:dyDescent="0.25">
      <c r="A420" s="1"/>
      <c r="C420" s="1"/>
      <c r="D420" s="1">
        <v>41845</v>
      </c>
      <c r="E420" s="10">
        <v>34550.25</v>
      </c>
      <c r="F420" s="1">
        <v>41845</v>
      </c>
      <c r="G420">
        <v>-7718.5</v>
      </c>
      <c r="H420" s="1">
        <f t="shared" si="31"/>
        <v>41845</v>
      </c>
      <c r="I420">
        <f>IF(AND(MyRowHidden(ROW())=FALSE,MyRowHidden(ROW()-1)=TRUE),0,(E420-E419)*unitsOfDHp+I419)</f>
        <v>55252.5</v>
      </c>
      <c r="J420">
        <f>IF(AND(MyRowHidden(ROW())=FALSE,MyRowHidden(ROW()-1)=TRUE),0,(G420-G419)*unitsOfExo+J419)</f>
        <v>-123570</v>
      </c>
      <c r="K420" s="9">
        <f t="shared" si="32"/>
        <v>123570</v>
      </c>
      <c r="L420">
        <f t="shared" si="33"/>
        <v>-128029.51222353222</v>
      </c>
      <c r="M420">
        <f>IF(AND(MyRowHidden(ROW())=FALSE,MyRowHidden(ROW()-1)=TRUE),0,(G420-G419)*unitsFuturesCompare+M419)</f>
        <v>-247140</v>
      </c>
      <c r="N420">
        <f>IF(MyRowHidden(ROW())=TRUE,0,L420-M420)</f>
        <v>119110.48777646778</v>
      </c>
      <c r="O420">
        <f>MAX(N$12:N420)</f>
        <v>119424.02444706444</v>
      </c>
      <c r="P420">
        <f>IF(O420&gt;O419,(O420-O419)*percentSavingsParticipation,0)</f>
        <v>0</v>
      </c>
      <c r="Q420">
        <f t="shared" si="34"/>
        <v>59712.01222353222</v>
      </c>
      <c r="R420">
        <f t="shared" si="35"/>
        <v>-68317.5</v>
      </c>
    </row>
    <row r="421" spans="1:18" x14ac:dyDescent="0.25">
      <c r="A421" s="1"/>
      <c r="C421" s="1"/>
      <c r="D421" s="1">
        <v>41848</v>
      </c>
      <c r="E421" s="10">
        <v>34762.75</v>
      </c>
      <c r="F421" s="1">
        <v>41848</v>
      </c>
      <c r="G421">
        <v>-7431</v>
      </c>
      <c r="H421" s="1">
        <f t="shared" si="31"/>
        <v>41848</v>
      </c>
      <c r="I421">
        <f>IF(AND(MyRowHidden(ROW())=FALSE,MyRowHidden(ROW()-1)=TRUE),0,(E421-E420)*unitsOfDHp+I420)</f>
        <v>57377.5</v>
      </c>
      <c r="J421">
        <f>IF(AND(MyRowHidden(ROW())=FALSE,MyRowHidden(ROW()-1)=TRUE),0,(G421-G420)*unitsOfExo+J420)</f>
        <v>-120695</v>
      </c>
      <c r="K421" s="9">
        <f t="shared" si="32"/>
        <v>120695</v>
      </c>
      <c r="L421">
        <f t="shared" si="33"/>
        <v>-123029.51222353222</v>
      </c>
      <c r="M421">
        <f>IF(AND(MyRowHidden(ROW())=FALSE,MyRowHidden(ROW()-1)=TRUE),0,(G421-G420)*unitsFuturesCompare+M420)</f>
        <v>-241390</v>
      </c>
      <c r="N421">
        <f>IF(MyRowHidden(ROW())=TRUE,0,L421-M421)</f>
        <v>118360.48777646778</v>
      </c>
      <c r="O421">
        <f>MAX(N$12:N421)</f>
        <v>119424.02444706444</v>
      </c>
      <c r="P421">
        <f>IF(O421&gt;O420,(O421-O420)*percentSavingsParticipation,0)</f>
        <v>0</v>
      </c>
      <c r="Q421">
        <f t="shared" si="34"/>
        <v>59712.01222353222</v>
      </c>
      <c r="R421">
        <f t="shared" si="35"/>
        <v>-63317.5</v>
      </c>
    </row>
    <row r="422" spans="1:18" x14ac:dyDescent="0.25">
      <c r="A422" s="1"/>
      <c r="C422" s="1"/>
      <c r="D422" s="1">
        <v>41849</v>
      </c>
      <c r="E422" s="10">
        <v>34487.75</v>
      </c>
      <c r="F422" s="1">
        <v>41849</v>
      </c>
      <c r="G422">
        <v>-7781</v>
      </c>
      <c r="H422" s="1">
        <f t="shared" si="31"/>
        <v>41849</v>
      </c>
      <c r="I422">
        <f>IF(AND(MyRowHidden(ROW())=FALSE,MyRowHidden(ROW()-1)=TRUE),0,(E422-E421)*unitsOfDHp+I421)</f>
        <v>54627.5</v>
      </c>
      <c r="J422">
        <f>IF(AND(MyRowHidden(ROW())=FALSE,MyRowHidden(ROW()-1)=TRUE),0,(G422-G421)*unitsOfExo+J421)</f>
        <v>-124195</v>
      </c>
      <c r="K422" s="9">
        <f t="shared" si="32"/>
        <v>124195</v>
      </c>
      <c r="L422">
        <f t="shared" si="33"/>
        <v>-129279.51222353222</v>
      </c>
      <c r="M422">
        <f>IF(AND(MyRowHidden(ROW())=FALSE,MyRowHidden(ROW()-1)=TRUE),0,(G422-G421)*unitsFuturesCompare+M421)</f>
        <v>-248390</v>
      </c>
      <c r="N422">
        <f>IF(MyRowHidden(ROW())=TRUE,0,L422-M422)</f>
        <v>119110.48777646778</v>
      </c>
      <c r="O422">
        <f>MAX(N$12:N422)</f>
        <v>119424.02444706444</v>
      </c>
      <c r="P422">
        <f>IF(O422&gt;O421,(O422-O421)*percentSavingsParticipation,0)</f>
        <v>0</v>
      </c>
      <c r="Q422">
        <f t="shared" si="34"/>
        <v>59712.01222353222</v>
      </c>
      <c r="R422">
        <f t="shared" si="35"/>
        <v>-69567.5</v>
      </c>
    </row>
    <row r="423" spans="1:18" x14ac:dyDescent="0.25">
      <c r="A423" s="1"/>
      <c r="C423" s="1"/>
      <c r="D423" s="1">
        <v>41850</v>
      </c>
      <c r="E423" s="10">
        <v>34400.25</v>
      </c>
      <c r="F423" s="1">
        <v>41850</v>
      </c>
      <c r="G423">
        <v>-7806</v>
      </c>
      <c r="H423" s="1">
        <f t="shared" si="31"/>
        <v>41850</v>
      </c>
      <c r="I423">
        <f>IF(AND(MyRowHidden(ROW())=FALSE,MyRowHidden(ROW()-1)=TRUE),0,(E423-E422)*unitsOfDHp+I422)</f>
        <v>53752.5</v>
      </c>
      <c r="J423">
        <f>IF(AND(MyRowHidden(ROW())=FALSE,MyRowHidden(ROW()-1)=TRUE),0,(G423-G422)*unitsOfExo+J422)</f>
        <v>-124445</v>
      </c>
      <c r="K423" s="9">
        <f t="shared" si="32"/>
        <v>124445</v>
      </c>
      <c r="L423">
        <f t="shared" si="33"/>
        <v>-130404.51222353222</v>
      </c>
      <c r="M423">
        <f>IF(AND(MyRowHidden(ROW())=FALSE,MyRowHidden(ROW()-1)=TRUE),0,(G423-G422)*unitsFuturesCompare+M422)</f>
        <v>-248890</v>
      </c>
      <c r="N423">
        <f>IF(MyRowHidden(ROW())=TRUE,0,L423-M423)</f>
        <v>118485.48777646778</v>
      </c>
      <c r="O423">
        <f>MAX(N$12:N423)</f>
        <v>119424.02444706444</v>
      </c>
      <c r="P423">
        <f>IF(O423&gt;O422,(O423-O422)*percentSavingsParticipation,0)</f>
        <v>0</v>
      </c>
      <c r="Q423">
        <f t="shared" si="34"/>
        <v>59712.01222353222</v>
      </c>
      <c r="R423">
        <f t="shared" si="35"/>
        <v>-70692.5</v>
      </c>
    </row>
    <row r="424" spans="1:18" x14ac:dyDescent="0.25">
      <c r="A424" s="1"/>
      <c r="C424" s="1"/>
      <c r="D424" s="1">
        <v>41851</v>
      </c>
      <c r="E424" s="10">
        <v>34287.75</v>
      </c>
      <c r="F424" s="1">
        <v>41851</v>
      </c>
      <c r="G424">
        <v>-7943.5</v>
      </c>
      <c r="H424" s="1">
        <f t="shared" si="31"/>
        <v>41851</v>
      </c>
      <c r="I424">
        <f>IF(AND(MyRowHidden(ROW())=FALSE,MyRowHidden(ROW()-1)=TRUE),0,(E424-E423)*unitsOfDHp+I423)</f>
        <v>52627.5</v>
      </c>
      <c r="J424">
        <f>IF(AND(MyRowHidden(ROW())=FALSE,MyRowHidden(ROW()-1)=TRUE),0,(G424-G423)*unitsOfExo+J423)</f>
        <v>-125820</v>
      </c>
      <c r="K424" s="9">
        <f t="shared" si="32"/>
        <v>125820</v>
      </c>
      <c r="L424">
        <f t="shared" si="33"/>
        <v>-132904.51222353222</v>
      </c>
      <c r="M424">
        <f>IF(AND(MyRowHidden(ROW())=FALSE,MyRowHidden(ROW()-1)=TRUE),0,(G424-G423)*unitsFuturesCompare+M423)</f>
        <v>-251640</v>
      </c>
      <c r="N424">
        <f>IF(MyRowHidden(ROW())=TRUE,0,L424-M424)</f>
        <v>118735.48777646778</v>
      </c>
      <c r="O424">
        <f>MAX(N$12:N424)</f>
        <v>119424.02444706444</v>
      </c>
      <c r="P424">
        <f>IF(O424&gt;O423,(O424-O423)*percentSavingsParticipation,0)</f>
        <v>0</v>
      </c>
      <c r="Q424">
        <f t="shared" si="34"/>
        <v>59712.01222353222</v>
      </c>
      <c r="R424">
        <f t="shared" si="35"/>
        <v>-73192.5</v>
      </c>
    </row>
    <row r="425" spans="1:18" x14ac:dyDescent="0.25">
      <c r="A425" s="1"/>
      <c r="C425" s="1"/>
      <c r="D425" s="1">
        <v>41852</v>
      </c>
      <c r="E425" s="10">
        <v>34137.75</v>
      </c>
      <c r="F425" s="1">
        <v>41852</v>
      </c>
      <c r="G425">
        <v>-8131</v>
      </c>
      <c r="H425" s="1">
        <f t="shared" si="31"/>
        <v>41852</v>
      </c>
      <c r="I425">
        <f>IF(AND(MyRowHidden(ROW())=FALSE,MyRowHidden(ROW()-1)=TRUE),0,(E425-E424)*unitsOfDHp+I424)</f>
        <v>51127.5</v>
      </c>
      <c r="J425">
        <f>IF(AND(MyRowHidden(ROW())=FALSE,MyRowHidden(ROW()-1)=TRUE),0,(G425-G424)*unitsOfExo+J424)</f>
        <v>-127695</v>
      </c>
      <c r="K425" s="9">
        <f t="shared" si="32"/>
        <v>127695</v>
      </c>
      <c r="L425">
        <f t="shared" si="33"/>
        <v>-136279.51222353222</v>
      </c>
      <c r="M425">
        <f>IF(AND(MyRowHidden(ROW())=FALSE,MyRowHidden(ROW()-1)=TRUE),0,(G425-G424)*unitsFuturesCompare+M424)</f>
        <v>-255390</v>
      </c>
      <c r="N425">
        <f>IF(MyRowHidden(ROW())=TRUE,0,L425-M425)</f>
        <v>119110.48777646778</v>
      </c>
      <c r="O425">
        <f>MAX(N$12:N425)</f>
        <v>119424.02444706444</v>
      </c>
      <c r="P425">
        <f>IF(O425&gt;O424,(O425-O424)*percentSavingsParticipation,0)</f>
        <v>0</v>
      </c>
      <c r="Q425">
        <f t="shared" si="34"/>
        <v>59712.01222353222</v>
      </c>
      <c r="R425">
        <f t="shared" si="35"/>
        <v>-76567.5</v>
      </c>
    </row>
    <row r="426" spans="1:18" x14ac:dyDescent="0.25">
      <c r="A426" s="1"/>
      <c r="C426" s="1"/>
      <c r="D426" s="1">
        <v>41855</v>
      </c>
      <c r="E426" s="10">
        <v>34300.25</v>
      </c>
      <c r="F426" s="1">
        <v>41855</v>
      </c>
      <c r="G426">
        <v>-7868.5</v>
      </c>
      <c r="H426" s="1">
        <f t="shared" si="31"/>
        <v>41855</v>
      </c>
      <c r="I426">
        <f>IF(AND(MyRowHidden(ROW())=FALSE,MyRowHidden(ROW()-1)=TRUE),0,(E426-E425)*unitsOfDHp+I425)</f>
        <v>52752.5</v>
      </c>
      <c r="J426">
        <f>IF(AND(MyRowHidden(ROW())=FALSE,MyRowHidden(ROW()-1)=TRUE),0,(G426-G425)*unitsOfExo+J425)</f>
        <v>-125070</v>
      </c>
      <c r="K426" s="9">
        <f t="shared" si="32"/>
        <v>125070</v>
      </c>
      <c r="L426">
        <f t="shared" si="33"/>
        <v>-132029.51222353222</v>
      </c>
      <c r="M426">
        <f>IF(AND(MyRowHidden(ROW())=FALSE,MyRowHidden(ROW()-1)=TRUE),0,(G426-G425)*unitsFuturesCompare+M425)</f>
        <v>-250140</v>
      </c>
      <c r="N426">
        <f>IF(MyRowHidden(ROW())=TRUE,0,L426-M426)</f>
        <v>118110.48777646778</v>
      </c>
      <c r="O426">
        <f>MAX(N$12:N426)</f>
        <v>119424.02444706444</v>
      </c>
      <c r="P426">
        <f>IF(O426&gt;O425,(O426-O425)*percentSavingsParticipation,0)</f>
        <v>0</v>
      </c>
      <c r="Q426">
        <f t="shared" si="34"/>
        <v>59712.01222353222</v>
      </c>
      <c r="R426">
        <f t="shared" si="35"/>
        <v>-72317.5</v>
      </c>
    </row>
    <row r="427" spans="1:18" x14ac:dyDescent="0.25">
      <c r="A427" s="1"/>
      <c r="C427" s="1"/>
      <c r="D427" s="1">
        <v>41856</v>
      </c>
      <c r="E427" s="10">
        <v>34300.25</v>
      </c>
      <c r="F427" s="1">
        <v>41856</v>
      </c>
      <c r="G427">
        <v>-8093.5</v>
      </c>
      <c r="H427" s="1">
        <f t="shared" si="31"/>
        <v>41856</v>
      </c>
      <c r="I427">
        <f>IF(AND(MyRowHidden(ROW())=FALSE,MyRowHidden(ROW()-1)=TRUE),0,(E427-E426)*unitsOfDHp+I426)</f>
        <v>52752.5</v>
      </c>
      <c r="J427">
        <f>IF(AND(MyRowHidden(ROW())=FALSE,MyRowHidden(ROW()-1)=TRUE),0,(G427-G426)*unitsOfExo+J426)</f>
        <v>-127320</v>
      </c>
      <c r="K427" s="9">
        <f t="shared" si="32"/>
        <v>127320</v>
      </c>
      <c r="L427">
        <f t="shared" si="33"/>
        <v>-134279.51222353222</v>
      </c>
      <c r="M427">
        <f>IF(AND(MyRowHidden(ROW())=FALSE,MyRowHidden(ROW()-1)=TRUE),0,(G427-G426)*unitsFuturesCompare+M426)</f>
        <v>-254640</v>
      </c>
      <c r="N427">
        <f>IF(MyRowHidden(ROW())=TRUE,0,L427-M427)</f>
        <v>120360.48777646778</v>
      </c>
      <c r="O427">
        <f>MAX(N$12:N427)</f>
        <v>120360.48777646778</v>
      </c>
      <c r="P427">
        <f>IF(O427&gt;O426,(O427-O426)*percentSavingsParticipation,0)</f>
        <v>468.23166470167052</v>
      </c>
      <c r="Q427">
        <f t="shared" si="34"/>
        <v>60180.24388823389</v>
      </c>
      <c r="R427">
        <f t="shared" si="35"/>
        <v>-74567.5</v>
      </c>
    </row>
    <row r="428" spans="1:18" x14ac:dyDescent="0.25">
      <c r="A428" s="1"/>
      <c r="C428" s="1"/>
      <c r="D428" s="1">
        <v>41857</v>
      </c>
      <c r="E428" s="10">
        <v>34300.25</v>
      </c>
      <c r="F428" s="1">
        <v>41857</v>
      </c>
      <c r="G428">
        <v>-7743.5</v>
      </c>
      <c r="H428" s="1">
        <f t="shared" si="31"/>
        <v>41857</v>
      </c>
      <c r="I428">
        <f>IF(AND(MyRowHidden(ROW())=FALSE,MyRowHidden(ROW()-1)=TRUE),0,(E428-E427)*unitsOfDHp+I427)</f>
        <v>52752.5</v>
      </c>
      <c r="J428">
        <f>IF(AND(MyRowHidden(ROW())=FALSE,MyRowHidden(ROW()-1)=TRUE),0,(G428-G427)*unitsOfExo+J427)</f>
        <v>-123820</v>
      </c>
      <c r="K428" s="9">
        <f t="shared" si="32"/>
        <v>123820</v>
      </c>
      <c r="L428">
        <f t="shared" si="33"/>
        <v>-131247.7438882339</v>
      </c>
      <c r="M428">
        <f>IF(AND(MyRowHidden(ROW())=FALSE,MyRowHidden(ROW()-1)=TRUE),0,(G428-G427)*unitsFuturesCompare+M427)</f>
        <v>-247640</v>
      </c>
      <c r="N428">
        <f>IF(MyRowHidden(ROW())=TRUE,0,L428-M428)</f>
        <v>116392.2561117661</v>
      </c>
      <c r="O428">
        <f>MAX(N$12:N428)</f>
        <v>120360.48777646778</v>
      </c>
      <c r="P428">
        <f>IF(O428&gt;O427,(O428-O427)*percentSavingsParticipation,0)</f>
        <v>0</v>
      </c>
      <c r="Q428">
        <f t="shared" si="34"/>
        <v>60180.24388823389</v>
      </c>
      <c r="R428">
        <f t="shared" si="35"/>
        <v>-71067.5</v>
      </c>
    </row>
    <row r="429" spans="1:18" x14ac:dyDescent="0.25">
      <c r="A429" s="1"/>
      <c r="C429" s="1"/>
      <c r="D429" s="1">
        <v>41858</v>
      </c>
      <c r="E429" s="10">
        <v>34300.25</v>
      </c>
      <c r="F429" s="1">
        <v>41858</v>
      </c>
      <c r="G429">
        <v>-7943.5</v>
      </c>
      <c r="H429" s="1">
        <f t="shared" si="31"/>
        <v>41858</v>
      </c>
      <c r="I429">
        <f>IF(AND(MyRowHidden(ROW())=FALSE,MyRowHidden(ROW()-1)=TRUE),0,(E429-E428)*unitsOfDHp+I428)</f>
        <v>52752.5</v>
      </c>
      <c r="J429">
        <f>IF(AND(MyRowHidden(ROW())=FALSE,MyRowHidden(ROW()-1)=TRUE),0,(G429-G428)*unitsOfExo+J428)</f>
        <v>-125820</v>
      </c>
      <c r="K429" s="9">
        <f t="shared" si="32"/>
        <v>125820</v>
      </c>
      <c r="L429">
        <f t="shared" si="33"/>
        <v>-133247.7438882339</v>
      </c>
      <c r="M429">
        <f>IF(AND(MyRowHidden(ROW())=FALSE,MyRowHidden(ROW()-1)=TRUE),0,(G429-G428)*unitsFuturesCompare+M428)</f>
        <v>-251640</v>
      </c>
      <c r="N429">
        <f>IF(MyRowHidden(ROW())=TRUE,0,L429-M429)</f>
        <v>118392.2561117661</v>
      </c>
      <c r="O429">
        <f>MAX(N$12:N429)</f>
        <v>120360.48777646778</v>
      </c>
      <c r="P429">
        <f>IF(O429&gt;O428,(O429-O428)*percentSavingsParticipation,0)</f>
        <v>0</v>
      </c>
      <c r="Q429">
        <f t="shared" si="34"/>
        <v>60180.24388823389</v>
      </c>
      <c r="R429">
        <f t="shared" si="35"/>
        <v>-73067.5</v>
      </c>
    </row>
    <row r="430" spans="1:18" x14ac:dyDescent="0.25">
      <c r="A430" s="1"/>
      <c r="C430" s="1"/>
      <c r="D430" s="1">
        <v>41859</v>
      </c>
      <c r="E430" s="10">
        <v>34300.25</v>
      </c>
      <c r="F430" s="1">
        <v>41859</v>
      </c>
      <c r="G430">
        <v>-8231</v>
      </c>
      <c r="H430" s="1">
        <f t="shared" si="31"/>
        <v>41859</v>
      </c>
      <c r="I430">
        <f>IF(AND(MyRowHidden(ROW())=FALSE,MyRowHidden(ROW()-1)=TRUE),0,(E430-E429)*unitsOfDHp+I429)</f>
        <v>52752.5</v>
      </c>
      <c r="J430">
        <f>IF(AND(MyRowHidden(ROW())=FALSE,MyRowHidden(ROW()-1)=TRUE),0,(G430-G429)*unitsOfExo+J429)</f>
        <v>-128695</v>
      </c>
      <c r="K430" s="9">
        <f t="shared" si="32"/>
        <v>128695</v>
      </c>
      <c r="L430">
        <f t="shared" si="33"/>
        <v>-136122.7438882339</v>
      </c>
      <c r="M430">
        <f>IF(AND(MyRowHidden(ROW())=FALSE,MyRowHidden(ROW()-1)=TRUE),0,(G430-G429)*unitsFuturesCompare+M429)</f>
        <v>-257390</v>
      </c>
      <c r="N430">
        <f>IF(MyRowHidden(ROW())=TRUE,0,L430-M430)</f>
        <v>121267.2561117661</v>
      </c>
      <c r="O430">
        <f>MAX(N$12:N430)</f>
        <v>121267.2561117661</v>
      </c>
      <c r="P430">
        <f>IF(O430&gt;O429,(O430-O429)*percentSavingsParticipation,0)</f>
        <v>453.38416764915746</v>
      </c>
      <c r="Q430">
        <f t="shared" si="34"/>
        <v>60633.628055883048</v>
      </c>
      <c r="R430">
        <f t="shared" si="35"/>
        <v>-75942.5</v>
      </c>
    </row>
    <row r="431" spans="1:18" x14ac:dyDescent="0.25">
      <c r="A431" s="1"/>
      <c r="C431" s="1"/>
      <c r="D431" s="1">
        <v>41862</v>
      </c>
      <c r="E431" s="10">
        <v>34300.25</v>
      </c>
      <c r="F431" s="1">
        <v>41862</v>
      </c>
      <c r="G431">
        <v>-8056</v>
      </c>
      <c r="H431" s="1">
        <f t="shared" si="31"/>
        <v>41862</v>
      </c>
      <c r="I431">
        <f>IF(AND(MyRowHidden(ROW())=FALSE,MyRowHidden(ROW()-1)=TRUE),0,(E431-E430)*unitsOfDHp+I430)</f>
        <v>52752.5</v>
      </c>
      <c r="J431">
        <f>IF(AND(MyRowHidden(ROW())=FALSE,MyRowHidden(ROW()-1)=TRUE),0,(G431-G430)*unitsOfExo+J430)</f>
        <v>-126945</v>
      </c>
      <c r="K431" s="9">
        <f t="shared" si="32"/>
        <v>126945</v>
      </c>
      <c r="L431">
        <f t="shared" si="33"/>
        <v>-134826.12805588305</v>
      </c>
      <c r="M431">
        <f>IF(AND(MyRowHidden(ROW())=FALSE,MyRowHidden(ROW()-1)=TRUE),0,(G431-G430)*unitsFuturesCompare+M430)</f>
        <v>-253890</v>
      </c>
      <c r="N431">
        <f>IF(MyRowHidden(ROW())=TRUE,0,L431-M431)</f>
        <v>119063.87194411695</v>
      </c>
      <c r="O431">
        <f>MAX(N$12:N431)</f>
        <v>121267.2561117661</v>
      </c>
      <c r="P431">
        <f>IF(O431&gt;O430,(O431-O430)*percentSavingsParticipation,0)</f>
        <v>0</v>
      </c>
      <c r="Q431">
        <f t="shared" si="34"/>
        <v>60633.628055883048</v>
      </c>
      <c r="R431">
        <f t="shared" si="35"/>
        <v>-74192.5</v>
      </c>
    </row>
    <row r="432" spans="1:18" x14ac:dyDescent="0.25">
      <c r="A432" s="1"/>
      <c r="C432" s="1"/>
      <c r="D432" s="1">
        <v>41863</v>
      </c>
      <c r="E432" s="10">
        <v>34300.25</v>
      </c>
      <c r="F432" s="1">
        <v>41863</v>
      </c>
      <c r="G432">
        <v>-7881</v>
      </c>
      <c r="H432" s="1">
        <f t="shared" si="31"/>
        <v>41863</v>
      </c>
      <c r="I432">
        <f>IF(AND(MyRowHidden(ROW())=FALSE,MyRowHidden(ROW()-1)=TRUE),0,(E432-E431)*unitsOfDHp+I431)</f>
        <v>52752.5</v>
      </c>
      <c r="J432">
        <f>IF(AND(MyRowHidden(ROW())=FALSE,MyRowHidden(ROW()-1)=TRUE),0,(G432-G431)*unitsOfExo+J431)</f>
        <v>-125195</v>
      </c>
      <c r="K432" s="9">
        <f t="shared" si="32"/>
        <v>125195</v>
      </c>
      <c r="L432">
        <f t="shared" si="33"/>
        <v>-133076.12805588305</v>
      </c>
      <c r="M432">
        <f>IF(AND(MyRowHidden(ROW())=FALSE,MyRowHidden(ROW()-1)=TRUE),0,(G432-G431)*unitsFuturesCompare+M431)</f>
        <v>-250390</v>
      </c>
      <c r="N432">
        <f>IF(MyRowHidden(ROW())=TRUE,0,L432-M432)</f>
        <v>117313.87194411695</v>
      </c>
      <c r="O432">
        <f>MAX(N$12:N432)</f>
        <v>121267.2561117661</v>
      </c>
      <c r="P432">
        <f>IF(O432&gt;O431,(O432-O431)*percentSavingsParticipation,0)</f>
        <v>0</v>
      </c>
      <c r="Q432">
        <f t="shared" si="34"/>
        <v>60633.628055883048</v>
      </c>
      <c r="R432">
        <f t="shared" si="35"/>
        <v>-72442.5</v>
      </c>
    </row>
    <row r="433" spans="1:18" x14ac:dyDescent="0.25">
      <c r="A433" s="1"/>
      <c r="C433" s="1"/>
      <c r="D433" s="1">
        <v>41864</v>
      </c>
      <c r="E433" s="10">
        <v>34300.25</v>
      </c>
      <c r="F433" s="1">
        <v>41864</v>
      </c>
      <c r="G433">
        <v>-7918.5</v>
      </c>
      <c r="H433" s="1">
        <f t="shared" si="31"/>
        <v>41864</v>
      </c>
      <c r="I433">
        <f>IF(AND(MyRowHidden(ROW())=FALSE,MyRowHidden(ROW()-1)=TRUE),0,(E433-E432)*unitsOfDHp+I432)</f>
        <v>52752.5</v>
      </c>
      <c r="J433">
        <f>IF(AND(MyRowHidden(ROW())=FALSE,MyRowHidden(ROW()-1)=TRUE),0,(G433-G432)*unitsOfExo+J432)</f>
        <v>-125570</v>
      </c>
      <c r="K433" s="9">
        <f t="shared" si="32"/>
        <v>125570</v>
      </c>
      <c r="L433">
        <f t="shared" si="33"/>
        <v>-133451.12805588305</v>
      </c>
      <c r="M433">
        <f>IF(AND(MyRowHidden(ROW())=FALSE,MyRowHidden(ROW()-1)=TRUE),0,(G433-G432)*unitsFuturesCompare+M432)</f>
        <v>-251140</v>
      </c>
      <c r="N433">
        <f>IF(MyRowHidden(ROW())=TRUE,0,L433-M433)</f>
        <v>117688.87194411695</v>
      </c>
      <c r="O433">
        <f>MAX(N$12:N433)</f>
        <v>121267.2561117661</v>
      </c>
      <c r="P433">
        <f>IF(O433&gt;O432,(O433-O432)*percentSavingsParticipation,0)</f>
        <v>0</v>
      </c>
      <c r="Q433">
        <f t="shared" si="34"/>
        <v>60633.628055883048</v>
      </c>
      <c r="R433">
        <f t="shared" si="35"/>
        <v>-72817.5</v>
      </c>
    </row>
    <row r="434" spans="1:18" x14ac:dyDescent="0.25">
      <c r="A434" s="1"/>
      <c r="C434" s="1"/>
      <c r="D434" s="1">
        <v>41865</v>
      </c>
      <c r="E434" s="10">
        <v>34300.25</v>
      </c>
      <c r="F434" s="1">
        <v>41865</v>
      </c>
      <c r="G434">
        <v>-7731</v>
      </c>
      <c r="H434" s="1">
        <f t="shared" si="31"/>
        <v>41865</v>
      </c>
      <c r="I434">
        <f>IF(AND(MyRowHidden(ROW())=FALSE,MyRowHidden(ROW()-1)=TRUE),0,(E434-E433)*unitsOfDHp+I433)</f>
        <v>52752.5</v>
      </c>
      <c r="J434">
        <f>IF(AND(MyRowHidden(ROW())=FALSE,MyRowHidden(ROW()-1)=TRUE),0,(G434-G433)*unitsOfExo+J433)</f>
        <v>-123695</v>
      </c>
      <c r="K434" s="9">
        <f t="shared" si="32"/>
        <v>123695</v>
      </c>
      <c r="L434">
        <f t="shared" si="33"/>
        <v>-131576.12805588305</v>
      </c>
      <c r="M434">
        <f>IF(AND(MyRowHidden(ROW())=FALSE,MyRowHidden(ROW()-1)=TRUE),0,(G434-G433)*unitsFuturesCompare+M433)</f>
        <v>-247390</v>
      </c>
      <c r="N434">
        <f>IF(MyRowHidden(ROW())=TRUE,0,L434-M434)</f>
        <v>115813.87194411695</v>
      </c>
      <c r="O434">
        <f>MAX(N$12:N434)</f>
        <v>121267.2561117661</v>
      </c>
      <c r="P434">
        <f>IF(O434&gt;O433,(O434-O433)*percentSavingsParticipation,0)</f>
        <v>0</v>
      </c>
      <c r="Q434">
        <f t="shared" si="34"/>
        <v>60633.628055883048</v>
      </c>
      <c r="R434">
        <f t="shared" si="35"/>
        <v>-70942.5</v>
      </c>
    </row>
    <row r="435" spans="1:18" x14ac:dyDescent="0.25">
      <c r="A435" s="1"/>
      <c r="C435" s="1"/>
      <c r="D435" s="1">
        <v>41866</v>
      </c>
      <c r="E435" s="10">
        <v>34300.25</v>
      </c>
      <c r="F435" s="1">
        <v>41866</v>
      </c>
      <c r="G435">
        <v>-7543.5</v>
      </c>
      <c r="H435" s="1">
        <f t="shared" si="31"/>
        <v>41866</v>
      </c>
      <c r="I435">
        <f>IF(AND(MyRowHidden(ROW())=FALSE,MyRowHidden(ROW()-1)=TRUE),0,(E435-E434)*unitsOfDHp+I434)</f>
        <v>52752.5</v>
      </c>
      <c r="J435">
        <f>IF(AND(MyRowHidden(ROW())=FALSE,MyRowHidden(ROW()-1)=TRUE),0,(G435-G434)*unitsOfExo+J434)</f>
        <v>-121820</v>
      </c>
      <c r="K435" s="9">
        <f t="shared" si="32"/>
        <v>121820</v>
      </c>
      <c r="L435">
        <f t="shared" si="33"/>
        <v>-129701.12805588305</v>
      </c>
      <c r="M435">
        <f>IF(AND(MyRowHidden(ROW())=FALSE,MyRowHidden(ROW()-1)=TRUE),0,(G435-G434)*unitsFuturesCompare+M434)</f>
        <v>-243640</v>
      </c>
      <c r="N435">
        <f>IF(MyRowHidden(ROW())=TRUE,0,L435-M435)</f>
        <v>113938.87194411695</v>
      </c>
      <c r="O435">
        <f>MAX(N$12:N435)</f>
        <v>121267.2561117661</v>
      </c>
      <c r="P435">
        <f>IF(O435&gt;O434,(O435-O434)*percentSavingsParticipation,0)</f>
        <v>0</v>
      </c>
      <c r="Q435">
        <f t="shared" si="34"/>
        <v>60633.628055883048</v>
      </c>
      <c r="R435">
        <f t="shared" si="35"/>
        <v>-69067.5</v>
      </c>
    </row>
    <row r="436" spans="1:18" x14ac:dyDescent="0.25">
      <c r="A436" s="1"/>
      <c r="C436" s="1"/>
      <c r="D436" s="1">
        <v>41869</v>
      </c>
      <c r="E436" s="10">
        <v>34300.25</v>
      </c>
      <c r="F436" s="1">
        <v>41869</v>
      </c>
      <c r="G436">
        <v>-7768.5</v>
      </c>
      <c r="H436" s="1">
        <f t="shared" si="31"/>
        <v>41869</v>
      </c>
      <c r="I436">
        <f>IF(AND(MyRowHidden(ROW())=FALSE,MyRowHidden(ROW()-1)=TRUE),0,(E436-E435)*unitsOfDHp+I435)</f>
        <v>52752.5</v>
      </c>
      <c r="J436">
        <f>IF(AND(MyRowHidden(ROW())=FALSE,MyRowHidden(ROW()-1)=TRUE),0,(G436-G435)*unitsOfExo+J435)</f>
        <v>-124070</v>
      </c>
      <c r="K436" s="9">
        <f t="shared" si="32"/>
        <v>124070</v>
      </c>
      <c r="L436">
        <f t="shared" si="33"/>
        <v>-131951.12805588305</v>
      </c>
      <c r="M436">
        <f>IF(AND(MyRowHidden(ROW())=FALSE,MyRowHidden(ROW()-1)=TRUE),0,(G436-G435)*unitsFuturesCompare+M435)</f>
        <v>-248140</v>
      </c>
      <c r="N436">
        <f>IF(MyRowHidden(ROW())=TRUE,0,L436-M436)</f>
        <v>116188.87194411695</v>
      </c>
      <c r="O436">
        <f>MAX(N$12:N436)</f>
        <v>121267.2561117661</v>
      </c>
      <c r="P436">
        <f>IF(O436&gt;O435,(O436-O435)*percentSavingsParticipation,0)</f>
        <v>0</v>
      </c>
      <c r="Q436">
        <f t="shared" si="34"/>
        <v>60633.628055883048</v>
      </c>
      <c r="R436">
        <f t="shared" si="35"/>
        <v>-71317.5</v>
      </c>
    </row>
    <row r="437" spans="1:18" x14ac:dyDescent="0.25">
      <c r="A437" s="1"/>
      <c r="C437" s="1"/>
      <c r="D437" s="1">
        <v>41870</v>
      </c>
      <c r="E437" s="10">
        <v>34325.25</v>
      </c>
      <c r="F437" s="1">
        <v>41870</v>
      </c>
      <c r="G437">
        <v>-7756</v>
      </c>
      <c r="H437" s="1">
        <f t="shared" si="31"/>
        <v>41870</v>
      </c>
      <c r="I437">
        <f>IF(AND(MyRowHidden(ROW())=FALSE,MyRowHidden(ROW()-1)=TRUE),0,(E437-E436)*unitsOfDHp+I436)</f>
        <v>53002.5</v>
      </c>
      <c r="J437">
        <f>IF(AND(MyRowHidden(ROW())=FALSE,MyRowHidden(ROW()-1)=TRUE),0,(G437-G436)*unitsOfExo+J436)</f>
        <v>-123945</v>
      </c>
      <c r="K437" s="9">
        <f t="shared" si="32"/>
        <v>123945</v>
      </c>
      <c r="L437">
        <f t="shared" si="33"/>
        <v>-131576.12805588305</v>
      </c>
      <c r="M437">
        <f>IF(AND(MyRowHidden(ROW())=FALSE,MyRowHidden(ROW()-1)=TRUE),0,(G437-G436)*unitsFuturesCompare+M436)</f>
        <v>-247890</v>
      </c>
      <c r="N437">
        <f>IF(MyRowHidden(ROW())=TRUE,0,L437-M437)</f>
        <v>116313.87194411695</v>
      </c>
      <c r="O437">
        <f>MAX(N$12:N437)</f>
        <v>121267.2561117661</v>
      </c>
      <c r="P437">
        <f>IF(O437&gt;O436,(O437-O436)*percentSavingsParticipation,0)</f>
        <v>0</v>
      </c>
      <c r="Q437">
        <f t="shared" si="34"/>
        <v>60633.628055883048</v>
      </c>
      <c r="R437">
        <f t="shared" si="35"/>
        <v>-70942.5</v>
      </c>
    </row>
    <row r="438" spans="1:18" x14ac:dyDescent="0.25">
      <c r="A438" s="1"/>
      <c r="C438" s="1"/>
      <c r="D438" s="1">
        <v>41871</v>
      </c>
      <c r="E438" s="10">
        <v>34127.25</v>
      </c>
      <c r="F438" s="1">
        <v>41871</v>
      </c>
      <c r="G438">
        <v>-7906</v>
      </c>
      <c r="H438" s="1">
        <f t="shared" si="31"/>
        <v>41871</v>
      </c>
      <c r="I438">
        <f>IF(AND(MyRowHidden(ROW())=FALSE,MyRowHidden(ROW()-1)=TRUE),0,(E438-E437)*unitsOfDHp+I437)</f>
        <v>51022.5</v>
      </c>
      <c r="J438">
        <f>IF(AND(MyRowHidden(ROW())=FALSE,MyRowHidden(ROW()-1)=TRUE),0,(G438-G437)*unitsOfExo+J437)</f>
        <v>-125445</v>
      </c>
      <c r="K438" s="9">
        <f t="shared" si="32"/>
        <v>125445</v>
      </c>
      <c r="L438">
        <f t="shared" si="33"/>
        <v>-135056.12805588305</v>
      </c>
      <c r="M438">
        <f>IF(AND(MyRowHidden(ROW())=FALSE,MyRowHidden(ROW()-1)=TRUE),0,(G438-G437)*unitsFuturesCompare+M437)</f>
        <v>-250890</v>
      </c>
      <c r="N438">
        <f>IF(MyRowHidden(ROW())=TRUE,0,L438-M438)</f>
        <v>115833.87194411695</v>
      </c>
      <c r="O438">
        <f>MAX(N$12:N438)</f>
        <v>121267.2561117661</v>
      </c>
      <c r="P438">
        <f>IF(O438&gt;O437,(O438-O437)*percentSavingsParticipation,0)</f>
        <v>0</v>
      </c>
      <c r="Q438">
        <f t="shared" si="34"/>
        <v>60633.628055883048</v>
      </c>
      <c r="R438">
        <f t="shared" si="35"/>
        <v>-74422.5</v>
      </c>
    </row>
    <row r="439" spans="1:18" x14ac:dyDescent="0.25">
      <c r="A439" s="1"/>
      <c r="C439" s="1"/>
      <c r="D439" s="1">
        <v>41872</v>
      </c>
      <c r="E439" s="10">
        <v>34308.5</v>
      </c>
      <c r="F439" s="1">
        <v>41872</v>
      </c>
      <c r="G439">
        <v>-7768.5</v>
      </c>
      <c r="H439" s="1">
        <f t="shared" si="31"/>
        <v>41872</v>
      </c>
      <c r="I439">
        <f>IF(AND(MyRowHidden(ROW())=FALSE,MyRowHidden(ROW()-1)=TRUE),0,(E439-E438)*unitsOfDHp+I438)</f>
        <v>52835</v>
      </c>
      <c r="J439">
        <f>IF(AND(MyRowHidden(ROW())=FALSE,MyRowHidden(ROW()-1)=TRUE),0,(G439-G438)*unitsOfExo+J438)</f>
        <v>-124070</v>
      </c>
      <c r="K439" s="9">
        <f t="shared" si="32"/>
        <v>124070</v>
      </c>
      <c r="L439">
        <f t="shared" si="33"/>
        <v>-131868.62805588305</v>
      </c>
      <c r="M439">
        <f>IF(AND(MyRowHidden(ROW())=FALSE,MyRowHidden(ROW()-1)=TRUE),0,(G439-G438)*unitsFuturesCompare+M438)</f>
        <v>-248140</v>
      </c>
      <c r="N439">
        <f>IF(MyRowHidden(ROW())=TRUE,0,L439-M439)</f>
        <v>116271.37194411695</v>
      </c>
      <c r="O439">
        <f>MAX(N$12:N439)</f>
        <v>121267.2561117661</v>
      </c>
      <c r="P439">
        <f>IF(O439&gt;O438,(O439-O438)*percentSavingsParticipation,0)</f>
        <v>0</v>
      </c>
      <c r="Q439">
        <f t="shared" si="34"/>
        <v>60633.628055883048</v>
      </c>
      <c r="R439">
        <f t="shared" si="35"/>
        <v>-71235</v>
      </c>
    </row>
    <row r="440" spans="1:18" x14ac:dyDescent="0.25">
      <c r="A440" s="1"/>
      <c r="C440" s="1"/>
      <c r="D440" s="1">
        <v>41873</v>
      </c>
      <c r="E440" s="10">
        <v>34308.5</v>
      </c>
      <c r="F440" s="1">
        <v>41873</v>
      </c>
      <c r="G440">
        <v>-7631</v>
      </c>
      <c r="H440" s="1">
        <f t="shared" si="31"/>
        <v>41873</v>
      </c>
      <c r="I440">
        <f>IF(AND(MyRowHidden(ROW())=FALSE,MyRowHidden(ROW()-1)=TRUE),0,(E440-E439)*unitsOfDHp+I439)</f>
        <v>52835</v>
      </c>
      <c r="J440">
        <f>IF(AND(MyRowHidden(ROW())=FALSE,MyRowHidden(ROW()-1)=TRUE),0,(G440-G439)*unitsOfExo+J439)</f>
        <v>-122695</v>
      </c>
      <c r="K440" s="9">
        <f t="shared" si="32"/>
        <v>122695</v>
      </c>
      <c r="L440">
        <f t="shared" si="33"/>
        <v>-130493.62805588305</v>
      </c>
      <c r="M440">
        <f>IF(AND(MyRowHidden(ROW())=FALSE,MyRowHidden(ROW()-1)=TRUE),0,(G440-G439)*unitsFuturesCompare+M439)</f>
        <v>-245390</v>
      </c>
      <c r="N440">
        <f>IF(MyRowHidden(ROW())=TRUE,0,L440-M440)</f>
        <v>114896.37194411695</v>
      </c>
      <c r="O440">
        <f>MAX(N$12:N440)</f>
        <v>121267.2561117661</v>
      </c>
      <c r="P440">
        <f>IF(O440&gt;O439,(O440-O439)*percentSavingsParticipation,0)</f>
        <v>0</v>
      </c>
      <c r="Q440">
        <f t="shared" si="34"/>
        <v>60633.628055883048</v>
      </c>
      <c r="R440">
        <f t="shared" si="35"/>
        <v>-69860</v>
      </c>
    </row>
    <row r="441" spans="1:18" x14ac:dyDescent="0.25">
      <c r="A441" s="1"/>
      <c r="C441" s="1"/>
      <c r="D441" s="1">
        <v>41876</v>
      </c>
      <c r="E441" s="10">
        <v>34308.5</v>
      </c>
      <c r="F441" s="1">
        <v>41876</v>
      </c>
      <c r="G441">
        <v>-7856</v>
      </c>
      <c r="H441" s="1">
        <f t="shared" si="31"/>
        <v>41876</v>
      </c>
      <c r="I441">
        <f>IF(AND(MyRowHidden(ROW())=FALSE,MyRowHidden(ROW()-1)=TRUE),0,(E441-E440)*unitsOfDHp+I440)</f>
        <v>52835</v>
      </c>
      <c r="J441">
        <f>IF(AND(MyRowHidden(ROW())=FALSE,MyRowHidden(ROW()-1)=TRUE),0,(G441-G440)*unitsOfExo+J440)</f>
        <v>-124945</v>
      </c>
      <c r="K441" s="9">
        <f t="shared" si="32"/>
        <v>124945</v>
      </c>
      <c r="L441">
        <f t="shared" si="33"/>
        <v>-132743.62805588305</v>
      </c>
      <c r="M441">
        <f>IF(AND(MyRowHidden(ROW())=FALSE,MyRowHidden(ROW()-1)=TRUE),0,(G441-G440)*unitsFuturesCompare+M440)</f>
        <v>-249890</v>
      </c>
      <c r="N441">
        <f>IF(MyRowHidden(ROW())=TRUE,0,L441-M441)</f>
        <v>117146.37194411695</v>
      </c>
      <c r="O441">
        <f>MAX(N$12:N441)</f>
        <v>121267.2561117661</v>
      </c>
      <c r="P441">
        <f>IF(O441&gt;O440,(O441-O440)*percentSavingsParticipation,0)</f>
        <v>0</v>
      </c>
      <c r="Q441">
        <f t="shared" si="34"/>
        <v>60633.628055883048</v>
      </c>
      <c r="R441">
        <f t="shared" si="35"/>
        <v>-72110</v>
      </c>
    </row>
    <row r="442" spans="1:18" x14ac:dyDescent="0.25">
      <c r="A442" s="1"/>
      <c r="C442" s="1"/>
      <c r="D442" s="1">
        <v>41877</v>
      </c>
      <c r="E442" s="10">
        <v>34308.5</v>
      </c>
      <c r="F442" s="1">
        <v>41877</v>
      </c>
      <c r="G442">
        <v>-8068.5</v>
      </c>
      <c r="H442" s="1">
        <f t="shared" si="31"/>
        <v>41877</v>
      </c>
      <c r="I442">
        <f>IF(AND(MyRowHidden(ROW())=FALSE,MyRowHidden(ROW()-1)=TRUE),0,(E442-E441)*unitsOfDHp+I441)</f>
        <v>52835</v>
      </c>
      <c r="J442">
        <f>IF(AND(MyRowHidden(ROW())=FALSE,MyRowHidden(ROW()-1)=TRUE),0,(G442-G441)*unitsOfExo+J441)</f>
        <v>-127070</v>
      </c>
      <c r="K442" s="9">
        <f t="shared" si="32"/>
        <v>127070</v>
      </c>
      <c r="L442">
        <f t="shared" si="33"/>
        <v>-134868.62805588305</v>
      </c>
      <c r="M442">
        <f>IF(AND(MyRowHidden(ROW())=FALSE,MyRowHidden(ROW()-1)=TRUE),0,(G442-G441)*unitsFuturesCompare+M441)</f>
        <v>-254140</v>
      </c>
      <c r="N442">
        <f>IF(MyRowHidden(ROW())=TRUE,0,L442-M442)</f>
        <v>119271.37194411695</v>
      </c>
      <c r="O442">
        <f>MAX(N$12:N442)</f>
        <v>121267.2561117661</v>
      </c>
      <c r="P442">
        <f>IF(O442&gt;O441,(O442-O441)*percentSavingsParticipation,0)</f>
        <v>0</v>
      </c>
      <c r="Q442">
        <f t="shared" si="34"/>
        <v>60633.628055883048</v>
      </c>
      <c r="R442">
        <f t="shared" si="35"/>
        <v>-74235</v>
      </c>
    </row>
    <row r="443" spans="1:18" x14ac:dyDescent="0.25">
      <c r="A443" s="1"/>
      <c r="C443" s="1"/>
      <c r="D443" s="1">
        <v>41878</v>
      </c>
      <c r="E443" s="10">
        <v>34411.5</v>
      </c>
      <c r="F443" s="1">
        <v>41878</v>
      </c>
      <c r="G443">
        <v>-8031</v>
      </c>
      <c r="H443" s="1">
        <f t="shared" si="31"/>
        <v>41878</v>
      </c>
      <c r="I443">
        <f>IF(AND(MyRowHidden(ROW())=FALSE,MyRowHidden(ROW()-1)=TRUE),0,(E443-E442)*unitsOfDHp+I442)</f>
        <v>53865</v>
      </c>
      <c r="J443">
        <f>IF(AND(MyRowHidden(ROW())=FALSE,MyRowHidden(ROW()-1)=TRUE),0,(G443-G442)*unitsOfExo+J442)</f>
        <v>-126695</v>
      </c>
      <c r="K443" s="9">
        <f t="shared" si="32"/>
        <v>126695</v>
      </c>
      <c r="L443">
        <f t="shared" si="33"/>
        <v>-133463.62805588305</v>
      </c>
      <c r="M443">
        <f>IF(AND(MyRowHidden(ROW())=FALSE,MyRowHidden(ROW()-1)=TRUE),0,(G443-G442)*unitsFuturesCompare+M442)</f>
        <v>-253390</v>
      </c>
      <c r="N443">
        <f>IF(MyRowHidden(ROW())=TRUE,0,L443-M443)</f>
        <v>119926.37194411695</v>
      </c>
      <c r="O443">
        <f>MAX(N$12:N443)</f>
        <v>121267.2561117661</v>
      </c>
      <c r="P443">
        <f>IF(O443&gt;O442,(O443-O442)*percentSavingsParticipation,0)</f>
        <v>0</v>
      </c>
      <c r="Q443">
        <f t="shared" si="34"/>
        <v>60633.628055883048</v>
      </c>
      <c r="R443">
        <f t="shared" si="35"/>
        <v>-72830</v>
      </c>
    </row>
    <row r="444" spans="1:18" x14ac:dyDescent="0.25">
      <c r="A444" s="1"/>
      <c r="C444" s="1"/>
      <c r="D444" s="1">
        <v>41879</v>
      </c>
      <c r="E444" s="10">
        <v>33539</v>
      </c>
      <c r="F444" s="1">
        <v>41879</v>
      </c>
      <c r="G444">
        <v>-7781</v>
      </c>
      <c r="H444" s="1">
        <f t="shared" si="31"/>
        <v>41879</v>
      </c>
      <c r="I444">
        <f>IF(AND(MyRowHidden(ROW())=FALSE,MyRowHidden(ROW()-1)=TRUE),0,(E444-E443)*unitsOfDHp+I443)</f>
        <v>45140</v>
      </c>
      <c r="J444">
        <f>IF(AND(MyRowHidden(ROW())=FALSE,MyRowHidden(ROW()-1)=TRUE),0,(G444-G443)*unitsOfExo+J443)</f>
        <v>-124195</v>
      </c>
      <c r="K444" s="9">
        <f t="shared" si="32"/>
        <v>124195</v>
      </c>
      <c r="L444">
        <f t="shared" si="33"/>
        <v>-139688.62805588305</v>
      </c>
      <c r="M444">
        <f>IF(AND(MyRowHidden(ROW())=FALSE,MyRowHidden(ROW()-1)=TRUE),0,(G444-G443)*unitsFuturesCompare+M443)</f>
        <v>-248390</v>
      </c>
      <c r="N444">
        <f>IF(MyRowHidden(ROW())=TRUE,0,L444-M444)</f>
        <v>108701.37194411695</v>
      </c>
      <c r="O444">
        <f>MAX(N$12:N444)</f>
        <v>121267.2561117661</v>
      </c>
      <c r="P444">
        <f>IF(O444&gt;O443,(O444-O443)*percentSavingsParticipation,0)</f>
        <v>0</v>
      </c>
      <c r="Q444">
        <f t="shared" si="34"/>
        <v>60633.628055883048</v>
      </c>
      <c r="R444">
        <f t="shared" si="35"/>
        <v>-79055</v>
      </c>
    </row>
    <row r="445" spans="1:18" x14ac:dyDescent="0.25">
      <c r="A445" s="1"/>
      <c r="C445" s="1"/>
      <c r="D445" s="1">
        <v>41880</v>
      </c>
      <c r="E445" s="10">
        <v>34501.5</v>
      </c>
      <c r="F445" s="1">
        <v>41880</v>
      </c>
      <c r="G445">
        <v>-8093.5</v>
      </c>
      <c r="H445" s="1">
        <f t="shared" si="31"/>
        <v>41880</v>
      </c>
      <c r="I445">
        <f>IF(AND(MyRowHidden(ROW())=FALSE,MyRowHidden(ROW()-1)=TRUE),0,(E445-E444)*unitsOfDHp+I444)</f>
        <v>54765</v>
      </c>
      <c r="J445">
        <f>IF(AND(MyRowHidden(ROW())=FALSE,MyRowHidden(ROW()-1)=TRUE),0,(G445-G444)*unitsOfExo+J444)</f>
        <v>-127320</v>
      </c>
      <c r="K445" s="9">
        <f t="shared" si="32"/>
        <v>127320</v>
      </c>
      <c r="L445">
        <f t="shared" si="33"/>
        <v>-133188.62805588305</v>
      </c>
      <c r="M445">
        <f>IF(AND(MyRowHidden(ROW())=FALSE,MyRowHidden(ROW()-1)=TRUE),0,(G445-G444)*unitsFuturesCompare+M444)</f>
        <v>-254640</v>
      </c>
      <c r="N445">
        <f>IF(MyRowHidden(ROW())=TRUE,0,L445-M445)</f>
        <v>121451.37194411695</v>
      </c>
      <c r="O445">
        <f>MAX(N$12:N445)</f>
        <v>121451.37194411695</v>
      </c>
      <c r="P445">
        <f>IF(O445&gt;O444,(O445-O444)*percentSavingsParticipation,0)</f>
        <v>92.057916175428545</v>
      </c>
      <c r="Q445">
        <f t="shared" si="34"/>
        <v>60725.685972058476</v>
      </c>
      <c r="R445">
        <f t="shared" si="35"/>
        <v>-72555</v>
      </c>
    </row>
    <row r="446" spans="1:18" x14ac:dyDescent="0.25">
      <c r="A446" s="1"/>
      <c r="C446" s="1"/>
      <c r="D446" s="1">
        <v>41883</v>
      </c>
      <c r="E446" s="10">
        <v>34193.5</v>
      </c>
      <c r="F446" s="1">
        <v>41883</v>
      </c>
      <c r="G446">
        <v>-8018</v>
      </c>
      <c r="H446" s="1">
        <f t="shared" si="31"/>
        <v>41883</v>
      </c>
      <c r="I446">
        <f>IF(AND(MyRowHidden(ROW())=FALSE,MyRowHidden(ROW()-1)=TRUE),0,(E446-E445)*unitsOfDHp+I445)</f>
        <v>51685</v>
      </c>
      <c r="J446">
        <f>IF(AND(MyRowHidden(ROW())=FALSE,MyRowHidden(ROW()-1)=TRUE),0,(G446-G445)*unitsOfExo+J445)</f>
        <v>-126565</v>
      </c>
      <c r="K446" s="9">
        <f t="shared" si="32"/>
        <v>126565</v>
      </c>
      <c r="L446">
        <f t="shared" si="33"/>
        <v>-135605.68597205848</v>
      </c>
      <c r="M446">
        <f>IF(AND(MyRowHidden(ROW())=FALSE,MyRowHidden(ROW()-1)=TRUE),0,(G446-G445)*unitsFuturesCompare+M445)</f>
        <v>-253130</v>
      </c>
      <c r="N446">
        <f>IF(MyRowHidden(ROW())=TRUE,0,L446-M446)</f>
        <v>117524.31402794152</v>
      </c>
      <c r="O446">
        <f>MAX(N$12:N446)</f>
        <v>121451.37194411695</v>
      </c>
      <c r="P446">
        <f>IF(O446&gt;O445,(O446-O445)*percentSavingsParticipation,0)</f>
        <v>0</v>
      </c>
      <c r="Q446">
        <f t="shared" si="34"/>
        <v>60725.685972058476</v>
      </c>
      <c r="R446">
        <f t="shared" si="35"/>
        <v>-74880</v>
      </c>
    </row>
    <row r="447" spans="1:18" x14ac:dyDescent="0.25">
      <c r="A447" s="1"/>
      <c r="C447" s="1"/>
      <c r="D447" s="1">
        <v>41884</v>
      </c>
      <c r="E447" s="10">
        <v>34293.5</v>
      </c>
      <c r="F447" s="1">
        <v>41884</v>
      </c>
      <c r="G447">
        <v>-8068</v>
      </c>
      <c r="H447" s="1">
        <f t="shared" si="31"/>
        <v>41884</v>
      </c>
      <c r="I447">
        <f>IF(AND(MyRowHidden(ROW())=FALSE,MyRowHidden(ROW()-1)=TRUE),0,(E447-E446)*unitsOfDHp+I446)</f>
        <v>52685</v>
      </c>
      <c r="J447">
        <f>IF(AND(MyRowHidden(ROW())=FALSE,MyRowHidden(ROW()-1)=TRUE),0,(G447-G446)*unitsOfExo+J446)</f>
        <v>-127065</v>
      </c>
      <c r="K447" s="9">
        <f t="shared" si="32"/>
        <v>127065</v>
      </c>
      <c r="L447">
        <f t="shared" si="33"/>
        <v>-135105.68597205848</v>
      </c>
      <c r="M447">
        <f>IF(AND(MyRowHidden(ROW())=FALSE,MyRowHidden(ROW()-1)=TRUE),0,(G447-G446)*unitsFuturesCompare+M446)</f>
        <v>-254130</v>
      </c>
      <c r="N447">
        <f>IF(MyRowHidden(ROW())=TRUE,0,L447-M447)</f>
        <v>119024.31402794152</v>
      </c>
      <c r="O447">
        <f>MAX(N$12:N447)</f>
        <v>121451.37194411695</v>
      </c>
      <c r="P447">
        <f>IF(O447&gt;O446,(O447-O446)*percentSavingsParticipation,0)</f>
        <v>0</v>
      </c>
      <c r="Q447">
        <f t="shared" si="34"/>
        <v>60725.685972058476</v>
      </c>
      <c r="R447">
        <f t="shared" si="35"/>
        <v>-74380</v>
      </c>
    </row>
    <row r="448" spans="1:18" x14ac:dyDescent="0.25">
      <c r="A448" s="1"/>
      <c r="C448" s="1"/>
      <c r="D448" s="1">
        <v>41885</v>
      </c>
      <c r="E448" s="10">
        <v>37043.5</v>
      </c>
      <c r="F448" s="1">
        <v>41885</v>
      </c>
      <c r="G448">
        <v>-8605.5</v>
      </c>
      <c r="H448" s="1">
        <f t="shared" si="31"/>
        <v>41885</v>
      </c>
      <c r="I448">
        <f>IF(AND(MyRowHidden(ROW())=FALSE,MyRowHidden(ROW()-1)=TRUE),0,(E448-E447)*unitsOfDHp+I447)</f>
        <v>80185</v>
      </c>
      <c r="J448">
        <f>IF(AND(MyRowHidden(ROW())=FALSE,MyRowHidden(ROW()-1)=TRUE),0,(G448-G447)*unitsOfExo+J447)</f>
        <v>-132440</v>
      </c>
      <c r="K448" s="9">
        <f t="shared" si="32"/>
        <v>132440</v>
      </c>
      <c r="L448">
        <f t="shared" si="33"/>
        <v>-112980.68597205848</v>
      </c>
      <c r="M448">
        <f>IF(AND(MyRowHidden(ROW())=FALSE,MyRowHidden(ROW()-1)=TRUE),0,(G448-G447)*unitsFuturesCompare+M447)</f>
        <v>-264880</v>
      </c>
      <c r="N448">
        <f>IF(MyRowHidden(ROW())=TRUE,0,L448-M448)</f>
        <v>151899.31402794152</v>
      </c>
      <c r="O448">
        <f>MAX(N$12:N448)</f>
        <v>151899.31402794152</v>
      </c>
      <c r="P448">
        <f>IF(O448&gt;O447,(O448-O447)*percentSavingsParticipation,0)</f>
        <v>15223.971041912286</v>
      </c>
      <c r="Q448">
        <f t="shared" si="34"/>
        <v>75949.657013970762</v>
      </c>
      <c r="R448">
        <f t="shared" si="35"/>
        <v>-52255</v>
      </c>
    </row>
    <row r="449" spans="1:18" x14ac:dyDescent="0.25">
      <c r="A449" s="1"/>
      <c r="C449" s="1"/>
      <c r="D449" s="1">
        <v>41886</v>
      </c>
      <c r="E449" s="10">
        <v>38174.5</v>
      </c>
      <c r="F449" s="1">
        <v>41886</v>
      </c>
      <c r="G449">
        <v>-8955.5</v>
      </c>
      <c r="H449" s="1">
        <f t="shared" si="31"/>
        <v>41886</v>
      </c>
      <c r="I449">
        <f>IF(AND(MyRowHidden(ROW())=FALSE,MyRowHidden(ROW()-1)=TRUE),0,(E449-E448)*unitsOfDHp+I448)</f>
        <v>91495</v>
      </c>
      <c r="J449">
        <f>IF(AND(MyRowHidden(ROW())=FALSE,MyRowHidden(ROW()-1)=TRUE),0,(G449-G448)*unitsOfExo+J448)</f>
        <v>-135940</v>
      </c>
      <c r="K449" s="9">
        <f t="shared" si="32"/>
        <v>135940</v>
      </c>
      <c r="L449">
        <f t="shared" si="33"/>
        <v>-120394.65701397076</v>
      </c>
      <c r="M449">
        <f>IF(AND(MyRowHidden(ROW())=FALSE,MyRowHidden(ROW()-1)=TRUE),0,(G449-G448)*unitsFuturesCompare+M448)</f>
        <v>-271880</v>
      </c>
      <c r="N449">
        <f>IF(MyRowHidden(ROW())=TRUE,0,L449-M449)</f>
        <v>151485.34298602922</v>
      </c>
      <c r="O449">
        <f>MAX(N$12:N449)</f>
        <v>151899.31402794152</v>
      </c>
      <c r="P449">
        <f>IF(O449&gt;O448,(O449-O448)*percentSavingsParticipation,0)</f>
        <v>0</v>
      </c>
      <c r="Q449">
        <f t="shared" si="34"/>
        <v>75949.657013970762</v>
      </c>
      <c r="R449">
        <f t="shared" si="35"/>
        <v>-44445</v>
      </c>
    </row>
    <row r="450" spans="1:18" x14ac:dyDescent="0.25">
      <c r="A450" s="1"/>
      <c r="C450" s="1"/>
      <c r="D450" s="1">
        <v>41887</v>
      </c>
      <c r="E450" s="10">
        <v>37255.5</v>
      </c>
      <c r="F450" s="1">
        <v>41887</v>
      </c>
      <c r="G450">
        <v>-8518</v>
      </c>
      <c r="H450" s="1">
        <f t="shared" si="31"/>
        <v>41887</v>
      </c>
      <c r="I450">
        <f>IF(AND(MyRowHidden(ROW())=FALSE,MyRowHidden(ROW()-1)=TRUE),0,(E450-E449)*unitsOfDHp+I449)</f>
        <v>82305</v>
      </c>
      <c r="J450">
        <f>IF(AND(MyRowHidden(ROW())=FALSE,MyRowHidden(ROW()-1)=TRUE),0,(G450-G449)*unitsOfExo+J449)</f>
        <v>-131565</v>
      </c>
      <c r="K450" s="9">
        <f t="shared" si="32"/>
        <v>131565</v>
      </c>
      <c r="L450">
        <f t="shared" si="33"/>
        <v>-125209.65701397076</v>
      </c>
      <c r="M450">
        <f>IF(AND(MyRowHidden(ROW())=FALSE,MyRowHidden(ROW()-1)=TRUE),0,(G450-G449)*unitsFuturesCompare+M449)</f>
        <v>-263130</v>
      </c>
      <c r="N450">
        <f>IF(MyRowHidden(ROW())=TRUE,0,L450-M450)</f>
        <v>137920.34298602922</v>
      </c>
      <c r="O450">
        <f>MAX(N$12:N450)</f>
        <v>151899.31402794152</v>
      </c>
      <c r="P450">
        <f>IF(O450&gt;O449,(O450-O449)*percentSavingsParticipation,0)</f>
        <v>0</v>
      </c>
      <c r="Q450">
        <f t="shared" si="34"/>
        <v>75949.657013970762</v>
      </c>
      <c r="R450">
        <f t="shared" si="35"/>
        <v>-49260</v>
      </c>
    </row>
    <row r="451" spans="1:18" x14ac:dyDescent="0.25">
      <c r="A451" s="1"/>
      <c r="C451" s="1"/>
      <c r="D451" s="1">
        <v>41890</v>
      </c>
      <c r="E451" s="10">
        <v>36918</v>
      </c>
      <c r="F451" s="1">
        <v>41890</v>
      </c>
      <c r="G451">
        <v>-8880.5</v>
      </c>
      <c r="H451" s="1">
        <f t="shared" si="31"/>
        <v>41890</v>
      </c>
      <c r="I451">
        <f>IF(AND(MyRowHidden(ROW())=FALSE,MyRowHidden(ROW()-1)=TRUE),0,(E451-E450)*unitsOfDHp+I450)</f>
        <v>78930</v>
      </c>
      <c r="J451">
        <f>IF(AND(MyRowHidden(ROW())=FALSE,MyRowHidden(ROW()-1)=TRUE),0,(G451-G450)*unitsOfExo+J450)</f>
        <v>-135190</v>
      </c>
      <c r="K451" s="9">
        <f t="shared" si="32"/>
        <v>135190</v>
      </c>
      <c r="L451">
        <f t="shared" si="33"/>
        <v>-132209.65701397078</v>
      </c>
      <c r="M451">
        <f>IF(AND(MyRowHidden(ROW())=FALSE,MyRowHidden(ROW()-1)=TRUE),0,(G451-G450)*unitsFuturesCompare+M450)</f>
        <v>-270380</v>
      </c>
      <c r="N451">
        <f>IF(MyRowHidden(ROW())=TRUE,0,L451-M451)</f>
        <v>138170.34298602922</v>
      </c>
      <c r="O451">
        <f>MAX(N$12:N451)</f>
        <v>151899.31402794152</v>
      </c>
      <c r="P451">
        <f>IF(O451&gt;O450,(O451-O450)*percentSavingsParticipation,0)</f>
        <v>0</v>
      </c>
      <c r="Q451">
        <f t="shared" si="34"/>
        <v>75949.657013970762</v>
      </c>
      <c r="R451">
        <f t="shared" si="35"/>
        <v>-56260</v>
      </c>
    </row>
    <row r="452" spans="1:18" x14ac:dyDescent="0.25">
      <c r="A452" s="1"/>
      <c r="C452" s="1"/>
      <c r="D452" s="1">
        <v>41891</v>
      </c>
      <c r="E452" s="10">
        <v>36818</v>
      </c>
      <c r="F452" s="1">
        <v>41891</v>
      </c>
      <c r="G452">
        <v>-9030.5</v>
      </c>
      <c r="H452" s="1">
        <f t="shared" si="31"/>
        <v>41891</v>
      </c>
      <c r="I452">
        <f>IF(AND(MyRowHidden(ROW())=FALSE,MyRowHidden(ROW()-1)=TRUE),0,(E452-E451)*unitsOfDHp+I451)</f>
        <v>77930</v>
      </c>
      <c r="J452">
        <f>IF(AND(MyRowHidden(ROW())=FALSE,MyRowHidden(ROW()-1)=TRUE),0,(G452-G451)*unitsOfExo+J451)</f>
        <v>-136690</v>
      </c>
      <c r="K452" s="9">
        <f t="shared" si="32"/>
        <v>136690</v>
      </c>
      <c r="L452">
        <f t="shared" si="33"/>
        <v>-134709.65701397078</v>
      </c>
      <c r="M452">
        <f>IF(AND(MyRowHidden(ROW())=FALSE,MyRowHidden(ROW()-1)=TRUE),0,(G452-G451)*unitsFuturesCompare+M451)</f>
        <v>-273380</v>
      </c>
      <c r="N452">
        <f>IF(MyRowHidden(ROW())=TRUE,0,L452-M452)</f>
        <v>138670.34298602922</v>
      </c>
      <c r="O452">
        <f>MAX(N$12:N452)</f>
        <v>151899.31402794152</v>
      </c>
      <c r="P452">
        <f>IF(O452&gt;O451,(O452-O451)*percentSavingsParticipation,0)</f>
        <v>0</v>
      </c>
      <c r="Q452">
        <f t="shared" si="34"/>
        <v>75949.657013970762</v>
      </c>
      <c r="R452">
        <f t="shared" si="35"/>
        <v>-58760</v>
      </c>
    </row>
    <row r="453" spans="1:18" x14ac:dyDescent="0.25">
      <c r="A453" s="1"/>
      <c r="C453" s="1"/>
      <c r="D453" s="1">
        <v>41892</v>
      </c>
      <c r="E453" s="10">
        <v>36930.5</v>
      </c>
      <c r="F453" s="1">
        <v>41892</v>
      </c>
      <c r="G453">
        <v>-8930.5</v>
      </c>
      <c r="H453" s="1">
        <f t="shared" si="31"/>
        <v>41892</v>
      </c>
      <c r="I453">
        <f>IF(AND(MyRowHidden(ROW())=FALSE,MyRowHidden(ROW()-1)=TRUE),0,(E453-E452)*unitsOfDHp+I452)</f>
        <v>79055</v>
      </c>
      <c r="J453">
        <f>IF(AND(MyRowHidden(ROW())=FALSE,MyRowHidden(ROW()-1)=TRUE),0,(G453-G452)*unitsOfExo+J452)</f>
        <v>-135690</v>
      </c>
      <c r="K453" s="9">
        <f t="shared" si="32"/>
        <v>135690</v>
      </c>
      <c r="L453">
        <f t="shared" si="33"/>
        <v>-132584.65701397078</v>
      </c>
      <c r="M453">
        <f>IF(AND(MyRowHidden(ROW())=FALSE,MyRowHidden(ROW()-1)=TRUE),0,(G453-G452)*unitsFuturesCompare+M452)</f>
        <v>-271380</v>
      </c>
      <c r="N453">
        <f>IF(MyRowHidden(ROW())=TRUE,0,L453-M453)</f>
        <v>138795.34298602922</v>
      </c>
      <c r="O453">
        <f>MAX(N$12:N453)</f>
        <v>151899.31402794152</v>
      </c>
      <c r="P453">
        <f>IF(O453&gt;O452,(O453-O452)*percentSavingsParticipation,0)</f>
        <v>0</v>
      </c>
      <c r="Q453">
        <f t="shared" si="34"/>
        <v>75949.657013970762</v>
      </c>
      <c r="R453">
        <f t="shared" si="35"/>
        <v>-56635</v>
      </c>
    </row>
    <row r="454" spans="1:18" x14ac:dyDescent="0.25">
      <c r="A454" s="1"/>
      <c r="C454" s="1"/>
      <c r="D454" s="1">
        <v>41893</v>
      </c>
      <c r="E454" s="10">
        <v>36593</v>
      </c>
      <c r="F454" s="1">
        <v>41893</v>
      </c>
      <c r="G454">
        <v>-9305.5</v>
      </c>
      <c r="H454" s="1">
        <f t="shared" si="31"/>
        <v>41893</v>
      </c>
      <c r="I454">
        <f>IF(AND(MyRowHidden(ROW())=FALSE,MyRowHidden(ROW()-1)=TRUE),0,(E454-E453)*unitsOfDHp+I453)</f>
        <v>75680</v>
      </c>
      <c r="J454">
        <f>IF(AND(MyRowHidden(ROW())=FALSE,MyRowHidden(ROW()-1)=TRUE),0,(G454-G453)*unitsOfExo+J453)</f>
        <v>-139440</v>
      </c>
      <c r="K454" s="9">
        <f t="shared" si="32"/>
        <v>139440</v>
      </c>
      <c r="L454">
        <f t="shared" si="33"/>
        <v>-139709.65701397078</v>
      </c>
      <c r="M454">
        <f>IF(AND(MyRowHidden(ROW())=FALSE,MyRowHidden(ROW()-1)=TRUE),0,(G454-G453)*unitsFuturesCompare+M453)</f>
        <v>-278880</v>
      </c>
      <c r="N454">
        <f>IF(MyRowHidden(ROW())=TRUE,0,L454-M454)</f>
        <v>139170.34298602922</v>
      </c>
      <c r="O454">
        <f>MAX(N$12:N454)</f>
        <v>151899.31402794152</v>
      </c>
      <c r="P454">
        <f>IF(O454&gt;O453,(O454-O453)*percentSavingsParticipation,0)</f>
        <v>0</v>
      </c>
      <c r="Q454">
        <f t="shared" si="34"/>
        <v>75949.657013970762</v>
      </c>
      <c r="R454">
        <f t="shared" si="35"/>
        <v>-63760</v>
      </c>
    </row>
    <row r="455" spans="1:18" x14ac:dyDescent="0.25">
      <c r="A455" s="1"/>
      <c r="C455" s="1"/>
      <c r="D455" s="1">
        <v>41894</v>
      </c>
      <c r="E455" s="10">
        <v>36630.5</v>
      </c>
      <c r="F455" s="1">
        <v>41894</v>
      </c>
      <c r="G455">
        <v>-9343</v>
      </c>
      <c r="H455" s="1">
        <f t="shared" si="31"/>
        <v>41894</v>
      </c>
      <c r="I455">
        <f>IF(AND(MyRowHidden(ROW())=FALSE,MyRowHidden(ROW()-1)=TRUE),0,(E455-E454)*unitsOfDHp+I454)</f>
        <v>76055</v>
      </c>
      <c r="J455">
        <f>IF(AND(MyRowHidden(ROW())=FALSE,MyRowHidden(ROW()-1)=TRUE),0,(G455-G454)*unitsOfExo+J454)</f>
        <v>-139815</v>
      </c>
      <c r="K455" s="9">
        <f t="shared" si="32"/>
        <v>139815</v>
      </c>
      <c r="L455">
        <f t="shared" si="33"/>
        <v>-139709.65701397078</v>
      </c>
      <c r="M455">
        <f>IF(AND(MyRowHidden(ROW())=FALSE,MyRowHidden(ROW()-1)=TRUE),0,(G455-G454)*unitsFuturesCompare+M454)</f>
        <v>-279630</v>
      </c>
      <c r="N455">
        <f>IF(MyRowHidden(ROW())=TRUE,0,L455-M455)</f>
        <v>139920.34298602922</v>
      </c>
      <c r="O455">
        <f>MAX(N$12:N455)</f>
        <v>151899.31402794152</v>
      </c>
      <c r="P455">
        <f>IF(O455&gt;O454,(O455-O454)*percentSavingsParticipation,0)</f>
        <v>0</v>
      </c>
      <c r="Q455">
        <f t="shared" si="34"/>
        <v>75949.657013970762</v>
      </c>
      <c r="R455">
        <f t="shared" si="35"/>
        <v>-63760</v>
      </c>
    </row>
    <row r="456" spans="1:18" x14ac:dyDescent="0.25">
      <c r="A456" s="1"/>
      <c r="C456" s="1"/>
      <c r="D456" s="1">
        <v>41897</v>
      </c>
      <c r="E456" s="10">
        <v>36993</v>
      </c>
      <c r="F456" s="1">
        <v>41897</v>
      </c>
      <c r="G456">
        <v>-9118</v>
      </c>
      <c r="H456" s="1">
        <f t="shared" si="31"/>
        <v>41897</v>
      </c>
      <c r="I456">
        <f>IF(AND(MyRowHidden(ROW())=FALSE,MyRowHidden(ROW()-1)=TRUE),0,(E456-E455)*unitsOfDHp+I455)</f>
        <v>79680</v>
      </c>
      <c r="J456">
        <f>IF(AND(MyRowHidden(ROW())=FALSE,MyRowHidden(ROW()-1)=TRUE),0,(G456-G455)*unitsOfExo+J455)</f>
        <v>-137565</v>
      </c>
      <c r="K456" s="9">
        <f t="shared" si="32"/>
        <v>137565</v>
      </c>
      <c r="L456">
        <f t="shared" si="33"/>
        <v>-133834.65701397078</v>
      </c>
      <c r="M456">
        <f>IF(AND(MyRowHidden(ROW())=FALSE,MyRowHidden(ROW()-1)=TRUE),0,(G456-G455)*unitsFuturesCompare+M455)</f>
        <v>-275130</v>
      </c>
      <c r="N456">
        <f>IF(MyRowHidden(ROW())=TRUE,0,L456-M456)</f>
        <v>141295.34298602922</v>
      </c>
      <c r="O456">
        <f>MAX(N$12:N456)</f>
        <v>151899.31402794152</v>
      </c>
      <c r="P456">
        <f>IF(O456&gt;O455,(O456-O455)*percentSavingsParticipation,0)</f>
        <v>0</v>
      </c>
      <c r="Q456">
        <f t="shared" si="34"/>
        <v>75949.657013970762</v>
      </c>
      <c r="R456">
        <f t="shared" si="35"/>
        <v>-57885</v>
      </c>
    </row>
    <row r="457" spans="1:18" x14ac:dyDescent="0.25">
      <c r="A457" s="1"/>
      <c r="C457" s="1"/>
      <c r="D457" s="1">
        <v>41898</v>
      </c>
      <c r="E457" s="10">
        <v>37130.5</v>
      </c>
      <c r="F457" s="1">
        <v>41898</v>
      </c>
      <c r="G457">
        <v>-9030.5</v>
      </c>
      <c r="H457" s="1">
        <f t="shared" si="31"/>
        <v>41898</v>
      </c>
      <c r="I457">
        <f>IF(AND(MyRowHidden(ROW())=FALSE,MyRowHidden(ROW()-1)=TRUE),0,(E457-E456)*unitsOfDHp+I456)</f>
        <v>81055</v>
      </c>
      <c r="J457">
        <f>IF(AND(MyRowHidden(ROW())=FALSE,MyRowHidden(ROW()-1)=TRUE),0,(G457-G456)*unitsOfExo+J456)</f>
        <v>-136690</v>
      </c>
      <c r="K457" s="9">
        <f t="shared" si="32"/>
        <v>136690</v>
      </c>
      <c r="L457">
        <f t="shared" si="33"/>
        <v>-131584.65701397078</v>
      </c>
      <c r="M457">
        <f>IF(AND(MyRowHidden(ROW())=FALSE,MyRowHidden(ROW()-1)=TRUE),0,(G457-G456)*unitsFuturesCompare+M456)</f>
        <v>-273380</v>
      </c>
      <c r="N457">
        <f>IF(MyRowHidden(ROW())=TRUE,0,L457-M457)</f>
        <v>141795.34298602922</v>
      </c>
      <c r="O457">
        <f>MAX(N$12:N457)</f>
        <v>151899.31402794152</v>
      </c>
      <c r="P457">
        <f>IF(O457&gt;O456,(O457-O456)*percentSavingsParticipation,0)</f>
        <v>0</v>
      </c>
      <c r="Q457">
        <f t="shared" si="34"/>
        <v>75949.657013970762</v>
      </c>
      <c r="R457">
        <f t="shared" si="35"/>
        <v>-55635</v>
      </c>
    </row>
    <row r="458" spans="1:18" x14ac:dyDescent="0.25">
      <c r="A458" s="1"/>
      <c r="C458" s="1"/>
      <c r="D458" s="1">
        <v>41899</v>
      </c>
      <c r="E458" s="10">
        <v>36943</v>
      </c>
      <c r="F458" s="1">
        <v>41899</v>
      </c>
      <c r="G458">
        <v>-9193</v>
      </c>
      <c r="H458" s="1">
        <f t="shared" si="31"/>
        <v>41899</v>
      </c>
      <c r="I458">
        <f>IF(AND(MyRowHidden(ROW())=FALSE,MyRowHidden(ROW()-1)=TRUE),0,(E458-E457)*unitsOfDHp+I457)</f>
        <v>79180</v>
      </c>
      <c r="J458">
        <f>IF(AND(MyRowHidden(ROW())=FALSE,MyRowHidden(ROW()-1)=TRUE),0,(G458-G457)*unitsOfExo+J457)</f>
        <v>-138315</v>
      </c>
      <c r="K458" s="9">
        <f t="shared" si="32"/>
        <v>138315</v>
      </c>
      <c r="L458">
        <f t="shared" si="33"/>
        <v>-135084.65701397078</v>
      </c>
      <c r="M458">
        <f>IF(AND(MyRowHidden(ROW())=FALSE,MyRowHidden(ROW()-1)=TRUE),0,(G458-G457)*unitsFuturesCompare+M457)</f>
        <v>-276630</v>
      </c>
      <c r="N458">
        <f>IF(MyRowHidden(ROW())=TRUE,0,L458-M458)</f>
        <v>141545.34298602922</v>
      </c>
      <c r="O458">
        <f>MAX(N$12:N458)</f>
        <v>151899.31402794152</v>
      </c>
      <c r="P458">
        <f>IF(O458&gt;O457,(O458-O457)*percentSavingsParticipation,0)</f>
        <v>0</v>
      </c>
      <c r="Q458">
        <f t="shared" si="34"/>
        <v>75949.657013970762</v>
      </c>
      <c r="R458">
        <f t="shared" si="35"/>
        <v>-59135</v>
      </c>
    </row>
    <row r="459" spans="1:18" x14ac:dyDescent="0.25">
      <c r="A459" s="1"/>
      <c r="C459" s="1"/>
      <c r="D459" s="1">
        <v>41900</v>
      </c>
      <c r="E459" s="10">
        <v>36780.5</v>
      </c>
      <c r="F459" s="1">
        <v>41900</v>
      </c>
      <c r="G459">
        <v>-9330.5</v>
      </c>
      <c r="H459" s="1">
        <f t="shared" si="31"/>
        <v>41900</v>
      </c>
      <c r="I459">
        <f>IF(AND(MyRowHidden(ROW())=FALSE,MyRowHidden(ROW()-1)=TRUE),0,(E459-E458)*unitsOfDHp+I458)</f>
        <v>77555</v>
      </c>
      <c r="J459">
        <f>IF(AND(MyRowHidden(ROW())=FALSE,MyRowHidden(ROW()-1)=TRUE),0,(G459-G458)*unitsOfExo+J458)</f>
        <v>-139690</v>
      </c>
      <c r="K459" s="9">
        <f t="shared" si="32"/>
        <v>139690</v>
      </c>
      <c r="L459">
        <f t="shared" si="33"/>
        <v>-138084.65701397078</v>
      </c>
      <c r="M459">
        <f>IF(AND(MyRowHidden(ROW())=FALSE,MyRowHidden(ROW()-1)=TRUE),0,(G459-G458)*unitsFuturesCompare+M458)</f>
        <v>-279380</v>
      </c>
      <c r="N459">
        <f>IF(MyRowHidden(ROW())=TRUE,0,L459-M459)</f>
        <v>141295.34298602922</v>
      </c>
      <c r="O459">
        <f>MAX(N$12:N459)</f>
        <v>151899.31402794152</v>
      </c>
      <c r="P459">
        <f>IF(O459&gt;O458,(O459-O458)*percentSavingsParticipation,0)</f>
        <v>0</v>
      </c>
      <c r="Q459">
        <f t="shared" si="34"/>
        <v>75949.657013970762</v>
      </c>
      <c r="R459">
        <f t="shared" si="35"/>
        <v>-62135</v>
      </c>
    </row>
    <row r="460" spans="1:18" x14ac:dyDescent="0.25">
      <c r="A460" s="1"/>
      <c r="C460" s="1"/>
      <c r="D460" s="1">
        <v>41901</v>
      </c>
      <c r="E460" s="10">
        <v>36280.5</v>
      </c>
      <c r="F460" s="1">
        <v>41901</v>
      </c>
      <c r="G460">
        <v>-9630.5</v>
      </c>
      <c r="H460" s="1">
        <f t="shared" si="31"/>
        <v>41901</v>
      </c>
      <c r="I460">
        <f>IF(AND(MyRowHidden(ROW())=FALSE,MyRowHidden(ROW()-1)=TRUE),0,(E460-E459)*unitsOfDHp+I459)</f>
        <v>72555</v>
      </c>
      <c r="J460">
        <f>IF(AND(MyRowHidden(ROW())=FALSE,MyRowHidden(ROW()-1)=TRUE),0,(G460-G459)*unitsOfExo+J459)</f>
        <v>-142690</v>
      </c>
      <c r="K460" s="9">
        <f t="shared" si="32"/>
        <v>142690</v>
      </c>
      <c r="L460">
        <f t="shared" si="33"/>
        <v>-146084.65701397078</v>
      </c>
      <c r="M460">
        <f>IF(AND(MyRowHidden(ROW())=FALSE,MyRowHidden(ROW()-1)=TRUE),0,(G460-G459)*unitsFuturesCompare+M459)</f>
        <v>-285380</v>
      </c>
      <c r="N460">
        <f>IF(MyRowHidden(ROW())=TRUE,0,L460-M460)</f>
        <v>139295.34298602922</v>
      </c>
      <c r="O460">
        <f>MAX(N$12:N460)</f>
        <v>151899.31402794152</v>
      </c>
      <c r="P460">
        <f>IF(O460&gt;O459,(O460-O459)*percentSavingsParticipation,0)</f>
        <v>0</v>
      </c>
      <c r="Q460">
        <f t="shared" si="34"/>
        <v>75949.657013970762</v>
      </c>
      <c r="R460">
        <f t="shared" si="35"/>
        <v>-70135</v>
      </c>
    </row>
    <row r="461" spans="1:18" x14ac:dyDescent="0.25">
      <c r="A461" s="1"/>
      <c r="C461" s="1"/>
      <c r="D461" s="1">
        <v>41904</v>
      </c>
      <c r="E461" s="10">
        <v>36018</v>
      </c>
      <c r="F461" s="1">
        <v>41904</v>
      </c>
      <c r="G461">
        <v>-9743</v>
      </c>
      <c r="H461" s="1">
        <f t="shared" ref="H461:H524" si="36">D461</f>
        <v>41904</v>
      </c>
      <c r="I461">
        <f>IF(AND(MyRowHidden(ROW())=FALSE,MyRowHidden(ROW()-1)=TRUE),0,(E461-E460)*unitsOfDHp+I460)</f>
        <v>69930</v>
      </c>
      <c r="J461">
        <f>IF(AND(MyRowHidden(ROW())=FALSE,MyRowHidden(ROW()-1)=TRUE),0,(G461-G460)*unitsOfExo+J460)</f>
        <v>-143815</v>
      </c>
      <c r="K461" s="9">
        <f t="shared" ref="K461:K524" si="37">-(J461-J460)+K460</f>
        <v>143815</v>
      </c>
      <c r="L461">
        <f t="shared" ref="L461:L524" si="38">I461-I460+J461-J460+L460-P460</f>
        <v>-149834.65701397078</v>
      </c>
      <c r="M461">
        <f>IF(AND(MyRowHidden(ROW())=FALSE,MyRowHidden(ROW()-1)=TRUE),0,(G461-G460)*unitsFuturesCompare+M460)</f>
        <v>-287630</v>
      </c>
      <c r="N461">
        <f>IF(MyRowHidden(ROW())=TRUE,0,L461-M461)</f>
        <v>137795.34298602922</v>
      </c>
      <c r="O461">
        <f>MAX(N$12:N461)</f>
        <v>151899.31402794152</v>
      </c>
      <c r="P461">
        <f>IF(O461&gt;O460,(O461-O460)*percentSavingsParticipation,0)</f>
        <v>0</v>
      </c>
      <c r="Q461">
        <f t="shared" ref="Q461:Q524" si="39">P461+Q460</f>
        <v>75949.657013970762</v>
      </c>
      <c r="R461">
        <f t="shared" ref="R461:R524" si="40">I461+J461</f>
        <v>-73885</v>
      </c>
    </row>
    <row r="462" spans="1:18" x14ac:dyDescent="0.25">
      <c r="A462" s="1"/>
      <c r="C462" s="1"/>
      <c r="D462" s="1">
        <v>41905</v>
      </c>
      <c r="E462" s="10">
        <v>35568</v>
      </c>
      <c r="F462" s="1">
        <v>41905</v>
      </c>
      <c r="G462">
        <v>-9980.5</v>
      </c>
      <c r="H462" s="1">
        <f t="shared" si="36"/>
        <v>41905</v>
      </c>
      <c r="I462">
        <f>IF(AND(MyRowHidden(ROW())=FALSE,MyRowHidden(ROW()-1)=TRUE),0,(E462-E461)*unitsOfDHp+I461)</f>
        <v>65430</v>
      </c>
      <c r="J462">
        <f>IF(AND(MyRowHidden(ROW())=FALSE,MyRowHidden(ROW()-1)=TRUE),0,(G462-G461)*unitsOfExo+J461)</f>
        <v>-146190</v>
      </c>
      <c r="K462" s="9">
        <f t="shared" si="37"/>
        <v>146190</v>
      </c>
      <c r="L462">
        <f t="shared" si="38"/>
        <v>-156709.65701397078</v>
      </c>
      <c r="M462">
        <f>IF(AND(MyRowHidden(ROW())=FALSE,MyRowHidden(ROW()-1)=TRUE),0,(G462-G461)*unitsFuturesCompare+M461)</f>
        <v>-292380</v>
      </c>
      <c r="N462">
        <f>IF(MyRowHidden(ROW())=TRUE,0,L462-M462)</f>
        <v>135670.34298602922</v>
      </c>
      <c r="O462">
        <f>MAX(N$12:N462)</f>
        <v>151899.31402794152</v>
      </c>
      <c r="P462">
        <f>IF(O462&gt;O461,(O462-O461)*percentSavingsParticipation,0)</f>
        <v>0</v>
      </c>
      <c r="Q462">
        <f t="shared" si="39"/>
        <v>75949.657013970762</v>
      </c>
      <c r="R462">
        <f t="shared" si="40"/>
        <v>-80760</v>
      </c>
    </row>
    <row r="463" spans="1:18" x14ac:dyDescent="0.25">
      <c r="A463" s="1"/>
      <c r="C463" s="1"/>
      <c r="D463" s="1">
        <v>41906</v>
      </c>
      <c r="E463" s="10">
        <v>35880.5</v>
      </c>
      <c r="F463" s="1">
        <v>41906</v>
      </c>
      <c r="G463">
        <v>-9793</v>
      </c>
      <c r="H463" s="1">
        <f t="shared" si="36"/>
        <v>41906</v>
      </c>
      <c r="I463">
        <f>IF(AND(MyRowHidden(ROW())=FALSE,MyRowHidden(ROW()-1)=TRUE),0,(E463-E462)*unitsOfDHp+I462)</f>
        <v>68555</v>
      </c>
      <c r="J463">
        <f>IF(AND(MyRowHidden(ROW())=FALSE,MyRowHidden(ROW()-1)=TRUE),0,(G463-G462)*unitsOfExo+J462)</f>
        <v>-144315</v>
      </c>
      <c r="K463" s="9">
        <f t="shared" si="37"/>
        <v>144315</v>
      </c>
      <c r="L463">
        <f t="shared" si="38"/>
        <v>-151709.65701397078</v>
      </c>
      <c r="M463">
        <f>IF(AND(MyRowHidden(ROW())=FALSE,MyRowHidden(ROW()-1)=TRUE),0,(G463-G462)*unitsFuturesCompare+M462)</f>
        <v>-288630</v>
      </c>
      <c r="N463">
        <f>IF(MyRowHidden(ROW())=TRUE,0,L463-M463)</f>
        <v>136920.34298602922</v>
      </c>
      <c r="O463">
        <f>MAX(N$12:N463)</f>
        <v>151899.31402794152</v>
      </c>
      <c r="P463">
        <f>IF(O463&gt;O462,(O463-O462)*percentSavingsParticipation,0)</f>
        <v>0</v>
      </c>
      <c r="Q463">
        <f t="shared" si="39"/>
        <v>75949.657013970762</v>
      </c>
      <c r="R463">
        <f t="shared" si="40"/>
        <v>-75760</v>
      </c>
    </row>
    <row r="464" spans="1:18" x14ac:dyDescent="0.25">
      <c r="A464" s="1"/>
      <c r="C464" s="1"/>
      <c r="D464" s="1">
        <v>41907</v>
      </c>
      <c r="E464" s="10">
        <v>35568</v>
      </c>
      <c r="F464" s="1">
        <v>41907</v>
      </c>
      <c r="G464">
        <v>-9968</v>
      </c>
      <c r="H464" s="1">
        <f t="shared" si="36"/>
        <v>41907</v>
      </c>
      <c r="I464">
        <f>IF(AND(MyRowHidden(ROW())=FALSE,MyRowHidden(ROW()-1)=TRUE),0,(E464-E463)*unitsOfDHp+I463)</f>
        <v>65430</v>
      </c>
      <c r="J464">
        <f>IF(AND(MyRowHidden(ROW())=FALSE,MyRowHidden(ROW()-1)=TRUE),0,(G464-G463)*unitsOfExo+J463)</f>
        <v>-146065</v>
      </c>
      <c r="K464" s="9">
        <f t="shared" si="37"/>
        <v>146065</v>
      </c>
      <c r="L464">
        <f t="shared" si="38"/>
        <v>-156584.65701397078</v>
      </c>
      <c r="M464">
        <f>IF(AND(MyRowHidden(ROW())=FALSE,MyRowHidden(ROW()-1)=TRUE),0,(G464-G463)*unitsFuturesCompare+M463)</f>
        <v>-292130</v>
      </c>
      <c r="N464">
        <f>IF(MyRowHidden(ROW())=TRUE,0,L464-M464)</f>
        <v>135545.34298602922</v>
      </c>
      <c r="O464">
        <f>MAX(N$12:N464)</f>
        <v>151899.31402794152</v>
      </c>
      <c r="P464">
        <f>IF(O464&gt;O463,(O464-O463)*percentSavingsParticipation,0)</f>
        <v>0</v>
      </c>
      <c r="Q464">
        <f t="shared" si="39"/>
        <v>75949.657013970762</v>
      </c>
      <c r="R464">
        <f t="shared" si="40"/>
        <v>-80635</v>
      </c>
    </row>
    <row r="465" spans="1:18" x14ac:dyDescent="0.25">
      <c r="A465" s="1"/>
      <c r="C465" s="1"/>
      <c r="D465" s="1">
        <v>41908</v>
      </c>
      <c r="E465" s="10">
        <v>35318</v>
      </c>
      <c r="F465" s="1">
        <v>41908</v>
      </c>
      <c r="G465">
        <v>-10093</v>
      </c>
      <c r="H465" s="1">
        <f t="shared" si="36"/>
        <v>41908</v>
      </c>
      <c r="I465">
        <f>IF(AND(MyRowHidden(ROW())=FALSE,MyRowHidden(ROW()-1)=TRUE),0,(E465-E464)*unitsOfDHp+I464)</f>
        <v>62930</v>
      </c>
      <c r="J465">
        <f>IF(AND(MyRowHidden(ROW())=FALSE,MyRowHidden(ROW()-1)=TRUE),0,(G465-G464)*unitsOfExo+J464)</f>
        <v>-147315</v>
      </c>
      <c r="K465" s="9">
        <f t="shared" si="37"/>
        <v>147315</v>
      </c>
      <c r="L465">
        <f t="shared" si="38"/>
        <v>-160334.65701397078</v>
      </c>
      <c r="M465">
        <f>IF(AND(MyRowHidden(ROW())=FALSE,MyRowHidden(ROW()-1)=TRUE),0,(G465-G464)*unitsFuturesCompare+M464)</f>
        <v>-294630</v>
      </c>
      <c r="N465">
        <f>IF(MyRowHidden(ROW())=TRUE,0,L465-M465)</f>
        <v>134295.34298602922</v>
      </c>
      <c r="O465">
        <f>MAX(N$12:N465)</f>
        <v>151899.31402794152</v>
      </c>
      <c r="P465">
        <f>IF(O465&gt;O464,(O465-O464)*percentSavingsParticipation,0)</f>
        <v>0</v>
      </c>
      <c r="Q465">
        <f t="shared" si="39"/>
        <v>75949.657013970762</v>
      </c>
      <c r="R465">
        <f t="shared" si="40"/>
        <v>-84385</v>
      </c>
    </row>
    <row r="466" spans="1:18" x14ac:dyDescent="0.25">
      <c r="A466" s="1"/>
      <c r="C466" s="1"/>
      <c r="D466" s="1">
        <v>41911</v>
      </c>
      <c r="E466" s="10">
        <v>35543</v>
      </c>
      <c r="F466" s="1">
        <v>41911</v>
      </c>
      <c r="G466">
        <v>-9993</v>
      </c>
      <c r="H466" s="1">
        <f t="shared" si="36"/>
        <v>41911</v>
      </c>
      <c r="I466">
        <f>IF(AND(MyRowHidden(ROW())=FALSE,MyRowHidden(ROW()-1)=TRUE),0,(E466-E465)*unitsOfDHp+I465)</f>
        <v>65180</v>
      </c>
      <c r="J466">
        <f>IF(AND(MyRowHidden(ROW())=FALSE,MyRowHidden(ROW()-1)=TRUE),0,(G466-G465)*unitsOfExo+J465)</f>
        <v>-146315</v>
      </c>
      <c r="K466" s="9">
        <f t="shared" si="37"/>
        <v>146315</v>
      </c>
      <c r="L466">
        <f t="shared" si="38"/>
        <v>-157084.65701397078</v>
      </c>
      <c r="M466">
        <f>IF(AND(MyRowHidden(ROW())=FALSE,MyRowHidden(ROW()-1)=TRUE),0,(G466-G465)*unitsFuturesCompare+M465)</f>
        <v>-292630</v>
      </c>
      <c r="N466">
        <f>IF(MyRowHidden(ROW())=TRUE,0,L466-M466)</f>
        <v>135545.34298602922</v>
      </c>
      <c r="O466">
        <f>MAX(N$12:N466)</f>
        <v>151899.31402794152</v>
      </c>
      <c r="P466">
        <f>IF(O466&gt;O465,(O466-O465)*percentSavingsParticipation,0)</f>
        <v>0</v>
      </c>
      <c r="Q466">
        <f t="shared" si="39"/>
        <v>75949.657013970762</v>
      </c>
      <c r="R466">
        <f t="shared" si="40"/>
        <v>-81135</v>
      </c>
    </row>
    <row r="467" spans="1:18" x14ac:dyDescent="0.25">
      <c r="A467" s="1"/>
      <c r="C467" s="1"/>
      <c r="D467" s="1">
        <v>41912</v>
      </c>
      <c r="E467" s="10">
        <v>35205.5</v>
      </c>
      <c r="F467" s="1">
        <v>41912</v>
      </c>
      <c r="G467">
        <v>-10180.5</v>
      </c>
      <c r="H467" s="1">
        <f t="shared" si="36"/>
        <v>41912</v>
      </c>
      <c r="I467">
        <f>IF(AND(MyRowHidden(ROW())=FALSE,MyRowHidden(ROW()-1)=TRUE),0,(E467-E466)*unitsOfDHp+I466)</f>
        <v>61805</v>
      </c>
      <c r="J467">
        <f>IF(AND(MyRowHidden(ROW())=FALSE,MyRowHidden(ROW()-1)=TRUE),0,(G467-G466)*unitsOfExo+J466)</f>
        <v>-148190</v>
      </c>
      <c r="K467" s="9">
        <f t="shared" si="37"/>
        <v>148190</v>
      </c>
      <c r="L467">
        <f t="shared" si="38"/>
        <v>-162334.65701397078</v>
      </c>
      <c r="M467">
        <f>IF(AND(MyRowHidden(ROW())=FALSE,MyRowHidden(ROW()-1)=TRUE),0,(G467-G466)*unitsFuturesCompare+M466)</f>
        <v>-296380</v>
      </c>
      <c r="N467">
        <f>IF(MyRowHidden(ROW())=TRUE,0,L467-M467)</f>
        <v>134045.34298602922</v>
      </c>
      <c r="O467">
        <f>MAX(N$12:N467)</f>
        <v>151899.31402794152</v>
      </c>
      <c r="P467">
        <f>IF(O467&gt;O466,(O467-O466)*percentSavingsParticipation,0)</f>
        <v>0</v>
      </c>
      <c r="Q467">
        <f t="shared" si="39"/>
        <v>75949.657013970762</v>
      </c>
      <c r="R467">
        <f t="shared" si="40"/>
        <v>-86385</v>
      </c>
    </row>
    <row r="468" spans="1:18" x14ac:dyDescent="0.25">
      <c r="A468" s="1"/>
      <c r="C468" s="1"/>
      <c r="D468" s="1">
        <v>41913</v>
      </c>
      <c r="E468" s="10">
        <v>35105.5</v>
      </c>
      <c r="F468" s="1">
        <v>41913</v>
      </c>
      <c r="G468">
        <v>-10205.5</v>
      </c>
      <c r="H468" s="1">
        <f t="shared" si="36"/>
        <v>41913</v>
      </c>
      <c r="I468">
        <f>IF(AND(MyRowHidden(ROW())=FALSE,MyRowHidden(ROW()-1)=TRUE),0,(E468-E467)*unitsOfDHp+I467)</f>
        <v>60805</v>
      </c>
      <c r="J468">
        <f>IF(AND(MyRowHidden(ROW())=FALSE,MyRowHidden(ROW()-1)=TRUE),0,(G468-G467)*unitsOfExo+J467)</f>
        <v>-148440</v>
      </c>
      <c r="K468" s="9">
        <f t="shared" si="37"/>
        <v>148440</v>
      </c>
      <c r="L468">
        <f t="shared" si="38"/>
        <v>-163584.65701397078</v>
      </c>
      <c r="M468">
        <f>IF(AND(MyRowHidden(ROW())=FALSE,MyRowHidden(ROW()-1)=TRUE),0,(G468-G467)*unitsFuturesCompare+M467)</f>
        <v>-296880</v>
      </c>
      <c r="N468">
        <f>IF(MyRowHidden(ROW())=TRUE,0,L468-M468)</f>
        <v>133295.34298602922</v>
      </c>
      <c r="O468">
        <f>MAX(N$12:N468)</f>
        <v>151899.31402794152</v>
      </c>
      <c r="P468">
        <f>IF(O468&gt;O467,(O468-O467)*percentSavingsParticipation,0)</f>
        <v>0</v>
      </c>
      <c r="Q468">
        <f t="shared" si="39"/>
        <v>75949.657013970762</v>
      </c>
      <c r="R468">
        <f t="shared" si="40"/>
        <v>-87635</v>
      </c>
    </row>
    <row r="469" spans="1:18" x14ac:dyDescent="0.25">
      <c r="A469" s="1"/>
      <c r="C469" s="1"/>
      <c r="D469" s="1">
        <v>41914</v>
      </c>
      <c r="E469" s="10">
        <v>35130.5</v>
      </c>
      <c r="F469" s="1">
        <v>41914</v>
      </c>
      <c r="G469">
        <v>-10193</v>
      </c>
      <c r="H469" s="1">
        <f t="shared" si="36"/>
        <v>41914</v>
      </c>
      <c r="I469">
        <f>IF(AND(MyRowHidden(ROW())=FALSE,MyRowHidden(ROW()-1)=TRUE),0,(E469-E468)*unitsOfDHp+I468)</f>
        <v>61055</v>
      </c>
      <c r="J469">
        <f>IF(AND(MyRowHidden(ROW())=FALSE,MyRowHidden(ROW()-1)=TRUE),0,(G469-G468)*unitsOfExo+J468)</f>
        <v>-148315</v>
      </c>
      <c r="K469" s="9">
        <f t="shared" si="37"/>
        <v>148315</v>
      </c>
      <c r="L469">
        <f t="shared" si="38"/>
        <v>-163209.65701397078</v>
      </c>
      <c r="M469">
        <f>IF(AND(MyRowHidden(ROW())=FALSE,MyRowHidden(ROW()-1)=TRUE),0,(G469-G468)*unitsFuturesCompare+M468)</f>
        <v>-296630</v>
      </c>
      <c r="N469">
        <f>IF(MyRowHidden(ROW())=TRUE,0,L469-M469)</f>
        <v>133420.34298602922</v>
      </c>
      <c r="O469">
        <f>MAX(N$12:N469)</f>
        <v>151899.31402794152</v>
      </c>
      <c r="P469">
        <f>IF(O469&gt;O468,(O469-O468)*percentSavingsParticipation,0)</f>
        <v>0</v>
      </c>
      <c r="Q469">
        <f t="shared" si="39"/>
        <v>75949.657013970762</v>
      </c>
      <c r="R469">
        <f t="shared" si="40"/>
        <v>-87260</v>
      </c>
    </row>
    <row r="470" spans="1:18" x14ac:dyDescent="0.25">
      <c r="A470" s="1"/>
      <c r="C470" s="1"/>
      <c r="D470" s="1">
        <v>41915</v>
      </c>
      <c r="E470" s="10">
        <v>35318</v>
      </c>
      <c r="F470" s="1">
        <v>41915</v>
      </c>
      <c r="G470">
        <v>-10118</v>
      </c>
      <c r="H470" s="1">
        <f t="shared" si="36"/>
        <v>41915</v>
      </c>
      <c r="I470">
        <f>IF(AND(MyRowHidden(ROW())=FALSE,MyRowHidden(ROW()-1)=TRUE),0,(E470-E469)*unitsOfDHp+I469)</f>
        <v>62930</v>
      </c>
      <c r="J470">
        <f>IF(AND(MyRowHidden(ROW())=FALSE,MyRowHidden(ROW()-1)=TRUE),0,(G470-G469)*unitsOfExo+J469)</f>
        <v>-147565</v>
      </c>
      <c r="K470" s="9">
        <f t="shared" si="37"/>
        <v>147565</v>
      </c>
      <c r="L470">
        <f t="shared" si="38"/>
        <v>-160584.65701397078</v>
      </c>
      <c r="M470">
        <f>IF(AND(MyRowHidden(ROW())=FALSE,MyRowHidden(ROW()-1)=TRUE),0,(G470-G469)*unitsFuturesCompare+M469)</f>
        <v>-295130</v>
      </c>
      <c r="N470">
        <f>IF(MyRowHidden(ROW())=TRUE,0,L470-M470)</f>
        <v>134545.34298602922</v>
      </c>
      <c r="O470">
        <f>MAX(N$12:N470)</f>
        <v>151899.31402794152</v>
      </c>
      <c r="P470">
        <f>IF(O470&gt;O469,(O470-O469)*percentSavingsParticipation,0)</f>
        <v>0</v>
      </c>
      <c r="Q470">
        <f t="shared" si="39"/>
        <v>75949.657013970762</v>
      </c>
      <c r="R470">
        <f t="shared" si="40"/>
        <v>-84635</v>
      </c>
    </row>
    <row r="471" spans="1:18" x14ac:dyDescent="0.25">
      <c r="A471" s="1"/>
      <c r="C471" s="1"/>
      <c r="D471" s="1">
        <v>41918</v>
      </c>
      <c r="E471" s="10">
        <v>36268</v>
      </c>
      <c r="F471" s="1">
        <v>41918</v>
      </c>
      <c r="G471">
        <v>-9668</v>
      </c>
      <c r="H471" s="1">
        <f t="shared" si="36"/>
        <v>41918</v>
      </c>
      <c r="I471">
        <f>IF(AND(MyRowHidden(ROW())=FALSE,MyRowHidden(ROW()-1)=TRUE),0,(E471-E470)*unitsOfDHp+I470)</f>
        <v>72430</v>
      </c>
      <c r="J471">
        <f>IF(AND(MyRowHidden(ROW())=FALSE,MyRowHidden(ROW()-1)=TRUE),0,(G471-G470)*unitsOfExo+J470)</f>
        <v>-143065</v>
      </c>
      <c r="K471" s="9">
        <f t="shared" si="37"/>
        <v>143065</v>
      </c>
      <c r="L471">
        <f t="shared" si="38"/>
        <v>-146584.65701397078</v>
      </c>
      <c r="M471">
        <f>IF(AND(MyRowHidden(ROW())=FALSE,MyRowHidden(ROW()-1)=TRUE),0,(G471-G470)*unitsFuturesCompare+M470)</f>
        <v>-286130</v>
      </c>
      <c r="N471">
        <f>IF(MyRowHidden(ROW())=TRUE,0,L471-M471)</f>
        <v>139545.34298602922</v>
      </c>
      <c r="O471">
        <f>MAX(N$12:N471)</f>
        <v>151899.31402794152</v>
      </c>
      <c r="P471">
        <f>IF(O471&gt;O470,(O471-O470)*percentSavingsParticipation,0)</f>
        <v>0</v>
      </c>
      <c r="Q471">
        <f t="shared" si="39"/>
        <v>75949.657013970762</v>
      </c>
      <c r="R471">
        <f t="shared" si="40"/>
        <v>-70635</v>
      </c>
    </row>
    <row r="472" spans="1:18" x14ac:dyDescent="0.25">
      <c r="A472" s="1"/>
      <c r="C472" s="1"/>
      <c r="D472" s="1">
        <v>41919</v>
      </c>
      <c r="E472" s="10">
        <v>36980.5</v>
      </c>
      <c r="F472" s="1">
        <v>41919</v>
      </c>
      <c r="G472">
        <v>-9293</v>
      </c>
      <c r="H472" s="1">
        <f t="shared" si="36"/>
        <v>41919</v>
      </c>
      <c r="I472">
        <f>IF(AND(MyRowHidden(ROW())=FALSE,MyRowHidden(ROW()-1)=TRUE),0,(E472-E471)*unitsOfDHp+I471)</f>
        <v>79555</v>
      </c>
      <c r="J472">
        <f>IF(AND(MyRowHidden(ROW())=FALSE,MyRowHidden(ROW()-1)=TRUE),0,(G472-G471)*unitsOfExo+J471)</f>
        <v>-139315</v>
      </c>
      <c r="K472" s="9">
        <f t="shared" si="37"/>
        <v>139315</v>
      </c>
      <c r="L472">
        <f t="shared" si="38"/>
        <v>-135709.65701397078</v>
      </c>
      <c r="M472">
        <f>IF(AND(MyRowHidden(ROW())=FALSE,MyRowHidden(ROW()-1)=TRUE),0,(G472-G471)*unitsFuturesCompare+M471)</f>
        <v>-278630</v>
      </c>
      <c r="N472">
        <f>IF(MyRowHidden(ROW())=TRUE,0,L472-M472)</f>
        <v>142920.34298602922</v>
      </c>
      <c r="O472">
        <f>MAX(N$12:N472)</f>
        <v>151899.31402794152</v>
      </c>
      <c r="P472">
        <f>IF(O472&gt;O471,(O472-O471)*percentSavingsParticipation,0)</f>
        <v>0</v>
      </c>
      <c r="Q472">
        <f t="shared" si="39"/>
        <v>75949.657013970762</v>
      </c>
      <c r="R472">
        <f t="shared" si="40"/>
        <v>-59760</v>
      </c>
    </row>
    <row r="473" spans="1:18" x14ac:dyDescent="0.25">
      <c r="A473" s="1"/>
      <c r="C473" s="1"/>
      <c r="D473" s="1">
        <v>41920</v>
      </c>
      <c r="E473" s="10">
        <v>37143</v>
      </c>
      <c r="F473" s="1">
        <v>41920</v>
      </c>
      <c r="G473">
        <v>-9155.5</v>
      </c>
      <c r="H473" s="1">
        <f t="shared" si="36"/>
        <v>41920</v>
      </c>
      <c r="I473">
        <f>IF(AND(MyRowHidden(ROW())=FALSE,MyRowHidden(ROW()-1)=TRUE),0,(E473-E472)*unitsOfDHp+I472)</f>
        <v>81180</v>
      </c>
      <c r="J473">
        <f>IF(AND(MyRowHidden(ROW())=FALSE,MyRowHidden(ROW()-1)=TRUE),0,(G473-G472)*unitsOfExo+J472)</f>
        <v>-137940</v>
      </c>
      <c r="K473" s="9">
        <f t="shared" si="37"/>
        <v>137940</v>
      </c>
      <c r="L473">
        <f t="shared" si="38"/>
        <v>-132709.65701397078</v>
      </c>
      <c r="M473">
        <f>IF(AND(MyRowHidden(ROW())=FALSE,MyRowHidden(ROW()-1)=TRUE),0,(G473-G472)*unitsFuturesCompare+M472)</f>
        <v>-275880</v>
      </c>
      <c r="N473">
        <f>IF(MyRowHidden(ROW())=TRUE,0,L473-M473)</f>
        <v>143170.34298602922</v>
      </c>
      <c r="O473">
        <f>MAX(N$12:N473)</f>
        <v>151899.31402794152</v>
      </c>
      <c r="P473">
        <f>IF(O473&gt;O472,(O473-O472)*percentSavingsParticipation,0)</f>
        <v>0</v>
      </c>
      <c r="Q473">
        <f t="shared" si="39"/>
        <v>75949.657013970762</v>
      </c>
      <c r="R473">
        <f t="shared" si="40"/>
        <v>-56760</v>
      </c>
    </row>
    <row r="474" spans="1:18" x14ac:dyDescent="0.25">
      <c r="A474" s="1"/>
      <c r="C474" s="1"/>
      <c r="D474" s="1">
        <v>41921</v>
      </c>
      <c r="E474" s="10">
        <v>37421</v>
      </c>
      <c r="F474" s="1">
        <v>41921</v>
      </c>
      <c r="G474">
        <v>-8993</v>
      </c>
      <c r="H474" s="1">
        <f t="shared" si="36"/>
        <v>41921</v>
      </c>
      <c r="I474">
        <f>IF(AND(MyRowHidden(ROW())=FALSE,MyRowHidden(ROW()-1)=TRUE),0,(E474-E473)*unitsOfDHp+I473)</f>
        <v>83960</v>
      </c>
      <c r="J474">
        <f>IF(AND(MyRowHidden(ROW())=FALSE,MyRowHidden(ROW()-1)=TRUE),0,(G474-G473)*unitsOfExo+J473)</f>
        <v>-136315</v>
      </c>
      <c r="K474" s="9">
        <f t="shared" si="37"/>
        <v>136315</v>
      </c>
      <c r="L474">
        <f t="shared" si="38"/>
        <v>-128304.65701397078</v>
      </c>
      <c r="M474">
        <f>IF(AND(MyRowHidden(ROW())=FALSE,MyRowHidden(ROW()-1)=TRUE),0,(G474-G473)*unitsFuturesCompare+M473)</f>
        <v>-272630</v>
      </c>
      <c r="N474">
        <f>IF(MyRowHidden(ROW())=TRUE,0,L474-M474)</f>
        <v>144325.34298602922</v>
      </c>
      <c r="O474">
        <f>MAX(N$12:N474)</f>
        <v>151899.31402794152</v>
      </c>
      <c r="P474">
        <f>IF(O474&gt;O473,(O474-O473)*percentSavingsParticipation,0)</f>
        <v>0</v>
      </c>
      <c r="Q474">
        <f t="shared" si="39"/>
        <v>75949.657013970762</v>
      </c>
      <c r="R474">
        <f t="shared" si="40"/>
        <v>-52355</v>
      </c>
    </row>
    <row r="475" spans="1:18" x14ac:dyDescent="0.25">
      <c r="A475" s="1"/>
      <c r="C475" s="1"/>
      <c r="D475" s="1">
        <v>41922</v>
      </c>
      <c r="E475" s="10">
        <v>35399</v>
      </c>
      <c r="F475" s="1">
        <v>41922</v>
      </c>
      <c r="G475">
        <v>-9630.5</v>
      </c>
      <c r="H475" s="1">
        <f t="shared" si="36"/>
        <v>41922</v>
      </c>
      <c r="I475">
        <f>IF(AND(MyRowHidden(ROW())=FALSE,MyRowHidden(ROW()-1)=TRUE),0,(E475-E474)*unitsOfDHp+I474)</f>
        <v>63740</v>
      </c>
      <c r="J475">
        <f>IF(AND(MyRowHidden(ROW())=FALSE,MyRowHidden(ROW()-1)=TRUE),0,(G475-G474)*unitsOfExo+J474)</f>
        <v>-142690</v>
      </c>
      <c r="K475" s="9">
        <f t="shared" si="37"/>
        <v>142690</v>
      </c>
      <c r="L475">
        <f t="shared" si="38"/>
        <v>-154899.65701397078</v>
      </c>
      <c r="M475">
        <f>IF(AND(MyRowHidden(ROW())=FALSE,MyRowHidden(ROW()-1)=TRUE),0,(G475-G474)*unitsFuturesCompare+M474)</f>
        <v>-285380</v>
      </c>
      <c r="N475">
        <f>IF(MyRowHidden(ROW())=TRUE,0,L475-M475)</f>
        <v>130480.34298602922</v>
      </c>
      <c r="O475">
        <f>MAX(N$12:N475)</f>
        <v>151899.31402794152</v>
      </c>
      <c r="P475">
        <f>IF(O475&gt;O474,(O475-O474)*percentSavingsParticipation,0)</f>
        <v>0</v>
      </c>
      <c r="Q475">
        <f t="shared" si="39"/>
        <v>75949.657013970762</v>
      </c>
      <c r="R475">
        <f t="shared" si="40"/>
        <v>-78950</v>
      </c>
    </row>
    <row r="476" spans="1:18" x14ac:dyDescent="0.25">
      <c r="A476" s="1"/>
      <c r="C476" s="1"/>
      <c r="D476" s="1">
        <v>41925</v>
      </c>
      <c r="E476" s="10">
        <v>38561.5</v>
      </c>
      <c r="F476" s="1">
        <v>41925</v>
      </c>
      <c r="G476">
        <v>-9018</v>
      </c>
      <c r="H476" s="1">
        <f t="shared" si="36"/>
        <v>41925</v>
      </c>
      <c r="I476">
        <f>IF(AND(MyRowHidden(ROW())=FALSE,MyRowHidden(ROW()-1)=TRUE),0,(E476-E475)*unitsOfDHp+I475)</f>
        <v>95365</v>
      </c>
      <c r="J476">
        <f>IF(AND(MyRowHidden(ROW())=FALSE,MyRowHidden(ROW()-1)=TRUE),0,(G476-G475)*unitsOfExo+J475)</f>
        <v>-136565</v>
      </c>
      <c r="K476" s="9">
        <f t="shared" si="37"/>
        <v>136565</v>
      </c>
      <c r="L476">
        <f t="shared" si="38"/>
        <v>-117149.65701397078</v>
      </c>
      <c r="M476">
        <f>IF(AND(MyRowHidden(ROW())=FALSE,MyRowHidden(ROW()-1)=TRUE),0,(G476-G475)*unitsFuturesCompare+M475)</f>
        <v>-273130</v>
      </c>
      <c r="N476">
        <f>IF(MyRowHidden(ROW())=TRUE,0,L476-M476)</f>
        <v>155980.34298602922</v>
      </c>
      <c r="O476">
        <f>MAX(N$12:N476)</f>
        <v>155980.34298602922</v>
      </c>
      <c r="P476">
        <f>IF(O476&gt;O475,(O476-O475)*percentSavingsParticipation,0)</f>
        <v>2040.5144790438499</v>
      </c>
      <c r="Q476">
        <f t="shared" si="39"/>
        <v>77990.171493014612</v>
      </c>
      <c r="R476">
        <f t="shared" si="40"/>
        <v>-41200</v>
      </c>
    </row>
    <row r="477" spans="1:18" x14ac:dyDescent="0.25">
      <c r="A477" s="1"/>
      <c r="C477" s="1"/>
      <c r="D477" s="1">
        <v>41926</v>
      </c>
      <c r="E477" s="10">
        <v>40475</v>
      </c>
      <c r="F477" s="1">
        <v>41926</v>
      </c>
      <c r="G477">
        <v>-8530.5</v>
      </c>
      <c r="H477" s="1">
        <f t="shared" si="36"/>
        <v>41926</v>
      </c>
      <c r="I477">
        <f>IF(AND(MyRowHidden(ROW())=FALSE,MyRowHidden(ROW()-1)=TRUE),0,(E477-E476)*unitsOfDHp+I476)</f>
        <v>114500</v>
      </c>
      <c r="J477">
        <f>IF(AND(MyRowHidden(ROW())=FALSE,MyRowHidden(ROW()-1)=TRUE),0,(G477-G476)*unitsOfExo+J476)</f>
        <v>-131690</v>
      </c>
      <c r="K477" s="9">
        <f t="shared" si="37"/>
        <v>131690</v>
      </c>
      <c r="L477">
        <f t="shared" si="38"/>
        <v>-95180.171493014626</v>
      </c>
      <c r="M477">
        <f>IF(AND(MyRowHidden(ROW())=FALSE,MyRowHidden(ROW()-1)=TRUE),0,(G477-G476)*unitsFuturesCompare+M476)</f>
        <v>-263380</v>
      </c>
      <c r="N477">
        <f>IF(MyRowHidden(ROW())=TRUE,0,L477-M477)</f>
        <v>168199.82850698539</v>
      </c>
      <c r="O477">
        <f>MAX(N$12:N477)</f>
        <v>168199.82850698539</v>
      </c>
      <c r="P477">
        <f>IF(O477&gt;O476,(O477-O476)*percentSavingsParticipation,0)</f>
        <v>6109.7427604780823</v>
      </c>
      <c r="Q477">
        <f t="shared" si="39"/>
        <v>84099.914253492694</v>
      </c>
      <c r="R477">
        <f t="shared" si="40"/>
        <v>-17190</v>
      </c>
    </row>
    <row r="478" spans="1:18" x14ac:dyDescent="0.25">
      <c r="A478" s="1"/>
      <c r="C478" s="1"/>
      <c r="D478" s="1">
        <v>41927</v>
      </c>
      <c r="E478" s="10">
        <v>39340.5</v>
      </c>
      <c r="F478" s="1">
        <v>41927</v>
      </c>
      <c r="G478">
        <v>-8843</v>
      </c>
      <c r="H478" s="1">
        <f t="shared" si="36"/>
        <v>41927</v>
      </c>
      <c r="I478">
        <f>IF(AND(MyRowHidden(ROW())=FALSE,MyRowHidden(ROW()-1)=TRUE),0,(E478-E477)*unitsOfDHp+I477)</f>
        <v>103155</v>
      </c>
      <c r="J478">
        <f>IF(AND(MyRowHidden(ROW())=FALSE,MyRowHidden(ROW()-1)=TRUE),0,(G478-G477)*unitsOfExo+J477)</f>
        <v>-134815</v>
      </c>
      <c r="K478" s="9">
        <f t="shared" si="37"/>
        <v>134815</v>
      </c>
      <c r="L478">
        <f t="shared" si="38"/>
        <v>-115759.91425349271</v>
      </c>
      <c r="M478">
        <f>IF(AND(MyRowHidden(ROW())=FALSE,MyRowHidden(ROW()-1)=TRUE),0,(G478-G477)*unitsFuturesCompare+M477)</f>
        <v>-269630</v>
      </c>
      <c r="N478">
        <f>IF(MyRowHidden(ROW())=TRUE,0,L478-M478)</f>
        <v>153870.08574650728</v>
      </c>
      <c r="O478">
        <f>MAX(N$12:N478)</f>
        <v>168199.82850698539</v>
      </c>
      <c r="P478">
        <f>IF(O478&gt;O477,(O478-O477)*percentSavingsParticipation,0)</f>
        <v>0</v>
      </c>
      <c r="Q478">
        <f t="shared" si="39"/>
        <v>84099.914253492694</v>
      </c>
      <c r="R478">
        <f t="shared" si="40"/>
        <v>-31660</v>
      </c>
    </row>
    <row r="479" spans="1:18" x14ac:dyDescent="0.25">
      <c r="A479" s="1"/>
      <c r="C479" s="1"/>
      <c r="D479" s="1">
        <v>41928</v>
      </c>
      <c r="E479" s="10">
        <v>39268</v>
      </c>
      <c r="F479" s="1">
        <v>41928</v>
      </c>
      <c r="G479">
        <v>-8705.5</v>
      </c>
      <c r="H479" s="1">
        <f t="shared" si="36"/>
        <v>41928</v>
      </c>
      <c r="I479">
        <f>IF(AND(MyRowHidden(ROW())=FALSE,MyRowHidden(ROW()-1)=TRUE),0,(E479-E478)*unitsOfDHp+I478)</f>
        <v>102430</v>
      </c>
      <c r="J479">
        <f>IF(AND(MyRowHidden(ROW())=FALSE,MyRowHidden(ROW()-1)=TRUE),0,(G479-G478)*unitsOfExo+J478)</f>
        <v>-133440</v>
      </c>
      <c r="K479" s="9">
        <f t="shared" si="37"/>
        <v>133440</v>
      </c>
      <c r="L479">
        <f t="shared" si="38"/>
        <v>-115109.91425349271</v>
      </c>
      <c r="M479">
        <f>IF(AND(MyRowHidden(ROW())=FALSE,MyRowHidden(ROW()-1)=TRUE),0,(G479-G478)*unitsFuturesCompare+M478)</f>
        <v>-266880</v>
      </c>
      <c r="N479">
        <f>IF(MyRowHidden(ROW())=TRUE,0,L479-M479)</f>
        <v>151770.08574650728</v>
      </c>
      <c r="O479">
        <f>MAX(N$12:N479)</f>
        <v>168199.82850698539</v>
      </c>
      <c r="P479">
        <f>IF(O479&gt;O478,(O479-O478)*percentSavingsParticipation,0)</f>
        <v>0</v>
      </c>
      <c r="Q479">
        <f t="shared" si="39"/>
        <v>84099.914253492694</v>
      </c>
      <c r="R479">
        <f t="shared" si="40"/>
        <v>-31010</v>
      </c>
    </row>
    <row r="480" spans="1:18" x14ac:dyDescent="0.25">
      <c r="A480" s="1"/>
      <c r="C480" s="1"/>
      <c r="D480" s="1">
        <v>41929</v>
      </c>
      <c r="E480" s="10">
        <v>38994.5</v>
      </c>
      <c r="F480" s="1">
        <v>41929</v>
      </c>
      <c r="G480">
        <v>-8880.5</v>
      </c>
      <c r="H480" s="1">
        <f t="shared" si="36"/>
        <v>41929</v>
      </c>
      <c r="I480">
        <f>IF(AND(MyRowHidden(ROW())=FALSE,MyRowHidden(ROW()-1)=TRUE),0,(E480-E479)*unitsOfDHp+I479)</f>
        <v>99695</v>
      </c>
      <c r="J480">
        <f>IF(AND(MyRowHidden(ROW())=FALSE,MyRowHidden(ROW()-1)=TRUE),0,(G480-G479)*unitsOfExo+J479)</f>
        <v>-135190</v>
      </c>
      <c r="K480" s="9">
        <f t="shared" si="37"/>
        <v>135190</v>
      </c>
      <c r="L480">
        <f t="shared" si="38"/>
        <v>-119594.91425349271</v>
      </c>
      <c r="M480">
        <f>IF(AND(MyRowHidden(ROW())=FALSE,MyRowHidden(ROW()-1)=TRUE),0,(G480-G479)*unitsFuturesCompare+M479)</f>
        <v>-270380</v>
      </c>
      <c r="N480">
        <f>IF(MyRowHidden(ROW())=TRUE,0,L480-M480)</f>
        <v>150785.08574650728</v>
      </c>
      <c r="O480">
        <f>MAX(N$12:N480)</f>
        <v>168199.82850698539</v>
      </c>
      <c r="P480">
        <f>IF(O480&gt;O479,(O480-O479)*percentSavingsParticipation,0)</f>
        <v>0</v>
      </c>
      <c r="Q480">
        <f t="shared" si="39"/>
        <v>84099.914253492694</v>
      </c>
      <c r="R480">
        <f t="shared" si="40"/>
        <v>-35495</v>
      </c>
    </row>
    <row r="481" spans="1:18" x14ac:dyDescent="0.25">
      <c r="A481" s="1"/>
      <c r="C481" s="1"/>
      <c r="D481" s="1">
        <v>41932</v>
      </c>
      <c r="E481" s="10">
        <v>39119.5</v>
      </c>
      <c r="F481" s="1">
        <v>41932</v>
      </c>
      <c r="G481">
        <v>-8905.5</v>
      </c>
      <c r="H481" s="1">
        <f t="shared" si="36"/>
        <v>41932</v>
      </c>
      <c r="I481">
        <f>IF(AND(MyRowHidden(ROW())=FALSE,MyRowHidden(ROW()-1)=TRUE),0,(E481-E480)*unitsOfDHp+I480)</f>
        <v>100945</v>
      </c>
      <c r="J481">
        <f>IF(AND(MyRowHidden(ROW())=FALSE,MyRowHidden(ROW()-1)=TRUE),0,(G481-G480)*unitsOfExo+J480)</f>
        <v>-135440</v>
      </c>
      <c r="K481" s="9">
        <f t="shared" si="37"/>
        <v>135440</v>
      </c>
      <c r="L481">
        <f t="shared" si="38"/>
        <v>-118594.91425349271</v>
      </c>
      <c r="M481">
        <f>IF(AND(MyRowHidden(ROW())=FALSE,MyRowHidden(ROW()-1)=TRUE),0,(G481-G480)*unitsFuturesCompare+M480)</f>
        <v>-270880</v>
      </c>
      <c r="N481">
        <f>IF(MyRowHidden(ROW())=TRUE,0,L481-M481)</f>
        <v>152285.08574650728</v>
      </c>
      <c r="O481">
        <f>MAX(N$12:N481)</f>
        <v>168199.82850698539</v>
      </c>
      <c r="P481">
        <f>IF(O481&gt;O480,(O481-O480)*percentSavingsParticipation,0)</f>
        <v>0</v>
      </c>
      <c r="Q481">
        <f t="shared" si="39"/>
        <v>84099.914253492694</v>
      </c>
      <c r="R481">
        <f t="shared" si="40"/>
        <v>-34495</v>
      </c>
    </row>
    <row r="482" spans="1:18" x14ac:dyDescent="0.25">
      <c r="A482" s="1"/>
      <c r="C482" s="1"/>
      <c r="D482" s="1">
        <v>41933</v>
      </c>
      <c r="E482" s="10">
        <v>39694.5</v>
      </c>
      <c r="F482" s="1">
        <v>41933</v>
      </c>
      <c r="G482">
        <v>-8430.5</v>
      </c>
      <c r="H482" s="1">
        <f t="shared" si="36"/>
        <v>41933</v>
      </c>
      <c r="I482">
        <f>IF(AND(MyRowHidden(ROW())=FALSE,MyRowHidden(ROW()-1)=TRUE),0,(E482-E481)*unitsOfDHp+I481)</f>
        <v>106695</v>
      </c>
      <c r="J482">
        <f>IF(AND(MyRowHidden(ROW())=FALSE,MyRowHidden(ROW()-1)=TRUE),0,(G482-G481)*unitsOfExo+J481)</f>
        <v>-130690</v>
      </c>
      <c r="K482" s="9">
        <f t="shared" si="37"/>
        <v>130690</v>
      </c>
      <c r="L482">
        <f t="shared" si="38"/>
        <v>-108094.91425349271</v>
      </c>
      <c r="M482">
        <f>IF(AND(MyRowHidden(ROW())=FALSE,MyRowHidden(ROW()-1)=TRUE),0,(G482-G481)*unitsFuturesCompare+M481)</f>
        <v>-261380</v>
      </c>
      <c r="N482">
        <f>IF(MyRowHidden(ROW())=TRUE,0,L482-M482)</f>
        <v>153285.08574650728</v>
      </c>
      <c r="O482">
        <f>MAX(N$12:N482)</f>
        <v>168199.82850698539</v>
      </c>
      <c r="P482">
        <f>IF(O482&gt;O481,(O482-O481)*percentSavingsParticipation,0)</f>
        <v>0</v>
      </c>
      <c r="Q482">
        <f t="shared" si="39"/>
        <v>84099.914253492694</v>
      </c>
      <c r="R482">
        <f t="shared" si="40"/>
        <v>-23995</v>
      </c>
    </row>
    <row r="483" spans="1:18" x14ac:dyDescent="0.25">
      <c r="A483" s="1"/>
      <c r="C483" s="1"/>
      <c r="D483" s="1">
        <v>41934</v>
      </c>
      <c r="E483" s="10">
        <v>39458</v>
      </c>
      <c r="F483" s="1">
        <v>41934</v>
      </c>
      <c r="G483">
        <v>-8593</v>
      </c>
      <c r="H483" s="1">
        <f t="shared" si="36"/>
        <v>41934</v>
      </c>
      <c r="I483">
        <f>IF(AND(MyRowHidden(ROW())=FALSE,MyRowHidden(ROW()-1)=TRUE),0,(E483-E482)*unitsOfDHp+I482)</f>
        <v>104330</v>
      </c>
      <c r="J483">
        <f>IF(AND(MyRowHidden(ROW())=FALSE,MyRowHidden(ROW()-1)=TRUE),0,(G483-G482)*unitsOfExo+J482)</f>
        <v>-132315</v>
      </c>
      <c r="K483" s="9">
        <f t="shared" si="37"/>
        <v>132315</v>
      </c>
      <c r="L483">
        <f t="shared" si="38"/>
        <v>-112084.91425349271</v>
      </c>
      <c r="M483">
        <f>IF(AND(MyRowHidden(ROW())=FALSE,MyRowHidden(ROW()-1)=TRUE),0,(G483-G482)*unitsFuturesCompare+M482)</f>
        <v>-264630</v>
      </c>
      <c r="N483">
        <f>IF(MyRowHidden(ROW())=TRUE,0,L483-M483)</f>
        <v>152545.08574650728</v>
      </c>
      <c r="O483">
        <f>MAX(N$12:N483)</f>
        <v>168199.82850698539</v>
      </c>
      <c r="P483">
        <f>IF(O483&gt;O482,(O483-O482)*percentSavingsParticipation,0)</f>
        <v>0</v>
      </c>
      <c r="Q483">
        <f t="shared" si="39"/>
        <v>84099.914253492694</v>
      </c>
      <c r="R483">
        <f t="shared" si="40"/>
        <v>-27985</v>
      </c>
    </row>
    <row r="484" spans="1:18" x14ac:dyDescent="0.25">
      <c r="A484" s="1"/>
      <c r="C484" s="1"/>
      <c r="D484" s="1">
        <v>41935</v>
      </c>
      <c r="E484" s="10">
        <v>39933</v>
      </c>
      <c r="F484" s="1">
        <v>41935</v>
      </c>
      <c r="G484">
        <v>-8305.5</v>
      </c>
      <c r="H484" s="1">
        <f t="shared" si="36"/>
        <v>41935</v>
      </c>
      <c r="I484">
        <f>IF(AND(MyRowHidden(ROW())=FALSE,MyRowHidden(ROW()-1)=TRUE),0,(E484-E483)*unitsOfDHp+I483)</f>
        <v>109080</v>
      </c>
      <c r="J484">
        <f>IF(AND(MyRowHidden(ROW())=FALSE,MyRowHidden(ROW()-1)=TRUE),0,(G484-G483)*unitsOfExo+J483)</f>
        <v>-129440</v>
      </c>
      <c r="K484" s="9">
        <f t="shared" si="37"/>
        <v>129440</v>
      </c>
      <c r="L484">
        <f t="shared" si="38"/>
        <v>-104459.91425349271</v>
      </c>
      <c r="M484">
        <f>IF(AND(MyRowHidden(ROW())=FALSE,MyRowHidden(ROW()-1)=TRUE),0,(G484-G483)*unitsFuturesCompare+M483)</f>
        <v>-258880</v>
      </c>
      <c r="N484">
        <f>IF(MyRowHidden(ROW())=TRUE,0,L484-M484)</f>
        <v>154420.08574650728</v>
      </c>
      <c r="O484">
        <f>MAX(N$12:N484)</f>
        <v>168199.82850698539</v>
      </c>
      <c r="P484">
        <f>IF(O484&gt;O483,(O484-O483)*percentSavingsParticipation,0)</f>
        <v>0</v>
      </c>
      <c r="Q484">
        <f t="shared" si="39"/>
        <v>84099.914253492694</v>
      </c>
      <c r="R484">
        <f t="shared" si="40"/>
        <v>-20360</v>
      </c>
    </row>
    <row r="485" spans="1:18" x14ac:dyDescent="0.25">
      <c r="A485" s="1"/>
      <c r="C485" s="1"/>
      <c r="D485" s="1">
        <v>41936</v>
      </c>
      <c r="E485" s="10">
        <v>39534</v>
      </c>
      <c r="F485" s="1">
        <v>41936</v>
      </c>
      <c r="G485">
        <v>-8605.5</v>
      </c>
      <c r="H485" s="1">
        <f t="shared" si="36"/>
        <v>41936</v>
      </c>
      <c r="I485">
        <f>IF(AND(MyRowHidden(ROW())=FALSE,MyRowHidden(ROW()-1)=TRUE),0,(E485-E484)*unitsOfDHp+I484)</f>
        <v>105090</v>
      </c>
      <c r="J485">
        <f>IF(AND(MyRowHidden(ROW())=FALSE,MyRowHidden(ROW()-1)=TRUE),0,(G485-G484)*unitsOfExo+J484)</f>
        <v>-132440</v>
      </c>
      <c r="K485" s="9">
        <f t="shared" si="37"/>
        <v>132440</v>
      </c>
      <c r="L485">
        <f t="shared" si="38"/>
        <v>-111449.91425349271</v>
      </c>
      <c r="M485">
        <f>IF(AND(MyRowHidden(ROW())=FALSE,MyRowHidden(ROW()-1)=TRUE),0,(G485-G484)*unitsFuturesCompare+M484)</f>
        <v>-264880</v>
      </c>
      <c r="N485">
        <f>IF(MyRowHidden(ROW())=TRUE,0,L485-M485)</f>
        <v>153430.08574650728</v>
      </c>
      <c r="O485">
        <f>MAX(N$12:N485)</f>
        <v>168199.82850698539</v>
      </c>
      <c r="P485">
        <f>IF(O485&gt;O484,(O485-O484)*percentSavingsParticipation,0)</f>
        <v>0</v>
      </c>
      <c r="Q485">
        <f t="shared" si="39"/>
        <v>84099.914253492694</v>
      </c>
      <c r="R485">
        <f t="shared" si="40"/>
        <v>-27350</v>
      </c>
    </row>
    <row r="486" spans="1:18" x14ac:dyDescent="0.25">
      <c r="A486" s="1"/>
      <c r="C486" s="1"/>
      <c r="D486" s="1">
        <v>41939</v>
      </c>
      <c r="E486" s="10">
        <v>40371.5</v>
      </c>
      <c r="F486" s="1">
        <v>41939</v>
      </c>
      <c r="G486">
        <v>-8230.5</v>
      </c>
      <c r="H486" s="1">
        <f t="shared" si="36"/>
        <v>41939</v>
      </c>
      <c r="I486">
        <f>IF(AND(MyRowHidden(ROW())=FALSE,MyRowHidden(ROW()-1)=TRUE),0,(E486-E485)*unitsOfDHp+I485)</f>
        <v>113465</v>
      </c>
      <c r="J486">
        <f>IF(AND(MyRowHidden(ROW())=FALSE,MyRowHidden(ROW()-1)=TRUE),0,(G486-G485)*unitsOfExo+J485)</f>
        <v>-128690</v>
      </c>
      <c r="K486" s="9">
        <f t="shared" si="37"/>
        <v>128690</v>
      </c>
      <c r="L486">
        <f t="shared" si="38"/>
        <v>-99324.914253492709</v>
      </c>
      <c r="M486">
        <f>IF(AND(MyRowHidden(ROW())=FALSE,MyRowHidden(ROW()-1)=TRUE),0,(G486-G485)*unitsFuturesCompare+M485)</f>
        <v>-257380</v>
      </c>
      <c r="N486">
        <f>IF(MyRowHidden(ROW())=TRUE,0,L486-M486)</f>
        <v>158055.08574650728</v>
      </c>
      <c r="O486">
        <f>MAX(N$12:N486)</f>
        <v>168199.82850698539</v>
      </c>
      <c r="P486">
        <f>IF(O486&gt;O485,(O486-O485)*percentSavingsParticipation,0)</f>
        <v>0</v>
      </c>
      <c r="Q486">
        <f t="shared" si="39"/>
        <v>84099.914253492694</v>
      </c>
      <c r="R486">
        <f t="shared" si="40"/>
        <v>-15225</v>
      </c>
    </row>
    <row r="487" spans="1:18" x14ac:dyDescent="0.25">
      <c r="A487" s="1"/>
      <c r="C487" s="1"/>
      <c r="D487" s="1">
        <v>41940</v>
      </c>
      <c r="E487" s="10">
        <v>40621.5</v>
      </c>
      <c r="F487" s="1">
        <v>41940</v>
      </c>
      <c r="G487">
        <v>-8055.5</v>
      </c>
      <c r="H487" s="1">
        <f t="shared" si="36"/>
        <v>41940</v>
      </c>
      <c r="I487">
        <f>IF(AND(MyRowHidden(ROW())=FALSE,MyRowHidden(ROW()-1)=TRUE),0,(E487-E486)*unitsOfDHp+I486)</f>
        <v>115965</v>
      </c>
      <c r="J487">
        <f>IF(AND(MyRowHidden(ROW())=FALSE,MyRowHidden(ROW()-1)=TRUE),0,(G487-G486)*unitsOfExo+J486)</f>
        <v>-126940</v>
      </c>
      <c r="K487" s="9">
        <f t="shared" si="37"/>
        <v>126940</v>
      </c>
      <c r="L487">
        <f t="shared" si="38"/>
        <v>-95074.914253492709</v>
      </c>
      <c r="M487">
        <f>IF(AND(MyRowHidden(ROW())=FALSE,MyRowHidden(ROW()-1)=TRUE),0,(G487-G486)*unitsFuturesCompare+M486)</f>
        <v>-253880</v>
      </c>
      <c r="N487">
        <f>IF(MyRowHidden(ROW())=TRUE,0,L487-M487)</f>
        <v>158805.08574650728</v>
      </c>
      <c r="O487">
        <f>MAX(N$12:N487)</f>
        <v>168199.82850698539</v>
      </c>
      <c r="P487">
        <f>IF(O487&gt;O486,(O487-O486)*percentSavingsParticipation,0)</f>
        <v>0</v>
      </c>
      <c r="Q487">
        <f t="shared" si="39"/>
        <v>84099.914253492694</v>
      </c>
      <c r="R487">
        <f t="shared" si="40"/>
        <v>-10975</v>
      </c>
    </row>
    <row r="488" spans="1:18" x14ac:dyDescent="0.25">
      <c r="A488" s="1"/>
      <c r="C488" s="1"/>
      <c r="D488" s="1">
        <v>41941</v>
      </c>
      <c r="E488" s="10">
        <v>40971.5</v>
      </c>
      <c r="F488" s="1">
        <v>41941</v>
      </c>
      <c r="G488">
        <v>-7630.5</v>
      </c>
      <c r="H488" s="1">
        <f t="shared" si="36"/>
        <v>41941</v>
      </c>
      <c r="I488">
        <f>IF(AND(MyRowHidden(ROW())=FALSE,MyRowHidden(ROW()-1)=TRUE),0,(E488-E487)*unitsOfDHp+I487)</f>
        <v>119465</v>
      </c>
      <c r="J488">
        <f>IF(AND(MyRowHidden(ROW())=FALSE,MyRowHidden(ROW()-1)=TRUE),0,(G488-G487)*unitsOfExo+J487)</f>
        <v>-122690</v>
      </c>
      <c r="K488" s="9">
        <f t="shared" si="37"/>
        <v>122690</v>
      </c>
      <c r="L488">
        <f t="shared" si="38"/>
        <v>-87324.914253492709</v>
      </c>
      <c r="M488">
        <f>IF(AND(MyRowHidden(ROW())=FALSE,MyRowHidden(ROW()-1)=TRUE),0,(G488-G487)*unitsFuturesCompare+M487)</f>
        <v>-245380</v>
      </c>
      <c r="N488">
        <f>IF(MyRowHidden(ROW())=TRUE,0,L488-M488)</f>
        <v>158055.08574650728</v>
      </c>
      <c r="O488">
        <f>MAX(N$12:N488)</f>
        <v>168199.82850698539</v>
      </c>
      <c r="P488">
        <f>IF(O488&gt;O487,(O488-O487)*percentSavingsParticipation,0)</f>
        <v>0</v>
      </c>
      <c r="Q488">
        <f t="shared" si="39"/>
        <v>84099.914253492694</v>
      </c>
      <c r="R488">
        <f t="shared" si="40"/>
        <v>-3225</v>
      </c>
    </row>
    <row r="489" spans="1:18" x14ac:dyDescent="0.25">
      <c r="A489" s="1"/>
      <c r="C489" s="1"/>
      <c r="D489" s="1">
        <v>41942</v>
      </c>
      <c r="E489" s="10">
        <v>41121.5</v>
      </c>
      <c r="F489" s="1">
        <v>41942</v>
      </c>
      <c r="G489">
        <v>-7480.5</v>
      </c>
      <c r="H489" s="1">
        <f t="shared" si="36"/>
        <v>41942</v>
      </c>
      <c r="I489">
        <f>IF(AND(MyRowHidden(ROW())=FALSE,MyRowHidden(ROW()-1)=TRUE),0,(E489-E488)*unitsOfDHp+I488)</f>
        <v>120965</v>
      </c>
      <c r="J489">
        <f>IF(AND(MyRowHidden(ROW())=FALSE,MyRowHidden(ROW()-1)=TRUE),0,(G489-G488)*unitsOfExo+J488)</f>
        <v>-121190</v>
      </c>
      <c r="K489" s="9">
        <f t="shared" si="37"/>
        <v>121190</v>
      </c>
      <c r="L489">
        <f t="shared" si="38"/>
        <v>-84324.914253492709</v>
      </c>
      <c r="M489">
        <f>IF(AND(MyRowHidden(ROW())=FALSE,MyRowHidden(ROW()-1)=TRUE),0,(G489-G488)*unitsFuturesCompare+M488)</f>
        <v>-242380</v>
      </c>
      <c r="N489">
        <f>IF(MyRowHidden(ROW())=TRUE,0,L489-M489)</f>
        <v>158055.08574650728</v>
      </c>
      <c r="O489">
        <f>MAX(N$12:N489)</f>
        <v>168199.82850698539</v>
      </c>
      <c r="P489">
        <f>IF(O489&gt;O488,(O489-O488)*percentSavingsParticipation,0)</f>
        <v>0</v>
      </c>
      <c r="Q489">
        <f t="shared" si="39"/>
        <v>84099.914253492694</v>
      </c>
      <c r="R489">
        <f t="shared" si="40"/>
        <v>-225</v>
      </c>
    </row>
    <row r="490" spans="1:18" x14ac:dyDescent="0.25">
      <c r="A490" s="1"/>
      <c r="C490" s="1"/>
      <c r="D490" s="1">
        <v>41943</v>
      </c>
      <c r="E490" s="10">
        <v>41184</v>
      </c>
      <c r="F490" s="1">
        <v>41943</v>
      </c>
      <c r="G490">
        <v>-7630.5</v>
      </c>
      <c r="H490" s="1">
        <f t="shared" si="36"/>
        <v>41943</v>
      </c>
      <c r="I490">
        <f>IF(AND(MyRowHidden(ROW())=FALSE,MyRowHidden(ROW()-1)=TRUE),0,(E490-E489)*unitsOfDHp+I489)</f>
        <v>121590</v>
      </c>
      <c r="J490">
        <f>IF(AND(MyRowHidden(ROW())=FALSE,MyRowHidden(ROW()-1)=TRUE),0,(G490-G489)*unitsOfExo+J489)</f>
        <v>-122690</v>
      </c>
      <c r="K490" s="9">
        <f t="shared" si="37"/>
        <v>122690</v>
      </c>
      <c r="L490">
        <f t="shared" si="38"/>
        <v>-85199.914253492709</v>
      </c>
      <c r="M490">
        <f>IF(AND(MyRowHidden(ROW())=FALSE,MyRowHidden(ROW()-1)=TRUE),0,(G490-G489)*unitsFuturesCompare+M489)</f>
        <v>-245380</v>
      </c>
      <c r="N490">
        <f>IF(MyRowHidden(ROW())=TRUE,0,L490-M490)</f>
        <v>160180.08574650728</v>
      </c>
      <c r="O490">
        <f>MAX(N$12:N490)</f>
        <v>168199.82850698539</v>
      </c>
      <c r="P490">
        <f>IF(O490&gt;O489,(O490-O489)*percentSavingsParticipation,0)</f>
        <v>0</v>
      </c>
      <c r="Q490">
        <f t="shared" si="39"/>
        <v>84099.914253492694</v>
      </c>
      <c r="R490">
        <f t="shared" si="40"/>
        <v>-1100</v>
      </c>
    </row>
    <row r="491" spans="1:18" x14ac:dyDescent="0.25">
      <c r="A491" s="1"/>
      <c r="C491" s="1"/>
      <c r="D491" s="1">
        <v>41946</v>
      </c>
      <c r="E491" s="10">
        <v>41334</v>
      </c>
      <c r="F491" s="1">
        <v>41946</v>
      </c>
      <c r="G491">
        <v>-7693</v>
      </c>
      <c r="H491" s="1">
        <f t="shared" si="36"/>
        <v>41946</v>
      </c>
      <c r="I491">
        <f>IF(AND(MyRowHidden(ROW())=FALSE,MyRowHidden(ROW()-1)=TRUE),0,(E491-E490)*unitsOfDHp+I490)</f>
        <v>123090</v>
      </c>
      <c r="J491">
        <f>IF(AND(MyRowHidden(ROW())=FALSE,MyRowHidden(ROW()-1)=TRUE),0,(G491-G490)*unitsOfExo+J490)</f>
        <v>-123315</v>
      </c>
      <c r="K491" s="9">
        <f t="shared" si="37"/>
        <v>123315</v>
      </c>
      <c r="L491">
        <f t="shared" si="38"/>
        <v>-84324.914253492709</v>
      </c>
      <c r="M491">
        <f>IF(AND(MyRowHidden(ROW())=FALSE,MyRowHidden(ROW()-1)=TRUE),0,(G491-G490)*unitsFuturesCompare+M490)</f>
        <v>-246630</v>
      </c>
      <c r="N491">
        <f>IF(MyRowHidden(ROW())=TRUE,0,L491-M491)</f>
        <v>162305.08574650728</v>
      </c>
      <c r="O491">
        <f>MAX(N$12:N491)</f>
        <v>168199.82850698539</v>
      </c>
      <c r="P491">
        <f>IF(O491&gt;O490,(O491-O490)*percentSavingsParticipation,0)</f>
        <v>0</v>
      </c>
      <c r="Q491">
        <f t="shared" si="39"/>
        <v>84099.914253492694</v>
      </c>
      <c r="R491">
        <f t="shared" si="40"/>
        <v>-225</v>
      </c>
    </row>
    <row r="492" spans="1:18" x14ac:dyDescent="0.25">
      <c r="A492" s="1"/>
      <c r="C492" s="1"/>
      <c r="D492" s="1">
        <v>41947</v>
      </c>
      <c r="E492" s="10">
        <v>41059</v>
      </c>
      <c r="F492" s="1">
        <v>41947</v>
      </c>
      <c r="G492">
        <v>-7980.5</v>
      </c>
      <c r="H492" s="1">
        <f t="shared" si="36"/>
        <v>41947</v>
      </c>
      <c r="I492">
        <f>IF(AND(MyRowHidden(ROW())=FALSE,MyRowHidden(ROW()-1)=TRUE),0,(E492-E491)*unitsOfDHp+I491)</f>
        <v>120340</v>
      </c>
      <c r="J492">
        <f>IF(AND(MyRowHidden(ROW())=FALSE,MyRowHidden(ROW()-1)=TRUE),0,(G492-G491)*unitsOfExo+J491)</f>
        <v>-126190</v>
      </c>
      <c r="K492" s="9">
        <f t="shared" si="37"/>
        <v>126190</v>
      </c>
      <c r="L492">
        <f t="shared" si="38"/>
        <v>-89949.914253492709</v>
      </c>
      <c r="M492">
        <f>IF(AND(MyRowHidden(ROW())=FALSE,MyRowHidden(ROW()-1)=TRUE),0,(G492-G491)*unitsFuturesCompare+M491)</f>
        <v>-252380</v>
      </c>
      <c r="N492">
        <f>IF(MyRowHidden(ROW())=TRUE,0,L492-M492)</f>
        <v>162430.08574650728</v>
      </c>
      <c r="O492">
        <f>MAX(N$12:N492)</f>
        <v>168199.82850698539</v>
      </c>
      <c r="P492">
        <f>IF(O492&gt;O491,(O492-O491)*percentSavingsParticipation,0)</f>
        <v>0</v>
      </c>
      <c r="Q492">
        <f t="shared" si="39"/>
        <v>84099.914253492694</v>
      </c>
      <c r="R492">
        <f t="shared" si="40"/>
        <v>-5850</v>
      </c>
    </row>
    <row r="493" spans="1:18" x14ac:dyDescent="0.25">
      <c r="A493" s="1"/>
      <c r="C493" s="1"/>
      <c r="D493" s="1">
        <v>41948</v>
      </c>
      <c r="E493" s="10">
        <v>41574.5</v>
      </c>
      <c r="F493" s="1">
        <v>41948</v>
      </c>
      <c r="G493">
        <v>-7805.5</v>
      </c>
      <c r="H493" s="1">
        <f t="shared" si="36"/>
        <v>41948</v>
      </c>
      <c r="I493">
        <f>IF(AND(MyRowHidden(ROW())=FALSE,MyRowHidden(ROW()-1)=TRUE),0,(E493-E492)*unitsOfDHp+I492)</f>
        <v>125495</v>
      </c>
      <c r="J493">
        <f>IF(AND(MyRowHidden(ROW())=FALSE,MyRowHidden(ROW()-1)=TRUE),0,(G493-G492)*unitsOfExo+J492)</f>
        <v>-124440</v>
      </c>
      <c r="K493" s="9">
        <f t="shared" si="37"/>
        <v>124440</v>
      </c>
      <c r="L493">
        <f t="shared" si="38"/>
        <v>-83044.914253492709</v>
      </c>
      <c r="M493">
        <f>IF(AND(MyRowHidden(ROW())=FALSE,MyRowHidden(ROW()-1)=TRUE),0,(G493-G492)*unitsFuturesCompare+M492)</f>
        <v>-248880</v>
      </c>
      <c r="N493">
        <f>IF(MyRowHidden(ROW())=TRUE,0,L493-M493)</f>
        <v>165835.08574650728</v>
      </c>
      <c r="O493">
        <f>MAX(N$12:N493)</f>
        <v>168199.82850698539</v>
      </c>
      <c r="P493">
        <f>IF(O493&gt;O492,(O493-O492)*percentSavingsParticipation,0)</f>
        <v>0</v>
      </c>
      <c r="Q493">
        <f t="shared" si="39"/>
        <v>84099.914253492694</v>
      </c>
      <c r="R493">
        <f t="shared" si="40"/>
        <v>1055</v>
      </c>
    </row>
    <row r="494" spans="1:18" x14ac:dyDescent="0.25">
      <c r="A494" s="1"/>
      <c r="C494" s="1"/>
      <c r="D494" s="1">
        <v>41949</v>
      </c>
      <c r="E494" s="10">
        <v>41587</v>
      </c>
      <c r="F494" s="1">
        <v>41949</v>
      </c>
      <c r="G494">
        <v>-7680.5</v>
      </c>
      <c r="H494" s="1">
        <f t="shared" si="36"/>
        <v>41949</v>
      </c>
      <c r="I494">
        <f>IF(AND(MyRowHidden(ROW())=FALSE,MyRowHidden(ROW()-1)=TRUE),0,(E494-E493)*unitsOfDHp+I493)</f>
        <v>125620</v>
      </c>
      <c r="J494">
        <f>IF(AND(MyRowHidden(ROW())=FALSE,MyRowHidden(ROW()-1)=TRUE),0,(G494-G493)*unitsOfExo+J493)</f>
        <v>-123190</v>
      </c>
      <c r="K494" s="9">
        <f t="shared" si="37"/>
        <v>123190</v>
      </c>
      <c r="L494">
        <f t="shared" si="38"/>
        <v>-81669.914253492709</v>
      </c>
      <c r="M494">
        <f>IF(AND(MyRowHidden(ROW())=FALSE,MyRowHidden(ROW()-1)=TRUE),0,(G494-G493)*unitsFuturesCompare+M493)</f>
        <v>-246380</v>
      </c>
      <c r="N494">
        <f>IF(MyRowHidden(ROW())=TRUE,0,L494-M494)</f>
        <v>164710.08574650728</v>
      </c>
      <c r="O494">
        <f>MAX(N$12:N494)</f>
        <v>168199.82850698539</v>
      </c>
      <c r="P494">
        <f>IF(O494&gt;O493,(O494-O493)*percentSavingsParticipation,0)</f>
        <v>0</v>
      </c>
      <c r="Q494">
        <f t="shared" si="39"/>
        <v>84099.914253492694</v>
      </c>
      <c r="R494">
        <f t="shared" si="40"/>
        <v>2430</v>
      </c>
    </row>
    <row r="495" spans="1:18" x14ac:dyDescent="0.25">
      <c r="A495" s="1"/>
      <c r="C495" s="1"/>
      <c r="D495" s="1">
        <v>41950</v>
      </c>
      <c r="E495" s="10">
        <v>41787</v>
      </c>
      <c r="F495" s="1">
        <v>41950</v>
      </c>
      <c r="G495">
        <v>-7855.5</v>
      </c>
      <c r="H495" s="1">
        <f t="shared" si="36"/>
        <v>41950</v>
      </c>
      <c r="I495">
        <f>IF(AND(MyRowHidden(ROW())=FALSE,MyRowHidden(ROW()-1)=TRUE),0,(E495-E494)*unitsOfDHp+I494)</f>
        <v>127620</v>
      </c>
      <c r="J495">
        <f>IF(AND(MyRowHidden(ROW())=FALSE,MyRowHidden(ROW()-1)=TRUE),0,(G495-G494)*unitsOfExo+J494)</f>
        <v>-124940</v>
      </c>
      <c r="K495" s="9">
        <f t="shared" si="37"/>
        <v>124940</v>
      </c>
      <c r="L495">
        <f t="shared" si="38"/>
        <v>-81419.914253492709</v>
      </c>
      <c r="M495">
        <f>IF(AND(MyRowHidden(ROW())=FALSE,MyRowHidden(ROW()-1)=TRUE),0,(G495-G494)*unitsFuturesCompare+M494)</f>
        <v>-249880</v>
      </c>
      <c r="N495">
        <f>IF(MyRowHidden(ROW())=TRUE,0,L495-M495)</f>
        <v>168460.08574650728</v>
      </c>
      <c r="O495">
        <f>MAX(N$12:N495)</f>
        <v>168460.08574650728</v>
      </c>
      <c r="P495">
        <f>IF(O495&gt;O494,(O495-O494)*percentSavingsParticipation,0)</f>
        <v>130.12861976094428</v>
      </c>
      <c r="Q495">
        <f t="shared" si="39"/>
        <v>84230.042873253638</v>
      </c>
      <c r="R495">
        <f t="shared" si="40"/>
        <v>2680</v>
      </c>
    </row>
    <row r="496" spans="1:18" x14ac:dyDescent="0.25">
      <c r="A496" s="1"/>
      <c r="C496" s="1"/>
      <c r="D496" s="1">
        <v>41953</v>
      </c>
      <c r="E496" s="10">
        <v>41912</v>
      </c>
      <c r="F496" s="1">
        <v>41953</v>
      </c>
      <c r="G496">
        <v>-7730.5</v>
      </c>
      <c r="H496" s="1">
        <f t="shared" si="36"/>
        <v>41953</v>
      </c>
      <c r="I496">
        <f>IF(AND(MyRowHidden(ROW())=FALSE,MyRowHidden(ROW()-1)=TRUE),0,(E496-E495)*unitsOfDHp+I495)</f>
        <v>128870</v>
      </c>
      <c r="J496">
        <f>IF(AND(MyRowHidden(ROW())=FALSE,MyRowHidden(ROW()-1)=TRUE),0,(G496-G495)*unitsOfExo+J495)</f>
        <v>-123690</v>
      </c>
      <c r="K496" s="9">
        <f t="shared" si="37"/>
        <v>123690</v>
      </c>
      <c r="L496">
        <f t="shared" si="38"/>
        <v>-79050.042873253653</v>
      </c>
      <c r="M496">
        <f>IF(AND(MyRowHidden(ROW())=FALSE,MyRowHidden(ROW()-1)=TRUE),0,(G496-G495)*unitsFuturesCompare+M495)</f>
        <v>-247380</v>
      </c>
      <c r="N496">
        <f>IF(MyRowHidden(ROW())=TRUE,0,L496-M496)</f>
        <v>168329.95712674636</v>
      </c>
      <c r="O496">
        <f>MAX(N$12:N496)</f>
        <v>168460.08574650728</v>
      </c>
      <c r="P496">
        <f>IF(O496&gt;O495,(O496-O495)*percentSavingsParticipation,0)</f>
        <v>0</v>
      </c>
      <c r="Q496">
        <f t="shared" si="39"/>
        <v>84230.042873253638</v>
      </c>
      <c r="R496">
        <f t="shared" si="40"/>
        <v>5180</v>
      </c>
    </row>
    <row r="497" spans="1:18" x14ac:dyDescent="0.25">
      <c r="A497" s="1"/>
      <c r="C497" s="1"/>
      <c r="D497" s="1">
        <v>41954</v>
      </c>
      <c r="E497" s="10">
        <v>42174.5</v>
      </c>
      <c r="F497" s="1">
        <v>41954</v>
      </c>
      <c r="G497">
        <v>-7643</v>
      </c>
      <c r="H497" s="1">
        <f t="shared" si="36"/>
        <v>41954</v>
      </c>
      <c r="I497">
        <f>IF(AND(MyRowHidden(ROW())=FALSE,MyRowHidden(ROW()-1)=TRUE),0,(E497-E496)*unitsOfDHp+I496)</f>
        <v>131495</v>
      </c>
      <c r="J497">
        <f>IF(AND(MyRowHidden(ROW())=FALSE,MyRowHidden(ROW()-1)=TRUE),0,(G497-G496)*unitsOfExo+J496)</f>
        <v>-122815</v>
      </c>
      <c r="K497" s="9">
        <f t="shared" si="37"/>
        <v>122815</v>
      </c>
      <c r="L497">
        <f t="shared" si="38"/>
        <v>-75550.042873253653</v>
      </c>
      <c r="M497">
        <f>IF(AND(MyRowHidden(ROW())=FALSE,MyRowHidden(ROW()-1)=TRUE),0,(G497-G496)*unitsFuturesCompare+M496)</f>
        <v>-245630</v>
      </c>
      <c r="N497">
        <f>IF(MyRowHidden(ROW())=TRUE,0,L497-M497)</f>
        <v>170079.95712674636</v>
      </c>
      <c r="O497">
        <f>MAX(N$12:N497)</f>
        <v>170079.95712674636</v>
      </c>
      <c r="P497">
        <f>IF(O497&gt;O496,(O497-O496)*percentSavingsParticipation,0)</f>
        <v>809.93569011954241</v>
      </c>
      <c r="Q497">
        <f t="shared" si="39"/>
        <v>85039.978563373181</v>
      </c>
      <c r="R497">
        <f t="shared" si="40"/>
        <v>8680</v>
      </c>
    </row>
    <row r="498" spans="1:18" x14ac:dyDescent="0.25">
      <c r="A498" s="1"/>
      <c r="C498" s="1"/>
      <c r="D498" s="1">
        <v>41955</v>
      </c>
      <c r="E498" s="10">
        <v>41801</v>
      </c>
      <c r="F498" s="1">
        <v>41955</v>
      </c>
      <c r="G498">
        <v>-7368</v>
      </c>
      <c r="H498" s="1">
        <f t="shared" si="36"/>
        <v>41955</v>
      </c>
      <c r="I498">
        <f>IF(AND(MyRowHidden(ROW())=FALSE,MyRowHidden(ROW()-1)=TRUE),0,(E498-E497)*unitsOfDHp+I497)</f>
        <v>127760</v>
      </c>
      <c r="J498">
        <f>IF(AND(MyRowHidden(ROW())=FALSE,MyRowHidden(ROW()-1)=TRUE),0,(G498-G497)*unitsOfExo+J497)</f>
        <v>-120065</v>
      </c>
      <c r="K498" s="9">
        <f t="shared" si="37"/>
        <v>120065</v>
      </c>
      <c r="L498">
        <f t="shared" si="38"/>
        <v>-77344.978563373195</v>
      </c>
      <c r="M498">
        <f>IF(AND(MyRowHidden(ROW())=FALSE,MyRowHidden(ROW()-1)=TRUE),0,(G498-G497)*unitsFuturesCompare+M497)</f>
        <v>-240130</v>
      </c>
      <c r="N498">
        <f>IF(MyRowHidden(ROW())=TRUE,0,L498-M498)</f>
        <v>162785.02143662679</v>
      </c>
      <c r="O498">
        <f>MAX(N$12:N498)</f>
        <v>170079.95712674636</v>
      </c>
      <c r="P498">
        <f>IF(O498&gt;O497,(O498-O497)*percentSavingsParticipation,0)</f>
        <v>0</v>
      </c>
      <c r="Q498">
        <f t="shared" si="39"/>
        <v>85039.978563373181</v>
      </c>
      <c r="R498">
        <f t="shared" si="40"/>
        <v>7695</v>
      </c>
    </row>
    <row r="499" spans="1:18" x14ac:dyDescent="0.25">
      <c r="A499" s="1"/>
      <c r="C499" s="1"/>
      <c r="D499" s="1">
        <v>41956</v>
      </c>
      <c r="E499" s="10">
        <v>41626</v>
      </c>
      <c r="F499" s="1">
        <v>41956</v>
      </c>
      <c r="G499">
        <v>-7105.5</v>
      </c>
      <c r="H499" s="1">
        <f t="shared" si="36"/>
        <v>41956</v>
      </c>
      <c r="I499">
        <f>IF(AND(MyRowHidden(ROW())=FALSE,MyRowHidden(ROW()-1)=TRUE),0,(E499-E498)*unitsOfDHp+I498)</f>
        <v>126010</v>
      </c>
      <c r="J499">
        <f>IF(AND(MyRowHidden(ROW())=FALSE,MyRowHidden(ROW()-1)=TRUE),0,(G499-G498)*unitsOfExo+J498)</f>
        <v>-117440</v>
      </c>
      <c r="K499" s="9">
        <f t="shared" si="37"/>
        <v>117440</v>
      </c>
      <c r="L499">
        <f t="shared" si="38"/>
        <v>-76469.978563373195</v>
      </c>
      <c r="M499">
        <f>IF(AND(MyRowHidden(ROW())=FALSE,MyRowHidden(ROW()-1)=TRUE),0,(G499-G498)*unitsFuturesCompare+M498)</f>
        <v>-234880</v>
      </c>
      <c r="N499">
        <f>IF(MyRowHidden(ROW())=TRUE,0,L499-M499)</f>
        <v>158410.02143662679</v>
      </c>
      <c r="O499">
        <f>MAX(N$12:N499)</f>
        <v>170079.95712674636</v>
      </c>
      <c r="P499">
        <f>IF(O499&gt;O498,(O499-O498)*percentSavingsParticipation,0)</f>
        <v>0</v>
      </c>
      <c r="Q499">
        <f t="shared" si="39"/>
        <v>85039.978563373181</v>
      </c>
      <c r="R499">
        <f t="shared" si="40"/>
        <v>8570</v>
      </c>
    </row>
    <row r="500" spans="1:18" x14ac:dyDescent="0.25">
      <c r="A500" s="1"/>
      <c r="C500" s="1"/>
      <c r="D500" s="1">
        <v>41957</v>
      </c>
      <c r="E500" s="10">
        <v>41501</v>
      </c>
      <c r="F500" s="1">
        <v>41957</v>
      </c>
      <c r="G500">
        <v>-7105.5</v>
      </c>
      <c r="H500" s="1">
        <f t="shared" si="36"/>
        <v>41957</v>
      </c>
      <c r="I500">
        <f>IF(AND(MyRowHidden(ROW())=FALSE,MyRowHidden(ROW()-1)=TRUE),0,(E500-E499)*unitsOfDHp+I499)</f>
        <v>124760</v>
      </c>
      <c r="J500">
        <f>IF(AND(MyRowHidden(ROW())=FALSE,MyRowHidden(ROW()-1)=TRUE),0,(G500-G499)*unitsOfExo+J499)</f>
        <v>-117440</v>
      </c>
      <c r="K500" s="9">
        <f t="shared" si="37"/>
        <v>117440</v>
      </c>
      <c r="L500">
        <f t="shared" si="38"/>
        <v>-77719.978563373195</v>
      </c>
      <c r="M500">
        <f>IF(AND(MyRowHidden(ROW())=FALSE,MyRowHidden(ROW()-1)=TRUE),0,(G500-G499)*unitsFuturesCompare+M499)</f>
        <v>-234880</v>
      </c>
      <c r="N500">
        <f>IF(MyRowHidden(ROW())=TRUE,0,L500-M500)</f>
        <v>157160.02143662679</v>
      </c>
      <c r="O500">
        <f>MAX(N$12:N500)</f>
        <v>170079.95712674636</v>
      </c>
      <c r="P500">
        <f>IF(O500&gt;O499,(O500-O499)*percentSavingsParticipation,0)</f>
        <v>0</v>
      </c>
      <c r="Q500">
        <f t="shared" si="39"/>
        <v>85039.978563373181</v>
      </c>
      <c r="R500">
        <f t="shared" si="40"/>
        <v>7320</v>
      </c>
    </row>
    <row r="501" spans="1:18" x14ac:dyDescent="0.25">
      <c r="A501" s="1"/>
      <c r="C501" s="1"/>
      <c r="D501" s="1">
        <v>41960</v>
      </c>
      <c r="E501" s="10">
        <v>42201</v>
      </c>
      <c r="F501" s="1">
        <v>41960</v>
      </c>
      <c r="G501">
        <v>-7405.5</v>
      </c>
      <c r="H501" s="1">
        <f t="shared" si="36"/>
        <v>41960</v>
      </c>
      <c r="I501">
        <f>IF(AND(MyRowHidden(ROW())=FALSE,MyRowHidden(ROW()-1)=TRUE),0,(E501-E500)*unitsOfDHp+I500)</f>
        <v>131760</v>
      </c>
      <c r="J501">
        <f>IF(AND(MyRowHidden(ROW())=FALSE,MyRowHidden(ROW()-1)=TRUE),0,(G501-G500)*unitsOfExo+J500)</f>
        <v>-120440</v>
      </c>
      <c r="K501" s="9">
        <f t="shared" si="37"/>
        <v>120440</v>
      </c>
      <c r="L501">
        <f t="shared" si="38"/>
        <v>-73719.978563373195</v>
      </c>
      <c r="M501">
        <f>IF(AND(MyRowHidden(ROW())=FALSE,MyRowHidden(ROW()-1)=TRUE),0,(G501-G500)*unitsFuturesCompare+M500)</f>
        <v>-240880</v>
      </c>
      <c r="N501">
        <f>IF(MyRowHidden(ROW())=TRUE,0,L501-M501)</f>
        <v>167160.02143662679</v>
      </c>
      <c r="O501">
        <f>MAX(N$12:N501)</f>
        <v>170079.95712674636</v>
      </c>
      <c r="P501">
        <f>IF(O501&gt;O500,(O501-O500)*percentSavingsParticipation,0)</f>
        <v>0</v>
      </c>
      <c r="Q501">
        <f t="shared" si="39"/>
        <v>85039.978563373181</v>
      </c>
      <c r="R501">
        <f t="shared" si="40"/>
        <v>11320</v>
      </c>
    </row>
    <row r="502" spans="1:18" x14ac:dyDescent="0.25">
      <c r="A502" s="1"/>
      <c r="C502" s="1"/>
      <c r="D502" s="1">
        <v>41961</v>
      </c>
      <c r="E502" s="10">
        <v>42340</v>
      </c>
      <c r="F502" s="1">
        <v>41961</v>
      </c>
      <c r="G502">
        <v>-7593</v>
      </c>
      <c r="H502" s="1">
        <f t="shared" si="36"/>
        <v>41961</v>
      </c>
      <c r="I502">
        <f>IF(AND(MyRowHidden(ROW())=FALSE,MyRowHidden(ROW()-1)=TRUE),0,(E502-E501)*unitsOfDHp+I501)</f>
        <v>133150</v>
      </c>
      <c r="J502">
        <f>IF(AND(MyRowHidden(ROW())=FALSE,MyRowHidden(ROW()-1)=TRUE),0,(G502-G501)*unitsOfExo+J501)</f>
        <v>-122315</v>
      </c>
      <c r="K502" s="9">
        <f t="shared" si="37"/>
        <v>122315</v>
      </c>
      <c r="L502">
        <f t="shared" si="38"/>
        <v>-74204.978563373195</v>
      </c>
      <c r="M502">
        <f>IF(AND(MyRowHidden(ROW())=FALSE,MyRowHidden(ROW()-1)=TRUE),0,(G502-G501)*unitsFuturesCompare+M501)</f>
        <v>-244630</v>
      </c>
      <c r="N502">
        <f>IF(MyRowHidden(ROW())=TRUE,0,L502-M502)</f>
        <v>170425.02143662679</v>
      </c>
      <c r="O502">
        <f>MAX(N$12:N502)</f>
        <v>170425.02143662679</v>
      </c>
      <c r="P502">
        <f>IF(O502&gt;O501,(O502-O501)*percentSavingsParticipation,0)</f>
        <v>172.53215494021424</v>
      </c>
      <c r="Q502">
        <f t="shared" si="39"/>
        <v>85212.510718313395</v>
      </c>
      <c r="R502">
        <f t="shared" si="40"/>
        <v>10835</v>
      </c>
    </row>
    <row r="503" spans="1:18" x14ac:dyDescent="0.25">
      <c r="A503" s="1"/>
      <c r="C503" s="1"/>
      <c r="D503" s="1">
        <v>41962</v>
      </c>
      <c r="E503" s="10">
        <v>42842.5</v>
      </c>
      <c r="F503" s="1">
        <v>41962</v>
      </c>
      <c r="G503">
        <v>-8080.5</v>
      </c>
      <c r="H503" s="1">
        <f t="shared" si="36"/>
        <v>41962</v>
      </c>
      <c r="I503">
        <f>IF(AND(MyRowHidden(ROW())=FALSE,MyRowHidden(ROW()-1)=TRUE),0,(E503-E502)*unitsOfDHp+I502)</f>
        <v>138175</v>
      </c>
      <c r="J503">
        <f>IF(AND(MyRowHidden(ROW())=FALSE,MyRowHidden(ROW()-1)=TRUE),0,(G503-G502)*unitsOfExo+J502)</f>
        <v>-127190</v>
      </c>
      <c r="K503" s="9">
        <f t="shared" si="37"/>
        <v>127190</v>
      </c>
      <c r="L503">
        <f t="shared" si="38"/>
        <v>-74227.51071831341</v>
      </c>
      <c r="M503">
        <f>IF(AND(MyRowHidden(ROW())=FALSE,MyRowHidden(ROW()-1)=TRUE),0,(G503-G502)*unitsFuturesCompare+M502)</f>
        <v>-254380</v>
      </c>
      <c r="N503">
        <f>IF(MyRowHidden(ROW())=TRUE,0,L503-M503)</f>
        <v>180152.4892816866</v>
      </c>
      <c r="O503">
        <f>MAX(N$12:N503)</f>
        <v>180152.4892816866</v>
      </c>
      <c r="P503">
        <f>IF(O503&gt;O502,(O503-O502)*percentSavingsParticipation,0)</f>
        <v>4863.7339225299074</v>
      </c>
      <c r="Q503">
        <f t="shared" si="39"/>
        <v>90076.244640843302</v>
      </c>
      <c r="R503">
        <f t="shared" si="40"/>
        <v>10985</v>
      </c>
    </row>
    <row r="504" spans="1:18" x14ac:dyDescent="0.25">
      <c r="A504" s="1"/>
      <c r="C504" s="1"/>
      <c r="D504" s="1">
        <v>41963</v>
      </c>
      <c r="E504" s="10">
        <v>42771.5</v>
      </c>
      <c r="F504" s="1">
        <v>41963</v>
      </c>
      <c r="G504">
        <v>-7605.5</v>
      </c>
      <c r="H504" s="1">
        <f t="shared" si="36"/>
        <v>41963</v>
      </c>
      <c r="I504">
        <f>IF(AND(MyRowHidden(ROW())=FALSE,MyRowHidden(ROW()-1)=TRUE),0,(E504-E503)*unitsOfDHp+I503)</f>
        <v>137465</v>
      </c>
      <c r="J504">
        <f>IF(AND(MyRowHidden(ROW())=FALSE,MyRowHidden(ROW()-1)=TRUE),0,(G504-G503)*unitsOfExo+J503)</f>
        <v>-122440</v>
      </c>
      <c r="K504" s="9">
        <f t="shared" si="37"/>
        <v>122440</v>
      </c>
      <c r="L504">
        <f t="shared" si="38"/>
        <v>-75051.244640843317</v>
      </c>
      <c r="M504">
        <f>IF(AND(MyRowHidden(ROW())=FALSE,MyRowHidden(ROW()-1)=TRUE),0,(G504-G503)*unitsFuturesCompare+M503)</f>
        <v>-244880</v>
      </c>
      <c r="N504">
        <f>IF(MyRowHidden(ROW())=TRUE,0,L504-M504)</f>
        <v>169828.7553591567</v>
      </c>
      <c r="O504">
        <f>MAX(N$12:N504)</f>
        <v>180152.4892816866</v>
      </c>
      <c r="P504">
        <f>IF(O504&gt;O503,(O504-O503)*percentSavingsParticipation,0)</f>
        <v>0</v>
      </c>
      <c r="Q504">
        <f t="shared" si="39"/>
        <v>90076.244640843302</v>
      </c>
      <c r="R504">
        <f t="shared" si="40"/>
        <v>15025</v>
      </c>
    </row>
    <row r="505" spans="1:18" x14ac:dyDescent="0.25">
      <c r="A505" s="1"/>
      <c r="C505" s="1"/>
      <c r="D505" s="1">
        <v>41964</v>
      </c>
      <c r="E505" s="10">
        <v>42760</v>
      </c>
      <c r="F505" s="1">
        <v>41964</v>
      </c>
      <c r="G505">
        <v>-7418</v>
      </c>
      <c r="H505" s="1">
        <f t="shared" si="36"/>
        <v>41964</v>
      </c>
      <c r="I505">
        <f>IF(AND(MyRowHidden(ROW())=FALSE,MyRowHidden(ROW()-1)=TRUE),0,(E505-E504)*unitsOfDHp+I504)</f>
        <v>137350</v>
      </c>
      <c r="J505">
        <f>IF(AND(MyRowHidden(ROW())=FALSE,MyRowHidden(ROW()-1)=TRUE),0,(G505-G504)*unitsOfExo+J504)</f>
        <v>-120565</v>
      </c>
      <c r="K505" s="9">
        <f t="shared" si="37"/>
        <v>120565</v>
      </c>
      <c r="L505">
        <f t="shared" si="38"/>
        <v>-73291.244640843317</v>
      </c>
      <c r="M505">
        <f>IF(AND(MyRowHidden(ROW())=FALSE,MyRowHidden(ROW()-1)=TRUE),0,(G505-G504)*unitsFuturesCompare+M504)</f>
        <v>-241130</v>
      </c>
      <c r="N505">
        <f>IF(MyRowHidden(ROW())=TRUE,0,L505-M505)</f>
        <v>167838.7553591567</v>
      </c>
      <c r="O505">
        <f>MAX(N$12:N505)</f>
        <v>180152.4892816866</v>
      </c>
      <c r="P505">
        <f>IF(O505&gt;O504,(O505-O504)*percentSavingsParticipation,0)</f>
        <v>0</v>
      </c>
      <c r="Q505">
        <f t="shared" si="39"/>
        <v>90076.244640843302</v>
      </c>
      <c r="R505">
        <f t="shared" si="40"/>
        <v>16785</v>
      </c>
    </row>
    <row r="506" spans="1:18" x14ac:dyDescent="0.25">
      <c r="A506" s="1"/>
      <c r="C506" s="1"/>
      <c r="D506" s="1">
        <v>41967</v>
      </c>
      <c r="E506" s="10">
        <v>42160</v>
      </c>
      <c r="F506" s="1">
        <v>41967</v>
      </c>
      <c r="G506">
        <v>-7918</v>
      </c>
      <c r="H506" s="1">
        <f t="shared" si="36"/>
        <v>41967</v>
      </c>
      <c r="I506">
        <f>IF(AND(MyRowHidden(ROW())=FALSE,MyRowHidden(ROW()-1)=TRUE),0,(E506-E505)*unitsOfDHp+I505)</f>
        <v>131350</v>
      </c>
      <c r="J506">
        <f>IF(AND(MyRowHidden(ROW())=FALSE,MyRowHidden(ROW()-1)=TRUE),0,(G506-G505)*unitsOfExo+J505)</f>
        <v>-125565</v>
      </c>
      <c r="K506" s="9">
        <f t="shared" si="37"/>
        <v>125565</v>
      </c>
      <c r="L506">
        <f t="shared" si="38"/>
        <v>-84291.244640843317</v>
      </c>
      <c r="M506">
        <f>IF(AND(MyRowHidden(ROW())=FALSE,MyRowHidden(ROW()-1)=TRUE),0,(G506-G505)*unitsFuturesCompare+M505)</f>
        <v>-251130</v>
      </c>
      <c r="N506">
        <f>IF(MyRowHidden(ROW())=TRUE,0,L506-M506)</f>
        <v>166838.7553591567</v>
      </c>
      <c r="O506">
        <f>MAX(N$12:N506)</f>
        <v>180152.4892816866</v>
      </c>
      <c r="P506">
        <f>IF(O506&gt;O505,(O506-O505)*percentSavingsParticipation,0)</f>
        <v>0</v>
      </c>
      <c r="Q506">
        <f t="shared" si="39"/>
        <v>90076.244640843302</v>
      </c>
      <c r="R506">
        <f t="shared" si="40"/>
        <v>5785</v>
      </c>
    </row>
    <row r="507" spans="1:18" x14ac:dyDescent="0.25">
      <c r="A507" s="1"/>
      <c r="C507" s="1"/>
      <c r="D507" s="1">
        <v>41968</v>
      </c>
      <c r="E507" s="10">
        <v>42785</v>
      </c>
      <c r="F507" s="1">
        <v>41968</v>
      </c>
      <c r="G507">
        <v>-7643</v>
      </c>
      <c r="H507" s="1">
        <f t="shared" si="36"/>
        <v>41968</v>
      </c>
      <c r="I507">
        <f>IF(AND(MyRowHidden(ROW())=FALSE,MyRowHidden(ROW()-1)=TRUE),0,(E507-E506)*unitsOfDHp+I506)</f>
        <v>137600</v>
      </c>
      <c r="J507">
        <f>IF(AND(MyRowHidden(ROW())=FALSE,MyRowHidden(ROW()-1)=TRUE),0,(G507-G506)*unitsOfExo+J506)</f>
        <v>-122815</v>
      </c>
      <c r="K507" s="9">
        <f t="shared" si="37"/>
        <v>122815</v>
      </c>
      <c r="L507">
        <f t="shared" si="38"/>
        <v>-75291.244640843317</v>
      </c>
      <c r="M507">
        <f>IF(AND(MyRowHidden(ROW())=FALSE,MyRowHidden(ROW()-1)=TRUE),0,(G507-G506)*unitsFuturesCompare+M506)</f>
        <v>-245630</v>
      </c>
      <c r="N507">
        <f>IF(MyRowHidden(ROW())=TRUE,0,L507-M507)</f>
        <v>170338.7553591567</v>
      </c>
      <c r="O507">
        <f>MAX(N$12:N507)</f>
        <v>180152.4892816866</v>
      </c>
      <c r="P507">
        <f>IF(O507&gt;O506,(O507-O506)*percentSavingsParticipation,0)</f>
        <v>0</v>
      </c>
      <c r="Q507">
        <f t="shared" si="39"/>
        <v>90076.244640843302</v>
      </c>
      <c r="R507">
        <f t="shared" si="40"/>
        <v>14785</v>
      </c>
    </row>
    <row r="508" spans="1:18" x14ac:dyDescent="0.25">
      <c r="A508" s="1"/>
      <c r="C508" s="1"/>
      <c r="D508" s="1">
        <v>41969</v>
      </c>
      <c r="E508" s="10">
        <v>43185</v>
      </c>
      <c r="F508" s="1">
        <v>41969</v>
      </c>
      <c r="G508">
        <v>-7343</v>
      </c>
      <c r="H508" s="1">
        <f t="shared" si="36"/>
        <v>41969</v>
      </c>
      <c r="I508">
        <f>IF(AND(MyRowHidden(ROW())=FALSE,MyRowHidden(ROW()-1)=TRUE),0,(E508-E507)*unitsOfDHp+I507)</f>
        <v>141600</v>
      </c>
      <c r="J508">
        <f>IF(AND(MyRowHidden(ROW())=FALSE,MyRowHidden(ROW()-1)=TRUE),0,(G508-G507)*unitsOfExo+J507)</f>
        <v>-119815</v>
      </c>
      <c r="K508" s="9">
        <f t="shared" si="37"/>
        <v>119815</v>
      </c>
      <c r="L508">
        <f t="shared" si="38"/>
        <v>-68291.244640843317</v>
      </c>
      <c r="M508">
        <f>IF(AND(MyRowHidden(ROW())=FALSE,MyRowHidden(ROW()-1)=TRUE),0,(G508-G507)*unitsFuturesCompare+M507)</f>
        <v>-239630</v>
      </c>
      <c r="N508">
        <f>IF(MyRowHidden(ROW())=TRUE,0,L508-M508)</f>
        <v>171338.7553591567</v>
      </c>
      <c r="O508">
        <f>MAX(N$12:N508)</f>
        <v>180152.4892816866</v>
      </c>
      <c r="P508">
        <f>IF(O508&gt;O507,(O508-O507)*percentSavingsParticipation,0)</f>
        <v>0</v>
      </c>
      <c r="Q508">
        <f t="shared" si="39"/>
        <v>90076.244640843302</v>
      </c>
      <c r="R508">
        <f t="shared" si="40"/>
        <v>21785</v>
      </c>
    </row>
    <row r="509" spans="1:18" x14ac:dyDescent="0.25">
      <c r="A509" s="1"/>
      <c r="C509" s="1"/>
      <c r="D509" s="1">
        <v>41970</v>
      </c>
      <c r="E509" s="10">
        <v>43085.5</v>
      </c>
      <c r="F509" s="1">
        <v>41970</v>
      </c>
      <c r="G509">
        <v>-7468</v>
      </c>
      <c r="H509" s="1">
        <f t="shared" si="36"/>
        <v>41970</v>
      </c>
      <c r="I509">
        <f>IF(AND(MyRowHidden(ROW())=FALSE,MyRowHidden(ROW()-1)=TRUE),0,(E509-E508)*unitsOfDHp+I508)</f>
        <v>140605</v>
      </c>
      <c r="J509">
        <f>IF(AND(MyRowHidden(ROW())=FALSE,MyRowHidden(ROW()-1)=TRUE),0,(G509-G508)*unitsOfExo+J508)</f>
        <v>-121065</v>
      </c>
      <c r="K509" s="9">
        <f t="shared" si="37"/>
        <v>121065</v>
      </c>
      <c r="L509">
        <f t="shared" si="38"/>
        <v>-70536.244640843317</v>
      </c>
      <c r="M509">
        <f>IF(AND(MyRowHidden(ROW())=FALSE,MyRowHidden(ROW()-1)=TRUE),0,(G509-G508)*unitsFuturesCompare+M508)</f>
        <v>-242130</v>
      </c>
      <c r="N509">
        <f>IF(MyRowHidden(ROW())=TRUE,0,L509-M509)</f>
        <v>171593.7553591567</v>
      </c>
      <c r="O509">
        <f>MAX(N$12:N509)</f>
        <v>180152.4892816866</v>
      </c>
      <c r="P509">
        <f>IF(O509&gt;O508,(O509-O508)*percentSavingsParticipation,0)</f>
        <v>0</v>
      </c>
      <c r="Q509">
        <f t="shared" si="39"/>
        <v>90076.244640843302</v>
      </c>
      <c r="R509">
        <f t="shared" si="40"/>
        <v>19540</v>
      </c>
    </row>
    <row r="510" spans="1:18" x14ac:dyDescent="0.25">
      <c r="A510" s="1"/>
      <c r="C510" s="1"/>
      <c r="D510" s="1">
        <v>41971</v>
      </c>
      <c r="E510" s="10">
        <v>43235.5</v>
      </c>
      <c r="F510" s="1">
        <v>41971</v>
      </c>
      <c r="G510">
        <v>-7455.5</v>
      </c>
      <c r="H510" s="1">
        <f t="shared" si="36"/>
        <v>41971</v>
      </c>
      <c r="I510">
        <f>IF(AND(MyRowHidden(ROW())=FALSE,MyRowHidden(ROW()-1)=TRUE),0,(E510-E509)*unitsOfDHp+I509)</f>
        <v>142105</v>
      </c>
      <c r="J510">
        <f>IF(AND(MyRowHidden(ROW())=FALSE,MyRowHidden(ROW()-1)=TRUE),0,(G510-G509)*unitsOfExo+J509)</f>
        <v>-120940</v>
      </c>
      <c r="K510" s="9">
        <f t="shared" si="37"/>
        <v>120940</v>
      </c>
      <c r="L510">
        <f t="shared" si="38"/>
        <v>-68911.244640843317</v>
      </c>
      <c r="M510">
        <f>IF(AND(MyRowHidden(ROW())=FALSE,MyRowHidden(ROW()-1)=TRUE),0,(G510-G509)*unitsFuturesCompare+M509)</f>
        <v>-241880</v>
      </c>
      <c r="N510">
        <f>IF(MyRowHidden(ROW())=TRUE,0,L510-M510)</f>
        <v>172968.7553591567</v>
      </c>
      <c r="O510">
        <f>MAX(N$12:N510)</f>
        <v>180152.4892816866</v>
      </c>
      <c r="P510">
        <f>IF(O510&gt;O509,(O510-O509)*percentSavingsParticipation,0)</f>
        <v>0</v>
      </c>
      <c r="Q510">
        <f t="shared" si="39"/>
        <v>90076.244640843302</v>
      </c>
      <c r="R510">
        <f t="shared" si="40"/>
        <v>21165</v>
      </c>
    </row>
    <row r="511" spans="1:18" x14ac:dyDescent="0.25">
      <c r="A511" s="1"/>
      <c r="C511" s="1"/>
      <c r="D511" s="1">
        <v>41974</v>
      </c>
      <c r="E511" s="10">
        <v>42951</v>
      </c>
      <c r="F511" s="1">
        <v>41974</v>
      </c>
      <c r="G511">
        <v>-7517.5</v>
      </c>
      <c r="H511" s="1">
        <f t="shared" si="36"/>
        <v>41974</v>
      </c>
      <c r="I511">
        <f>IF(AND(MyRowHidden(ROW())=FALSE,MyRowHidden(ROW()-1)=TRUE),0,(E511-E510)*unitsOfDHp+I510)</f>
        <v>139260</v>
      </c>
      <c r="J511">
        <f>IF(AND(MyRowHidden(ROW())=FALSE,MyRowHidden(ROW()-1)=TRUE),0,(G511-G510)*unitsOfExo+J510)</f>
        <v>-121560</v>
      </c>
      <c r="K511" s="9">
        <f t="shared" si="37"/>
        <v>121560</v>
      </c>
      <c r="L511">
        <f t="shared" si="38"/>
        <v>-72376.244640843317</v>
      </c>
      <c r="M511">
        <f>IF(AND(MyRowHidden(ROW())=FALSE,MyRowHidden(ROW()-1)=TRUE),0,(G511-G510)*unitsFuturesCompare+M510)</f>
        <v>-243120</v>
      </c>
      <c r="N511">
        <f>IF(MyRowHidden(ROW())=TRUE,0,L511-M511)</f>
        <v>170743.7553591567</v>
      </c>
      <c r="O511">
        <f>MAX(N$12:N511)</f>
        <v>180152.4892816866</v>
      </c>
      <c r="P511">
        <f>IF(O511&gt;O510,(O511-O510)*percentSavingsParticipation,0)</f>
        <v>0</v>
      </c>
      <c r="Q511">
        <f t="shared" si="39"/>
        <v>90076.244640843302</v>
      </c>
      <c r="R511">
        <f t="shared" si="40"/>
        <v>17700</v>
      </c>
    </row>
    <row r="512" spans="1:18" x14ac:dyDescent="0.25">
      <c r="A512" s="1"/>
      <c r="C512" s="1"/>
      <c r="D512" s="1">
        <v>41975</v>
      </c>
      <c r="E512" s="10">
        <v>42777</v>
      </c>
      <c r="F512" s="1">
        <v>41975</v>
      </c>
      <c r="G512">
        <v>-7792.5</v>
      </c>
      <c r="H512" s="1">
        <f t="shared" si="36"/>
        <v>41975</v>
      </c>
      <c r="I512">
        <f>IF(AND(MyRowHidden(ROW())=FALSE,MyRowHidden(ROW()-1)=TRUE),0,(E512-E511)*unitsOfDHp+I511)</f>
        <v>137520</v>
      </c>
      <c r="J512">
        <f>IF(AND(MyRowHidden(ROW())=FALSE,MyRowHidden(ROW()-1)=TRUE),0,(G512-G511)*unitsOfExo+J511)</f>
        <v>-124310</v>
      </c>
      <c r="K512" s="9">
        <f t="shared" si="37"/>
        <v>124310</v>
      </c>
      <c r="L512">
        <f t="shared" si="38"/>
        <v>-76866.244640843317</v>
      </c>
      <c r="M512">
        <f>IF(AND(MyRowHidden(ROW())=FALSE,MyRowHidden(ROW()-1)=TRUE),0,(G512-G511)*unitsFuturesCompare+M511)</f>
        <v>-248620</v>
      </c>
      <c r="N512">
        <f>IF(MyRowHidden(ROW())=TRUE,0,L512-M512)</f>
        <v>171753.7553591567</v>
      </c>
      <c r="O512">
        <f>MAX(N$12:N512)</f>
        <v>180152.4892816866</v>
      </c>
      <c r="P512">
        <f>IF(O512&gt;O511,(O512-O511)*percentSavingsParticipation,0)</f>
        <v>0</v>
      </c>
      <c r="Q512">
        <f t="shared" si="39"/>
        <v>90076.244640843302</v>
      </c>
      <c r="R512">
        <f t="shared" si="40"/>
        <v>13210</v>
      </c>
    </row>
    <row r="513" spans="1:18" x14ac:dyDescent="0.25">
      <c r="A513" s="1"/>
      <c r="C513" s="1"/>
      <c r="D513" s="1">
        <v>41976</v>
      </c>
      <c r="E513" s="10">
        <v>42791</v>
      </c>
      <c r="F513" s="1">
        <v>41976</v>
      </c>
      <c r="G513">
        <v>-7892.5</v>
      </c>
      <c r="H513" s="1">
        <f t="shared" si="36"/>
        <v>41976</v>
      </c>
      <c r="I513">
        <f>IF(AND(MyRowHidden(ROW())=FALSE,MyRowHidden(ROW()-1)=TRUE),0,(E513-E512)*unitsOfDHp+I512)</f>
        <v>137660</v>
      </c>
      <c r="J513">
        <f>IF(AND(MyRowHidden(ROW())=FALSE,MyRowHidden(ROW()-1)=TRUE),0,(G513-G512)*unitsOfExo+J512)</f>
        <v>-125310</v>
      </c>
      <c r="K513" s="9">
        <f t="shared" si="37"/>
        <v>125310</v>
      </c>
      <c r="L513">
        <f t="shared" si="38"/>
        <v>-77726.244640843317</v>
      </c>
      <c r="M513">
        <f>IF(AND(MyRowHidden(ROW())=FALSE,MyRowHidden(ROW()-1)=TRUE),0,(G513-G512)*unitsFuturesCompare+M512)</f>
        <v>-250620</v>
      </c>
      <c r="N513">
        <f>IF(MyRowHidden(ROW())=TRUE,0,L513-M513)</f>
        <v>172893.7553591567</v>
      </c>
      <c r="O513">
        <f>MAX(N$12:N513)</f>
        <v>180152.4892816866</v>
      </c>
      <c r="P513">
        <f>IF(O513&gt;O512,(O513-O512)*percentSavingsParticipation,0)</f>
        <v>0</v>
      </c>
      <c r="Q513">
        <f t="shared" si="39"/>
        <v>90076.244640843302</v>
      </c>
      <c r="R513">
        <f t="shared" si="40"/>
        <v>12350</v>
      </c>
    </row>
    <row r="514" spans="1:18" x14ac:dyDescent="0.25">
      <c r="A514" s="1"/>
      <c r="C514" s="1"/>
      <c r="D514" s="1">
        <v>41977</v>
      </c>
      <c r="E514" s="10">
        <v>43405</v>
      </c>
      <c r="F514" s="1">
        <v>41977</v>
      </c>
      <c r="G514">
        <v>-7430</v>
      </c>
      <c r="H514" s="1">
        <f t="shared" si="36"/>
        <v>41977</v>
      </c>
      <c r="I514">
        <f>IF(AND(MyRowHidden(ROW())=FALSE,MyRowHidden(ROW()-1)=TRUE),0,(E514-E513)*unitsOfDHp+I513)</f>
        <v>143800</v>
      </c>
      <c r="J514">
        <f>IF(AND(MyRowHidden(ROW())=FALSE,MyRowHidden(ROW()-1)=TRUE),0,(G514-G513)*unitsOfExo+J513)</f>
        <v>-120685</v>
      </c>
      <c r="K514" s="9">
        <f t="shared" si="37"/>
        <v>120685</v>
      </c>
      <c r="L514">
        <f t="shared" si="38"/>
        <v>-66961.244640843317</v>
      </c>
      <c r="M514">
        <f>IF(AND(MyRowHidden(ROW())=FALSE,MyRowHidden(ROW()-1)=TRUE),0,(G514-G513)*unitsFuturesCompare+M513)</f>
        <v>-241370</v>
      </c>
      <c r="N514">
        <f>IF(MyRowHidden(ROW())=TRUE,0,L514-M514)</f>
        <v>174408.7553591567</v>
      </c>
      <c r="O514">
        <f>MAX(N$12:N514)</f>
        <v>180152.4892816866</v>
      </c>
      <c r="P514">
        <f>IF(O514&gt;O513,(O514-O513)*percentSavingsParticipation,0)</f>
        <v>0</v>
      </c>
      <c r="Q514">
        <f t="shared" si="39"/>
        <v>90076.244640843302</v>
      </c>
      <c r="R514">
        <f t="shared" si="40"/>
        <v>23115</v>
      </c>
    </row>
    <row r="515" spans="1:18" x14ac:dyDescent="0.25">
      <c r="A515" s="1"/>
      <c r="C515" s="1"/>
      <c r="D515" s="1">
        <v>41978</v>
      </c>
      <c r="E515" s="10">
        <v>43395.5</v>
      </c>
      <c r="F515" s="1">
        <v>41978</v>
      </c>
      <c r="G515">
        <v>-7155</v>
      </c>
      <c r="H515" s="1">
        <f t="shared" si="36"/>
        <v>41978</v>
      </c>
      <c r="I515">
        <f>IF(AND(MyRowHidden(ROW())=FALSE,MyRowHidden(ROW()-1)=TRUE),0,(E515-E514)*unitsOfDHp+I514)</f>
        <v>143705</v>
      </c>
      <c r="J515">
        <f>IF(AND(MyRowHidden(ROW())=FALSE,MyRowHidden(ROW()-1)=TRUE),0,(G515-G514)*unitsOfExo+J514)</f>
        <v>-117935</v>
      </c>
      <c r="K515" s="9">
        <f t="shared" si="37"/>
        <v>117935</v>
      </c>
      <c r="L515">
        <f t="shared" si="38"/>
        <v>-64306.244640843317</v>
      </c>
      <c r="M515">
        <f>IF(AND(MyRowHidden(ROW())=FALSE,MyRowHidden(ROW()-1)=TRUE),0,(G515-G514)*unitsFuturesCompare+M514)</f>
        <v>-235870</v>
      </c>
      <c r="N515">
        <f>IF(MyRowHidden(ROW())=TRUE,0,L515-M515)</f>
        <v>171563.7553591567</v>
      </c>
      <c r="O515">
        <f>MAX(N$12:N515)</f>
        <v>180152.4892816866</v>
      </c>
      <c r="P515">
        <f>IF(O515&gt;O514,(O515-O514)*percentSavingsParticipation,0)</f>
        <v>0</v>
      </c>
      <c r="Q515">
        <f t="shared" si="39"/>
        <v>90076.244640843302</v>
      </c>
      <c r="R515">
        <f t="shared" si="40"/>
        <v>25770</v>
      </c>
    </row>
    <row r="516" spans="1:18" x14ac:dyDescent="0.25">
      <c r="A516" s="1"/>
      <c r="C516" s="1"/>
      <c r="D516" s="1">
        <v>41981</v>
      </c>
      <c r="E516" s="10">
        <v>42899</v>
      </c>
      <c r="F516" s="1">
        <v>41981</v>
      </c>
      <c r="G516">
        <v>-7280</v>
      </c>
      <c r="H516" s="1">
        <f t="shared" si="36"/>
        <v>41981</v>
      </c>
      <c r="I516">
        <f>IF(AND(MyRowHidden(ROW())=FALSE,MyRowHidden(ROW()-1)=TRUE),0,(E516-E515)*unitsOfDHp+I515)</f>
        <v>138740</v>
      </c>
      <c r="J516">
        <f>IF(AND(MyRowHidden(ROW())=FALSE,MyRowHidden(ROW()-1)=TRUE),0,(G516-G515)*unitsOfExo+J515)</f>
        <v>-119185</v>
      </c>
      <c r="K516" s="9">
        <f t="shared" si="37"/>
        <v>119185</v>
      </c>
      <c r="L516">
        <f t="shared" si="38"/>
        <v>-70521.244640843317</v>
      </c>
      <c r="M516">
        <f>IF(AND(MyRowHidden(ROW())=FALSE,MyRowHidden(ROW()-1)=TRUE),0,(G516-G515)*unitsFuturesCompare+M515)</f>
        <v>-238370</v>
      </c>
      <c r="N516">
        <f>IF(MyRowHidden(ROW())=TRUE,0,L516-M516)</f>
        <v>167848.7553591567</v>
      </c>
      <c r="O516">
        <f>MAX(N$12:N516)</f>
        <v>180152.4892816866</v>
      </c>
      <c r="P516">
        <f>IF(O516&gt;O515,(O516-O515)*percentSavingsParticipation,0)</f>
        <v>0</v>
      </c>
      <c r="Q516">
        <f t="shared" si="39"/>
        <v>90076.244640843302</v>
      </c>
      <c r="R516">
        <f t="shared" si="40"/>
        <v>19555</v>
      </c>
    </row>
    <row r="517" spans="1:18" x14ac:dyDescent="0.25">
      <c r="A517" s="1"/>
      <c r="C517" s="1"/>
      <c r="D517" s="1">
        <v>41982</v>
      </c>
      <c r="E517" s="10">
        <v>43574</v>
      </c>
      <c r="F517" s="1">
        <v>41982</v>
      </c>
      <c r="G517">
        <v>-7180</v>
      </c>
      <c r="H517" s="1">
        <f t="shared" si="36"/>
        <v>41982</v>
      </c>
      <c r="I517">
        <f>IF(AND(MyRowHidden(ROW())=FALSE,MyRowHidden(ROW()-1)=TRUE),0,(E517-E516)*unitsOfDHp+I516)</f>
        <v>145490</v>
      </c>
      <c r="J517">
        <f>IF(AND(MyRowHidden(ROW())=FALSE,MyRowHidden(ROW()-1)=TRUE),0,(G517-G516)*unitsOfExo+J516)</f>
        <v>-118185</v>
      </c>
      <c r="K517" s="9">
        <f t="shared" si="37"/>
        <v>118185</v>
      </c>
      <c r="L517">
        <f t="shared" si="38"/>
        <v>-62771.244640843317</v>
      </c>
      <c r="M517">
        <f>IF(AND(MyRowHidden(ROW())=FALSE,MyRowHidden(ROW()-1)=TRUE),0,(G517-G516)*unitsFuturesCompare+M516)</f>
        <v>-236370</v>
      </c>
      <c r="N517">
        <f>IF(MyRowHidden(ROW())=TRUE,0,L517-M517)</f>
        <v>173598.7553591567</v>
      </c>
      <c r="O517">
        <f>MAX(N$12:N517)</f>
        <v>180152.4892816866</v>
      </c>
      <c r="P517">
        <f>IF(O517&gt;O516,(O517-O516)*percentSavingsParticipation,0)</f>
        <v>0</v>
      </c>
      <c r="Q517">
        <f t="shared" si="39"/>
        <v>90076.244640843302</v>
      </c>
      <c r="R517">
        <f t="shared" si="40"/>
        <v>27305</v>
      </c>
    </row>
    <row r="518" spans="1:18" x14ac:dyDescent="0.25">
      <c r="A518" s="1"/>
      <c r="C518" s="1"/>
      <c r="D518" s="1">
        <v>41983</v>
      </c>
      <c r="E518" s="10">
        <v>43236.5</v>
      </c>
      <c r="F518" s="1">
        <v>41983</v>
      </c>
      <c r="G518">
        <v>-7305</v>
      </c>
      <c r="H518" s="1">
        <f t="shared" si="36"/>
        <v>41983</v>
      </c>
      <c r="I518">
        <f>IF(AND(MyRowHidden(ROW())=FALSE,MyRowHidden(ROW()-1)=TRUE),0,(E518-E517)*unitsOfDHp+I517)</f>
        <v>142115</v>
      </c>
      <c r="J518">
        <f>IF(AND(MyRowHidden(ROW())=FALSE,MyRowHidden(ROW()-1)=TRUE),0,(G518-G517)*unitsOfExo+J517)</f>
        <v>-119435</v>
      </c>
      <c r="K518" s="9">
        <f t="shared" si="37"/>
        <v>119435</v>
      </c>
      <c r="L518">
        <f t="shared" si="38"/>
        <v>-67396.244640843317</v>
      </c>
      <c r="M518">
        <f>IF(AND(MyRowHidden(ROW())=FALSE,MyRowHidden(ROW()-1)=TRUE),0,(G518-G517)*unitsFuturesCompare+M517)</f>
        <v>-238870</v>
      </c>
      <c r="N518">
        <f>IF(MyRowHidden(ROW())=TRUE,0,L518-M518)</f>
        <v>171473.7553591567</v>
      </c>
      <c r="O518">
        <f>MAX(N$12:N518)</f>
        <v>180152.4892816866</v>
      </c>
      <c r="P518">
        <f>IF(O518&gt;O517,(O518-O517)*percentSavingsParticipation,0)</f>
        <v>0</v>
      </c>
      <c r="Q518">
        <f t="shared" si="39"/>
        <v>90076.244640843302</v>
      </c>
      <c r="R518">
        <f t="shared" si="40"/>
        <v>22680</v>
      </c>
    </row>
    <row r="519" spans="1:18" x14ac:dyDescent="0.25">
      <c r="A519" s="1"/>
      <c r="C519" s="1"/>
      <c r="D519" s="1">
        <v>41984</v>
      </c>
      <c r="E519" s="10">
        <v>44539.5</v>
      </c>
      <c r="F519" s="1">
        <v>41984</v>
      </c>
      <c r="G519">
        <v>-7067.5</v>
      </c>
      <c r="H519" s="1">
        <f t="shared" si="36"/>
        <v>41984</v>
      </c>
      <c r="I519">
        <f>IF(AND(MyRowHidden(ROW())=FALSE,MyRowHidden(ROW()-1)=TRUE),0,(E519-E518)*unitsOfDHp+I518)</f>
        <v>155145</v>
      </c>
      <c r="J519">
        <f>IF(AND(MyRowHidden(ROW())=FALSE,MyRowHidden(ROW()-1)=TRUE),0,(G519-G518)*unitsOfExo+J518)</f>
        <v>-117060</v>
      </c>
      <c r="K519" s="9">
        <f t="shared" si="37"/>
        <v>117060</v>
      </c>
      <c r="L519">
        <f t="shared" si="38"/>
        <v>-51991.244640843317</v>
      </c>
      <c r="M519">
        <f>IF(AND(MyRowHidden(ROW())=FALSE,MyRowHidden(ROW()-1)=TRUE),0,(G519-G518)*unitsFuturesCompare+M518)</f>
        <v>-234120</v>
      </c>
      <c r="N519">
        <f>IF(MyRowHidden(ROW())=TRUE,0,L519-M519)</f>
        <v>182128.7553591567</v>
      </c>
      <c r="O519">
        <f>MAX(N$12:N519)</f>
        <v>182128.7553591567</v>
      </c>
      <c r="P519">
        <f>IF(O519&gt;O518,(O519-O518)*percentSavingsParticipation,0)</f>
        <v>988.13303873504628</v>
      </c>
      <c r="Q519">
        <f t="shared" si="39"/>
        <v>91064.377679578349</v>
      </c>
      <c r="R519">
        <f t="shared" si="40"/>
        <v>38085</v>
      </c>
    </row>
    <row r="520" spans="1:18" x14ac:dyDescent="0.25">
      <c r="A520" s="1"/>
      <c r="C520" s="1"/>
      <c r="D520" s="1">
        <v>41985</v>
      </c>
      <c r="E520" s="10">
        <v>45555</v>
      </c>
      <c r="F520" s="1">
        <v>41985</v>
      </c>
      <c r="G520">
        <v>-6430</v>
      </c>
      <c r="H520" s="1">
        <f t="shared" si="36"/>
        <v>41985</v>
      </c>
      <c r="I520">
        <f>IF(AND(MyRowHidden(ROW())=FALSE,MyRowHidden(ROW()-1)=TRUE),0,(E520-E519)*unitsOfDHp+I519)</f>
        <v>165300</v>
      </c>
      <c r="J520">
        <f>IF(AND(MyRowHidden(ROW())=FALSE,MyRowHidden(ROW()-1)=TRUE),0,(G520-G519)*unitsOfExo+J519)</f>
        <v>-110685</v>
      </c>
      <c r="K520" s="9">
        <f t="shared" si="37"/>
        <v>110685</v>
      </c>
      <c r="L520">
        <f t="shared" si="38"/>
        <v>-36449.377679578363</v>
      </c>
      <c r="M520">
        <f>IF(AND(MyRowHidden(ROW())=FALSE,MyRowHidden(ROW()-1)=TRUE),0,(G520-G519)*unitsFuturesCompare+M519)</f>
        <v>-221370</v>
      </c>
      <c r="N520">
        <f>IF(MyRowHidden(ROW())=TRUE,0,L520-M520)</f>
        <v>184920.62232042162</v>
      </c>
      <c r="O520">
        <f>MAX(N$12:N520)</f>
        <v>184920.62232042162</v>
      </c>
      <c r="P520">
        <f>IF(O520&gt;O519,(O520-O519)*percentSavingsParticipation,0)</f>
        <v>1395.9334806324623</v>
      </c>
      <c r="Q520">
        <f t="shared" si="39"/>
        <v>92460.311160210811</v>
      </c>
      <c r="R520">
        <f t="shared" si="40"/>
        <v>54615</v>
      </c>
    </row>
    <row r="521" spans="1:18" x14ac:dyDescent="0.25">
      <c r="A521" s="1"/>
      <c r="C521" s="1"/>
      <c r="D521" s="1">
        <v>41988</v>
      </c>
      <c r="E521" s="10">
        <v>45593.5</v>
      </c>
      <c r="F521" s="1">
        <v>41988</v>
      </c>
      <c r="G521">
        <v>-6505</v>
      </c>
      <c r="H521" s="1">
        <f t="shared" si="36"/>
        <v>41988</v>
      </c>
      <c r="I521">
        <f>IF(AND(MyRowHidden(ROW())=FALSE,MyRowHidden(ROW()-1)=TRUE),0,(E521-E520)*unitsOfDHp+I520)</f>
        <v>165685</v>
      </c>
      <c r="J521">
        <f>IF(AND(MyRowHidden(ROW())=FALSE,MyRowHidden(ROW()-1)=TRUE),0,(G521-G520)*unitsOfExo+J520)</f>
        <v>-111435</v>
      </c>
      <c r="K521" s="9">
        <f t="shared" si="37"/>
        <v>111435</v>
      </c>
      <c r="L521">
        <f t="shared" si="38"/>
        <v>-38210.311160210826</v>
      </c>
      <c r="M521">
        <f>IF(AND(MyRowHidden(ROW())=FALSE,MyRowHidden(ROW()-1)=TRUE),0,(G521-G520)*unitsFuturesCompare+M520)</f>
        <v>-222870</v>
      </c>
      <c r="N521">
        <f>IF(MyRowHidden(ROW())=TRUE,0,L521-M521)</f>
        <v>184659.68883978919</v>
      </c>
      <c r="O521">
        <f>MAX(N$12:N521)</f>
        <v>184920.62232042162</v>
      </c>
      <c r="P521">
        <f>IF(O521&gt;O520,(O521-O520)*percentSavingsParticipation,0)</f>
        <v>0</v>
      </c>
      <c r="Q521">
        <f t="shared" si="39"/>
        <v>92460.311160210811</v>
      </c>
      <c r="R521">
        <f t="shared" si="40"/>
        <v>54250</v>
      </c>
    </row>
    <row r="522" spans="1:18" x14ac:dyDescent="0.25">
      <c r="A522" s="1"/>
      <c r="C522" s="1"/>
      <c r="D522" s="1">
        <v>41989</v>
      </c>
      <c r="E522" s="10">
        <v>45531</v>
      </c>
      <c r="F522" s="1">
        <v>41989</v>
      </c>
      <c r="G522">
        <v>-6580</v>
      </c>
      <c r="H522" s="1">
        <f t="shared" si="36"/>
        <v>41989</v>
      </c>
      <c r="I522">
        <f>IF(AND(MyRowHidden(ROW())=FALSE,MyRowHidden(ROW()-1)=TRUE),0,(E522-E521)*unitsOfDHp+I521)</f>
        <v>165060</v>
      </c>
      <c r="J522">
        <f>IF(AND(MyRowHidden(ROW())=FALSE,MyRowHidden(ROW()-1)=TRUE),0,(G522-G521)*unitsOfExo+J521)</f>
        <v>-112185</v>
      </c>
      <c r="K522" s="9">
        <f t="shared" si="37"/>
        <v>112185</v>
      </c>
      <c r="L522">
        <f t="shared" si="38"/>
        <v>-39585.311160210826</v>
      </c>
      <c r="M522">
        <f>IF(AND(MyRowHidden(ROW())=FALSE,MyRowHidden(ROW()-1)=TRUE),0,(G522-G521)*unitsFuturesCompare+M521)</f>
        <v>-224370</v>
      </c>
      <c r="N522">
        <f>IF(MyRowHidden(ROW())=TRUE,0,L522-M522)</f>
        <v>184784.68883978919</v>
      </c>
      <c r="O522">
        <f>MAX(N$12:N522)</f>
        <v>184920.62232042162</v>
      </c>
      <c r="P522">
        <f>IF(O522&gt;O521,(O522-O521)*percentSavingsParticipation,0)</f>
        <v>0</v>
      </c>
      <c r="Q522">
        <f t="shared" si="39"/>
        <v>92460.311160210811</v>
      </c>
      <c r="R522">
        <f t="shared" si="40"/>
        <v>52875</v>
      </c>
    </row>
    <row r="523" spans="1:18" x14ac:dyDescent="0.25">
      <c r="A523" s="1"/>
      <c r="C523" s="1"/>
      <c r="D523" s="1">
        <v>41990</v>
      </c>
      <c r="E523" s="10">
        <v>45756</v>
      </c>
      <c r="F523" s="1">
        <v>41990</v>
      </c>
      <c r="G523">
        <v>-6517.5</v>
      </c>
      <c r="H523" s="1">
        <f t="shared" si="36"/>
        <v>41990</v>
      </c>
      <c r="I523">
        <f>IF(AND(MyRowHidden(ROW())=FALSE,MyRowHidden(ROW()-1)=TRUE),0,(E523-E522)*unitsOfDHp+I522)</f>
        <v>167310</v>
      </c>
      <c r="J523">
        <f>IF(AND(MyRowHidden(ROW())=FALSE,MyRowHidden(ROW()-1)=TRUE),0,(G523-G522)*unitsOfExo+J522)</f>
        <v>-111560</v>
      </c>
      <c r="K523" s="9">
        <f t="shared" si="37"/>
        <v>111560</v>
      </c>
      <c r="L523">
        <f t="shared" si="38"/>
        <v>-36710.311160210826</v>
      </c>
      <c r="M523">
        <f>IF(AND(MyRowHidden(ROW())=FALSE,MyRowHidden(ROW()-1)=TRUE),0,(G523-G522)*unitsFuturesCompare+M522)</f>
        <v>-223120</v>
      </c>
      <c r="N523">
        <f>IF(MyRowHidden(ROW())=TRUE,0,L523-M523)</f>
        <v>186409.68883978919</v>
      </c>
      <c r="O523">
        <f>MAX(N$12:N523)</f>
        <v>186409.68883978919</v>
      </c>
      <c r="P523">
        <f>IF(O523&gt;O522,(O523-O522)*percentSavingsParticipation,0)</f>
        <v>744.5332596837834</v>
      </c>
      <c r="Q523">
        <f t="shared" si="39"/>
        <v>93204.844419894594</v>
      </c>
      <c r="R523">
        <f t="shared" si="40"/>
        <v>55750</v>
      </c>
    </row>
    <row r="524" spans="1:18" x14ac:dyDescent="0.25">
      <c r="A524" s="1"/>
      <c r="C524" s="1"/>
      <c r="D524" s="1">
        <v>41991</v>
      </c>
      <c r="E524" s="10">
        <v>45843.5</v>
      </c>
      <c r="F524" s="1">
        <v>41991</v>
      </c>
      <c r="G524">
        <v>-6367.5</v>
      </c>
      <c r="H524" s="1">
        <f t="shared" si="36"/>
        <v>41991</v>
      </c>
      <c r="I524">
        <f>IF(AND(MyRowHidden(ROW())=FALSE,MyRowHidden(ROW()-1)=TRUE),0,(E524-E523)*unitsOfDHp+I523)</f>
        <v>168185</v>
      </c>
      <c r="J524">
        <f>IF(AND(MyRowHidden(ROW())=FALSE,MyRowHidden(ROW()-1)=TRUE),0,(G524-G523)*unitsOfExo+J523)</f>
        <v>-110060</v>
      </c>
      <c r="K524" s="9">
        <f t="shared" si="37"/>
        <v>110060</v>
      </c>
      <c r="L524">
        <f t="shared" si="38"/>
        <v>-35079.844419894609</v>
      </c>
      <c r="M524">
        <f>IF(AND(MyRowHidden(ROW())=FALSE,MyRowHidden(ROW()-1)=TRUE),0,(G524-G523)*unitsFuturesCompare+M523)</f>
        <v>-220120</v>
      </c>
      <c r="N524">
        <f>IF(MyRowHidden(ROW())=TRUE,0,L524-M524)</f>
        <v>185040.15558010538</v>
      </c>
      <c r="O524">
        <f>MAX(N$12:N524)</f>
        <v>186409.68883978919</v>
      </c>
      <c r="P524">
        <f>IF(O524&gt;O523,(O524-O523)*percentSavingsParticipation,0)</f>
        <v>0</v>
      </c>
      <c r="Q524">
        <f t="shared" si="39"/>
        <v>93204.844419894594</v>
      </c>
      <c r="R524">
        <f t="shared" si="40"/>
        <v>58125</v>
      </c>
    </row>
    <row r="525" spans="1:18" x14ac:dyDescent="0.25">
      <c r="A525" s="1"/>
      <c r="C525" s="1"/>
      <c r="D525" s="1">
        <v>41992</v>
      </c>
      <c r="E525" s="10">
        <v>45931</v>
      </c>
      <c r="F525" s="1">
        <v>41992</v>
      </c>
      <c r="G525">
        <v>-6467.5</v>
      </c>
      <c r="H525" s="1">
        <f t="shared" ref="H525:H588" si="41">D525</f>
        <v>41992</v>
      </c>
      <c r="I525">
        <f>IF(AND(MyRowHidden(ROW())=FALSE,MyRowHidden(ROW()-1)=TRUE),0,(E525-E524)*unitsOfDHp+I524)</f>
        <v>169060</v>
      </c>
      <c r="J525">
        <f>IF(AND(MyRowHidden(ROW())=FALSE,MyRowHidden(ROW()-1)=TRUE),0,(G525-G524)*unitsOfExo+J524)</f>
        <v>-111060</v>
      </c>
      <c r="K525" s="9">
        <f t="shared" ref="K525:K588" si="42">-(J525-J524)+K524</f>
        <v>111060</v>
      </c>
      <c r="L525">
        <f t="shared" ref="L525:L588" si="43">I525-I524+J525-J524+L524-P524</f>
        <v>-35204.844419894609</v>
      </c>
      <c r="M525">
        <f>IF(AND(MyRowHidden(ROW())=FALSE,MyRowHidden(ROW()-1)=TRUE),0,(G525-G524)*unitsFuturesCompare+M524)</f>
        <v>-222120</v>
      </c>
      <c r="N525">
        <f>IF(MyRowHidden(ROW())=TRUE,0,L525-M525)</f>
        <v>186915.15558010538</v>
      </c>
      <c r="O525">
        <f>MAX(N$12:N525)</f>
        <v>186915.15558010538</v>
      </c>
      <c r="P525">
        <f>IF(O525&gt;O524,(O525-O524)*percentSavingsParticipation,0)</f>
        <v>252.73337015809375</v>
      </c>
      <c r="Q525">
        <f t="shared" ref="Q525:Q588" si="44">P525+Q524</f>
        <v>93457.577790052688</v>
      </c>
      <c r="R525">
        <f t="shared" ref="R525:R588" si="45">I525+J525</f>
        <v>58000</v>
      </c>
    </row>
    <row r="526" spans="1:18" x14ac:dyDescent="0.25">
      <c r="A526" s="1"/>
      <c r="C526" s="1"/>
      <c r="D526" s="1">
        <v>41995</v>
      </c>
      <c r="E526" s="10">
        <v>46168.5</v>
      </c>
      <c r="F526" s="1">
        <v>41995</v>
      </c>
      <c r="G526">
        <v>-6305</v>
      </c>
      <c r="H526" s="1">
        <f t="shared" si="41"/>
        <v>41995</v>
      </c>
      <c r="I526">
        <f>IF(AND(MyRowHidden(ROW())=FALSE,MyRowHidden(ROW()-1)=TRUE),0,(E526-E525)*unitsOfDHp+I525)</f>
        <v>171435</v>
      </c>
      <c r="J526">
        <f>IF(AND(MyRowHidden(ROW())=FALSE,MyRowHidden(ROW()-1)=TRUE),0,(G526-G525)*unitsOfExo+J525)</f>
        <v>-109435</v>
      </c>
      <c r="K526" s="9">
        <f t="shared" si="42"/>
        <v>109435</v>
      </c>
      <c r="L526">
        <f t="shared" si="43"/>
        <v>-31457.577790052703</v>
      </c>
      <c r="M526">
        <f>IF(AND(MyRowHidden(ROW())=FALSE,MyRowHidden(ROW()-1)=TRUE),0,(G526-G525)*unitsFuturesCompare+M525)</f>
        <v>-218870</v>
      </c>
      <c r="N526">
        <f>IF(MyRowHidden(ROW())=TRUE,0,L526-M526)</f>
        <v>187412.42220994731</v>
      </c>
      <c r="O526">
        <f>MAX(N$12:N526)</f>
        <v>187412.42220994731</v>
      </c>
      <c r="P526">
        <f>IF(O526&gt;O525,(O526-O525)*percentSavingsParticipation,0)</f>
        <v>248.63331492096768</v>
      </c>
      <c r="Q526">
        <f t="shared" si="44"/>
        <v>93706.211104973656</v>
      </c>
      <c r="R526">
        <f t="shared" si="45"/>
        <v>62000</v>
      </c>
    </row>
    <row r="527" spans="1:18" x14ac:dyDescent="0.25">
      <c r="A527" s="1"/>
      <c r="C527" s="1"/>
      <c r="D527" s="1">
        <v>41996</v>
      </c>
      <c r="E527" s="10">
        <v>46173.5</v>
      </c>
      <c r="F527" s="1">
        <v>41996</v>
      </c>
      <c r="G527">
        <v>-6230</v>
      </c>
      <c r="H527" s="1">
        <f t="shared" si="41"/>
        <v>41996</v>
      </c>
      <c r="I527">
        <f>IF(AND(MyRowHidden(ROW())=FALSE,MyRowHidden(ROW()-1)=TRUE),0,(E527-E526)*unitsOfDHp+I526)</f>
        <v>171485</v>
      </c>
      <c r="J527">
        <f>IF(AND(MyRowHidden(ROW())=FALSE,MyRowHidden(ROW()-1)=TRUE),0,(G527-G526)*unitsOfExo+J526)</f>
        <v>-108685</v>
      </c>
      <c r="K527" s="9">
        <f t="shared" si="42"/>
        <v>108685</v>
      </c>
      <c r="L527">
        <f t="shared" si="43"/>
        <v>-30906.21110497367</v>
      </c>
      <c r="M527">
        <f>IF(AND(MyRowHidden(ROW())=FALSE,MyRowHidden(ROW()-1)=TRUE),0,(G527-G526)*unitsFuturesCompare+M526)</f>
        <v>-217370</v>
      </c>
      <c r="N527">
        <f>IF(MyRowHidden(ROW())=TRUE,0,L527-M527)</f>
        <v>186463.78889502632</v>
      </c>
      <c r="O527">
        <f>MAX(N$12:N527)</f>
        <v>187412.42220994731</v>
      </c>
      <c r="P527">
        <f>IF(O527&gt;O526,(O527-O526)*percentSavingsParticipation,0)</f>
        <v>0</v>
      </c>
      <c r="Q527">
        <f t="shared" si="44"/>
        <v>93706.211104973656</v>
      </c>
      <c r="R527">
        <f t="shared" si="45"/>
        <v>62800</v>
      </c>
    </row>
    <row r="528" spans="1:18" x14ac:dyDescent="0.25">
      <c r="A528" s="1"/>
      <c r="C528" s="1"/>
      <c r="D528" s="1">
        <v>41997</v>
      </c>
      <c r="E528" s="10">
        <v>46296.25</v>
      </c>
      <c r="F528" s="1">
        <v>41997</v>
      </c>
      <c r="G528">
        <v>-6517.5</v>
      </c>
      <c r="H528" s="1">
        <f t="shared" si="41"/>
        <v>41997</v>
      </c>
      <c r="I528">
        <f>IF(AND(MyRowHidden(ROW())=FALSE,MyRowHidden(ROW()-1)=TRUE),0,(E528-E527)*unitsOfDHp+I527)</f>
        <v>172712.5</v>
      </c>
      <c r="J528">
        <f>IF(AND(MyRowHidden(ROW())=FALSE,MyRowHidden(ROW()-1)=TRUE),0,(G528-G527)*unitsOfExo+J527)</f>
        <v>-111560</v>
      </c>
      <c r="K528" s="9">
        <f t="shared" si="42"/>
        <v>111560</v>
      </c>
      <c r="L528">
        <f t="shared" si="43"/>
        <v>-32553.71110497367</v>
      </c>
      <c r="M528">
        <f>IF(AND(MyRowHidden(ROW())=FALSE,MyRowHidden(ROW()-1)=TRUE),0,(G528-G527)*unitsFuturesCompare+M527)</f>
        <v>-223120</v>
      </c>
      <c r="N528">
        <f>IF(MyRowHidden(ROW())=TRUE,0,L528-M528)</f>
        <v>190566.28889502632</v>
      </c>
      <c r="O528">
        <f>MAX(N$12:N528)</f>
        <v>190566.28889502632</v>
      </c>
      <c r="P528">
        <f>IF(O528&gt;O527,(O528-O527)*percentSavingsParticipation,0)</f>
        <v>1576.9333425395016</v>
      </c>
      <c r="Q528">
        <f t="shared" si="44"/>
        <v>95283.144447513158</v>
      </c>
      <c r="R528">
        <f t="shared" si="45"/>
        <v>61152.5</v>
      </c>
    </row>
    <row r="529" spans="1:18" x14ac:dyDescent="0.25">
      <c r="A529" s="1"/>
      <c r="C529" s="1"/>
      <c r="D529" s="1">
        <v>41998</v>
      </c>
      <c r="E529" s="10">
        <v>46471.25</v>
      </c>
      <c r="F529" s="1">
        <v>41998</v>
      </c>
      <c r="G529">
        <v>-6380</v>
      </c>
      <c r="H529" s="1">
        <f t="shared" si="41"/>
        <v>41998</v>
      </c>
      <c r="I529">
        <f>IF(AND(MyRowHidden(ROW())=FALSE,MyRowHidden(ROW()-1)=TRUE),0,(E529-E528)*unitsOfDHp+I528)</f>
        <v>174462.5</v>
      </c>
      <c r="J529">
        <f>IF(AND(MyRowHidden(ROW())=FALSE,MyRowHidden(ROW()-1)=TRUE),0,(G529-G528)*unitsOfExo+J528)</f>
        <v>-110185</v>
      </c>
      <c r="K529" s="9">
        <f t="shared" si="42"/>
        <v>110185</v>
      </c>
      <c r="L529">
        <f t="shared" si="43"/>
        <v>-31005.644447513172</v>
      </c>
      <c r="M529">
        <f>IF(AND(MyRowHidden(ROW())=FALSE,MyRowHidden(ROW()-1)=TRUE),0,(G529-G528)*unitsFuturesCompare+M528)</f>
        <v>-220370</v>
      </c>
      <c r="N529">
        <f>IF(MyRowHidden(ROW())=TRUE,0,L529-M529)</f>
        <v>189364.35555248684</v>
      </c>
      <c r="O529">
        <f>MAX(N$12:N529)</f>
        <v>190566.28889502632</v>
      </c>
      <c r="P529">
        <f>IF(O529&gt;O528,(O529-O528)*percentSavingsParticipation,0)</f>
        <v>0</v>
      </c>
      <c r="Q529">
        <f t="shared" si="44"/>
        <v>95283.144447513158</v>
      </c>
      <c r="R529">
        <f t="shared" si="45"/>
        <v>64277.5</v>
      </c>
    </row>
    <row r="530" spans="1:18" x14ac:dyDescent="0.25">
      <c r="A530" s="1"/>
      <c r="C530" s="1"/>
      <c r="D530" s="1">
        <v>41999</v>
      </c>
      <c r="E530" s="10">
        <v>46571.25</v>
      </c>
      <c r="F530" s="1">
        <v>41999</v>
      </c>
      <c r="G530">
        <v>-6255</v>
      </c>
      <c r="H530" s="1">
        <f t="shared" si="41"/>
        <v>41999</v>
      </c>
      <c r="I530">
        <f>IF(AND(MyRowHidden(ROW())=FALSE,MyRowHidden(ROW()-1)=TRUE),0,(E530-E529)*unitsOfDHp+I529)</f>
        <v>175462.5</v>
      </c>
      <c r="J530">
        <f>IF(AND(MyRowHidden(ROW())=FALSE,MyRowHidden(ROW()-1)=TRUE),0,(G530-G529)*unitsOfExo+J529)</f>
        <v>-108935</v>
      </c>
      <c r="K530" s="9">
        <f t="shared" si="42"/>
        <v>108935</v>
      </c>
      <c r="L530">
        <f t="shared" si="43"/>
        <v>-28755.644447513172</v>
      </c>
      <c r="M530">
        <f>IF(AND(MyRowHidden(ROW())=FALSE,MyRowHidden(ROW()-1)=TRUE),0,(G530-G529)*unitsFuturesCompare+M529)</f>
        <v>-217870</v>
      </c>
      <c r="N530">
        <f>IF(MyRowHidden(ROW())=TRUE,0,L530-M530)</f>
        <v>189114.35555248684</v>
      </c>
      <c r="O530">
        <f>MAX(N$12:N530)</f>
        <v>190566.28889502632</v>
      </c>
      <c r="P530">
        <f>IF(O530&gt;O529,(O530-O529)*percentSavingsParticipation,0)</f>
        <v>0</v>
      </c>
      <c r="Q530">
        <f t="shared" si="44"/>
        <v>95283.144447513158</v>
      </c>
      <c r="R530">
        <f t="shared" si="45"/>
        <v>66527.5</v>
      </c>
    </row>
    <row r="531" spans="1:18" x14ac:dyDescent="0.25">
      <c r="A531" s="1"/>
      <c r="C531" s="1"/>
      <c r="D531" s="1">
        <v>42002</v>
      </c>
      <c r="E531" s="10">
        <v>46558.75</v>
      </c>
      <c r="F531" s="1">
        <v>42002</v>
      </c>
      <c r="G531">
        <v>-6292.5</v>
      </c>
      <c r="H531" s="1">
        <f t="shared" si="41"/>
        <v>42002</v>
      </c>
      <c r="I531">
        <f>IF(AND(MyRowHidden(ROW())=FALSE,MyRowHidden(ROW()-1)=TRUE),0,(E531-E530)*unitsOfDHp+I530)</f>
        <v>175337.5</v>
      </c>
      <c r="J531">
        <f>IF(AND(MyRowHidden(ROW())=FALSE,MyRowHidden(ROW()-1)=TRUE),0,(G531-G530)*unitsOfExo+J530)</f>
        <v>-109310</v>
      </c>
      <c r="K531" s="9">
        <f t="shared" si="42"/>
        <v>109310</v>
      </c>
      <c r="L531">
        <f t="shared" si="43"/>
        <v>-29255.644447513172</v>
      </c>
      <c r="M531">
        <f>IF(AND(MyRowHidden(ROW())=FALSE,MyRowHidden(ROW()-1)=TRUE),0,(G531-G530)*unitsFuturesCompare+M530)</f>
        <v>-218620</v>
      </c>
      <c r="N531">
        <f>IF(MyRowHidden(ROW())=TRUE,0,L531-M531)</f>
        <v>189364.35555248684</v>
      </c>
      <c r="O531">
        <f>MAX(N$12:N531)</f>
        <v>190566.28889502632</v>
      </c>
      <c r="P531">
        <f>IF(O531&gt;O530,(O531-O530)*percentSavingsParticipation,0)</f>
        <v>0</v>
      </c>
      <c r="Q531">
        <f t="shared" si="44"/>
        <v>95283.144447513158</v>
      </c>
      <c r="R531">
        <f t="shared" si="45"/>
        <v>66027.5</v>
      </c>
    </row>
    <row r="532" spans="1:18" x14ac:dyDescent="0.25">
      <c r="A532" s="1"/>
      <c r="C532" s="1"/>
      <c r="D532" s="1">
        <v>42003</v>
      </c>
      <c r="E532" s="10">
        <v>46458.75</v>
      </c>
      <c r="F532" s="1">
        <v>42003</v>
      </c>
      <c r="G532">
        <v>-6580</v>
      </c>
      <c r="H532" s="1">
        <f t="shared" si="41"/>
        <v>42003</v>
      </c>
      <c r="I532">
        <f>IF(AND(MyRowHidden(ROW())=FALSE,MyRowHidden(ROW()-1)=TRUE),0,(E532-E531)*unitsOfDHp+I531)</f>
        <v>174337.5</v>
      </c>
      <c r="J532">
        <f>IF(AND(MyRowHidden(ROW())=FALSE,MyRowHidden(ROW()-1)=TRUE),0,(G532-G531)*unitsOfExo+J531)</f>
        <v>-112185</v>
      </c>
      <c r="K532" s="9">
        <f t="shared" si="42"/>
        <v>112185</v>
      </c>
      <c r="L532">
        <f t="shared" si="43"/>
        <v>-33130.644447513172</v>
      </c>
      <c r="M532">
        <f>IF(AND(MyRowHidden(ROW())=FALSE,MyRowHidden(ROW()-1)=TRUE),0,(G532-G531)*unitsFuturesCompare+M531)</f>
        <v>-224370</v>
      </c>
      <c r="N532">
        <f>IF(MyRowHidden(ROW())=TRUE,0,L532-M532)</f>
        <v>191239.35555248684</v>
      </c>
      <c r="O532">
        <f>MAX(N$12:N532)</f>
        <v>191239.35555248684</v>
      </c>
      <c r="P532">
        <f>IF(O532&gt;O531,(O532-O531)*percentSavingsParticipation,0)</f>
        <v>336.53332873026375</v>
      </c>
      <c r="Q532">
        <f t="shared" si="44"/>
        <v>95619.677776243421</v>
      </c>
      <c r="R532">
        <f t="shared" si="45"/>
        <v>62152.5</v>
      </c>
    </row>
    <row r="533" spans="1:18" x14ac:dyDescent="0.25">
      <c r="A533" s="1"/>
      <c r="C533" s="1"/>
      <c r="D533" s="1">
        <v>42004</v>
      </c>
      <c r="E533" s="10">
        <v>45692.75</v>
      </c>
      <c r="F533" s="1">
        <v>42004</v>
      </c>
      <c r="G533">
        <v>-7080</v>
      </c>
      <c r="H533" s="1">
        <f t="shared" si="41"/>
        <v>42004</v>
      </c>
      <c r="I533">
        <f>IF(AND(MyRowHidden(ROW())=FALSE,MyRowHidden(ROW()-1)=TRUE),0,(E533-E532)*unitsOfDHp+I532)</f>
        <v>166677.5</v>
      </c>
      <c r="J533">
        <f>IF(AND(MyRowHidden(ROW())=FALSE,MyRowHidden(ROW()-1)=TRUE),0,(G533-G532)*unitsOfExo+J532)</f>
        <v>-117185</v>
      </c>
      <c r="K533" s="9">
        <f t="shared" si="42"/>
        <v>117185</v>
      </c>
      <c r="L533">
        <f t="shared" si="43"/>
        <v>-46127.177776243436</v>
      </c>
      <c r="M533">
        <f>IF(AND(MyRowHidden(ROW())=FALSE,MyRowHidden(ROW()-1)=TRUE),0,(G533-G532)*unitsFuturesCompare+M532)</f>
        <v>-234370</v>
      </c>
      <c r="N533">
        <f>IF(MyRowHidden(ROW())=TRUE,0,L533-M533)</f>
        <v>188242.82222375658</v>
      </c>
      <c r="O533">
        <f>MAX(N$12:N533)</f>
        <v>191239.35555248684</v>
      </c>
      <c r="P533">
        <f>IF(O533&gt;O532,(O533-O532)*percentSavingsParticipation,0)</f>
        <v>0</v>
      </c>
      <c r="Q533">
        <f t="shared" si="44"/>
        <v>95619.677776243421</v>
      </c>
      <c r="R533">
        <f t="shared" si="45"/>
        <v>49492.5</v>
      </c>
    </row>
    <row r="534" spans="1:18" x14ac:dyDescent="0.25">
      <c r="A534" s="1"/>
      <c r="C534" s="1"/>
      <c r="D534" s="1">
        <v>42005</v>
      </c>
      <c r="E534" s="10">
        <v>45742.75</v>
      </c>
      <c r="F534" s="1">
        <v>42005</v>
      </c>
      <c r="G534">
        <v>-7004.5</v>
      </c>
      <c r="H534" s="1">
        <f t="shared" si="41"/>
        <v>42005</v>
      </c>
      <c r="I534">
        <f>IF(AND(MyRowHidden(ROW())=FALSE,MyRowHidden(ROW()-1)=TRUE),0,(E534-E533)*unitsOfDHp+I533)</f>
        <v>167177.5</v>
      </c>
      <c r="J534">
        <f>IF(AND(MyRowHidden(ROW())=FALSE,MyRowHidden(ROW()-1)=TRUE),0,(G534-G533)*unitsOfExo+J533)</f>
        <v>-116430</v>
      </c>
      <c r="K534" s="9">
        <f t="shared" si="42"/>
        <v>116430</v>
      </c>
      <c r="L534">
        <f t="shared" si="43"/>
        <v>-44872.177776243436</v>
      </c>
      <c r="M534">
        <f>IF(AND(MyRowHidden(ROW())=FALSE,MyRowHidden(ROW()-1)=TRUE),0,(G534-G533)*unitsFuturesCompare+M533)</f>
        <v>-232860</v>
      </c>
      <c r="N534">
        <f>IF(MyRowHidden(ROW())=TRUE,0,L534-M534)</f>
        <v>187987.82222375658</v>
      </c>
      <c r="O534">
        <f>MAX(N$12:N534)</f>
        <v>191239.35555248684</v>
      </c>
      <c r="P534">
        <f>IF(O534&gt;O533,(O534-O533)*percentSavingsParticipation,0)</f>
        <v>0</v>
      </c>
      <c r="Q534">
        <f t="shared" si="44"/>
        <v>95619.677776243421</v>
      </c>
      <c r="R534">
        <f t="shared" si="45"/>
        <v>50747.5</v>
      </c>
    </row>
    <row r="535" spans="1:18" x14ac:dyDescent="0.25">
      <c r="A535" s="1"/>
      <c r="C535" s="1"/>
      <c r="D535" s="1">
        <v>42006</v>
      </c>
      <c r="E535" s="10">
        <v>45792.75</v>
      </c>
      <c r="F535" s="1">
        <v>42006</v>
      </c>
      <c r="G535">
        <v>-7142</v>
      </c>
      <c r="H535" s="1">
        <f t="shared" si="41"/>
        <v>42006</v>
      </c>
      <c r="I535">
        <f>IF(AND(MyRowHidden(ROW())=FALSE,MyRowHidden(ROW()-1)=TRUE),0,(E535-E534)*unitsOfDHp+I534)</f>
        <v>167677.5</v>
      </c>
      <c r="J535">
        <f>IF(AND(MyRowHidden(ROW())=FALSE,MyRowHidden(ROW()-1)=TRUE),0,(G535-G534)*unitsOfExo+J534)</f>
        <v>-117805</v>
      </c>
      <c r="K535" s="9">
        <f t="shared" si="42"/>
        <v>117805</v>
      </c>
      <c r="L535">
        <f t="shared" si="43"/>
        <v>-45747.177776243436</v>
      </c>
      <c r="M535">
        <f>IF(AND(MyRowHidden(ROW())=FALSE,MyRowHidden(ROW()-1)=TRUE),0,(G535-G534)*unitsFuturesCompare+M534)</f>
        <v>-235610</v>
      </c>
      <c r="N535">
        <f>IF(MyRowHidden(ROW())=TRUE,0,L535-M535)</f>
        <v>189862.82222375658</v>
      </c>
      <c r="O535">
        <f>MAX(N$12:N535)</f>
        <v>191239.35555248684</v>
      </c>
      <c r="P535">
        <f>IF(O535&gt;O534,(O535-O534)*percentSavingsParticipation,0)</f>
        <v>0</v>
      </c>
      <c r="Q535">
        <f t="shared" si="44"/>
        <v>95619.677776243421</v>
      </c>
      <c r="R535">
        <f t="shared" si="45"/>
        <v>49872.5</v>
      </c>
    </row>
    <row r="536" spans="1:18" x14ac:dyDescent="0.25">
      <c r="A536" s="1"/>
      <c r="C536" s="1"/>
      <c r="D536" s="1">
        <v>42009</v>
      </c>
      <c r="E536" s="10">
        <v>46110.25</v>
      </c>
      <c r="F536" s="1">
        <v>42009</v>
      </c>
      <c r="G536">
        <v>-6642</v>
      </c>
      <c r="H536" s="1">
        <f t="shared" si="41"/>
        <v>42009</v>
      </c>
      <c r="I536">
        <f>IF(AND(MyRowHidden(ROW())=FALSE,MyRowHidden(ROW()-1)=TRUE),0,(E536-E535)*unitsOfDHp+I535)</f>
        <v>170852.5</v>
      </c>
      <c r="J536">
        <f>IF(AND(MyRowHidden(ROW())=FALSE,MyRowHidden(ROW()-1)=TRUE),0,(G536-G535)*unitsOfExo+J535)</f>
        <v>-112805</v>
      </c>
      <c r="K536" s="9">
        <f t="shared" si="42"/>
        <v>112805</v>
      </c>
      <c r="L536">
        <f t="shared" si="43"/>
        <v>-37572.177776243436</v>
      </c>
      <c r="M536">
        <f>IF(AND(MyRowHidden(ROW())=FALSE,MyRowHidden(ROW()-1)=TRUE),0,(G536-G535)*unitsFuturesCompare+M535)</f>
        <v>-225610</v>
      </c>
      <c r="N536">
        <f>IF(MyRowHidden(ROW())=TRUE,0,L536-M536)</f>
        <v>188037.82222375658</v>
      </c>
      <c r="O536">
        <f>MAX(N$12:N536)</f>
        <v>191239.35555248684</v>
      </c>
      <c r="P536">
        <f>IF(O536&gt;O535,(O536-O535)*percentSavingsParticipation,0)</f>
        <v>0</v>
      </c>
      <c r="Q536">
        <f t="shared" si="44"/>
        <v>95619.677776243421</v>
      </c>
      <c r="R536">
        <f t="shared" si="45"/>
        <v>58047.5</v>
      </c>
    </row>
    <row r="537" spans="1:18" x14ac:dyDescent="0.25">
      <c r="A537" s="1"/>
      <c r="C537" s="1"/>
      <c r="D537" s="1">
        <v>42010</v>
      </c>
      <c r="E537" s="10">
        <v>46010.25</v>
      </c>
      <c r="F537" s="1">
        <v>42010</v>
      </c>
      <c r="G537">
        <v>-6679.5</v>
      </c>
      <c r="H537" s="1">
        <f t="shared" si="41"/>
        <v>42010</v>
      </c>
      <c r="I537">
        <f>IF(AND(MyRowHidden(ROW())=FALSE,MyRowHidden(ROW()-1)=TRUE),0,(E537-E536)*unitsOfDHp+I536)</f>
        <v>169852.5</v>
      </c>
      <c r="J537">
        <f>IF(AND(MyRowHidden(ROW())=FALSE,MyRowHidden(ROW()-1)=TRUE),0,(G537-G536)*unitsOfExo+J536)</f>
        <v>-113180</v>
      </c>
      <c r="K537" s="9">
        <f t="shared" si="42"/>
        <v>113180</v>
      </c>
      <c r="L537">
        <f t="shared" si="43"/>
        <v>-38947.177776243436</v>
      </c>
      <c r="M537">
        <f>IF(AND(MyRowHidden(ROW())=FALSE,MyRowHidden(ROW()-1)=TRUE),0,(G537-G536)*unitsFuturesCompare+M536)</f>
        <v>-226360</v>
      </c>
      <c r="N537">
        <f>IF(MyRowHidden(ROW())=TRUE,0,L537-M537)</f>
        <v>187412.82222375658</v>
      </c>
      <c r="O537">
        <f>MAX(N$12:N537)</f>
        <v>191239.35555248684</v>
      </c>
      <c r="P537">
        <f>IF(O537&gt;O536,(O537-O536)*percentSavingsParticipation,0)</f>
        <v>0</v>
      </c>
      <c r="Q537">
        <f t="shared" si="44"/>
        <v>95619.677776243421</v>
      </c>
      <c r="R537">
        <f t="shared" si="45"/>
        <v>56672.5</v>
      </c>
    </row>
    <row r="538" spans="1:18" x14ac:dyDescent="0.25">
      <c r="A538" s="1"/>
      <c r="C538" s="1"/>
      <c r="D538" s="1">
        <v>42011</v>
      </c>
      <c r="E538" s="10">
        <v>45073.75</v>
      </c>
      <c r="F538" s="1">
        <v>42011</v>
      </c>
      <c r="G538">
        <v>-7092</v>
      </c>
      <c r="H538" s="1">
        <f t="shared" si="41"/>
        <v>42011</v>
      </c>
      <c r="I538">
        <f>IF(AND(MyRowHidden(ROW())=FALSE,MyRowHidden(ROW()-1)=TRUE),0,(E538-E537)*unitsOfDHp+I537)</f>
        <v>160487.5</v>
      </c>
      <c r="J538">
        <f>IF(AND(MyRowHidden(ROW())=FALSE,MyRowHidden(ROW()-1)=TRUE),0,(G538-G537)*unitsOfExo+J537)</f>
        <v>-117305</v>
      </c>
      <c r="K538" s="9">
        <f t="shared" si="42"/>
        <v>117305</v>
      </c>
      <c r="L538">
        <f t="shared" si="43"/>
        <v>-52437.177776243436</v>
      </c>
      <c r="M538">
        <f>IF(AND(MyRowHidden(ROW())=FALSE,MyRowHidden(ROW()-1)=TRUE),0,(G538-G537)*unitsFuturesCompare+M537)</f>
        <v>-234610</v>
      </c>
      <c r="N538">
        <f>IF(MyRowHidden(ROW())=TRUE,0,L538-M538)</f>
        <v>182172.82222375658</v>
      </c>
      <c r="O538">
        <f>MAX(N$12:N538)</f>
        <v>191239.35555248684</v>
      </c>
      <c r="P538">
        <f>IF(O538&gt;O537,(O538-O537)*percentSavingsParticipation,0)</f>
        <v>0</v>
      </c>
      <c r="Q538">
        <f t="shared" si="44"/>
        <v>95619.677776243421</v>
      </c>
      <c r="R538">
        <f t="shared" si="45"/>
        <v>43182.5</v>
      </c>
    </row>
    <row r="539" spans="1:18" x14ac:dyDescent="0.25">
      <c r="A539" s="1"/>
      <c r="C539" s="1"/>
      <c r="D539" s="1">
        <v>42012</v>
      </c>
      <c r="E539" s="10">
        <v>44873.75</v>
      </c>
      <c r="F539" s="1">
        <v>42012</v>
      </c>
      <c r="G539">
        <v>-7192</v>
      </c>
      <c r="H539" s="1">
        <f t="shared" si="41"/>
        <v>42012</v>
      </c>
      <c r="I539">
        <f>IF(AND(MyRowHidden(ROW())=FALSE,MyRowHidden(ROW()-1)=TRUE),0,(E539-E538)*unitsOfDHp+I538)</f>
        <v>158487.5</v>
      </c>
      <c r="J539">
        <f>IF(AND(MyRowHidden(ROW())=FALSE,MyRowHidden(ROW()-1)=TRUE),0,(G539-G538)*unitsOfExo+J538)</f>
        <v>-118305</v>
      </c>
      <c r="K539" s="9">
        <f t="shared" si="42"/>
        <v>118305</v>
      </c>
      <c r="L539">
        <f t="shared" si="43"/>
        <v>-55437.177776243436</v>
      </c>
      <c r="M539">
        <f>IF(AND(MyRowHidden(ROW())=FALSE,MyRowHidden(ROW()-1)=TRUE),0,(G539-G538)*unitsFuturesCompare+M538)</f>
        <v>-236610</v>
      </c>
      <c r="N539">
        <f>IF(MyRowHidden(ROW())=TRUE,0,L539-M539)</f>
        <v>181172.82222375658</v>
      </c>
      <c r="O539">
        <f>MAX(N$12:N539)</f>
        <v>191239.35555248684</v>
      </c>
      <c r="P539">
        <f>IF(O539&gt;O538,(O539-O538)*percentSavingsParticipation,0)</f>
        <v>0</v>
      </c>
      <c r="Q539">
        <f t="shared" si="44"/>
        <v>95619.677776243421</v>
      </c>
      <c r="R539">
        <f t="shared" si="45"/>
        <v>40182.5</v>
      </c>
    </row>
    <row r="540" spans="1:18" x14ac:dyDescent="0.25">
      <c r="A540" s="1"/>
      <c r="C540" s="1"/>
      <c r="D540" s="1">
        <v>42013</v>
      </c>
      <c r="E540" s="10">
        <v>44625.25</v>
      </c>
      <c r="F540" s="1">
        <v>42013</v>
      </c>
      <c r="G540">
        <v>-6879.5</v>
      </c>
      <c r="H540" s="1">
        <f t="shared" si="41"/>
        <v>42013</v>
      </c>
      <c r="I540">
        <f>IF(AND(MyRowHidden(ROW())=FALSE,MyRowHidden(ROW()-1)=TRUE),0,(E540-E539)*unitsOfDHp+I539)</f>
        <v>156002.5</v>
      </c>
      <c r="J540">
        <f>IF(AND(MyRowHidden(ROW())=FALSE,MyRowHidden(ROW()-1)=TRUE),0,(G540-G539)*unitsOfExo+J539)</f>
        <v>-115180</v>
      </c>
      <c r="K540" s="9">
        <f t="shared" si="42"/>
        <v>115180</v>
      </c>
      <c r="L540">
        <f t="shared" si="43"/>
        <v>-54797.177776243436</v>
      </c>
      <c r="M540">
        <f>IF(AND(MyRowHidden(ROW())=FALSE,MyRowHidden(ROW()-1)=TRUE),0,(G540-G539)*unitsFuturesCompare+M539)</f>
        <v>-230360</v>
      </c>
      <c r="N540">
        <f>IF(MyRowHidden(ROW())=TRUE,0,L540-M540)</f>
        <v>175562.82222375658</v>
      </c>
      <c r="O540">
        <f>MAX(N$12:N540)</f>
        <v>191239.35555248684</v>
      </c>
      <c r="P540">
        <f>IF(O540&gt;O539,(O540-O539)*percentSavingsParticipation,0)</f>
        <v>0</v>
      </c>
      <c r="Q540">
        <f t="shared" si="44"/>
        <v>95619.677776243421</v>
      </c>
      <c r="R540">
        <f t="shared" si="45"/>
        <v>40822.5</v>
      </c>
    </row>
    <row r="541" spans="1:18" x14ac:dyDescent="0.25">
      <c r="A541" s="1"/>
      <c r="C541" s="1"/>
      <c r="D541" s="1">
        <v>42016</v>
      </c>
      <c r="E541" s="10">
        <v>44664.25</v>
      </c>
      <c r="F541" s="1">
        <v>42016</v>
      </c>
      <c r="G541">
        <v>-6779.5</v>
      </c>
      <c r="H541" s="1">
        <f t="shared" si="41"/>
        <v>42016</v>
      </c>
      <c r="I541">
        <f>IF(AND(MyRowHidden(ROW())=FALSE,MyRowHidden(ROW()-1)=TRUE),0,(E541-E540)*unitsOfDHp+I540)</f>
        <v>156392.5</v>
      </c>
      <c r="J541">
        <f>IF(AND(MyRowHidden(ROW())=FALSE,MyRowHidden(ROW()-1)=TRUE),0,(G541-G540)*unitsOfExo+J540)</f>
        <v>-114180</v>
      </c>
      <c r="K541" s="9">
        <f t="shared" si="42"/>
        <v>114180</v>
      </c>
      <c r="L541">
        <f t="shared" si="43"/>
        <v>-53407.177776243436</v>
      </c>
      <c r="M541">
        <f>IF(AND(MyRowHidden(ROW())=FALSE,MyRowHidden(ROW()-1)=TRUE),0,(G541-G540)*unitsFuturesCompare+M540)</f>
        <v>-228360</v>
      </c>
      <c r="N541">
        <f>IF(MyRowHidden(ROW())=TRUE,0,L541-M541)</f>
        <v>174952.82222375658</v>
      </c>
      <c r="O541">
        <f>MAX(N$12:N541)</f>
        <v>191239.35555248684</v>
      </c>
      <c r="P541">
        <f>IF(O541&gt;O540,(O541-O540)*percentSavingsParticipation,0)</f>
        <v>0</v>
      </c>
      <c r="Q541">
        <f t="shared" si="44"/>
        <v>95619.677776243421</v>
      </c>
      <c r="R541">
        <f t="shared" si="45"/>
        <v>42212.5</v>
      </c>
    </row>
    <row r="542" spans="1:18" x14ac:dyDescent="0.25">
      <c r="A542" s="1"/>
      <c r="C542" s="1"/>
      <c r="D542" s="1">
        <v>42017</v>
      </c>
      <c r="E542" s="10">
        <v>44434.75</v>
      </c>
      <c r="F542" s="1">
        <v>42017</v>
      </c>
      <c r="G542">
        <v>-7604.5</v>
      </c>
      <c r="H542" s="1">
        <f t="shared" si="41"/>
        <v>42017</v>
      </c>
      <c r="I542">
        <f>IF(AND(MyRowHidden(ROW())=FALSE,MyRowHidden(ROW()-1)=TRUE),0,(E542-E541)*unitsOfDHp+I541)</f>
        <v>154097.5</v>
      </c>
      <c r="J542">
        <f>IF(AND(MyRowHidden(ROW())=FALSE,MyRowHidden(ROW()-1)=TRUE),0,(G542-G541)*unitsOfExo+J541)</f>
        <v>-122430</v>
      </c>
      <c r="K542" s="9">
        <f t="shared" si="42"/>
        <v>122430</v>
      </c>
      <c r="L542">
        <f t="shared" si="43"/>
        <v>-63952.177776243436</v>
      </c>
      <c r="M542">
        <f>IF(AND(MyRowHidden(ROW())=FALSE,MyRowHidden(ROW()-1)=TRUE),0,(G542-G541)*unitsFuturesCompare+M541)</f>
        <v>-244860</v>
      </c>
      <c r="N542">
        <f>IF(MyRowHidden(ROW())=TRUE,0,L542-M542)</f>
        <v>180907.82222375658</v>
      </c>
      <c r="O542">
        <f>MAX(N$12:N542)</f>
        <v>191239.35555248684</v>
      </c>
      <c r="P542">
        <f>IF(O542&gt;O541,(O542-O541)*percentSavingsParticipation,0)</f>
        <v>0</v>
      </c>
      <c r="Q542">
        <f t="shared" si="44"/>
        <v>95619.677776243421</v>
      </c>
      <c r="R542">
        <f t="shared" si="45"/>
        <v>31667.5</v>
      </c>
    </row>
    <row r="543" spans="1:18" x14ac:dyDescent="0.25">
      <c r="A543" s="1"/>
      <c r="C543" s="1"/>
      <c r="D543" s="1">
        <v>42018</v>
      </c>
      <c r="E543" s="10">
        <v>45176.75</v>
      </c>
      <c r="F543" s="1">
        <v>42018</v>
      </c>
      <c r="G543">
        <v>-7929.5</v>
      </c>
      <c r="H543" s="1">
        <f t="shared" si="41"/>
        <v>42018</v>
      </c>
      <c r="I543">
        <f>IF(AND(MyRowHidden(ROW())=FALSE,MyRowHidden(ROW()-1)=TRUE),0,(E543-E542)*unitsOfDHp+I542)</f>
        <v>161517.5</v>
      </c>
      <c r="J543">
        <f>IF(AND(MyRowHidden(ROW())=FALSE,MyRowHidden(ROW()-1)=TRUE),0,(G543-G542)*unitsOfExo+J542)</f>
        <v>-125680</v>
      </c>
      <c r="K543" s="9">
        <f t="shared" si="42"/>
        <v>125680</v>
      </c>
      <c r="L543">
        <f t="shared" si="43"/>
        <v>-59782.177776243436</v>
      </c>
      <c r="M543">
        <f>IF(AND(MyRowHidden(ROW())=FALSE,MyRowHidden(ROW()-1)=TRUE),0,(G543-G542)*unitsFuturesCompare+M542)</f>
        <v>-251360</v>
      </c>
      <c r="N543">
        <f>IF(MyRowHidden(ROW())=TRUE,0,L543-M543)</f>
        <v>191577.82222375658</v>
      </c>
      <c r="O543">
        <f>MAX(N$12:N543)</f>
        <v>191577.82222375658</v>
      </c>
      <c r="P543">
        <f>IF(O543&gt;O542,(O543-O542)*percentSavingsParticipation,0)</f>
        <v>169.23333563486813</v>
      </c>
      <c r="Q543">
        <f t="shared" si="44"/>
        <v>95788.911111878289</v>
      </c>
      <c r="R543">
        <f t="shared" si="45"/>
        <v>35837.5</v>
      </c>
    </row>
    <row r="544" spans="1:18" x14ac:dyDescent="0.25">
      <c r="A544" s="1"/>
      <c r="C544" s="1"/>
      <c r="D544" s="1">
        <v>42019</v>
      </c>
      <c r="E544" s="10">
        <v>45089.25</v>
      </c>
      <c r="F544" s="1">
        <v>42019</v>
      </c>
      <c r="G544">
        <v>-8004.5</v>
      </c>
      <c r="H544" s="1">
        <f t="shared" si="41"/>
        <v>42019</v>
      </c>
      <c r="I544">
        <f>IF(AND(MyRowHidden(ROW())=FALSE,MyRowHidden(ROW()-1)=TRUE),0,(E544-E543)*unitsOfDHp+I543)</f>
        <v>160642.5</v>
      </c>
      <c r="J544">
        <f>IF(AND(MyRowHidden(ROW())=FALSE,MyRowHidden(ROW()-1)=TRUE),0,(G544-G543)*unitsOfExo+J543)</f>
        <v>-126430</v>
      </c>
      <c r="K544" s="9">
        <f t="shared" si="42"/>
        <v>126430</v>
      </c>
      <c r="L544">
        <f t="shared" si="43"/>
        <v>-61576.411111878304</v>
      </c>
      <c r="M544">
        <f>IF(AND(MyRowHidden(ROW())=FALSE,MyRowHidden(ROW()-1)=TRUE),0,(G544-G543)*unitsFuturesCompare+M543)</f>
        <v>-252860</v>
      </c>
      <c r="N544">
        <f>IF(MyRowHidden(ROW())=TRUE,0,L544-M544)</f>
        <v>191283.58888812171</v>
      </c>
      <c r="O544">
        <f>MAX(N$12:N544)</f>
        <v>191577.82222375658</v>
      </c>
      <c r="P544">
        <f>IF(O544&gt;O543,(O544-O543)*percentSavingsParticipation,0)</f>
        <v>0</v>
      </c>
      <c r="Q544">
        <f t="shared" si="44"/>
        <v>95788.911111878289</v>
      </c>
      <c r="R544">
        <f t="shared" si="45"/>
        <v>34212.5</v>
      </c>
    </row>
    <row r="545" spans="1:18" x14ac:dyDescent="0.25">
      <c r="A545" s="1"/>
      <c r="C545" s="1"/>
      <c r="D545" s="1">
        <v>42020</v>
      </c>
      <c r="E545" s="10">
        <v>44990.75</v>
      </c>
      <c r="F545" s="1">
        <v>42020</v>
      </c>
      <c r="G545">
        <v>-7567</v>
      </c>
      <c r="H545" s="1">
        <f t="shared" si="41"/>
        <v>42020</v>
      </c>
      <c r="I545">
        <f>IF(AND(MyRowHidden(ROW())=FALSE,MyRowHidden(ROW()-1)=TRUE),0,(E545-E544)*unitsOfDHp+I544)</f>
        <v>159657.5</v>
      </c>
      <c r="J545">
        <f>IF(AND(MyRowHidden(ROW())=FALSE,MyRowHidden(ROW()-1)=TRUE),0,(G545-G544)*unitsOfExo+J544)</f>
        <v>-122055</v>
      </c>
      <c r="K545" s="9">
        <f t="shared" si="42"/>
        <v>122055</v>
      </c>
      <c r="L545">
        <f t="shared" si="43"/>
        <v>-58186.411111878304</v>
      </c>
      <c r="M545">
        <f>IF(AND(MyRowHidden(ROW())=FALSE,MyRowHidden(ROW()-1)=TRUE),0,(G545-G544)*unitsFuturesCompare+M544)</f>
        <v>-244110</v>
      </c>
      <c r="N545">
        <f>IF(MyRowHidden(ROW())=TRUE,0,L545-M545)</f>
        <v>185923.58888812171</v>
      </c>
      <c r="O545">
        <f>MAX(N$12:N545)</f>
        <v>191577.82222375658</v>
      </c>
      <c r="P545">
        <f>IF(O545&gt;O544,(O545-O544)*percentSavingsParticipation,0)</f>
        <v>0</v>
      </c>
      <c r="Q545">
        <f t="shared" si="44"/>
        <v>95788.911111878289</v>
      </c>
      <c r="R545">
        <f t="shared" si="45"/>
        <v>37602.5</v>
      </c>
    </row>
    <row r="546" spans="1:18" x14ac:dyDescent="0.25">
      <c r="A546" s="1"/>
      <c r="C546" s="1"/>
      <c r="D546" s="1">
        <v>42023</v>
      </c>
      <c r="E546" s="10">
        <v>45103.25</v>
      </c>
      <c r="F546" s="1">
        <v>42023</v>
      </c>
      <c r="G546">
        <v>-7567</v>
      </c>
      <c r="H546" s="1">
        <f t="shared" si="41"/>
        <v>42023</v>
      </c>
      <c r="I546">
        <f>IF(AND(MyRowHidden(ROW())=FALSE,MyRowHidden(ROW()-1)=TRUE),0,(E546-E545)*unitsOfDHp+I545)</f>
        <v>160782.5</v>
      </c>
      <c r="J546">
        <f>IF(AND(MyRowHidden(ROW())=FALSE,MyRowHidden(ROW()-1)=TRUE),0,(G546-G545)*unitsOfExo+J545)</f>
        <v>-122055</v>
      </c>
      <c r="K546" s="9">
        <f t="shared" si="42"/>
        <v>122055</v>
      </c>
      <c r="L546">
        <f t="shared" si="43"/>
        <v>-57061.411111878304</v>
      </c>
      <c r="M546">
        <f>IF(AND(MyRowHidden(ROW())=FALSE,MyRowHidden(ROW()-1)=TRUE),0,(G546-G545)*unitsFuturesCompare+M545)</f>
        <v>-244110</v>
      </c>
      <c r="N546">
        <f>IF(MyRowHidden(ROW())=TRUE,0,L546-M546)</f>
        <v>187048.58888812171</v>
      </c>
      <c r="O546">
        <f>MAX(N$12:N546)</f>
        <v>191577.82222375658</v>
      </c>
      <c r="P546">
        <f>IF(O546&gt;O545,(O546-O545)*percentSavingsParticipation,0)</f>
        <v>0</v>
      </c>
      <c r="Q546">
        <f t="shared" si="44"/>
        <v>95788.911111878289</v>
      </c>
      <c r="R546">
        <f t="shared" si="45"/>
        <v>38727.5</v>
      </c>
    </row>
    <row r="547" spans="1:18" x14ac:dyDescent="0.25">
      <c r="A547" s="1"/>
      <c r="C547" s="1"/>
      <c r="D547" s="1">
        <v>42024</v>
      </c>
      <c r="E547" s="10">
        <v>45006.25</v>
      </c>
      <c r="F547" s="1">
        <v>42024</v>
      </c>
      <c r="G547">
        <v>-7442</v>
      </c>
      <c r="H547" s="1">
        <f t="shared" si="41"/>
        <v>42024</v>
      </c>
      <c r="I547">
        <f>IF(AND(MyRowHidden(ROW())=FALSE,MyRowHidden(ROW()-1)=TRUE),0,(E547-E546)*unitsOfDHp+I546)</f>
        <v>159812.5</v>
      </c>
      <c r="J547">
        <f>IF(AND(MyRowHidden(ROW())=FALSE,MyRowHidden(ROW()-1)=TRUE),0,(G547-G546)*unitsOfExo+J546)</f>
        <v>-120805</v>
      </c>
      <c r="K547" s="9">
        <f t="shared" si="42"/>
        <v>120805</v>
      </c>
      <c r="L547">
        <f t="shared" si="43"/>
        <v>-56781.411111878304</v>
      </c>
      <c r="M547">
        <f>IF(AND(MyRowHidden(ROW())=FALSE,MyRowHidden(ROW()-1)=TRUE),0,(G547-G546)*unitsFuturesCompare+M546)</f>
        <v>-241610</v>
      </c>
      <c r="N547">
        <f>IF(MyRowHidden(ROW())=TRUE,0,L547-M547)</f>
        <v>184828.58888812171</v>
      </c>
      <c r="O547">
        <f>MAX(N$12:N547)</f>
        <v>191577.82222375658</v>
      </c>
      <c r="P547">
        <f>IF(O547&gt;O546,(O547-O546)*percentSavingsParticipation,0)</f>
        <v>0</v>
      </c>
      <c r="Q547">
        <f t="shared" si="44"/>
        <v>95788.911111878289</v>
      </c>
      <c r="R547">
        <f t="shared" si="45"/>
        <v>39007.5</v>
      </c>
    </row>
    <row r="548" spans="1:18" x14ac:dyDescent="0.25">
      <c r="A548" s="1"/>
      <c r="C548" s="1"/>
      <c r="D548" s="1">
        <v>42025</v>
      </c>
      <c r="E548" s="10">
        <v>44734.25</v>
      </c>
      <c r="F548" s="1">
        <v>42025</v>
      </c>
      <c r="G548">
        <v>-7529.5</v>
      </c>
      <c r="H548" s="1">
        <f t="shared" si="41"/>
        <v>42025</v>
      </c>
      <c r="I548">
        <f>IF(AND(MyRowHidden(ROW())=FALSE,MyRowHidden(ROW()-1)=TRUE),0,(E548-E547)*unitsOfDHp+I547)</f>
        <v>157092.5</v>
      </c>
      <c r="J548">
        <f>IF(AND(MyRowHidden(ROW())=FALSE,MyRowHidden(ROW()-1)=TRUE),0,(G548-G547)*unitsOfExo+J547)</f>
        <v>-121680</v>
      </c>
      <c r="K548" s="9">
        <f t="shared" si="42"/>
        <v>121680</v>
      </c>
      <c r="L548">
        <f t="shared" si="43"/>
        <v>-60376.411111878304</v>
      </c>
      <c r="M548">
        <f>IF(AND(MyRowHidden(ROW())=FALSE,MyRowHidden(ROW()-1)=TRUE),0,(G548-G547)*unitsFuturesCompare+M547)</f>
        <v>-243360</v>
      </c>
      <c r="N548">
        <f>IF(MyRowHidden(ROW())=TRUE,0,L548-M548)</f>
        <v>182983.58888812171</v>
      </c>
      <c r="O548">
        <f>MAX(N$12:N548)</f>
        <v>191577.82222375658</v>
      </c>
      <c r="P548">
        <f>IF(O548&gt;O547,(O548-O547)*percentSavingsParticipation,0)</f>
        <v>0</v>
      </c>
      <c r="Q548">
        <f t="shared" si="44"/>
        <v>95788.911111878289</v>
      </c>
      <c r="R548">
        <f t="shared" si="45"/>
        <v>35412.5</v>
      </c>
    </row>
    <row r="549" spans="1:18" x14ac:dyDescent="0.25">
      <c r="A549" s="1"/>
      <c r="C549" s="1"/>
      <c r="D549" s="1">
        <v>42026</v>
      </c>
      <c r="E549" s="10">
        <v>44296</v>
      </c>
      <c r="F549" s="1">
        <v>42026</v>
      </c>
      <c r="G549">
        <v>-7729.5</v>
      </c>
      <c r="H549" s="1">
        <f t="shared" si="41"/>
        <v>42026</v>
      </c>
      <c r="I549">
        <f>IF(AND(MyRowHidden(ROW())=FALSE,MyRowHidden(ROW()-1)=TRUE),0,(E549-E548)*unitsOfDHp+I548)</f>
        <v>152710</v>
      </c>
      <c r="J549">
        <f>IF(AND(MyRowHidden(ROW())=FALSE,MyRowHidden(ROW()-1)=TRUE),0,(G549-G548)*unitsOfExo+J548)</f>
        <v>-123680</v>
      </c>
      <c r="K549" s="9">
        <f t="shared" si="42"/>
        <v>123680</v>
      </c>
      <c r="L549">
        <f t="shared" si="43"/>
        <v>-66758.911111878304</v>
      </c>
      <c r="M549">
        <f>IF(AND(MyRowHidden(ROW())=FALSE,MyRowHidden(ROW()-1)=TRUE),0,(G549-G548)*unitsFuturesCompare+M548)</f>
        <v>-247360</v>
      </c>
      <c r="N549">
        <f>IF(MyRowHidden(ROW())=TRUE,0,L549-M549)</f>
        <v>180601.08888812171</v>
      </c>
      <c r="O549">
        <f>MAX(N$12:N549)</f>
        <v>191577.82222375658</v>
      </c>
      <c r="P549">
        <f>IF(O549&gt;O548,(O549-O548)*percentSavingsParticipation,0)</f>
        <v>0</v>
      </c>
      <c r="Q549">
        <f t="shared" si="44"/>
        <v>95788.911111878289</v>
      </c>
      <c r="R549">
        <f t="shared" si="45"/>
        <v>29030</v>
      </c>
    </row>
    <row r="550" spans="1:18" x14ac:dyDescent="0.25">
      <c r="A550" s="1"/>
      <c r="C550" s="1"/>
      <c r="D550" s="1">
        <v>42027</v>
      </c>
      <c r="E550" s="10">
        <v>44283.5</v>
      </c>
      <c r="F550" s="1">
        <v>42027</v>
      </c>
      <c r="G550">
        <v>-7642</v>
      </c>
      <c r="H550" s="1">
        <f t="shared" si="41"/>
        <v>42027</v>
      </c>
      <c r="I550">
        <f>IF(AND(MyRowHidden(ROW())=FALSE,MyRowHidden(ROW()-1)=TRUE),0,(E550-E549)*unitsOfDHp+I549)</f>
        <v>152585</v>
      </c>
      <c r="J550">
        <f>IF(AND(MyRowHidden(ROW())=FALSE,MyRowHidden(ROW()-1)=TRUE),0,(G550-G549)*unitsOfExo+J549)</f>
        <v>-122805</v>
      </c>
      <c r="K550" s="9">
        <f t="shared" si="42"/>
        <v>122805</v>
      </c>
      <c r="L550">
        <f t="shared" si="43"/>
        <v>-66008.911111878304</v>
      </c>
      <c r="M550">
        <f>IF(AND(MyRowHidden(ROW())=FALSE,MyRowHidden(ROW()-1)=TRUE),0,(G550-G549)*unitsFuturesCompare+M549)</f>
        <v>-245610</v>
      </c>
      <c r="N550">
        <f>IF(MyRowHidden(ROW())=TRUE,0,L550-M550)</f>
        <v>179601.08888812171</v>
      </c>
      <c r="O550">
        <f>MAX(N$12:N550)</f>
        <v>191577.82222375658</v>
      </c>
      <c r="P550">
        <f>IF(O550&gt;O549,(O550-O549)*percentSavingsParticipation,0)</f>
        <v>0</v>
      </c>
      <c r="Q550">
        <f t="shared" si="44"/>
        <v>95788.911111878289</v>
      </c>
      <c r="R550">
        <f t="shared" si="45"/>
        <v>29780</v>
      </c>
    </row>
    <row r="551" spans="1:18" x14ac:dyDescent="0.25">
      <c r="A551" s="1"/>
      <c r="C551" s="1"/>
      <c r="D551" s="1">
        <v>42030</v>
      </c>
      <c r="E551" s="10">
        <v>44396</v>
      </c>
      <c r="F551" s="1">
        <v>42030</v>
      </c>
      <c r="G551">
        <v>-7692</v>
      </c>
      <c r="H551" s="1">
        <f t="shared" si="41"/>
        <v>42030</v>
      </c>
      <c r="I551">
        <f>IF(AND(MyRowHidden(ROW())=FALSE,MyRowHidden(ROW()-1)=TRUE),0,(E551-E550)*unitsOfDHp+I550)</f>
        <v>153710</v>
      </c>
      <c r="J551">
        <f>IF(AND(MyRowHidden(ROW())=FALSE,MyRowHidden(ROW()-1)=TRUE),0,(G551-G550)*unitsOfExo+J550)</f>
        <v>-123305</v>
      </c>
      <c r="K551" s="9">
        <f t="shared" si="42"/>
        <v>123305</v>
      </c>
      <c r="L551">
        <f t="shared" si="43"/>
        <v>-65383.911111878304</v>
      </c>
      <c r="M551">
        <f>IF(AND(MyRowHidden(ROW())=FALSE,MyRowHidden(ROW()-1)=TRUE),0,(G551-G550)*unitsFuturesCompare+M550)</f>
        <v>-246610</v>
      </c>
      <c r="N551">
        <f>IF(MyRowHidden(ROW())=TRUE,0,L551-M551)</f>
        <v>181226.08888812171</v>
      </c>
      <c r="O551">
        <f>MAX(N$12:N551)</f>
        <v>191577.82222375658</v>
      </c>
      <c r="P551">
        <f>IF(O551&gt;O550,(O551-O550)*percentSavingsParticipation,0)</f>
        <v>0</v>
      </c>
      <c r="Q551">
        <f t="shared" si="44"/>
        <v>95788.911111878289</v>
      </c>
      <c r="R551">
        <f t="shared" si="45"/>
        <v>30405</v>
      </c>
    </row>
    <row r="552" spans="1:18" x14ac:dyDescent="0.25">
      <c r="A552" s="1"/>
      <c r="C552" s="1"/>
      <c r="D552" s="1">
        <v>42031</v>
      </c>
      <c r="E552" s="10">
        <v>44371</v>
      </c>
      <c r="F552" s="1">
        <v>42031</v>
      </c>
      <c r="G552">
        <v>-7779.5</v>
      </c>
      <c r="H552" s="1">
        <f t="shared" si="41"/>
        <v>42031</v>
      </c>
      <c r="I552">
        <f>IF(AND(MyRowHidden(ROW())=FALSE,MyRowHidden(ROW()-1)=TRUE),0,(E552-E551)*unitsOfDHp+I551)</f>
        <v>153460</v>
      </c>
      <c r="J552">
        <f>IF(AND(MyRowHidden(ROW())=FALSE,MyRowHidden(ROW()-1)=TRUE),0,(G552-G551)*unitsOfExo+J551)</f>
        <v>-124180</v>
      </c>
      <c r="K552" s="9">
        <f t="shared" si="42"/>
        <v>124180</v>
      </c>
      <c r="L552">
        <f t="shared" si="43"/>
        <v>-66508.911111878304</v>
      </c>
      <c r="M552">
        <f>IF(AND(MyRowHidden(ROW())=FALSE,MyRowHidden(ROW()-1)=TRUE),0,(G552-G551)*unitsFuturesCompare+M551)</f>
        <v>-248360</v>
      </c>
      <c r="N552">
        <f>IF(MyRowHidden(ROW())=TRUE,0,L552-M552)</f>
        <v>181851.08888812171</v>
      </c>
      <c r="O552">
        <f>MAX(N$12:N552)</f>
        <v>191577.82222375658</v>
      </c>
      <c r="P552">
        <f>IF(O552&gt;O551,(O552-O551)*percentSavingsParticipation,0)</f>
        <v>0</v>
      </c>
      <c r="Q552">
        <f t="shared" si="44"/>
        <v>95788.911111878289</v>
      </c>
      <c r="R552">
        <f t="shared" si="45"/>
        <v>29280</v>
      </c>
    </row>
    <row r="553" spans="1:18" x14ac:dyDescent="0.25">
      <c r="A553" s="1"/>
      <c r="C553" s="1"/>
      <c r="D553" s="1">
        <v>42032</v>
      </c>
      <c r="E553" s="10">
        <v>44302</v>
      </c>
      <c r="F553" s="1">
        <v>42032</v>
      </c>
      <c r="G553">
        <v>-8104.5</v>
      </c>
      <c r="H553" s="1">
        <f t="shared" si="41"/>
        <v>42032</v>
      </c>
      <c r="I553">
        <f>IF(AND(MyRowHidden(ROW())=FALSE,MyRowHidden(ROW()-1)=TRUE),0,(E553-E552)*unitsOfDHp+I552)</f>
        <v>152770</v>
      </c>
      <c r="J553">
        <f>IF(AND(MyRowHidden(ROW())=FALSE,MyRowHidden(ROW()-1)=TRUE),0,(G553-G552)*unitsOfExo+J552)</f>
        <v>-127430</v>
      </c>
      <c r="K553" s="9">
        <f t="shared" si="42"/>
        <v>127430</v>
      </c>
      <c r="L553">
        <f t="shared" si="43"/>
        <v>-70448.911111878304</v>
      </c>
      <c r="M553">
        <f>IF(AND(MyRowHidden(ROW())=FALSE,MyRowHidden(ROW()-1)=TRUE),0,(G553-G552)*unitsFuturesCompare+M552)</f>
        <v>-254860</v>
      </c>
      <c r="N553">
        <f>IF(MyRowHidden(ROW())=TRUE,0,L553-M553)</f>
        <v>184411.08888812171</v>
      </c>
      <c r="O553">
        <f>MAX(N$12:N553)</f>
        <v>191577.82222375658</v>
      </c>
      <c r="P553">
        <f>IF(O553&gt;O552,(O553-O552)*percentSavingsParticipation,0)</f>
        <v>0</v>
      </c>
      <c r="Q553">
        <f t="shared" si="44"/>
        <v>95788.911111878289</v>
      </c>
      <c r="R553">
        <f t="shared" si="45"/>
        <v>25340</v>
      </c>
    </row>
    <row r="554" spans="1:18" x14ac:dyDescent="0.25">
      <c r="A554" s="1"/>
      <c r="C554" s="1"/>
      <c r="D554" s="1">
        <v>42033</v>
      </c>
      <c r="E554" s="10">
        <v>45041</v>
      </c>
      <c r="F554" s="1">
        <v>42033</v>
      </c>
      <c r="G554">
        <v>-8404.5</v>
      </c>
      <c r="H554" s="1">
        <f t="shared" si="41"/>
        <v>42033</v>
      </c>
      <c r="I554">
        <f>IF(AND(MyRowHidden(ROW())=FALSE,MyRowHidden(ROW()-1)=TRUE),0,(E554-E553)*unitsOfDHp+I553)</f>
        <v>160160</v>
      </c>
      <c r="J554">
        <f>IF(AND(MyRowHidden(ROW())=FALSE,MyRowHidden(ROW()-1)=TRUE),0,(G554-G553)*unitsOfExo+J553)</f>
        <v>-130430</v>
      </c>
      <c r="K554" s="9">
        <f t="shared" si="42"/>
        <v>130430</v>
      </c>
      <c r="L554">
        <f t="shared" si="43"/>
        <v>-66058.911111878304</v>
      </c>
      <c r="M554">
        <f>IF(AND(MyRowHidden(ROW())=FALSE,MyRowHidden(ROW()-1)=TRUE),0,(G554-G553)*unitsFuturesCompare+M553)</f>
        <v>-260860</v>
      </c>
      <c r="N554">
        <f>IF(MyRowHidden(ROW())=TRUE,0,L554-M554)</f>
        <v>194801.08888812171</v>
      </c>
      <c r="O554">
        <f>MAX(N$12:N554)</f>
        <v>194801.08888812171</v>
      </c>
      <c r="P554">
        <f>IF(O554&gt;O553,(O554-O553)*percentSavingsParticipation,0)</f>
        <v>1611.6333321825659</v>
      </c>
      <c r="Q554">
        <f t="shared" si="44"/>
        <v>97400.544444060855</v>
      </c>
      <c r="R554">
        <f t="shared" si="45"/>
        <v>29730</v>
      </c>
    </row>
    <row r="555" spans="1:18" x14ac:dyDescent="0.25">
      <c r="A555" s="1"/>
      <c r="C555" s="1"/>
      <c r="D555" s="1">
        <v>42034</v>
      </c>
      <c r="E555" s="10">
        <v>45141</v>
      </c>
      <c r="F555" s="1">
        <v>42034</v>
      </c>
      <c r="G555">
        <v>-8417</v>
      </c>
      <c r="H555" s="1">
        <f t="shared" si="41"/>
        <v>42034</v>
      </c>
      <c r="I555">
        <f>IF(AND(MyRowHidden(ROW())=FALSE,MyRowHidden(ROW()-1)=TRUE),0,(E555-E554)*unitsOfDHp+I554)</f>
        <v>161160</v>
      </c>
      <c r="J555">
        <f>IF(AND(MyRowHidden(ROW())=FALSE,MyRowHidden(ROW()-1)=TRUE),0,(G555-G554)*unitsOfExo+J554)</f>
        <v>-130555</v>
      </c>
      <c r="K555" s="9">
        <f t="shared" si="42"/>
        <v>130555</v>
      </c>
      <c r="L555">
        <f t="shared" si="43"/>
        <v>-66795.54444406087</v>
      </c>
      <c r="M555">
        <f>IF(AND(MyRowHidden(ROW())=FALSE,MyRowHidden(ROW()-1)=TRUE),0,(G555-G554)*unitsFuturesCompare+M554)</f>
        <v>-261110</v>
      </c>
      <c r="N555">
        <f>IF(MyRowHidden(ROW())=TRUE,0,L555-M555)</f>
        <v>194314.45555593912</v>
      </c>
      <c r="O555">
        <f>MAX(N$12:N555)</f>
        <v>194801.08888812171</v>
      </c>
      <c r="P555">
        <f>IF(O555&gt;O554,(O555-O554)*percentSavingsParticipation,0)</f>
        <v>0</v>
      </c>
      <c r="Q555">
        <f t="shared" si="44"/>
        <v>97400.544444060855</v>
      </c>
      <c r="R555">
        <f t="shared" si="45"/>
        <v>30605</v>
      </c>
    </row>
    <row r="556" spans="1:18" x14ac:dyDescent="0.25">
      <c r="A556" s="1"/>
      <c r="C556" s="1"/>
      <c r="D556" s="1">
        <v>42037</v>
      </c>
      <c r="E556" s="10">
        <v>45066</v>
      </c>
      <c r="F556" s="1">
        <v>42037</v>
      </c>
      <c r="G556">
        <v>-8404</v>
      </c>
      <c r="H556" s="1">
        <f t="shared" si="41"/>
        <v>42037</v>
      </c>
      <c r="I556">
        <f>IF(AND(MyRowHidden(ROW())=FALSE,MyRowHidden(ROW()-1)=TRUE),0,(E556-E555)*unitsOfDHp+I555)</f>
        <v>160410</v>
      </c>
      <c r="J556">
        <f>IF(AND(MyRowHidden(ROW())=FALSE,MyRowHidden(ROW()-1)=TRUE),0,(G556-G555)*unitsOfExo+J555)</f>
        <v>-130425</v>
      </c>
      <c r="K556" s="9">
        <f t="shared" si="42"/>
        <v>130425</v>
      </c>
      <c r="L556">
        <f t="shared" si="43"/>
        <v>-67415.54444406087</v>
      </c>
      <c r="M556">
        <f>IF(AND(MyRowHidden(ROW())=FALSE,MyRowHidden(ROW()-1)=TRUE),0,(G556-G555)*unitsFuturesCompare+M555)</f>
        <v>-260850</v>
      </c>
      <c r="N556">
        <f>IF(MyRowHidden(ROW())=TRUE,0,L556-M556)</f>
        <v>193434.45555593912</v>
      </c>
      <c r="O556">
        <f>MAX(N$12:N556)</f>
        <v>194801.08888812171</v>
      </c>
      <c r="P556">
        <f>IF(O556&gt;O555,(O556-O555)*percentSavingsParticipation,0)</f>
        <v>0</v>
      </c>
      <c r="Q556">
        <f t="shared" si="44"/>
        <v>97400.544444060855</v>
      </c>
      <c r="R556">
        <f t="shared" si="45"/>
        <v>29985</v>
      </c>
    </row>
    <row r="557" spans="1:18" x14ac:dyDescent="0.25">
      <c r="A557" s="1"/>
      <c r="C557" s="1"/>
      <c r="D557" s="1">
        <v>42038</v>
      </c>
      <c r="E557" s="10">
        <v>42971</v>
      </c>
      <c r="F557" s="1">
        <v>42038</v>
      </c>
      <c r="G557">
        <v>-7629</v>
      </c>
      <c r="H557" s="1">
        <f t="shared" si="41"/>
        <v>42038</v>
      </c>
      <c r="I557">
        <f>IF(AND(MyRowHidden(ROW())=FALSE,MyRowHidden(ROW()-1)=TRUE),0,(E557-E556)*unitsOfDHp+I556)</f>
        <v>139460</v>
      </c>
      <c r="J557">
        <f>IF(AND(MyRowHidden(ROW())=FALSE,MyRowHidden(ROW()-1)=TRUE),0,(G557-G556)*unitsOfExo+J556)</f>
        <v>-122675</v>
      </c>
      <c r="K557" s="9">
        <f t="shared" si="42"/>
        <v>122675</v>
      </c>
      <c r="L557">
        <f t="shared" si="43"/>
        <v>-80615.54444406087</v>
      </c>
      <c r="M557">
        <f>IF(AND(MyRowHidden(ROW())=FALSE,MyRowHidden(ROW()-1)=TRUE),0,(G557-G556)*unitsFuturesCompare+M556)</f>
        <v>-245350</v>
      </c>
      <c r="N557">
        <f>IF(MyRowHidden(ROW())=TRUE,0,L557-M557)</f>
        <v>164734.45555593912</v>
      </c>
      <c r="O557">
        <f>MAX(N$12:N557)</f>
        <v>194801.08888812171</v>
      </c>
      <c r="P557">
        <f>IF(O557&gt;O556,(O557-O556)*percentSavingsParticipation,0)</f>
        <v>0</v>
      </c>
      <c r="Q557">
        <f t="shared" si="44"/>
        <v>97400.544444060855</v>
      </c>
      <c r="R557">
        <f t="shared" si="45"/>
        <v>16785</v>
      </c>
    </row>
    <row r="558" spans="1:18" x14ac:dyDescent="0.25">
      <c r="A558" s="1"/>
      <c r="C558" s="1"/>
      <c r="D558" s="1">
        <v>42039</v>
      </c>
      <c r="E558" s="10">
        <v>42571</v>
      </c>
      <c r="F558" s="1">
        <v>42039</v>
      </c>
      <c r="G558">
        <v>-7891.5</v>
      </c>
      <c r="H558" s="1">
        <f t="shared" si="41"/>
        <v>42039</v>
      </c>
      <c r="I558">
        <f>IF(AND(MyRowHidden(ROW())=FALSE,MyRowHidden(ROW()-1)=TRUE),0,(E558-E557)*unitsOfDHp+I557)</f>
        <v>135460</v>
      </c>
      <c r="J558">
        <f>IF(AND(MyRowHidden(ROW())=FALSE,MyRowHidden(ROW()-1)=TRUE),0,(G558-G557)*unitsOfExo+J557)</f>
        <v>-125300</v>
      </c>
      <c r="K558" s="9">
        <f t="shared" si="42"/>
        <v>125300</v>
      </c>
      <c r="L558">
        <f t="shared" si="43"/>
        <v>-87240.54444406087</v>
      </c>
      <c r="M558">
        <f>IF(AND(MyRowHidden(ROW())=FALSE,MyRowHidden(ROW()-1)=TRUE),0,(G558-G557)*unitsFuturesCompare+M557)</f>
        <v>-250600</v>
      </c>
      <c r="N558">
        <f>IF(MyRowHidden(ROW())=TRUE,0,L558-M558)</f>
        <v>163359.45555593912</v>
      </c>
      <c r="O558">
        <f>MAX(N$12:N558)</f>
        <v>194801.08888812171</v>
      </c>
      <c r="P558">
        <f>IF(O558&gt;O557,(O558-O557)*percentSavingsParticipation,0)</f>
        <v>0</v>
      </c>
      <c r="Q558">
        <f t="shared" si="44"/>
        <v>97400.544444060855</v>
      </c>
      <c r="R558">
        <f t="shared" si="45"/>
        <v>10160</v>
      </c>
    </row>
    <row r="559" spans="1:18" x14ac:dyDescent="0.25">
      <c r="A559" s="1"/>
      <c r="C559" s="1"/>
      <c r="D559" s="1">
        <v>42040</v>
      </c>
      <c r="E559" s="10">
        <v>42571</v>
      </c>
      <c r="F559" s="1">
        <v>42040</v>
      </c>
      <c r="G559">
        <v>-7741.5</v>
      </c>
      <c r="H559" s="1">
        <f t="shared" si="41"/>
        <v>42040</v>
      </c>
      <c r="I559">
        <f>IF(AND(MyRowHidden(ROW())=FALSE,MyRowHidden(ROW()-1)=TRUE),0,(E559-E558)*unitsOfDHp+I558)</f>
        <v>135460</v>
      </c>
      <c r="J559">
        <f>IF(AND(MyRowHidden(ROW())=FALSE,MyRowHidden(ROW()-1)=TRUE),0,(G559-G558)*unitsOfExo+J558)</f>
        <v>-123800</v>
      </c>
      <c r="K559" s="9">
        <f t="shared" si="42"/>
        <v>123800</v>
      </c>
      <c r="L559">
        <f t="shared" si="43"/>
        <v>-85740.54444406087</v>
      </c>
      <c r="M559">
        <f>IF(AND(MyRowHidden(ROW())=FALSE,MyRowHidden(ROW()-1)=TRUE),0,(G559-G558)*unitsFuturesCompare+M558)</f>
        <v>-247600</v>
      </c>
      <c r="N559">
        <f>IF(MyRowHidden(ROW())=TRUE,0,L559-M559)</f>
        <v>161859.45555593912</v>
      </c>
      <c r="O559">
        <f>MAX(N$12:N559)</f>
        <v>194801.08888812171</v>
      </c>
      <c r="P559">
        <f>IF(O559&gt;O558,(O559-O558)*percentSavingsParticipation,0)</f>
        <v>0</v>
      </c>
      <c r="Q559">
        <f t="shared" si="44"/>
        <v>97400.544444060855</v>
      </c>
      <c r="R559">
        <f t="shared" si="45"/>
        <v>11660</v>
      </c>
    </row>
    <row r="560" spans="1:18" x14ac:dyDescent="0.25">
      <c r="A560" s="1"/>
      <c r="C560" s="1"/>
      <c r="D560" s="1">
        <v>42041</v>
      </c>
      <c r="E560" s="10">
        <v>42571</v>
      </c>
      <c r="F560" s="1">
        <v>42041</v>
      </c>
      <c r="G560">
        <v>-7804</v>
      </c>
      <c r="H560" s="1">
        <f t="shared" si="41"/>
        <v>42041</v>
      </c>
      <c r="I560">
        <f>IF(AND(MyRowHidden(ROW())=FALSE,MyRowHidden(ROW()-1)=TRUE),0,(E560-E559)*unitsOfDHp+I559)</f>
        <v>135460</v>
      </c>
      <c r="J560">
        <f>IF(AND(MyRowHidden(ROW())=FALSE,MyRowHidden(ROW()-1)=TRUE),0,(G560-G559)*unitsOfExo+J559)</f>
        <v>-124425</v>
      </c>
      <c r="K560" s="9">
        <f t="shared" si="42"/>
        <v>124425</v>
      </c>
      <c r="L560">
        <f t="shared" si="43"/>
        <v>-86365.54444406087</v>
      </c>
      <c r="M560">
        <f>IF(AND(MyRowHidden(ROW())=FALSE,MyRowHidden(ROW()-1)=TRUE),0,(G560-G559)*unitsFuturesCompare+M559)</f>
        <v>-248850</v>
      </c>
      <c r="N560">
        <f>IF(MyRowHidden(ROW())=TRUE,0,L560-M560)</f>
        <v>162484.45555593912</v>
      </c>
      <c r="O560">
        <f>MAX(N$12:N560)</f>
        <v>194801.08888812171</v>
      </c>
      <c r="P560">
        <f>IF(O560&gt;O559,(O560-O559)*percentSavingsParticipation,0)</f>
        <v>0</v>
      </c>
      <c r="Q560">
        <f t="shared" si="44"/>
        <v>97400.544444060855</v>
      </c>
      <c r="R560">
        <f t="shared" si="45"/>
        <v>11035</v>
      </c>
    </row>
    <row r="561" spans="1:18" x14ac:dyDescent="0.25">
      <c r="A561" s="1"/>
      <c r="C561" s="1"/>
      <c r="D561" s="1">
        <v>42044</v>
      </c>
      <c r="E561" s="10">
        <v>42571</v>
      </c>
      <c r="F561" s="1">
        <v>42044</v>
      </c>
      <c r="G561">
        <v>-7404</v>
      </c>
      <c r="H561" s="1">
        <f t="shared" si="41"/>
        <v>42044</v>
      </c>
      <c r="I561">
        <f>IF(AND(MyRowHidden(ROW())=FALSE,MyRowHidden(ROW()-1)=TRUE),0,(E561-E560)*unitsOfDHp+I560)</f>
        <v>135460</v>
      </c>
      <c r="J561">
        <f>IF(AND(MyRowHidden(ROW())=FALSE,MyRowHidden(ROW()-1)=TRUE),0,(G561-G560)*unitsOfExo+J560)</f>
        <v>-120425</v>
      </c>
      <c r="K561" s="9">
        <f t="shared" si="42"/>
        <v>120425</v>
      </c>
      <c r="L561">
        <f t="shared" si="43"/>
        <v>-82365.54444406087</v>
      </c>
      <c r="M561">
        <f>IF(AND(MyRowHidden(ROW())=FALSE,MyRowHidden(ROW()-1)=TRUE),0,(G561-G560)*unitsFuturesCompare+M560)</f>
        <v>-240850</v>
      </c>
      <c r="N561">
        <f>IF(MyRowHidden(ROW())=TRUE,0,L561-M561)</f>
        <v>158484.45555593912</v>
      </c>
      <c r="O561">
        <f>MAX(N$12:N561)</f>
        <v>194801.08888812171</v>
      </c>
      <c r="P561">
        <f>IF(O561&gt;O560,(O561-O560)*percentSavingsParticipation,0)</f>
        <v>0</v>
      </c>
      <c r="Q561">
        <f t="shared" si="44"/>
        <v>97400.544444060855</v>
      </c>
      <c r="R561">
        <f t="shared" si="45"/>
        <v>15035</v>
      </c>
    </row>
    <row r="562" spans="1:18" x14ac:dyDescent="0.25">
      <c r="A562" s="1"/>
      <c r="C562" s="1"/>
      <c r="D562" s="1">
        <v>42045</v>
      </c>
      <c r="E562" s="10">
        <v>42571</v>
      </c>
      <c r="F562" s="1">
        <v>42045</v>
      </c>
      <c r="G562">
        <v>-7579</v>
      </c>
      <c r="H562" s="1">
        <f t="shared" si="41"/>
        <v>42045</v>
      </c>
      <c r="I562">
        <f>IF(AND(MyRowHidden(ROW())=FALSE,MyRowHidden(ROW()-1)=TRUE),0,(E562-E561)*unitsOfDHp+I561)</f>
        <v>135460</v>
      </c>
      <c r="J562">
        <f>IF(AND(MyRowHidden(ROW())=FALSE,MyRowHidden(ROW()-1)=TRUE),0,(G562-G561)*unitsOfExo+J561)</f>
        <v>-122175</v>
      </c>
      <c r="K562" s="9">
        <f t="shared" si="42"/>
        <v>122175</v>
      </c>
      <c r="L562">
        <f t="shared" si="43"/>
        <v>-84115.54444406087</v>
      </c>
      <c r="M562">
        <f>IF(AND(MyRowHidden(ROW())=FALSE,MyRowHidden(ROW()-1)=TRUE),0,(G562-G561)*unitsFuturesCompare+M561)</f>
        <v>-244350</v>
      </c>
      <c r="N562">
        <f>IF(MyRowHidden(ROW())=TRUE,0,L562-M562)</f>
        <v>160234.45555593912</v>
      </c>
      <c r="O562">
        <f>MAX(N$12:N562)</f>
        <v>194801.08888812171</v>
      </c>
      <c r="P562">
        <f>IF(O562&gt;O561,(O562-O561)*percentSavingsParticipation,0)</f>
        <v>0</v>
      </c>
      <c r="Q562">
        <f t="shared" si="44"/>
        <v>97400.544444060855</v>
      </c>
      <c r="R562">
        <f t="shared" si="45"/>
        <v>13285</v>
      </c>
    </row>
    <row r="563" spans="1:18" x14ac:dyDescent="0.25">
      <c r="A563" s="1"/>
      <c r="C563" s="1"/>
      <c r="D563" s="1">
        <v>42046</v>
      </c>
      <c r="E563" s="10">
        <v>42571</v>
      </c>
      <c r="F563" s="1">
        <v>42046</v>
      </c>
      <c r="G563">
        <v>-7579</v>
      </c>
      <c r="H563" s="1">
        <f t="shared" si="41"/>
        <v>42046</v>
      </c>
      <c r="I563">
        <f>IF(AND(MyRowHidden(ROW())=FALSE,MyRowHidden(ROW()-1)=TRUE),0,(E563-E562)*unitsOfDHp+I562)</f>
        <v>135460</v>
      </c>
      <c r="J563">
        <f>IF(AND(MyRowHidden(ROW())=FALSE,MyRowHidden(ROW()-1)=TRUE),0,(G563-G562)*unitsOfExo+J562)</f>
        <v>-122175</v>
      </c>
      <c r="K563" s="9">
        <f t="shared" si="42"/>
        <v>122175</v>
      </c>
      <c r="L563">
        <f t="shared" si="43"/>
        <v>-84115.54444406087</v>
      </c>
      <c r="M563">
        <f>IF(AND(MyRowHidden(ROW())=FALSE,MyRowHidden(ROW()-1)=TRUE),0,(G563-G562)*unitsFuturesCompare+M562)</f>
        <v>-244350</v>
      </c>
      <c r="N563">
        <f>IF(MyRowHidden(ROW())=TRUE,0,L563-M563)</f>
        <v>160234.45555593912</v>
      </c>
      <c r="O563">
        <f>MAX(N$12:N563)</f>
        <v>194801.08888812171</v>
      </c>
      <c r="P563">
        <f>IF(O563&gt;O562,(O563-O562)*percentSavingsParticipation,0)</f>
        <v>0</v>
      </c>
      <c r="Q563">
        <f t="shared" si="44"/>
        <v>97400.544444060855</v>
      </c>
      <c r="R563">
        <f t="shared" si="45"/>
        <v>13285</v>
      </c>
    </row>
    <row r="564" spans="1:18" x14ac:dyDescent="0.25">
      <c r="A564" s="1"/>
      <c r="C564" s="1"/>
      <c r="D564" s="1">
        <v>42047</v>
      </c>
      <c r="E564" s="10">
        <v>42571</v>
      </c>
      <c r="F564" s="1">
        <v>42047</v>
      </c>
      <c r="G564">
        <v>-7791.5</v>
      </c>
      <c r="H564" s="1">
        <f t="shared" si="41"/>
        <v>42047</v>
      </c>
      <c r="I564">
        <f>IF(AND(MyRowHidden(ROW())=FALSE,MyRowHidden(ROW()-1)=TRUE),0,(E564-E563)*unitsOfDHp+I563)</f>
        <v>135460</v>
      </c>
      <c r="J564">
        <f>IF(AND(MyRowHidden(ROW())=FALSE,MyRowHidden(ROW()-1)=TRUE),0,(G564-G563)*unitsOfExo+J563)</f>
        <v>-124300</v>
      </c>
      <c r="K564" s="9">
        <f t="shared" si="42"/>
        <v>124300</v>
      </c>
      <c r="L564">
        <f t="shared" si="43"/>
        <v>-86240.54444406087</v>
      </c>
      <c r="M564">
        <f>IF(AND(MyRowHidden(ROW())=FALSE,MyRowHidden(ROW()-1)=TRUE),0,(G564-G563)*unitsFuturesCompare+M563)</f>
        <v>-248600</v>
      </c>
      <c r="N564">
        <f>IF(MyRowHidden(ROW())=TRUE,0,L564-M564)</f>
        <v>162359.45555593912</v>
      </c>
      <c r="O564">
        <f>MAX(N$12:N564)</f>
        <v>194801.08888812171</v>
      </c>
      <c r="P564">
        <f>IF(O564&gt;O563,(O564-O563)*percentSavingsParticipation,0)</f>
        <v>0</v>
      </c>
      <c r="Q564">
        <f t="shared" si="44"/>
        <v>97400.544444060855</v>
      </c>
      <c r="R564">
        <f t="shared" si="45"/>
        <v>11160</v>
      </c>
    </row>
    <row r="565" spans="1:18" x14ac:dyDescent="0.25">
      <c r="A565" s="1"/>
      <c r="C565" s="1"/>
      <c r="D565" s="1">
        <v>42048</v>
      </c>
      <c r="E565" s="10">
        <v>42571</v>
      </c>
      <c r="F565" s="1">
        <v>42048</v>
      </c>
      <c r="G565">
        <v>-7666.5</v>
      </c>
      <c r="H565" s="1">
        <f t="shared" si="41"/>
        <v>42048</v>
      </c>
      <c r="I565">
        <f>IF(AND(MyRowHidden(ROW())=FALSE,MyRowHidden(ROW()-1)=TRUE),0,(E565-E564)*unitsOfDHp+I564)</f>
        <v>135460</v>
      </c>
      <c r="J565">
        <f>IF(AND(MyRowHidden(ROW())=FALSE,MyRowHidden(ROW()-1)=TRUE),0,(G565-G564)*unitsOfExo+J564)</f>
        <v>-123050</v>
      </c>
      <c r="K565" s="9">
        <f t="shared" si="42"/>
        <v>123050</v>
      </c>
      <c r="L565">
        <f t="shared" si="43"/>
        <v>-84990.54444406087</v>
      </c>
      <c r="M565">
        <f>IF(AND(MyRowHidden(ROW())=FALSE,MyRowHidden(ROW()-1)=TRUE),0,(G565-G564)*unitsFuturesCompare+M564)</f>
        <v>-246100</v>
      </c>
      <c r="N565">
        <f>IF(MyRowHidden(ROW())=TRUE,0,L565-M565)</f>
        <v>161109.45555593912</v>
      </c>
      <c r="O565">
        <f>MAX(N$12:N565)</f>
        <v>194801.08888812171</v>
      </c>
      <c r="P565">
        <f>IF(O565&gt;O564,(O565-O564)*percentSavingsParticipation,0)</f>
        <v>0</v>
      </c>
      <c r="Q565">
        <f t="shared" si="44"/>
        <v>97400.544444060855</v>
      </c>
      <c r="R565">
        <f t="shared" si="45"/>
        <v>12410</v>
      </c>
    </row>
    <row r="566" spans="1:18" x14ac:dyDescent="0.25">
      <c r="A566" s="1"/>
      <c r="C566" s="1"/>
      <c r="D566" s="1">
        <v>42051</v>
      </c>
      <c r="E566" s="10">
        <v>42571</v>
      </c>
      <c r="F566" s="1">
        <v>42051</v>
      </c>
      <c r="G566">
        <v>-7566.5</v>
      </c>
      <c r="H566" s="1">
        <f t="shared" si="41"/>
        <v>42051</v>
      </c>
      <c r="I566">
        <f>IF(AND(MyRowHidden(ROW())=FALSE,MyRowHidden(ROW()-1)=TRUE),0,(E566-E565)*unitsOfDHp+I565)</f>
        <v>135460</v>
      </c>
      <c r="J566">
        <f>IF(AND(MyRowHidden(ROW())=FALSE,MyRowHidden(ROW()-1)=TRUE),0,(G566-G565)*unitsOfExo+J565)</f>
        <v>-122050</v>
      </c>
      <c r="K566" s="9">
        <f t="shared" si="42"/>
        <v>122050</v>
      </c>
      <c r="L566">
        <f t="shared" si="43"/>
        <v>-83990.54444406087</v>
      </c>
      <c r="M566">
        <f>IF(AND(MyRowHidden(ROW())=FALSE,MyRowHidden(ROW()-1)=TRUE),0,(G566-G565)*unitsFuturesCompare+M565)</f>
        <v>-244100</v>
      </c>
      <c r="N566">
        <f>IF(MyRowHidden(ROW())=TRUE,0,L566-M566)</f>
        <v>160109.45555593912</v>
      </c>
      <c r="O566">
        <f>MAX(N$12:N566)</f>
        <v>194801.08888812171</v>
      </c>
      <c r="P566">
        <f>IF(O566&gt;O565,(O566-O565)*percentSavingsParticipation,0)</f>
        <v>0</v>
      </c>
      <c r="Q566">
        <f t="shared" si="44"/>
        <v>97400.544444060855</v>
      </c>
      <c r="R566">
        <f t="shared" si="45"/>
        <v>13410</v>
      </c>
    </row>
    <row r="567" spans="1:18" x14ac:dyDescent="0.25">
      <c r="A567" s="1"/>
      <c r="C567" s="1"/>
      <c r="D567" s="1">
        <v>42052</v>
      </c>
      <c r="E567" s="10">
        <v>42446</v>
      </c>
      <c r="F567" s="1">
        <v>42052</v>
      </c>
      <c r="G567">
        <v>-7491.5</v>
      </c>
      <c r="H567" s="1">
        <f t="shared" si="41"/>
        <v>42052</v>
      </c>
      <c r="I567">
        <f>IF(AND(MyRowHidden(ROW())=FALSE,MyRowHidden(ROW()-1)=TRUE),0,(E567-E566)*unitsOfDHp+I566)</f>
        <v>134210</v>
      </c>
      <c r="J567">
        <f>IF(AND(MyRowHidden(ROW())=FALSE,MyRowHidden(ROW()-1)=TRUE),0,(G567-G566)*unitsOfExo+J566)</f>
        <v>-121300</v>
      </c>
      <c r="K567" s="9">
        <f t="shared" si="42"/>
        <v>121300</v>
      </c>
      <c r="L567">
        <f t="shared" si="43"/>
        <v>-84490.54444406087</v>
      </c>
      <c r="M567">
        <f>IF(AND(MyRowHidden(ROW())=FALSE,MyRowHidden(ROW()-1)=TRUE),0,(G567-G566)*unitsFuturesCompare+M566)</f>
        <v>-242600</v>
      </c>
      <c r="N567">
        <f>IF(MyRowHidden(ROW())=TRUE,0,L567-M567)</f>
        <v>158109.45555593912</v>
      </c>
      <c r="O567">
        <f>MAX(N$12:N567)</f>
        <v>194801.08888812171</v>
      </c>
      <c r="P567">
        <f>IF(O567&gt;O566,(O567-O566)*percentSavingsParticipation,0)</f>
        <v>0</v>
      </c>
      <c r="Q567">
        <f t="shared" si="44"/>
        <v>97400.544444060855</v>
      </c>
      <c r="R567">
        <f t="shared" si="45"/>
        <v>12910</v>
      </c>
    </row>
    <row r="568" spans="1:18" x14ac:dyDescent="0.25">
      <c r="A568" s="1"/>
      <c r="C568" s="1"/>
      <c r="D568" s="1">
        <v>42053</v>
      </c>
      <c r="E568" s="10">
        <v>41935.5</v>
      </c>
      <c r="F568" s="1">
        <v>42053</v>
      </c>
      <c r="G568">
        <v>-7754</v>
      </c>
      <c r="H568" s="1">
        <f t="shared" si="41"/>
        <v>42053</v>
      </c>
      <c r="I568">
        <f>IF(AND(MyRowHidden(ROW())=FALSE,MyRowHidden(ROW()-1)=TRUE),0,(E568-E567)*unitsOfDHp+I567)</f>
        <v>129105</v>
      </c>
      <c r="J568">
        <f>IF(AND(MyRowHidden(ROW())=FALSE,MyRowHidden(ROW()-1)=TRUE),0,(G568-G567)*unitsOfExo+J567)</f>
        <v>-123925</v>
      </c>
      <c r="K568" s="9">
        <f t="shared" si="42"/>
        <v>123925</v>
      </c>
      <c r="L568">
        <f t="shared" si="43"/>
        <v>-92220.54444406087</v>
      </c>
      <c r="M568">
        <f>IF(AND(MyRowHidden(ROW())=FALSE,MyRowHidden(ROW()-1)=TRUE),0,(G568-G567)*unitsFuturesCompare+M567)</f>
        <v>-247850</v>
      </c>
      <c r="N568">
        <f>IF(MyRowHidden(ROW())=TRUE,0,L568-M568)</f>
        <v>155629.45555593912</v>
      </c>
      <c r="O568">
        <f>MAX(N$12:N568)</f>
        <v>194801.08888812171</v>
      </c>
      <c r="P568">
        <f>IF(O568&gt;O567,(O568-O567)*percentSavingsParticipation,0)</f>
        <v>0</v>
      </c>
      <c r="Q568">
        <f t="shared" si="44"/>
        <v>97400.544444060855</v>
      </c>
      <c r="R568">
        <f t="shared" si="45"/>
        <v>5180</v>
      </c>
    </row>
    <row r="569" spans="1:18" x14ac:dyDescent="0.25">
      <c r="A569" s="1"/>
      <c r="C569" s="1"/>
      <c r="D569" s="1">
        <v>42054</v>
      </c>
      <c r="E569" s="10">
        <v>42690.5</v>
      </c>
      <c r="F569" s="1">
        <v>42054</v>
      </c>
      <c r="G569">
        <v>-7504</v>
      </c>
      <c r="H569" s="1">
        <f t="shared" si="41"/>
        <v>42054</v>
      </c>
      <c r="I569">
        <f>IF(AND(MyRowHidden(ROW())=FALSE,MyRowHidden(ROW()-1)=TRUE),0,(E569-E568)*unitsOfDHp+I568)</f>
        <v>136655</v>
      </c>
      <c r="J569">
        <f>IF(AND(MyRowHidden(ROW())=FALSE,MyRowHidden(ROW()-1)=TRUE),0,(G569-G568)*unitsOfExo+J568)</f>
        <v>-121425</v>
      </c>
      <c r="K569" s="9">
        <f t="shared" si="42"/>
        <v>121425</v>
      </c>
      <c r="L569">
        <f t="shared" si="43"/>
        <v>-82170.54444406087</v>
      </c>
      <c r="M569">
        <f>IF(AND(MyRowHidden(ROW())=FALSE,MyRowHidden(ROW()-1)=TRUE),0,(G569-G568)*unitsFuturesCompare+M568)</f>
        <v>-242850</v>
      </c>
      <c r="N569">
        <f>IF(MyRowHidden(ROW())=TRUE,0,L569-M569)</f>
        <v>160679.45555593912</v>
      </c>
      <c r="O569">
        <f>MAX(N$12:N569)</f>
        <v>194801.08888812171</v>
      </c>
      <c r="P569">
        <f>IF(O569&gt;O568,(O569-O568)*percentSavingsParticipation,0)</f>
        <v>0</v>
      </c>
      <c r="Q569">
        <f t="shared" si="44"/>
        <v>97400.544444060855</v>
      </c>
      <c r="R569">
        <f t="shared" si="45"/>
        <v>15230</v>
      </c>
    </row>
    <row r="570" spans="1:18" x14ac:dyDescent="0.25">
      <c r="A570" s="1"/>
      <c r="C570" s="1"/>
      <c r="D570" s="1">
        <v>42055</v>
      </c>
      <c r="E570" s="10">
        <v>42690.5</v>
      </c>
      <c r="F570" s="1">
        <v>42055</v>
      </c>
      <c r="G570">
        <v>-7754</v>
      </c>
      <c r="H570" s="1">
        <f t="shared" si="41"/>
        <v>42055</v>
      </c>
      <c r="I570">
        <f>IF(AND(MyRowHidden(ROW())=FALSE,MyRowHidden(ROW()-1)=TRUE),0,(E570-E569)*unitsOfDHp+I569)</f>
        <v>136655</v>
      </c>
      <c r="J570">
        <f>IF(AND(MyRowHidden(ROW())=FALSE,MyRowHidden(ROW()-1)=TRUE),0,(G570-G569)*unitsOfExo+J569)</f>
        <v>-123925</v>
      </c>
      <c r="K570" s="9">
        <f t="shared" si="42"/>
        <v>123925</v>
      </c>
      <c r="L570">
        <f t="shared" si="43"/>
        <v>-84670.54444406087</v>
      </c>
      <c r="M570">
        <f>IF(AND(MyRowHidden(ROW())=FALSE,MyRowHidden(ROW()-1)=TRUE),0,(G570-G569)*unitsFuturesCompare+M569)</f>
        <v>-247850</v>
      </c>
      <c r="N570">
        <f>IF(MyRowHidden(ROW())=TRUE,0,L570-M570)</f>
        <v>163179.45555593912</v>
      </c>
      <c r="O570">
        <f>MAX(N$12:N570)</f>
        <v>194801.08888812171</v>
      </c>
      <c r="P570">
        <f>IF(O570&gt;O569,(O570-O569)*percentSavingsParticipation,0)</f>
        <v>0</v>
      </c>
      <c r="Q570">
        <f t="shared" si="44"/>
        <v>97400.544444060855</v>
      </c>
      <c r="R570">
        <f t="shared" si="45"/>
        <v>12730</v>
      </c>
    </row>
    <row r="571" spans="1:18" x14ac:dyDescent="0.25">
      <c r="A571" s="1"/>
      <c r="C571" s="1"/>
      <c r="D571" s="1">
        <v>42058</v>
      </c>
      <c r="E571" s="10">
        <v>42062.5</v>
      </c>
      <c r="F571" s="1">
        <v>42058</v>
      </c>
      <c r="G571">
        <v>-7966.5</v>
      </c>
      <c r="H571" s="1">
        <f t="shared" si="41"/>
        <v>42058</v>
      </c>
      <c r="I571">
        <f>IF(AND(MyRowHidden(ROW())=FALSE,MyRowHidden(ROW()-1)=TRUE),0,(E571-E570)*unitsOfDHp+I570)</f>
        <v>130375</v>
      </c>
      <c r="J571">
        <f>IF(AND(MyRowHidden(ROW())=FALSE,MyRowHidden(ROW()-1)=TRUE),0,(G571-G570)*unitsOfExo+J570)</f>
        <v>-126050</v>
      </c>
      <c r="K571" s="9">
        <f t="shared" si="42"/>
        <v>126050</v>
      </c>
      <c r="L571">
        <f t="shared" si="43"/>
        <v>-93075.54444406087</v>
      </c>
      <c r="M571">
        <f>IF(AND(MyRowHidden(ROW())=FALSE,MyRowHidden(ROW()-1)=TRUE),0,(G571-G570)*unitsFuturesCompare+M570)</f>
        <v>-252100</v>
      </c>
      <c r="N571">
        <f>IF(MyRowHidden(ROW())=TRUE,0,L571-M571)</f>
        <v>159024.45555593912</v>
      </c>
      <c r="O571">
        <f>MAX(N$12:N571)</f>
        <v>194801.08888812171</v>
      </c>
      <c r="P571">
        <f>IF(O571&gt;O570,(O571-O570)*percentSavingsParticipation,0)</f>
        <v>0</v>
      </c>
      <c r="Q571">
        <f t="shared" si="44"/>
        <v>97400.544444060855</v>
      </c>
      <c r="R571">
        <f t="shared" si="45"/>
        <v>4325</v>
      </c>
    </row>
    <row r="572" spans="1:18" x14ac:dyDescent="0.25">
      <c r="A572" s="1"/>
      <c r="C572" s="1"/>
      <c r="D572" s="1">
        <v>42059</v>
      </c>
      <c r="E572" s="10">
        <v>41920</v>
      </c>
      <c r="F572" s="1">
        <v>42059</v>
      </c>
      <c r="G572">
        <v>-8016.5</v>
      </c>
      <c r="H572" s="1">
        <f t="shared" si="41"/>
        <v>42059</v>
      </c>
      <c r="I572">
        <f>IF(AND(MyRowHidden(ROW())=FALSE,MyRowHidden(ROW()-1)=TRUE),0,(E572-E571)*unitsOfDHp+I571)</f>
        <v>128950</v>
      </c>
      <c r="J572">
        <f>IF(AND(MyRowHidden(ROW())=FALSE,MyRowHidden(ROW()-1)=TRUE),0,(G572-G571)*unitsOfExo+J571)</f>
        <v>-126550</v>
      </c>
      <c r="K572" s="9">
        <f t="shared" si="42"/>
        <v>126550</v>
      </c>
      <c r="L572">
        <f t="shared" si="43"/>
        <v>-95000.54444406087</v>
      </c>
      <c r="M572">
        <f>IF(AND(MyRowHidden(ROW())=FALSE,MyRowHidden(ROW()-1)=TRUE),0,(G572-G571)*unitsFuturesCompare+M571)</f>
        <v>-253100</v>
      </c>
      <c r="N572">
        <f>IF(MyRowHidden(ROW())=TRUE,0,L572-M572)</f>
        <v>158099.45555593912</v>
      </c>
      <c r="O572">
        <f>MAX(N$12:N572)</f>
        <v>194801.08888812171</v>
      </c>
      <c r="P572">
        <f>IF(O572&gt;O571,(O572-O571)*percentSavingsParticipation,0)</f>
        <v>0</v>
      </c>
      <c r="Q572">
        <f t="shared" si="44"/>
        <v>97400.544444060855</v>
      </c>
      <c r="R572">
        <f t="shared" si="45"/>
        <v>2400</v>
      </c>
    </row>
    <row r="573" spans="1:18" x14ac:dyDescent="0.25">
      <c r="A573" s="1"/>
      <c r="C573" s="1"/>
      <c r="D573" s="1">
        <v>42060</v>
      </c>
      <c r="E573" s="10">
        <v>43185.5</v>
      </c>
      <c r="F573" s="1">
        <v>42060</v>
      </c>
      <c r="G573">
        <v>-8291.5</v>
      </c>
      <c r="H573" s="1">
        <f t="shared" si="41"/>
        <v>42060</v>
      </c>
      <c r="I573">
        <f>IF(AND(MyRowHidden(ROW())=FALSE,MyRowHidden(ROW()-1)=TRUE),0,(E573-E572)*unitsOfDHp+I572)</f>
        <v>141605</v>
      </c>
      <c r="J573">
        <f>IF(AND(MyRowHidden(ROW())=FALSE,MyRowHidden(ROW()-1)=TRUE),0,(G573-G572)*unitsOfExo+J572)</f>
        <v>-129300</v>
      </c>
      <c r="K573" s="9">
        <f t="shared" si="42"/>
        <v>129300</v>
      </c>
      <c r="L573">
        <f t="shared" si="43"/>
        <v>-85095.54444406087</v>
      </c>
      <c r="M573">
        <f>IF(AND(MyRowHidden(ROW())=FALSE,MyRowHidden(ROW()-1)=TRUE),0,(G573-G572)*unitsFuturesCompare+M572)</f>
        <v>-258600</v>
      </c>
      <c r="N573">
        <f>IF(MyRowHidden(ROW())=TRUE,0,L573-M573)</f>
        <v>173504.45555593912</v>
      </c>
      <c r="O573">
        <f>MAX(N$12:N573)</f>
        <v>194801.08888812171</v>
      </c>
      <c r="P573">
        <f>IF(O573&gt;O572,(O573-O572)*percentSavingsParticipation,0)</f>
        <v>0</v>
      </c>
      <c r="Q573">
        <f t="shared" si="44"/>
        <v>97400.544444060855</v>
      </c>
      <c r="R573">
        <f t="shared" si="45"/>
        <v>12305</v>
      </c>
    </row>
    <row r="574" spans="1:18" x14ac:dyDescent="0.25">
      <c r="A574" s="1"/>
      <c r="C574" s="1"/>
      <c r="D574" s="1">
        <v>42061</v>
      </c>
      <c r="E574" s="10">
        <v>43110.5</v>
      </c>
      <c r="F574" s="1">
        <v>42061</v>
      </c>
      <c r="G574">
        <v>-7916.5</v>
      </c>
      <c r="H574" s="1">
        <f t="shared" si="41"/>
        <v>42061</v>
      </c>
      <c r="I574">
        <f>IF(AND(MyRowHidden(ROW())=FALSE,MyRowHidden(ROW()-1)=TRUE),0,(E574-E573)*unitsOfDHp+I573)</f>
        <v>140855</v>
      </c>
      <c r="J574">
        <f>IF(AND(MyRowHidden(ROW())=FALSE,MyRowHidden(ROW()-1)=TRUE),0,(G574-G573)*unitsOfExo+J573)</f>
        <v>-125550</v>
      </c>
      <c r="K574" s="9">
        <f t="shared" si="42"/>
        <v>125550</v>
      </c>
      <c r="L574">
        <f t="shared" si="43"/>
        <v>-82095.54444406087</v>
      </c>
      <c r="M574">
        <f>IF(AND(MyRowHidden(ROW())=FALSE,MyRowHidden(ROW()-1)=TRUE),0,(G574-G573)*unitsFuturesCompare+M573)</f>
        <v>-251100</v>
      </c>
      <c r="N574">
        <f>IF(MyRowHidden(ROW())=TRUE,0,L574-M574)</f>
        <v>169004.45555593912</v>
      </c>
      <c r="O574">
        <f>MAX(N$12:N574)</f>
        <v>194801.08888812171</v>
      </c>
      <c r="P574">
        <f>IF(O574&gt;O573,(O574-O573)*percentSavingsParticipation,0)</f>
        <v>0</v>
      </c>
      <c r="Q574">
        <f t="shared" si="44"/>
        <v>97400.544444060855</v>
      </c>
      <c r="R574">
        <f t="shared" si="45"/>
        <v>15305</v>
      </c>
    </row>
    <row r="575" spans="1:18" x14ac:dyDescent="0.25">
      <c r="A575" s="1"/>
      <c r="C575" s="1"/>
      <c r="D575" s="1">
        <v>42062</v>
      </c>
      <c r="E575" s="10">
        <v>40772</v>
      </c>
      <c r="F575" s="1">
        <v>42062</v>
      </c>
      <c r="G575">
        <v>-7554</v>
      </c>
      <c r="H575" s="1">
        <f t="shared" si="41"/>
        <v>42062</v>
      </c>
      <c r="I575">
        <f>IF(AND(MyRowHidden(ROW())=FALSE,MyRowHidden(ROW()-1)=TRUE),0,(E575-E574)*unitsOfDHp+I574)</f>
        <v>117470</v>
      </c>
      <c r="J575">
        <f>IF(AND(MyRowHidden(ROW())=FALSE,MyRowHidden(ROW()-1)=TRUE),0,(G575-G574)*unitsOfExo+J574)</f>
        <v>-121925</v>
      </c>
      <c r="K575" s="9">
        <f t="shared" si="42"/>
        <v>121925</v>
      </c>
      <c r="L575">
        <f t="shared" si="43"/>
        <v>-101855.54444406087</v>
      </c>
      <c r="M575">
        <f>IF(AND(MyRowHidden(ROW())=FALSE,MyRowHidden(ROW()-1)=TRUE),0,(G575-G574)*unitsFuturesCompare+M574)</f>
        <v>-243850</v>
      </c>
      <c r="N575">
        <f>IF(MyRowHidden(ROW())=TRUE,0,L575-M575)</f>
        <v>141994.45555593912</v>
      </c>
      <c r="O575">
        <f>MAX(N$12:N575)</f>
        <v>194801.08888812171</v>
      </c>
      <c r="P575">
        <f>IF(O575&gt;O574,(O575-O574)*percentSavingsParticipation,0)</f>
        <v>0</v>
      </c>
      <c r="Q575">
        <f t="shared" si="44"/>
        <v>97400.544444060855</v>
      </c>
      <c r="R575">
        <f t="shared" si="45"/>
        <v>-4455</v>
      </c>
    </row>
    <row r="576" spans="1:18" x14ac:dyDescent="0.25">
      <c r="A576" s="1"/>
      <c r="C576" s="1"/>
      <c r="D576" s="1">
        <v>42065</v>
      </c>
      <c r="E576" s="10">
        <v>40622</v>
      </c>
      <c r="F576" s="1">
        <v>42065</v>
      </c>
      <c r="G576">
        <v>-7953.5</v>
      </c>
      <c r="H576" s="1">
        <f t="shared" si="41"/>
        <v>42065</v>
      </c>
      <c r="I576">
        <f>IF(AND(MyRowHidden(ROW())=FALSE,MyRowHidden(ROW()-1)=TRUE),0,(E576-E575)*unitsOfDHp+I575)</f>
        <v>115970</v>
      </c>
      <c r="J576">
        <f>IF(AND(MyRowHidden(ROW())=FALSE,MyRowHidden(ROW()-1)=TRUE),0,(G576-G575)*unitsOfExo+J575)</f>
        <v>-125920</v>
      </c>
      <c r="K576" s="9">
        <f t="shared" si="42"/>
        <v>125920</v>
      </c>
      <c r="L576">
        <f t="shared" si="43"/>
        <v>-107350.54444406087</v>
      </c>
      <c r="M576">
        <f>IF(AND(MyRowHidden(ROW())=FALSE,MyRowHidden(ROW()-1)=TRUE),0,(G576-G575)*unitsFuturesCompare+M575)</f>
        <v>-251840</v>
      </c>
      <c r="N576">
        <f>IF(MyRowHidden(ROW())=TRUE,0,L576-M576)</f>
        <v>144489.45555593912</v>
      </c>
      <c r="O576">
        <f>MAX(N$12:N576)</f>
        <v>194801.08888812171</v>
      </c>
      <c r="P576">
        <f>IF(O576&gt;O575,(O576-O575)*percentSavingsParticipation,0)</f>
        <v>0</v>
      </c>
      <c r="Q576">
        <f t="shared" si="44"/>
        <v>97400.544444060855</v>
      </c>
      <c r="R576">
        <f t="shared" si="45"/>
        <v>-9950</v>
      </c>
    </row>
    <row r="577" spans="1:18" x14ac:dyDescent="0.25">
      <c r="A577" s="1"/>
      <c r="C577" s="1"/>
      <c r="D577" s="1">
        <v>42066</v>
      </c>
      <c r="E577" s="10">
        <v>40622</v>
      </c>
      <c r="F577" s="1">
        <v>42066</v>
      </c>
      <c r="G577">
        <v>-7853.5</v>
      </c>
      <c r="H577" s="1">
        <f t="shared" si="41"/>
        <v>42066</v>
      </c>
      <c r="I577">
        <f>IF(AND(MyRowHidden(ROW())=FALSE,MyRowHidden(ROW()-1)=TRUE),0,(E577-E576)*unitsOfDHp+I576)</f>
        <v>115970</v>
      </c>
      <c r="J577">
        <f>IF(AND(MyRowHidden(ROW())=FALSE,MyRowHidden(ROW()-1)=TRUE),0,(G577-G576)*unitsOfExo+J576)</f>
        <v>-124920</v>
      </c>
      <c r="K577" s="9">
        <f t="shared" si="42"/>
        <v>124920</v>
      </c>
      <c r="L577">
        <f t="shared" si="43"/>
        <v>-106350.54444406087</v>
      </c>
      <c r="M577">
        <f>IF(AND(MyRowHidden(ROW())=FALSE,MyRowHidden(ROW()-1)=TRUE),0,(G577-G576)*unitsFuturesCompare+M576)</f>
        <v>-249840</v>
      </c>
      <c r="N577">
        <f>IF(MyRowHidden(ROW())=TRUE,0,L577-M577)</f>
        <v>143489.45555593912</v>
      </c>
      <c r="O577">
        <f>MAX(N$12:N577)</f>
        <v>194801.08888812171</v>
      </c>
      <c r="P577">
        <f>IF(O577&gt;O576,(O577-O576)*percentSavingsParticipation,0)</f>
        <v>0</v>
      </c>
      <c r="Q577">
        <f t="shared" si="44"/>
        <v>97400.544444060855</v>
      </c>
      <c r="R577">
        <f t="shared" si="45"/>
        <v>-8950</v>
      </c>
    </row>
    <row r="578" spans="1:18" x14ac:dyDescent="0.25">
      <c r="A578" s="1"/>
      <c r="C578" s="1"/>
      <c r="D578" s="1">
        <v>42067</v>
      </c>
      <c r="E578" s="10">
        <v>40622</v>
      </c>
      <c r="F578" s="1">
        <v>42067</v>
      </c>
      <c r="G578">
        <v>-7878.5</v>
      </c>
      <c r="H578" s="1">
        <f t="shared" si="41"/>
        <v>42067</v>
      </c>
      <c r="I578">
        <f>IF(AND(MyRowHidden(ROW())=FALSE,MyRowHidden(ROW()-1)=TRUE),0,(E578-E577)*unitsOfDHp+I577)</f>
        <v>115970</v>
      </c>
      <c r="J578">
        <f>IF(AND(MyRowHidden(ROW())=FALSE,MyRowHidden(ROW()-1)=TRUE),0,(G578-G577)*unitsOfExo+J577)</f>
        <v>-125170</v>
      </c>
      <c r="K578" s="9">
        <f t="shared" si="42"/>
        <v>125170</v>
      </c>
      <c r="L578">
        <f t="shared" si="43"/>
        <v>-106600.54444406087</v>
      </c>
      <c r="M578">
        <f>IF(AND(MyRowHidden(ROW())=FALSE,MyRowHidden(ROW()-1)=TRUE),0,(G578-G577)*unitsFuturesCompare+M577)</f>
        <v>-250340</v>
      </c>
      <c r="N578">
        <f>IF(MyRowHidden(ROW())=TRUE,0,L578-M578)</f>
        <v>143739.45555593912</v>
      </c>
      <c r="O578">
        <f>MAX(N$12:N578)</f>
        <v>194801.08888812171</v>
      </c>
      <c r="P578">
        <f>IF(O578&gt;O577,(O578-O577)*percentSavingsParticipation,0)</f>
        <v>0</v>
      </c>
      <c r="Q578">
        <f t="shared" si="44"/>
        <v>97400.544444060855</v>
      </c>
      <c r="R578">
        <f t="shared" si="45"/>
        <v>-9200</v>
      </c>
    </row>
    <row r="579" spans="1:18" x14ac:dyDescent="0.25">
      <c r="A579" s="1"/>
      <c r="C579" s="1"/>
      <c r="D579" s="1">
        <v>42068</v>
      </c>
      <c r="E579" s="10">
        <v>40622</v>
      </c>
      <c r="F579" s="1">
        <v>42068</v>
      </c>
      <c r="G579">
        <v>-7816</v>
      </c>
      <c r="H579" s="1">
        <f t="shared" si="41"/>
        <v>42068</v>
      </c>
      <c r="I579">
        <f>IF(AND(MyRowHidden(ROW())=FALSE,MyRowHidden(ROW()-1)=TRUE),0,(E579-E578)*unitsOfDHp+I578)</f>
        <v>115970</v>
      </c>
      <c r="J579">
        <f>IF(AND(MyRowHidden(ROW())=FALSE,MyRowHidden(ROW()-1)=TRUE),0,(G579-G578)*unitsOfExo+J578)</f>
        <v>-124545</v>
      </c>
      <c r="K579" s="9">
        <f t="shared" si="42"/>
        <v>124545</v>
      </c>
      <c r="L579">
        <f t="shared" si="43"/>
        <v>-105975.54444406087</v>
      </c>
      <c r="M579">
        <f>IF(AND(MyRowHidden(ROW())=FALSE,MyRowHidden(ROW()-1)=TRUE),0,(G579-G578)*unitsFuturesCompare+M578)</f>
        <v>-249090</v>
      </c>
      <c r="N579">
        <f>IF(MyRowHidden(ROW())=TRUE,0,L579-M579)</f>
        <v>143114.45555593912</v>
      </c>
      <c r="O579">
        <f>MAX(N$12:N579)</f>
        <v>194801.08888812171</v>
      </c>
      <c r="P579">
        <f>IF(O579&gt;O578,(O579-O578)*percentSavingsParticipation,0)</f>
        <v>0</v>
      </c>
      <c r="Q579">
        <f t="shared" si="44"/>
        <v>97400.544444060855</v>
      </c>
      <c r="R579">
        <f t="shared" si="45"/>
        <v>-8575</v>
      </c>
    </row>
    <row r="580" spans="1:18" x14ac:dyDescent="0.25">
      <c r="A580" s="1"/>
      <c r="C580" s="1"/>
      <c r="D580" s="1">
        <v>42069</v>
      </c>
      <c r="E580" s="10">
        <v>40622</v>
      </c>
      <c r="F580" s="1">
        <v>42069</v>
      </c>
      <c r="G580">
        <v>-8178.5</v>
      </c>
      <c r="H580" s="1">
        <f t="shared" si="41"/>
        <v>42069</v>
      </c>
      <c r="I580">
        <f>IF(AND(MyRowHidden(ROW())=FALSE,MyRowHidden(ROW()-1)=TRUE),0,(E580-E579)*unitsOfDHp+I579)</f>
        <v>115970</v>
      </c>
      <c r="J580">
        <f>IF(AND(MyRowHidden(ROW())=FALSE,MyRowHidden(ROW()-1)=TRUE),0,(G580-G579)*unitsOfExo+J579)</f>
        <v>-128170</v>
      </c>
      <c r="K580" s="9">
        <f t="shared" si="42"/>
        <v>128170</v>
      </c>
      <c r="L580">
        <f t="shared" si="43"/>
        <v>-109600.54444406087</v>
      </c>
      <c r="M580">
        <f>IF(AND(MyRowHidden(ROW())=FALSE,MyRowHidden(ROW()-1)=TRUE),0,(G580-G579)*unitsFuturesCompare+M579)</f>
        <v>-256340</v>
      </c>
      <c r="N580">
        <f>IF(MyRowHidden(ROW())=TRUE,0,L580-M580)</f>
        <v>146739.45555593912</v>
      </c>
      <c r="O580">
        <f>MAX(N$12:N580)</f>
        <v>194801.08888812171</v>
      </c>
      <c r="P580">
        <f>IF(O580&gt;O579,(O580-O579)*percentSavingsParticipation,0)</f>
        <v>0</v>
      </c>
      <c r="Q580">
        <f t="shared" si="44"/>
        <v>97400.544444060855</v>
      </c>
      <c r="R580">
        <f t="shared" si="45"/>
        <v>-12200</v>
      </c>
    </row>
    <row r="581" spans="1:18" x14ac:dyDescent="0.25">
      <c r="A581" s="1"/>
      <c r="C581" s="1"/>
      <c r="D581" s="1">
        <v>42072</v>
      </c>
      <c r="E581" s="10">
        <v>40622</v>
      </c>
      <c r="F581" s="1">
        <v>42072</v>
      </c>
      <c r="G581">
        <v>-7891</v>
      </c>
      <c r="H581" s="1">
        <f t="shared" si="41"/>
        <v>42072</v>
      </c>
      <c r="I581">
        <f>IF(AND(MyRowHidden(ROW())=FALSE,MyRowHidden(ROW()-1)=TRUE),0,(E581-E580)*unitsOfDHp+I580)</f>
        <v>115970</v>
      </c>
      <c r="J581">
        <f>IF(AND(MyRowHidden(ROW())=FALSE,MyRowHidden(ROW()-1)=TRUE),0,(G581-G580)*unitsOfExo+J580)</f>
        <v>-125295</v>
      </c>
      <c r="K581" s="9">
        <f t="shared" si="42"/>
        <v>125295</v>
      </c>
      <c r="L581">
        <f t="shared" si="43"/>
        <v>-106725.54444406087</v>
      </c>
      <c r="M581">
        <f>IF(AND(MyRowHidden(ROW())=FALSE,MyRowHidden(ROW()-1)=TRUE),0,(G581-G580)*unitsFuturesCompare+M580)</f>
        <v>-250590</v>
      </c>
      <c r="N581">
        <f>IF(MyRowHidden(ROW())=TRUE,0,L581-M581)</f>
        <v>143864.45555593912</v>
      </c>
      <c r="O581">
        <f>MAX(N$12:N581)</f>
        <v>194801.08888812171</v>
      </c>
      <c r="P581">
        <f>IF(O581&gt;O580,(O581-O580)*percentSavingsParticipation,0)</f>
        <v>0</v>
      </c>
      <c r="Q581">
        <f t="shared" si="44"/>
        <v>97400.544444060855</v>
      </c>
      <c r="R581">
        <f t="shared" si="45"/>
        <v>-9325</v>
      </c>
    </row>
    <row r="582" spans="1:18" x14ac:dyDescent="0.25">
      <c r="A582" s="1"/>
      <c r="C582" s="1"/>
      <c r="D582" s="1">
        <v>42073</v>
      </c>
      <c r="E582" s="10">
        <v>40622</v>
      </c>
      <c r="F582" s="1">
        <v>42073</v>
      </c>
      <c r="G582">
        <v>-8028.5</v>
      </c>
      <c r="H582" s="1">
        <f t="shared" si="41"/>
        <v>42073</v>
      </c>
      <c r="I582">
        <f>IF(AND(MyRowHidden(ROW())=FALSE,MyRowHidden(ROW()-1)=TRUE),0,(E582-E581)*unitsOfDHp+I581)</f>
        <v>115970</v>
      </c>
      <c r="J582">
        <f>IF(AND(MyRowHidden(ROW())=FALSE,MyRowHidden(ROW()-1)=TRUE),0,(G582-G581)*unitsOfExo+J581)</f>
        <v>-126670</v>
      </c>
      <c r="K582" s="9">
        <f t="shared" si="42"/>
        <v>126670</v>
      </c>
      <c r="L582">
        <f t="shared" si="43"/>
        <v>-108100.54444406087</v>
      </c>
      <c r="M582">
        <f>IF(AND(MyRowHidden(ROW())=FALSE,MyRowHidden(ROW()-1)=TRUE),0,(G582-G581)*unitsFuturesCompare+M581)</f>
        <v>-253340</v>
      </c>
      <c r="N582">
        <f>IF(MyRowHidden(ROW())=TRUE,0,L582-M582)</f>
        <v>145239.45555593912</v>
      </c>
      <c r="O582">
        <f>MAX(N$12:N582)</f>
        <v>194801.08888812171</v>
      </c>
      <c r="P582">
        <f>IF(O582&gt;O581,(O582-O581)*percentSavingsParticipation,0)</f>
        <v>0</v>
      </c>
      <c r="Q582">
        <f t="shared" si="44"/>
        <v>97400.544444060855</v>
      </c>
      <c r="R582">
        <f t="shared" si="45"/>
        <v>-10700</v>
      </c>
    </row>
    <row r="583" spans="1:18" x14ac:dyDescent="0.25">
      <c r="A583" s="1"/>
      <c r="C583" s="1"/>
      <c r="D583" s="1">
        <v>42074</v>
      </c>
      <c r="E583" s="10">
        <v>40622</v>
      </c>
      <c r="F583" s="1">
        <v>42074</v>
      </c>
      <c r="G583">
        <v>-7791</v>
      </c>
      <c r="H583" s="1">
        <f t="shared" si="41"/>
        <v>42074</v>
      </c>
      <c r="I583">
        <f>IF(AND(MyRowHidden(ROW())=FALSE,MyRowHidden(ROW()-1)=TRUE),0,(E583-E582)*unitsOfDHp+I582)</f>
        <v>115970</v>
      </c>
      <c r="J583">
        <f>IF(AND(MyRowHidden(ROW())=FALSE,MyRowHidden(ROW()-1)=TRUE),0,(G583-G582)*unitsOfExo+J582)</f>
        <v>-124295</v>
      </c>
      <c r="K583" s="9">
        <f t="shared" si="42"/>
        <v>124295</v>
      </c>
      <c r="L583">
        <f t="shared" si="43"/>
        <v>-105725.54444406087</v>
      </c>
      <c r="M583">
        <f>IF(AND(MyRowHidden(ROW())=FALSE,MyRowHidden(ROW()-1)=TRUE),0,(G583-G582)*unitsFuturesCompare+M582)</f>
        <v>-248590</v>
      </c>
      <c r="N583">
        <f>IF(MyRowHidden(ROW())=TRUE,0,L583-M583)</f>
        <v>142864.45555593912</v>
      </c>
      <c r="O583">
        <f>MAX(N$12:N583)</f>
        <v>194801.08888812171</v>
      </c>
      <c r="P583">
        <f>IF(O583&gt;O582,(O583-O582)*percentSavingsParticipation,0)</f>
        <v>0</v>
      </c>
      <c r="Q583">
        <f t="shared" si="44"/>
        <v>97400.544444060855</v>
      </c>
      <c r="R583">
        <f t="shared" si="45"/>
        <v>-8325</v>
      </c>
    </row>
    <row r="584" spans="1:18" x14ac:dyDescent="0.25">
      <c r="A584" s="1"/>
      <c r="C584" s="1"/>
      <c r="D584" s="1">
        <v>42075</v>
      </c>
      <c r="E584" s="10">
        <v>40622</v>
      </c>
      <c r="F584" s="1">
        <v>42075</v>
      </c>
      <c r="G584">
        <v>-7891</v>
      </c>
      <c r="H584" s="1">
        <f t="shared" si="41"/>
        <v>42075</v>
      </c>
      <c r="I584">
        <f>IF(AND(MyRowHidden(ROW())=FALSE,MyRowHidden(ROW()-1)=TRUE),0,(E584-E583)*unitsOfDHp+I583)</f>
        <v>115970</v>
      </c>
      <c r="J584">
        <f>IF(AND(MyRowHidden(ROW())=FALSE,MyRowHidden(ROW()-1)=TRUE),0,(G584-G583)*unitsOfExo+J583)</f>
        <v>-125295</v>
      </c>
      <c r="K584" s="9">
        <f t="shared" si="42"/>
        <v>125295</v>
      </c>
      <c r="L584">
        <f t="shared" si="43"/>
        <v>-106725.54444406087</v>
      </c>
      <c r="M584">
        <f>IF(AND(MyRowHidden(ROW())=FALSE,MyRowHidden(ROW()-1)=TRUE),0,(G584-G583)*unitsFuturesCompare+M583)</f>
        <v>-250590</v>
      </c>
      <c r="N584">
        <f>IF(MyRowHidden(ROW())=TRUE,0,L584-M584)</f>
        <v>143864.45555593912</v>
      </c>
      <c r="O584">
        <f>MAX(N$12:N584)</f>
        <v>194801.08888812171</v>
      </c>
      <c r="P584">
        <f>IF(O584&gt;O583,(O584-O583)*percentSavingsParticipation,0)</f>
        <v>0</v>
      </c>
      <c r="Q584">
        <f t="shared" si="44"/>
        <v>97400.544444060855</v>
      </c>
      <c r="R584">
        <f t="shared" si="45"/>
        <v>-9325</v>
      </c>
    </row>
    <row r="585" spans="1:18" x14ac:dyDescent="0.25">
      <c r="A585" s="1"/>
      <c r="C585" s="1"/>
      <c r="D585" s="1">
        <v>42076</v>
      </c>
      <c r="E585" s="10">
        <v>40622</v>
      </c>
      <c r="F585" s="1">
        <v>42076</v>
      </c>
      <c r="G585">
        <v>-8303.5</v>
      </c>
      <c r="H585" s="1">
        <f t="shared" si="41"/>
        <v>42076</v>
      </c>
      <c r="I585">
        <f>IF(AND(MyRowHidden(ROW())=FALSE,MyRowHidden(ROW()-1)=TRUE),0,(E585-E584)*unitsOfDHp+I584)</f>
        <v>115970</v>
      </c>
      <c r="J585">
        <f>IF(AND(MyRowHidden(ROW())=FALSE,MyRowHidden(ROW()-1)=TRUE),0,(G585-G584)*unitsOfExo+J584)</f>
        <v>-129420</v>
      </c>
      <c r="K585" s="9">
        <f t="shared" si="42"/>
        <v>129420</v>
      </c>
      <c r="L585">
        <f t="shared" si="43"/>
        <v>-110850.54444406087</v>
      </c>
      <c r="M585">
        <f>IF(AND(MyRowHidden(ROW())=FALSE,MyRowHidden(ROW()-1)=TRUE),0,(G585-G584)*unitsFuturesCompare+M584)</f>
        <v>-258840</v>
      </c>
      <c r="N585">
        <f>IF(MyRowHidden(ROW())=TRUE,0,L585-M585)</f>
        <v>147989.45555593912</v>
      </c>
      <c r="O585">
        <f>MAX(N$12:N585)</f>
        <v>194801.08888812171</v>
      </c>
      <c r="P585">
        <f>IF(O585&gt;O584,(O585-O584)*percentSavingsParticipation,0)</f>
        <v>0</v>
      </c>
      <c r="Q585">
        <f t="shared" si="44"/>
        <v>97400.544444060855</v>
      </c>
      <c r="R585">
        <f t="shared" si="45"/>
        <v>-13450</v>
      </c>
    </row>
    <row r="586" spans="1:18" x14ac:dyDescent="0.25">
      <c r="A586" s="1"/>
      <c r="C586" s="1"/>
      <c r="D586" s="1">
        <v>42079</v>
      </c>
      <c r="E586" s="10">
        <v>40622</v>
      </c>
      <c r="F586" s="1">
        <v>42079</v>
      </c>
      <c r="G586">
        <v>-8428.5</v>
      </c>
      <c r="H586" s="1">
        <f t="shared" si="41"/>
        <v>42079</v>
      </c>
      <c r="I586">
        <f>IF(AND(MyRowHidden(ROW())=FALSE,MyRowHidden(ROW()-1)=TRUE),0,(E586-E585)*unitsOfDHp+I585)</f>
        <v>115970</v>
      </c>
      <c r="J586">
        <f>IF(AND(MyRowHidden(ROW())=FALSE,MyRowHidden(ROW()-1)=TRUE),0,(G586-G585)*unitsOfExo+J585)</f>
        <v>-130670</v>
      </c>
      <c r="K586" s="9">
        <f t="shared" si="42"/>
        <v>130670</v>
      </c>
      <c r="L586">
        <f t="shared" si="43"/>
        <v>-112100.54444406087</v>
      </c>
      <c r="M586">
        <f>IF(AND(MyRowHidden(ROW())=FALSE,MyRowHidden(ROW()-1)=TRUE),0,(G586-G585)*unitsFuturesCompare+M585)</f>
        <v>-261340</v>
      </c>
      <c r="N586">
        <f>IF(MyRowHidden(ROW())=TRUE,0,L586-M586)</f>
        <v>149239.45555593912</v>
      </c>
      <c r="O586">
        <f>MAX(N$12:N586)</f>
        <v>194801.08888812171</v>
      </c>
      <c r="P586">
        <f>IF(O586&gt;O585,(O586-O585)*percentSavingsParticipation,0)</f>
        <v>0</v>
      </c>
      <c r="Q586">
        <f t="shared" si="44"/>
        <v>97400.544444060855</v>
      </c>
      <c r="R586">
        <f t="shared" si="45"/>
        <v>-14700</v>
      </c>
    </row>
    <row r="587" spans="1:18" x14ac:dyDescent="0.25">
      <c r="A587" s="1"/>
      <c r="C587" s="1"/>
      <c r="D587" s="1">
        <v>42080</v>
      </c>
      <c r="E587" s="10">
        <v>40622</v>
      </c>
      <c r="F587" s="1">
        <v>42080</v>
      </c>
      <c r="G587">
        <v>-8828.5</v>
      </c>
      <c r="H587" s="1">
        <f t="shared" si="41"/>
        <v>42080</v>
      </c>
      <c r="I587">
        <f>IF(AND(MyRowHidden(ROW())=FALSE,MyRowHidden(ROW()-1)=TRUE),0,(E587-E586)*unitsOfDHp+I586)</f>
        <v>115970</v>
      </c>
      <c r="J587">
        <f>IF(AND(MyRowHidden(ROW())=FALSE,MyRowHidden(ROW()-1)=TRUE),0,(G587-G586)*unitsOfExo+J586)</f>
        <v>-134670</v>
      </c>
      <c r="K587" s="9">
        <f t="shared" si="42"/>
        <v>134670</v>
      </c>
      <c r="L587">
        <f t="shared" si="43"/>
        <v>-116100.54444406087</v>
      </c>
      <c r="M587">
        <f>IF(AND(MyRowHidden(ROW())=FALSE,MyRowHidden(ROW()-1)=TRUE),0,(G587-G586)*unitsFuturesCompare+M586)</f>
        <v>-269340</v>
      </c>
      <c r="N587">
        <f>IF(MyRowHidden(ROW())=TRUE,0,L587-M587)</f>
        <v>153239.45555593912</v>
      </c>
      <c r="O587">
        <f>MAX(N$12:N587)</f>
        <v>194801.08888812171</v>
      </c>
      <c r="P587">
        <f>IF(O587&gt;O586,(O587-O586)*percentSavingsParticipation,0)</f>
        <v>0</v>
      </c>
      <c r="Q587">
        <f t="shared" si="44"/>
        <v>97400.544444060855</v>
      </c>
      <c r="R587">
        <f t="shared" si="45"/>
        <v>-18700</v>
      </c>
    </row>
    <row r="588" spans="1:18" x14ac:dyDescent="0.25">
      <c r="A588" s="1"/>
      <c r="C588" s="1"/>
      <c r="D588" s="1">
        <v>42081</v>
      </c>
      <c r="E588" s="10">
        <v>40622</v>
      </c>
      <c r="F588" s="1">
        <v>42081</v>
      </c>
      <c r="G588">
        <v>-8728.5</v>
      </c>
      <c r="H588" s="1">
        <f t="shared" si="41"/>
        <v>42081</v>
      </c>
      <c r="I588">
        <f>IF(AND(MyRowHidden(ROW())=FALSE,MyRowHidden(ROW()-1)=TRUE),0,(E588-E587)*unitsOfDHp+I587)</f>
        <v>115970</v>
      </c>
      <c r="J588">
        <f>IF(AND(MyRowHidden(ROW())=FALSE,MyRowHidden(ROW()-1)=TRUE),0,(G588-G587)*unitsOfExo+J587)</f>
        <v>-133670</v>
      </c>
      <c r="K588" s="9">
        <f t="shared" si="42"/>
        <v>133670</v>
      </c>
      <c r="L588">
        <f t="shared" si="43"/>
        <v>-115100.54444406087</v>
      </c>
      <c r="M588">
        <f>IF(AND(MyRowHidden(ROW())=FALSE,MyRowHidden(ROW()-1)=TRUE),0,(G588-G587)*unitsFuturesCompare+M587)</f>
        <v>-267340</v>
      </c>
      <c r="N588">
        <f>IF(MyRowHidden(ROW())=TRUE,0,L588-M588)</f>
        <v>152239.45555593912</v>
      </c>
      <c r="O588">
        <f>MAX(N$12:N588)</f>
        <v>194801.08888812171</v>
      </c>
      <c r="P588">
        <f>IF(O588&gt;O587,(O588-O587)*percentSavingsParticipation,0)</f>
        <v>0</v>
      </c>
      <c r="Q588">
        <f t="shared" si="44"/>
        <v>97400.544444060855</v>
      </c>
      <c r="R588">
        <f t="shared" si="45"/>
        <v>-17700</v>
      </c>
    </row>
    <row r="589" spans="1:18" x14ac:dyDescent="0.25">
      <c r="A589" s="1"/>
      <c r="C589" s="1"/>
      <c r="D589" s="1">
        <v>42082</v>
      </c>
      <c r="E589" s="10">
        <v>40622</v>
      </c>
      <c r="F589" s="1">
        <v>42082</v>
      </c>
      <c r="G589">
        <v>-8728.5</v>
      </c>
      <c r="H589" s="1">
        <f t="shared" ref="H589:H652" si="46">D589</f>
        <v>42082</v>
      </c>
      <c r="I589">
        <f>IF(AND(MyRowHidden(ROW())=FALSE,MyRowHidden(ROW()-1)=TRUE),0,(E589-E588)*unitsOfDHp+I588)</f>
        <v>115970</v>
      </c>
      <c r="J589">
        <f>IF(AND(MyRowHidden(ROW())=FALSE,MyRowHidden(ROW()-1)=TRUE),0,(G589-G588)*unitsOfExo+J588)</f>
        <v>-133670</v>
      </c>
      <c r="K589" s="9">
        <f t="shared" ref="K589:K652" si="47">-(J589-J588)+K588</f>
        <v>133670</v>
      </c>
      <c r="L589">
        <f t="shared" ref="L589:L652" si="48">I589-I588+J589-J588+L588-P588</f>
        <v>-115100.54444406087</v>
      </c>
      <c r="M589">
        <f>IF(AND(MyRowHidden(ROW())=FALSE,MyRowHidden(ROW()-1)=TRUE),0,(G589-G588)*unitsFuturesCompare+M588)</f>
        <v>-267340</v>
      </c>
      <c r="N589">
        <f>IF(MyRowHidden(ROW())=TRUE,0,L589-M589)</f>
        <v>152239.45555593912</v>
      </c>
      <c r="O589">
        <f>MAX(N$12:N589)</f>
        <v>194801.08888812171</v>
      </c>
      <c r="P589">
        <f>IF(O589&gt;O588,(O589-O588)*percentSavingsParticipation,0)</f>
        <v>0</v>
      </c>
      <c r="Q589">
        <f t="shared" ref="Q589:Q652" si="49">P589+Q588</f>
        <v>97400.544444060855</v>
      </c>
      <c r="R589">
        <f t="shared" ref="R589:R652" si="50">I589+J589</f>
        <v>-17700</v>
      </c>
    </row>
    <row r="590" spans="1:18" x14ac:dyDescent="0.25">
      <c r="A590" s="1"/>
      <c r="C590" s="1"/>
      <c r="D590" s="1">
        <v>42083</v>
      </c>
      <c r="E590" s="10">
        <v>40622</v>
      </c>
      <c r="F590" s="1">
        <v>42083</v>
      </c>
      <c r="G590">
        <v>-8053.5</v>
      </c>
      <c r="H590" s="1">
        <f t="shared" si="46"/>
        <v>42083</v>
      </c>
      <c r="I590">
        <f>IF(AND(MyRowHidden(ROW())=FALSE,MyRowHidden(ROW()-1)=TRUE),0,(E590-E589)*unitsOfDHp+I589)</f>
        <v>115970</v>
      </c>
      <c r="J590">
        <f>IF(AND(MyRowHidden(ROW())=FALSE,MyRowHidden(ROW()-1)=TRUE),0,(G590-G589)*unitsOfExo+J589)</f>
        <v>-126920</v>
      </c>
      <c r="K590" s="9">
        <f t="shared" si="47"/>
        <v>126920</v>
      </c>
      <c r="L590">
        <f t="shared" si="48"/>
        <v>-108350.54444406087</v>
      </c>
      <c r="M590">
        <f>IF(AND(MyRowHidden(ROW())=FALSE,MyRowHidden(ROW()-1)=TRUE),0,(G590-G589)*unitsFuturesCompare+M589)</f>
        <v>-253840</v>
      </c>
      <c r="N590">
        <f>IF(MyRowHidden(ROW())=TRUE,0,L590-M590)</f>
        <v>145489.45555593912</v>
      </c>
      <c r="O590">
        <f>MAX(N$12:N590)</f>
        <v>194801.08888812171</v>
      </c>
      <c r="P590">
        <f>IF(O590&gt;O589,(O590-O589)*percentSavingsParticipation,0)</f>
        <v>0</v>
      </c>
      <c r="Q590">
        <f t="shared" si="49"/>
        <v>97400.544444060855</v>
      </c>
      <c r="R590">
        <f t="shared" si="50"/>
        <v>-10950</v>
      </c>
    </row>
    <row r="591" spans="1:18" x14ac:dyDescent="0.25">
      <c r="A591" s="1"/>
      <c r="C591" s="1"/>
      <c r="D591" s="1">
        <v>42086</v>
      </c>
      <c r="E591" s="10">
        <v>40622</v>
      </c>
      <c r="F591" s="1">
        <v>42086</v>
      </c>
      <c r="G591">
        <v>-7816</v>
      </c>
      <c r="H591" s="1">
        <f t="shared" si="46"/>
        <v>42086</v>
      </c>
      <c r="I591">
        <f>IF(AND(MyRowHidden(ROW())=FALSE,MyRowHidden(ROW()-1)=TRUE),0,(E591-E590)*unitsOfDHp+I590)</f>
        <v>115970</v>
      </c>
      <c r="J591">
        <f>IF(AND(MyRowHidden(ROW())=FALSE,MyRowHidden(ROW()-1)=TRUE),0,(G591-G590)*unitsOfExo+J590)</f>
        <v>-124545</v>
      </c>
      <c r="K591" s="9">
        <f t="shared" si="47"/>
        <v>124545</v>
      </c>
      <c r="L591">
        <f t="shared" si="48"/>
        <v>-105975.54444406087</v>
      </c>
      <c r="M591">
        <f>IF(AND(MyRowHidden(ROW())=FALSE,MyRowHidden(ROW()-1)=TRUE),0,(G591-G590)*unitsFuturesCompare+M590)</f>
        <v>-249090</v>
      </c>
      <c r="N591">
        <f>IF(MyRowHidden(ROW())=TRUE,0,L591-M591)</f>
        <v>143114.45555593912</v>
      </c>
      <c r="O591">
        <f>MAX(N$12:N591)</f>
        <v>194801.08888812171</v>
      </c>
      <c r="P591">
        <f>IF(O591&gt;O590,(O591-O590)*percentSavingsParticipation,0)</f>
        <v>0</v>
      </c>
      <c r="Q591">
        <f t="shared" si="49"/>
        <v>97400.544444060855</v>
      </c>
      <c r="R591">
        <f t="shared" si="50"/>
        <v>-8575</v>
      </c>
    </row>
    <row r="592" spans="1:18" x14ac:dyDescent="0.25">
      <c r="A592" s="1"/>
      <c r="C592" s="1"/>
      <c r="D592" s="1">
        <v>42087</v>
      </c>
      <c r="E592" s="10">
        <v>40622</v>
      </c>
      <c r="F592" s="1">
        <v>42087</v>
      </c>
      <c r="G592">
        <v>-7716</v>
      </c>
      <c r="H592" s="1">
        <f t="shared" si="46"/>
        <v>42087</v>
      </c>
      <c r="I592">
        <f>IF(AND(MyRowHidden(ROW())=FALSE,MyRowHidden(ROW()-1)=TRUE),0,(E592-E591)*unitsOfDHp+I591)</f>
        <v>115970</v>
      </c>
      <c r="J592">
        <f>IF(AND(MyRowHidden(ROW())=FALSE,MyRowHidden(ROW()-1)=TRUE),0,(G592-G591)*unitsOfExo+J591)</f>
        <v>-123545</v>
      </c>
      <c r="K592" s="9">
        <f t="shared" si="47"/>
        <v>123545</v>
      </c>
      <c r="L592">
        <f t="shared" si="48"/>
        <v>-104975.54444406087</v>
      </c>
      <c r="M592">
        <f>IF(AND(MyRowHidden(ROW())=FALSE,MyRowHidden(ROW()-1)=TRUE),0,(G592-G591)*unitsFuturesCompare+M591)</f>
        <v>-247090</v>
      </c>
      <c r="N592">
        <f>IF(MyRowHidden(ROW())=TRUE,0,L592-M592)</f>
        <v>142114.45555593912</v>
      </c>
      <c r="O592">
        <f>MAX(N$12:N592)</f>
        <v>194801.08888812171</v>
      </c>
      <c r="P592">
        <f>IF(O592&gt;O591,(O592-O591)*percentSavingsParticipation,0)</f>
        <v>0</v>
      </c>
      <c r="Q592">
        <f t="shared" si="49"/>
        <v>97400.544444060855</v>
      </c>
      <c r="R592">
        <f t="shared" si="50"/>
        <v>-7575</v>
      </c>
    </row>
    <row r="593" spans="1:18" x14ac:dyDescent="0.25">
      <c r="A593" s="1"/>
      <c r="C593" s="1"/>
      <c r="D593" s="1">
        <v>42088</v>
      </c>
      <c r="E593" s="10">
        <v>40622</v>
      </c>
      <c r="F593" s="1">
        <v>42088</v>
      </c>
      <c r="G593">
        <v>-7591</v>
      </c>
      <c r="H593" s="1">
        <f t="shared" si="46"/>
        <v>42088</v>
      </c>
      <c r="I593">
        <f>IF(AND(MyRowHidden(ROW())=FALSE,MyRowHidden(ROW()-1)=TRUE),0,(E593-E592)*unitsOfDHp+I592)</f>
        <v>115970</v>
      </c>
      <c r="J593">
        <f>IF(AND(MyRowHidden(ROW())=FALSE,MyRowHidden(ROW()-1)=TRUE),0,(G593-G592)*unitsOfExo+J592)</f>
        <v>-122295</v>
      </c>
      <c r="K593" s="9">
        <f t="shared" si="47"/>
        <v>122295</v>
      </c>
      <c r="L593">
        <f t="shared" si="48"/>
        <v>-103725.54444406087</v>
      </c>
      <c r="M593">
        <f>IF(AND(MyRowHidden(ROW())=FALSE,MyRowHidden(ROW()-1)=TRUE),0,(G593-G592)*unitsFuturesCompare+M592)</f>
        <v>-244590</v>
      </c>
      <c r="N593">
        <f>IF(MyRowHidden(ROW())=TRUE,0,L593-M593)</f>
        <v>140864.45555593912</v>
      </c>
      <c r="O593">
        <f>MAX(N$12:N593)</f>
        <v>194801.08888812171</v>
      </c>
      <c r="P593">
        <f>IF(O593&gt;O592,(O593-O592)*percentSavingsParticipation,0)</f>
        <v>0</v>
      </c>
      <c r="Q593">
        <f t="shared" si="49"/>
        <v>97400.544444060855</v>
      </c>
      <c r="R593">
        <f t="shared" si="50"/>
        <v>-6325</v>
      </c>
    </row>
    <row r="594" spans="1:18" x14ac:dyDescent="0.25">
      <c r="A594" s="1"/>
      <c r="C594" s="1"/>
      <c r="D594" s="1">
        <v>42089</v>
      </c>
      <c r="E594" s="10">
        <v>40622</v>
      </c>
      <c r="F594" s="1">
        <v>42089</v>
      </c>
      <c r="G594">
        <v>-7803.5</v>
      </c>
      <c r="H594" s="1">
        <f t="shared" si="46"/>
        <v>42089</v>
      </c>
      <c r="I594">
        <f>IF(AND(MyRowHidden(ROW())=FALSE,MyRowHidden(ROW()-1)=TRUE),0,(E594-E593)*unitsOfDHp+I593)</f>
        <v>115970</v>
      </c>
      <c r="J594">
        <f>IF(AND(MyRowHidden(ROW())=FALSE,MyRowHidden(ROW()-1)=TRUE),0,(G594-G593)*unitsOfExo+J593)</f>
        <v>-124420</v>
      </c>
      <c r="K594" s="9">
        <f t="shared" si="47"/>
        <v>124420</v>
      </c>
      <c r="L594">
        <f t="shared" si="48"/>
        <v>-105850.54444406087</v>
      </c>
      <c r="M594">
        <f>IF(AND(MyRowHidden(ROW())=FALSE,MyRowHidden(ROW()-1)=TRUE),0,(G594-G593)*unitsFuturesCompare+M593)</f>
        <v>-248840</v>
      </c>
      <c r="N594">
        <f>IF(MyRowHidden(ROW())=TRUE,0,L594-M594)</f>
        <v>142989.45555593912</v>
      </c>
      <c r="O594">
        <f>MAX(N$12:N594)</f>
        <v>194801.08888812171</v>
      </c>
      <c r="P594">
        <f>IF(O594&gt;O593,(O594-O593)*percentSavingsParticipation,0)</f>
        <v>0</v>
      </c>
      <c r="Q594">
        <f t="shared" si="49"/>
        <v>97400.544444060855</v>
      </c>
      <c r="R594">
        <f t="shared" si="50"/>
        <v>-8450</v>
      </c>
    </row>
    <row r="595" spans="1:18" x14ac:dyDescent="0.25">
      <c r="A595" s="1"/>
      <c r="C595" s="1"/>
      <c r="D595" s="1">
        <v>42090</v>
      </c>
      <c r="E595" s="10">
        <v>40622</v>
      </c>
      <c r="F595" s="1">
        <v>42090</v>
      </c>
      <c r="G595">
        <v>-7816</v>
      </c>
      <c r="H595" s="1">
        <f t="shared" si="46"/>
        <v>42090</v>
      </c>
      <c r="I595">
        <f>IF(AND(MyRowHidden(ROW())=FALSE,MyRowHidden(ROW()-1)=TRUE),0,(E595-E594)*unitsOfDHp+I594)</f>
        <v>115970</v>
      </c>
      <c r="J595">
        <f>IF(AND(MyRowHidden(ROW())=FALSE,MyRowHidden(ROW()-1)=TRUE),0,(G595-G594)*unitsOfExo+J594)</f>
        <v>-124545</v>
      </c>
      <c r="K595" s="9">
        <f t="shared" si="47"/>
        <v>124545</v>
      </c>
      <c r="L595">
        <f t="shared" si="48"/>
        <v>-105975.54444406087</v>
      </c>
      <c r="M595">
        <f>IF(AND(MyRowHidden(ROW())=FALSE,MyRowHidden(ROW()-1)=TRUE),0,(G595-G594)*unitsFuturesCompare+M594)</f>
        <v>-249090</v>
      </c>
      <c r="N595">
        <f>IF(MyRowHidden(ROW())=TRUE,0,L595-M595)</f>
        <v>143114.45555593912</v>
      </c>
      <c r="O595">
        <f>MAX(N$12:N595)</f>
        <v>194801.08888812171</v>
      </c>
      <c r="P595">
        <f>IF(O595&gt;O594,(O595-O594)*percentSavingsParticipation,0)</f>
        <v>0</v>
      </c>
      <c r="Q595">
        <f t="shared" si="49"/>
        <v>97400.544444060855</v>
      </c>
      <c r="R595">
        <f t="shared" si="50"/>
        <v>-8575</v>
      </c>
    </row>
    <row r="596" spans="1:18" x14ac:dyDescent="0.25">
      <c r="A596" s="1"/>
      <c r="C596" s="1"/>
      <c r="D596" s="1">
        <v>42093</v>
      </c>
      <c r="E596" s="10">
        <v>40622</v>
      </c>
      <c r="F596" s="1">
        <v>42093</v>
      </c>
      <c r="G596">
        <v>-7666</v>
      </c>
      <c r="H596" s="1">
        <f t="shared" si="46"/>
        <v>42093</v>
      </c>
      <c r="I596">
        <f>IF(AND(MyRowHidden(ROW())=FALSE,MyRowHidden(ROW()-1)=TRUE),0,(E596-E595)*unitsOfDHp+I595)</f>
        <v>115970</v>
      </c>
      <c r="J596">
        <f>IF(AND(MyRowHidden(ROW())=FALSE,MyRowHidden(ROW()-1)=TRUE),0,(G596-G595)*unitsOfExo+J595)</f>
        <v>-123045</v>
      </c>
      <c r="K596" s="9">
        <f t="shared" si="47"/>
        <v>123045</v>
      </c>
      <c r="L596">
        <f t="shared" si="48"/>
        <v>-104475.54444406087</v>
      </c>
      <c r="M596">
        <f>IF(AND(MyRowHidden(ROW())=FALSE,MyRowHidden(ROW()-1)=TRUE),0,(G596-G595)*unitsFuturesCompare+M595)</f>
        <v>-246090</v>
      </c>
      <c r="N596">
        <f>IF(MyRowHidden(ROW())=TRUE,0,L596-M596)</f>
        <v>141614.45555593912</v>
      </c>
      <c r="O596">
        <f>MAX(N$12:N596)</f>
        <v>194801.08888812171</v>
      </c>
      <c r="P596">
        <f>IF(O596&gt;O595,(O596-O595)*percentSavingsParticipation,0)</f>
        <v>0</v>
      </c>
      <c r="Q596">
        <f t="shared" si="49"/>
        <v>97400.544444060855</v>
      </c>
      <c r="R596">
        <f t="shared" si="50"/>
        <v>-7075</v>
      </c>
    </row>
    <row r="597" spans="1:18" x14ac:dyDescent="0.25">
      <c r="A597" s="1"/>
      <c r="C597" s="1"/>
      <c r="D597" s="1">
        <v>42094</v>
      </c>
      <c r="E597" s="10">
        <v>40622</v>
      </c>
      <c r="F597" s="1">
        <v>42094</v>
      </c>
      <c r="G597">
        <v>-8516</v>
      </c>
      <c r="H597" s="1">
        <f t="shared" si="46"/>
        <v>42094</v>
      </c>
      <c r="I597">
        <f>IF(AND(MyRowHidden(ROW())=FALSE,MyRowHidden(ROW()-1)=TRUE),0,(E597-E596)*unitsOfDHp+I596)</f>
        <v>115970</v>
      </c>
      <c r="J597">
        <f>IF(AND(MyRowHidden(ROW())=FALSE,MyRowHidden(ROW()-1)=TRUE),0,(G597-G596)*unitsOfExo+J596)</f>
        <v>-131545</v>
      </c>
      <c r="K597" s="9">
        <f t="shared" si="47"/>
        <v>131545</v>
      </c>
      <c r="L597">
        <f t="shared" si="48"/>
        <v>-112975.54444406087</v>
      </c>
      <c r="M597">
        <f>IF(AND(MyRowHidden(ROW())=FALSE,MyRowHidden(ROW()-1)=TRUE),0,(G597-G596)*unitsFuturesCompare+M596)</f>
        <v>-263090</v>
      </c>
      <c r="N597">
        <f>IF(MyRowHidden(ROW())=TRUE,0,L597-M597)</f>
        <v>150114.45555593912</v>
      </c>
      <c r="O597">
        <f>MAX(N$12:N597)</f>
        <v>194801.08888812171</v>
      </c>
      <c r="P597">
        <f>IF(O597&gt;O596,(O597-O596)*percentSavingsParticipation,0)</f>
        <v>0</v>
      </c>
      <c r="Q597">
        <f t="shared" si="49"/>
        <v>97400.544444060855</v>
      </c>
      <c r="R597">
        <f t="shared" si="50"/>
        <v>-15575</v>
      </c>
    </row>
    <row r="598" spans="1:18" x14ac:dyDescent="0.25">
      <c r="A598" s="1"/>
      <c r="C598" s="1"/>
      <c r="D598" s="1">
        <v>42095</v>
      </c>
      <c r="E598" s="10">
        <v>40787</v>
      </c>
      <c r="F598" s="1">
        <v>42095</v>
      </c>
      <c r="G598">
        <v>-8291</v>
      </c>
      <c r="H598" s="1">
        <f t="shared" si="46"/>
        <v>42095</v>
      </c>
      <c r="I598">
        <f>IF(AND(MyRowHidden(ROW())=FALSE,MyRowHidden(ROW()-1)=TRUE),0,(E598-E597)*unitsOfDHp+I597)</f>
        <v>117620</v>
      </c>
      <c r="J598">
        <f>IF(AND(MyRowHidden(ROW())=FALSE,MyRowHidden(ROW()-1)=TRUE),0,(G598-G597)*unitsOfExo+J597)</f>
        <v>-129295</v>
      </c>
      <c r="K598" s="9">
        <f t="shared" si="47"/>
        <v>129295</v>
      </c>
      <c r="L598">
        <f t="shared" si="48"/>
        <v>-109075.54444406087</v>
      </c>
      <c r="M598">
        <f>IF(AND(MyRowHidden(ROW())=FALSE,MyRowHidden(ROW()-1)=TRUE),0,(G598-G597)*unitsFuturesCompare+M597)</f>
        <v>-258590</v>
      </c>
      <c r="N598">
        <f>IF(MyRowHidden(ROW())=TRUE,0,L598-M598)</f>
        <v>149514.45555593912</v>
      </c>
      <c r="O598">
        <f>MAX(N$12:N598)</f>
        <v>194801.08888812171</v>
      </c>
      <c r="P598">
        <f>IF(O598&gt;O597,(O598-O597)*percentSavingsParticipation,0)</f>
        <v>0</v>
      </c>
      <c r="Q598">
        <f t="shared" si="49"/>
        <v>97400.544444060855</v>
      </c>
      <c r="R598">
        <f t="shared" si="50"/>
        <v>-11675</v>
      </c>
    </row>
    <row r="599" spans="1:18" x14ac:dyDescent="0.25">
      <c r="A599" s="1"/>
      <c r="C599" s="1"/>
      <c r="D599" s="1">
        <v>42096</v>
      </c>
      <c r="E599" s="10">
        <v>40787</v>
      </c>
      <c r="F599" s="1">
        <v>42096</v>
      </c>
      <c r="G599">
        <v>-8003.5</v>
      </c>
      <c r="H599" s="1">
        <f t="shared" si="46"/>
        <v>42096</v>
      </c>
      <c r="I599">
        <f>IF(AND(MyRowHidden(ROW())=FALSE,MyRowHidden(ROW()-1)=TRUE),0,(E599-E598)*unitsOfDHp+I598)</f>
        <v>117620</v>
      </c>
      <c r="J599">
        <f>IF(AND(MyRowHidden(ROW())=FALSE,MyRowHidden(ROW()-1)=TRUE),0,(G599-G598)*unitsOfExo+J598)</f>
        <v>-126420</v>
      </c>
      <c r="K599" s="9">
        <f t="shared" si="47"/>
        <v>126420</v>
      </c>
      <c r="L599">
        <f t="shared" si="48"/>
        <v>-106200.54444406087</v>
      </c>
      <c r="M599">
        <f>IF(AND(MyRowHidden(ROW())=FALSE,MyRowHidden(ROW()-1)=TRUE),0,(G599-G598)*unitsFuturesCompare+M598)</f>
        <v>-252840</v>
      </c>
      <c r="N599">
        <f>IF(MyRowHidden(ROW())=TRUE,0,L599-M599)</f>
        <v>146639.45555593912</v>
      </c>
      <c r="O599">
        <f>MAX(N$12:N599)</f>
        <v>194801.08888812171</v>
      </c>
      <c r="P599">
        <f>IF(O599&gt;O598,(O599-O598)*percentSavingsParticipation,0)</f>
        <v>0</v>
      </c>
      <c r="Q599">
        <f t="shared" si="49"/>
        <v>97400.544444060855</v>
      </c>
      <c r="R599">
        <f t="shared" si="50"/>
        <v>-8800</v>
      </c>
    </row>
    <row r="600" spans="1:18" x14ac:dyDescent="0.25">
      <c r="A600" s="1"/>
      <c r="C600" s="1"/>
      <c r="D600" s="1">
        <v>42097</v>
      </c>
      <c r="E600" s="10">
        <v>40787</v>
      </c>
      <c r="F600" s="1">
        <v>42097</v>
      </c>
      <c r="G600">
        <v>-7891</v>
      </c>
      <c r="H600" s="1">
        <f t="shared" si="46"/>
        <v>42097</v>
      </c>
      <c r="I600">
        <f>IF(AND(MyRowHidden(ROW())=FALSE,MyRowHidden(ROW()-1)=TRUE),0,(E600-E599)*unitsOfDHp+I599)</f>
        <v>117620</v>
      </c>
      <c r="J600">
        <f>IF(AND(MyRowHidden(ROW())=FALSE,MyRowHidden(ROW()-1)=TRUE),0,(G600-G599)*unitsOfExo+J599)</f>
        <v>-125295</v>
      </c>
      <c r="K600" s="9">
        <f t="shared" si="47"/>
        <v>125295</v>
      </c>
      <c r="L600">
        <f t="shared" si="48"/>
        <v>-105075.54444406087</v>
      </c>
      <c r="M600">
        <f>IF(AND(MyRowHidden(ROW())=FALSE,MyRowHidden(ROW()-1)=TRUE),0,(G600-G599)*unitsFuturesCompare+M599)</f>
        <v>-250590</v>
      </c>
      <c r="N600">
        <f>IF(MyRowHidden(ROW())=TRUE,0,L600-M600)</f>
        <v>145514.45555593912</v>
      </c>
      <c r="O600">
        <f>MAX(N$12:N600)</f>
        <v>194801.08888812171</v>
      </c>
      <c r="P600">
        <f>IF(O600&gt;O599,(O600-O599)*percentSavingsParticipation,0)</f>
        <v>0</v>
      </c>
      <c r="Q600">
        <f t="shared" si="49"/>
        <v>97400.544444060855</v>
      </c>
      <c r="R600">
        <f t="shared" si="50"/>
        <v>-7675</v>
      </c>
    </row>
    <row r="601" spans="1:18" x14ac:dyDescent="0.25">
      <c r="A601" s="1"/>
      <c r="C601" s="1"/>
      <c r="D601" s="1">
        <v>42100</v>
      </c>
      <c r="E601" s="10">
        <v>40787</v>
      </c>
      <c r="F601" s="1">
        <v>42100</v>
      </c>
      <c r="G601">
        <v>-8091</v>
      </c>
      <c r="H601" s="1">
        <f t="shared" si="46"/>
        <v>42100</v>
      </c>
      <c r="I601">
        <f>IF(AND(MyRowHidden(ROW())=FALSE,MyRowHidden(ROW()-1)=TRUE),0,(E601-E600)*unitsOfDHp+I600)</f>
        <v>117620</v>
      </c>
      <c r="J601">
        <f>IF(AND(MyRowHidden(ROW())=FALSE,MyRowHidden(ROW()-1)=TRUE),0,(G601-G600)*unitsOfExo+J600)</f>
        <v>-127295</v>
      </c>
      <c r="K601" s="9">
        <f t="shared" si="47"/>
        <v>127295</v>
      </c>
      <c r="L601">
        <f t="shared" si="48"/>
        <v>-107075.54444406087</v>
      </c>
      <c r="M601">
        <f>IF(AND(MyRowHidden(ROW())=FALSE,MyRowHidden(ROW()-1)=TRUE),0,(G601-G600)*unitsFuturesCompare+M600)</f>
        <v>-254590</v>
      </c>
      <c r="N601">
        <f>IF(MyRowHidden(ROW())=TRUE,0,L601-M601)</f>
        <v>147514.45555593912</v>
      </c>
      <c r="O601">
        <f>MAX(N$12:N601)</f>
        <v>194801.08888812171</v>
      </c>
      <c r="P601">
        <f>IF(O601&gt;O600,(O601-O600)*percentSavingsParticipation,0)</f>
        <v>0</v>
      </c>
      <c r="Q601">
        <f t="shared" si="49"/>
        <v>97400.544444060855</v>
      </c>
      <c r="R601">
        <f t="shared" si="50"/>
        <v>-9675</v>
      </c>
    </row>
    <row r="602" spans="1:18" x14ac:dyDescent="0.25">
      <c r="A602" s="1"/>
      <c r="C602" s="1"/>
      <c r="D602" s="1">
        <v>42101</v>
      </c>
      <c r="E602" s="10">
        <v>40787</v>
      </c>
      <c r="F602" s="1">
        <v>42101</v>
      </c>
      <c r="G602">
        <v>-8216</v>
      </c>
      <c r="H602" s="1">
        <f t="shared" si="46"/>
        <v>42101</v>
      </c>
      <c r="I602">
        <f>IF(AND(MyRowHidden(ROW())=FALSE,MyRowHidden(ROW()-1)=TRUE),0,(E602-E601)*unitsOfDHp+I601)</f>
        <v>117620</v>
      </c>
      <c r="J602">
        <f>IF(AND(MyRowHidden(ROW())=FALSE,MyRowHidden(ROW()-1)=TRUE),0,(G602-G601)*unitsOfExo+J601)</f>
        <v>-128545</v>
      </c>
      <c r="K602" s="9">
        <f t="shared" si="47"/>
        <v>128545</v>
      </c>
      <c r="L602">
        <f t="shared" si="48"/>
        <v>-108325.54444406087</v>
      </c>
      <c r="M602">
        <f>IF(AND(MyRowHidden(ROW())=FALSE,MyRowHidden(ROW()-1)=TRUE),0,(G602-G601)*unitsFuturesCompare+M601)</f>
        <v>-257090</v>
      </c>
      <c r="N602">
        <f>IF(MyRowHidden(ROW())=TRUE,0,L602-M602)</f>
        <v>148764.45555593912</v>
      </c>
      <c r="O602">
        <f>MAX(N$12:N602)</f>
        <v>194801.08888812171</v>
      </c>
      <c r="P602">
        <f>IF(O602&gt;O601,(O602-O601)*percentSavingsParticipation,0)</f>
        <v>0</v>
      </c>
      <c r="Q602">
        <f t="shared" si="49"/>
        <v>97400.544444060855</v>
      </c>
      <c r="R602">
        <f t="shared" si="50"/>
        <v>-10925</v>
      </c>
    </row>
    <row r="603" spans="1:18" x14ac:dyDescent="0.25">
      <c r="A603" s="1"/>
      <c r="C603" s="1"/>
      <c r="D603" s="1">
        <v>42102</v>
      </c>
      <c r="E603" s="10">
        <v>40787</v>
      </c>
      <c r="F603" s="1">
        <v>42102</v>
      </c>
      <c r="G603">
        <v>-8453.5</v>
      </c>
      <c r="H603" s="1">
        <f t="shared" si="46"/>
        <v>42102</v>
      </c>
      <c r="I603">
        <f>IF(AND(MyRowHidden(ROW())=FALSE,MyRowHidden(ROW()-1)=TRUE),0,(E603-E602)*unitsOfDHp+I602)</f>
        <v>117620</v>
      </c>
      <c r="J603">
        <f>IF(AND(MyRowHidden(ROW())=FALSE,MyRowHidden(ROW()-1)=TRUE),0,(G603-G602)*unitsOfExo+J602)</f>
        <v>-130920</v>
      </c>
      <c r="K603" s="9">
        <f t="shared" si="47"/>
        <v>130920</v>
      </c>
      <c r="L603">
        <f t="shared" si="48"/>
        <v>-110700.54444406087</v>
      </c>
      <c r="M603">
        <f>IF(AND(MyRowHidden(ROW())=FALSE,MyRowHidden(ROW()-1)=TRUE),0,(G603-G602)*unitsFuturesCompare+M602)</f>
        <v>-261840</v>
      </c>
      <c r="N603">
        <f>IF(MyRowHidden(ROW())=TRUE,0,L603-M603)</f>
        <v>151139.45555593912</v>
      </c>
      <c r="O603">
        <f>MAX(N$12:N603)</f>
        <v>194801.08888812171</v>
      </c>
      <c r="P603">
        <f>IF(O603&gt;O602,(O603-O602)*percentSavingsParticipation,0)</f>
        <v>0</v>
      </c>
      <c r="Q603">
        <f t="shared" si="49"/>
        <v>97400.544444060855</v>
      </c>
      <c r="R603">
        <f t="shared" si="50"/>
        <v>-13300</v>
      </c>
    </row>
    <row r="604" spans="1:18" x14ac:dyDescent="0.25">
      <c r="A604" s="1"/>
      <c r="C604" s="1"/>
      <c r="D604" s="1">
        <v>42103</v>
      </c>
      <c r="E604" s="10">
        <v>40787</v>
      </c>
      <c r="F604" s="1">
        <v>42103</v>
      </c>
      <c r="G604">
        <v>-8428.5</v>
      </c>
      <c r="H604" s="1">
        <f t="shared" si="46"/>
        <v>42103</v>
      </c>
      <c r="I604">
        <f>IF(AND(MyRowHidden(ROW())=FALSE,MyRowHidden(ROW()-1)=TRUE),0,(E604-E603)*unitsOfDHp+I603)</f>
        <v>117620</v>
      </c>
      <c r="J604">
        <f>IF(AND(MyRowHidden(ROW())=FALSE,MyRowHidden(ROW()-1)=TRUE),0,(G604-G603)*unitsOfExo+J603)</f>
        <v>-130670</v>
      </c>
      <c r="K604" s="9">
        <f t="shared" si="47"/>
        <v>130670</v>
      </c>
      <c r="L604">
        <f t="shared" si="48"/>
        <v>-110450.54444406087</v>
      </c>
      <c r="M604">
        <f>IF(AND(MyRowHidden(ROW())=FALSE,MyRowHidden(ROW()-1)=TRUE),0,(G604-G603)*unitsFuturesCompare+M603)</f>
        <v>-261340</v>
      </c>
      <c r="N604">
        <f>IF(MyRowHidden(ROW())=TRUE,0,L604-M604)</f>
        <v>150889.45555593912</v>
      </c>
      <c r="O604">
        <f>MAX(N$12:N604)</f>
        <v>194801.08888812171</v>
      </c>
      <c r="P604">
        <f>IF(O604&gt;O603,(O604-O603)*percentSavingsParticipation,0)</f>
        <v>0</v>
      </c>
      <c r="Q604">
        <f t="shared" si="49"/>
        <v>97400.544444060855</v>
      </c>
      <c r="R604">
        <f t="shared" si="50"/>
        <v>-13050</v>
      </c>
    </row>
    <row r="605" spans="1:18" x14ac:dyDescent="0.25">
      <c r="A605" s="1"/>
      <c r="C605" s="1"/>
      <c r="D605" s="1">
        <v>42104</v>
      </c>
      <c r="E605" s="10">
        <v>40787</v>
      </c>
      <c r="F605" s="1">
        <v>42104</v>
      </c>
      <c r="G605">
        <v>-8553.5</v>
      </c>
      <c r="H605" s="1">
        <f t="shared" si="46"/>
        <v>42104</v>
      </c>
      <c r="I605">
        <f>IF(AND(MyRowHidden(ROW())=FALSE,MyRowHidden(ROW()-1)=TRUE),0,(E605-E604)*unitsOfDHp+I604)</f>
        <v>117620</v>
      </c>
      <c r="J605">
        <f>IF(AND(MyRowHidden(ROW())=FALSE,MyRowHidden(ROW()-1)=TRUE),0,(G605-G604)*unitsOfExo+J604)</f>
        <v>-131920</v>
      </c>
      <c r="K605" s="9">
        <f t="shared" si="47"/>
        <v>131920</v>
      </c>
      <c r="L605">
        <f t="shared" si="48"/>
        <v>-111700.54444406087</v>
      </c>
      <c r="M605">
        <f>IF(AND(MyRowHidden(ROW())=FALSE,MyRowHidden(ROW()-1)=TRUE),0,(G605-G604)*unitsFuturesCompare+M604)</f>
        <v>-263840</v>
      </c>
      <c r="N605">
        <f>IF(MyRowHidden(ROW())=TRUE,0,L605-M605)</f>
        <v>152139.45555593912</v>
      </c>
      <c r="O605">
        <f>MAX(N$12:N605)</f>
        <v>194801.08888812171</v>
      </c>
      <c r="P605">
        <f>IF(O605&gt;O604,(O605-O604)*percentSavingsParticipation,0)</f>
        <v>0</v>
      </c>
      <c r="Q605">
        <f t="shared" si="49"/>
        <v>97400.544444060855</v>
      </c>
      <c r="R605">
        <f t="shared" si="50"/>
        <v>-14300</v>
      </c>
    </row>
    <row r="606" spans="1:18" x14ac:dyDescent="0.25">
      <c r="A606" s="1"/>
      <c r="C606" s="1"/>
      <c r="D606" s="1">
        <v>42107</v>
      </c>
      <c r="E606" s="10">
        <v>40787</v>
      </c>
      <c r="F606" s="1">
        <v>42107</v>
      </c>
      <c r="G606">
        <v>-8766</v>
      </c>
      <c r="H606" s="1">
        <f t="shared" si="46"/>
        <v>42107</v>
      </c>
      <c r="I606">
        <f>IF(AND(MyRowHidden(ROW())=FALSE,MyRowHidden(ROW()-1)=TRUE),0,(E606-E605)*unitsOfDHp+I605)</f>
        <v>117620</v>
      </c>
      <c r="J606">
        <f>IF(AND(MyRowHidden(ROW())=FALSE,MyRowHidden(ROW()-1)=TRUE),0,(G606-G605)*unitsOfExo+J605)</f>
        <v>-134045</v>
      </c>
      <c r="K606" s="9">
        <f t="shared" si="47"/>
        <v>134045</v>
      </c>
      <c r="L606">
        <f t="shared" si="48"/>
        <v>-113825.54444406087</v>
      </c>
      <c r="M606">
        <f>IF(AND(MyRowHidden(ROW())=FALSE,MyRowHidden(ROW()-1)=TRUE),0,(G606-G605)*unitsFuturesCompare+M605)</f>
        <v>-268090</v>
      </c>
      <c r="N606">
        <f>IF(MyRowHidden(ROW())=TRUE,0,L606-M606)</f>
        <v>154264.45555593912</v>
      </c>
      <c r="O606">
        <f>MAX(N$12:N606)</f>
        <v>194801.08888812171</v>
      </c>
      <c r="P606">
        <f>IF(O606&gt;O605,(O606-O605)*percentSavingsParticipation,0)</f>
        <v>0</v>
      </c>
      <c r="Q606">
        <f t="shared" si="49"/>
        <v>97400.544444060855</v>
      </c>
      <c r="R606">
        <f t="shared" si="50"/>
        <v>-16425</v>
      </c>
    </row>
    <row r="607" spans="1:18" x14ac:dyDescent="0.25">
      <c r="A607" s="1"/>
      <c r="C607" s="1"/>
      <c r="D607" s="1">
        <v>42108</v>
      </c>
      <c r="E607" s="10">
        <v>40787</v>
      </c>
      <c r="F607" s="1">
        <v>42108</v>
      </c>
      <c r="G607">
        <v>-8641</v>
      </c>
      <c r="H607" s="1">
        <f t="shared" si="46"/>
        <v>42108</v>
      </c>
      <c r="I607">
        <f>IF(AND(MyRowHidden(ROW())=FALSE,MyRowHidden(ROW()-1)=TRUE),0,(E607-E606)*unitsOfDHp+I606)</f>
        <v>117620</v>
      </c>
      <c r="J607">
        <f>IF(AND(MyRowHidden(ROW())=FALSE,MyRowHidden(ROW()-1)=TRUE),0,(G607-G606)*unitsOfExo+J606)</f>
        <v>-132795</v>
      </c>
      <c r="K607" s="9">
        <f t="shared" si="47"/>
        <v>132795</v>
      </c>
      <c r="L607">
        <f t="shared" si="48"/>
        <v>-112575.54444406087</v>
      </c>
      <c r="M607">
        <f>IF(AND(MyRowHidden(ROW())=FALSE,MyRowHidden(ROW()-1)=TRUE),0,(G607-G606)*unitsFuturesCompare+M606)</f>
        <v>-265590</v>
      </c>
      <c r="N607">
        <f>IF(MyRowHidden(ROW())=TRUE,0,L607-M607)</f>
        <v>153014.45555593912</v>
      </c>
      <c r="O607">
        <f>MAX(N$12:N607)</f>
        <v>194801.08888812171</v>
      </c>
      <c r="P607">
        <f>IF(O607&gt;O606,(O607-O606)*percentSavingsParticipation,0)</f>
        <v>0</v>
      </c>
      <c r="Q607">
        <f t="shared" si="49"/>
        <v>97400.544444060855</v>
      </c>
      <c r="R607">
        <f t="shared" si="50"/>
        <v>-15175</v>
      </c>
    </row>
    <row r="608" spans="1:18" x14ac:dyDescent="0.25">
      <c r="A608" s="1"/>
      <c r="C608" s="1"/>
      <c r="D608" s="1">
        <v>42109</v>
      </c>
      <c r="E608" s="10">
        <v>40787</v>
      </c>
      <c r="F608" s="1">
        <v>42109</v>
      </c>
      <c r="G608">
        <v>-8591</v>
      </c>
      <c r="H608" s="1">
        <f t="shared" si="46"/>
        <v>42109</v>
      </c>
      <c r="I608">
        <f>IF(AND(MyRowHidden(ROW())=FALSE,MyRowHidden(ROW()-1)=TRUE),0,(E608-E607)*unitsOfDHp+I607)</f>
        <v>117620</v>
      </c>
      <c r="J608">
        <f>IF(AND(MyRowHidden(ROW())=FALSE,MyRowHidden(ROW()-1)=TRUE),0,(G608-G607)*unitsOfExo+J607)</f>
        <v>-132295</v>
      </c>
      <c r="K608" s="9">
        <f t="shared" si="47"/>
        <v>132295</v>
      </c>
      <c r="L608">
        <f t="shared" si="48"/>
        <v>-112075.54444406087</v>
      </c>
      <c r="M608">
        <f>IF(AND(MyRowHidden(ROW())=FALSE,MyRowHidden(ROW()-1)=TRUE),0,(G608-G607)*unitsFuturesCompare+M607)</f>
        <v>-264590</v>
      </c>
      <c r="N608">
        <f>IF(MyRowHidden(ROW())=TRUE,0,L608-M608)</f>
        <v>152514.45555593912</v>
      </c>
      <c r="O608">
        <f>MAX(N$12:N608)</f>
        <v>194801.08888812171</v>
      </c>
      <c r="P608">
        <f>IF(O608&gt;O607,(O608-O607)*percentSavingsParticipation,0)</f>
        <v>0</v>
      </c>
      <c r="Q608">
        <f t="shared" si="49"/>
        <v>97400.544444060855</v>
      </c>
      <c r="R608">
        <f t="shared" si="50"/>
        <v>-14675</v>
      </c>
    </row>
    <row r="609" spans="1:18" x14ac:dyDescent="0.25">
      <c r="A609" s="1"/>
      <c r="C609" s="1"/>
      <c r="D609" s="1">
        <v>42110</v>
      </c>
      <c r="E609" s="10">
        <v>40787</v>
      </c>
      <c r="F609" s="1">
        <v>42110</v>
      </c>
      <c r="G609">
        <v>-8478.5</v>
      </c>
      <c r="H609" s="1">
        <f t="shared" si="46"/>
        <v>42110</v>
      </c>
      <c r="I609">
        <f>IF(AND(MyRowHidden(ROW())=FALSE,MyRowHidden(ROW()-1)=TRUE),0,(E609-E608)*unitsOfDHp+I608)</f>
        <v>117620</v>
      </c>
      <c r="J609">
        <f>IF(AND(MyRowHidden(ROW())=FALSE,MyRowHidden(ROW()-1)=TRUE),0,(G609-G608)*unitsOfExo+J608)</f>
        <v>-131170</v>
      </c>
      <c r="K609" s="9">
        <f t="shared" si="47"/>
        <v>131170</v>
      </c>
      <c r="L609">
        <f t="shared" si="48"/>
        <v>-110950.54444406087</v>
      </c>
      <c r="M609">
        <f>IF(AND(MyRowHidden(ROW())=FALSE,MyRowHidden(ROW()-1)=TRUE),0,(G609-G608)*unitsFuturesCompare+M608)</f>
        <v>-262340</v>
      </c>
      <c r="N609">
        <f>IF(MyRowHidden(ROW())=TRUE,0,L609-M609)</f>
        <v>151389.45555593912</v>
      </c>
      <c r="O609">
        <f>MAX(N$12:N609)</f>
        <v>194801.08888812171</v>
      </c>
      <c r="P609">
        <f>IF(O609&gt;O608,(O609-O608)*percentSavingsParticipation,0)</f>
        <v>0</v>
      </c>
      <c r="Q609">
        <f t="shared" si="49"/>
        <v>97400.544444060855</v>
      </c>
      <c r="R609">
        <f t="shared" si="50"/>
        <v>-13550</v>
      </c>
    </row>
    <row r="610" spans="1:18" x14ac:dyDescent="0.25">
      <c r="A610" s="1"/>
      <c r="C610" s="1"/>
      <c r="D610" s="1">
        <v>42111</v>
      </c>
      <c r="E610" s="10">
        <v>40787</v>
      </c>
      <c r="F610" s="1">
        <v>42111</v>
      </c>
      <c r="G610">
        <v>-8428.5</v>
      </c>
      <c r="H610" s="1">
        <f t="shared" si="46"/>
        <v>42111</v>
      </c>
      <c r="I610">
        <f>IF(AND(MyRowHidden(ROW())=FALSE,MyRowHidden(ROW()-1)=TRUE),0,(E610-E609)*unitsOfDHp+I609)</f>
        <v>117620</v>
      </c>
      <c r="J610">
        <f>IF(AND(MyRowHidden(ROW())=FALSE,MyRowHidden(ROW()-1)=TRUE),0,(G610-G609)*unitsOfExo+J609)</f>
        <v>-130670</v>
      </c>
      <c r="K610" s="9">
        <f t="shared" si="47"/>
        <v>130670</v>
      </c>
      <c r="L610">
        <f t="shared" si="48"/>
        <v>-110450.54444406087</v>
      </c>
      <c r="M610">
        <f>IF(AND(MyRowHidden(ROW())=FALSE,MyRowHidden(ROW()-1)=TRUE),0,(G610-G609)*unitsFuturesCompare+M609)</f>
        <v>-261340</v>
      </c>
      <c r="N610">
        <f>IF(MyRowHidden(ROW())=TRUE,0,L610-M610)</f>
        <v>150889.45555593912</v>
      </c>
      <c r="O610">
        <f>MAX(N$12:N610)</f>
        <v>194801.08888812171</v>
      </c>
      <c r="P610">
        <f>IF(O610&gt;O609,(O610-O609)*percentSavingsParticipation,0)</f>
        <v>0</v>
      </c>
      <c r="Q610">
        <f t="shared" si="49"/>
        <v>97400.544444060855</v>
      </c>
      <c r="R610">
        <f t="shared" si="50"/>
        <v>-13050</v>
      </c>
    </row>
    <row r="611" spans="1:18" x14ac:dyDescent="0.25">
      <c r="A611" s="1"/>
      <c r="C611" s="1"/>
      <c r="D611" s="1">
        <v>42114</v>
      </c>
      <c r="E611" s="10">
        <v>40787</v>
      </c>
      <c r="F611" s="1">
        <v>42114</v>
      </c>
      <c r="G611">
        <v>-8416</v>
      </c>
      <c r="H611" s="1">
        <f t="shared" si="46"/>
        <v>42114</v>
      </c>
      <c r="I611">
        <f>IF(AND(MyRowHidden(ROW())=FALSE,MyRowHidden(ROW()-1)=TRUE),0,(E611-E610)*unitsOfDHp+I610)</f>
        <v>117620</v>
      </c>
      <c r="J611">
        <f>IF(AND(MyRowHidden(ROW())=FALSE,MyRowHidden(ROW()-1)=TRUE),0,(G611-G610)*unitsOfExo+J610)</f>
        <v>-130545</v>
      </c>
      <c r="K611" s="9">
        <f t="shared" si="47"/>
        <v>130545</v>
      </c>
      <c r="L611">
        <f t="shared" si="48"/>
        <v>-110325.54444406087</v>
      </c>
      <c r="M611">
        <f>IF(AND(MyRowHidden(ROW())=FALSE,MyRowHidden(ROW()-1)=TRUE),0,(G611-G610)*unitsFuturesCompare+M610)</f>
        <v>-261090</v>
      </c>
      <c r="N611">
        <f>IF(MyRowHidden(ROW())=TRUE,0,L611-M611)</f>
        <v>150764.45555593912</v>
      </c>
      <c r="O611">
        <f>MAX(N$12:N611)</f>
        <v>194801.08888812171</v>
      </c>
      <c r="P611">
        <f>IF(O611&gt;O610,(O611-O610)*percentSavingsParticipation,0)</f>
        <v>0</v>
      </c>
      <c r="Q611">
        <f t="shared" si="49"/>
        <v>97400.544444060855</v>
      </c>
      <c r="R611">
        <f t="shared" si="50"/>
        <v>-12925</v>
      </c>
    </row>
    <row r="612" spans="1:18" x14ac:dyDescent="0.25">
      <c r="A612" s="1"/>
      <c r="C612" s="1"/>
      <c r="D612" s="1">
        <v>42115</v>
      </c>
      <c r="E612" s="10">
        <v>40787</v>
      </c>
      <c r="F612" s="1">
        <v>42115</v>
      </c>
      <c r="G612">
        <v>-8703.5</v>
      </c>
      <c r="H612" s="1">
        <f t="shared" si="46"/>
        <v>42115</v>
      </c>
      <c r="I612">
        <f>IF(AND(MyRowHidden(ROW())=FALSE,MyRowHidden(ROW()-1)=TRUE),0,(E612-E611)*unitsOfDHp+I611)</f>
        <v>117620</v>
      </c>
      <c r="J612">
        <f>IF(AND(MyRowHidden(ROW())=FALSE,MyRowHidden(ROW()-1)=TRUE),0,(G612-G611)*unitsOfExo+J611)</f>
        <v>-133420</v>
      </c>
      <c r="K612" s="9">
        <f t="shared" si="47"/>
        <v>133420</v>
      </c>
      <c r="L612">
        <f t="shared" si="48"/>
        <v>-113200.54444406087</v>
      </c>
      <c r="M612">
        <f>IF(AND(MyRowHidden(ROW())=FALSE,MyRowHidden(ROW()-1)=TRUE),0,(G612-G611)*unitsFuturesCompare+M611)</f>
        <v>-266840</v>
      </c>
      <c r="N612">
        <f>IF(MyRowHidden(ROW())=TRUE,0,L612-M612)</f>
        <v>153639.45555593912</v>
      </c>
      <c r="O612">
        <f>MAX(N$12:N612)</f>
        <v>194801.08888812171</v>
      </c>
      <c r="P612">
        <f>IF(O612&gt;O611,(O612-O611)*percentSavingsParticipation,0)</f>
        <v>0</v>
      </c>
      <c r="Q612">
        <f t="shared" si="49"/>
        <v>97400.544444060855</v>
      </c>
      <c r="R612">
        <f t="shared" si="50"/>
        <v>-15800</v>
      </c>
    </row>
    <row r="613" spans="1:18" x14ac:dyDescent="0.25">
      <c r="A613" s="1"/>
      <c r="C613" s="1"/>
      <c r="D613" s="1">
        <v>42116</v>
      </c>
      <c r="E613" s="10">
        <v>40787</v>
      </c>
      <c r="F613" s="1">
        <v>42116</v>
      </c>
      <c r="G613">
        <v>-8728.5</v>
      </c>
      <c r="H613" s="1">
        <f t="shared" si="46"/>
        <v>42116</v>
      </c>
      <c r="I613">
        <f>IF(AND(MyRowHidden(ROW())=FALSE,MyRowHidden(ROW()-1)=TRUE),0,(E613-E612)*unitsOfDHp+I612)</f>
        <v>117620</v>
      </c>
      <c r="J613">
        <f>IF(AND(MyRowHidden(ROW())=FALSE,MyRowHidden(ROW()-1)=TRUE),0,(G613-G612)*unitsOfExo+J612)</f>
        <v>-133670</v>
      </c>
      <c r="K613" s="9">
        <f t="shared" si="47"/>
        <v>133670</v>
      </c>
      <c r="L613">
        <f t="shared" si="48"/>
        <v>-113450.54444406087</v>
      </c>
      <c r="M613">
        <f>IF(AND(MyRowHidden(ROW())=FALSE,MyRowHidden(ROW()-1)=TRUE),0,(G613-G612)*unitsFuturesCompare+M612)</f>
        <v>-267340</v>
      </c>
      <c r="N613">
        <f>IF(MyRowHidden(ROW())=TRUE,0,L613-M613)</f>
        <v>153889.45555593912</v>
      </c>
      <c r="O613">
        <f>MAX(N$12:N613)</f>
        <v>194801.08888812171</v>
      </c>
      <c r="P613">
        <f>IF(O613&gt;O612,(O613-O612)*percentSavingsParticipation,0)</f>
        <v>0</v>
      </c>
      <c r="Q613">
        <f t="shared" si="49"/>
        <v>97400.544444060855</v>
      </c>
      <c r="R613">
        <f t="shared" si="50"/>
        <v>-16050</v>
      </c>
    </row>
    <row r="614" spans="1:18" x14ac:dyDescent="0.25">
      <c r="A614" s="1"/>
      <c r="C614" s="1"/>
      <c r="D614" s="1">
        <v>42117</v>
      </c>
      <c r="E614" s="10">
        <v>40787</v>
      </c>
      <c r="F614" s="1">
        <v>42117</v>
      </c>
      <c r="G614">
        <v>-8603.5</v>
      </c>
      <c r="H614" s="1">
        <f t="shared" si="46"/>
        <v>42117</v>
      </c>
      <c r="I614">
        <f>IF(AND(MyRowHidden(ROW())=FALSE,MyRowHidden(ROW()-1)=TRUE),0,(E614-E613)*unitsOfDHp+I613)</f>
        <v>117620</v>
      </c>
      <c r="J614">
        <f>IF(AND(MyRowHidden(ROW())=FALSE,MyRowHidden(ROW()-1)=TRUE),0,(G614-G613)*unitsOfExo+J613)</f>
        <v>-132420</v>
      </c>
      <c r="K614" s="9">
        <f t="shared" si="47"/>
        <v>132420</v>
      </c>
      <c r="L614">
        <f t="shared" si="48"/>
        <v>-112200.54444406087</v>
      </c>
      <c r="M614">
        <f>IF(AND(MyRowHidden(ROW())=FALSE,MyRowHidden(ROW()-1)=TRUE),0,(G614-G613)*unitsFuturesCompare+M613)</f>
        <v>-264840</v>
      </c>
      <c r="N614">
        <f>IF(MyRowHidden(ROW())=TRUE,0,L614-M614)</f>
        <v>152639.45555593912</v>
      </c>
      <c r="O614">
        <f>MAX(N$12:N614)</f>
        <v>194801.08888812171</v>
      </c>
      <c r="P614">
        <f>IF(O614&gt;O613,(O614-O613)*percentSavingsParticipation,0)</f>
        <v>0</v>
      </c>
      <c r="Q614">
        <f t="shared" si="49"/>
        <v>97400.544444060855</v>
      </c>
      <c r="R614">
        <f t="shared" si="50"/>
        <v>-14800</v>
      </c>
    </row>
    <row r="615" spans="1:18" x14ac:dyDescent="0.25">
      <c r="A615" s="1"/>
      <c r="C615" s="1"/>
      <c r="D615" s="1">
        <v>42118</v>
      </c>
      <c r="E615" s="10">
        <v>40787</v>
      </c>
      <c r="F615" s="1">
        <v>42118</v>
      </c>
      <c r="G615">
        <v>-9153.5</v>
      </c>
      <c r="H615" s="1">
        <f t="shared" si="46"/>
        <v>42118</v>
      </c>
      <c r="I615">
        <f>IF(AND(MyRowHidden(ROW())=FALSE,MyRowHidden(ROW()-1)=TRUE),0,(E615-E614)*unitsOfDHp+I614)</f>
        <v>117620</v>
      </c>
      <c r="J615">
        <f>IF(AND(MyRowHidden(ROW())=FALSE,MyRowHidden(ROW()-1)=TRUE),0,(G615-G614)*unitsOfExo+J614)</f>
        <v>-137920</v>
      </c>
      <c r="K615" s="9">
        <f t="shared" si="47"/>
        <v>137920</v>
      </c>
      <c r="L615">
        <f t="shared" si="48"/>
        <v>-117700.54444406087</v>
      </c>
      <c r="M615">
        <f>IF(AND(MyRowHidden(ROW())=FALSE,MyRowHidden(ROW()-1)=TRUE),0,(G615-G614)*unitsFuturesCompare+M614)</f>
        <v>-275840</v>
      </c>
      <c r="N615">
        <f>IF(MyRowHidden(ROW())=TRUE,0,L615-M615)</f>
        <v>158139.45555593912</v>
      </c>
      <c r="O615">
        <f>MAX(N$12:N615)</f>
        <v>194801.08888812171</v>
      </c>
      <c r="P615">
        <f>IF(O615&gt;O614,(O615-O614)*percentSavingsParticipation,0)</f>
        <v>0</v>
      </c>
      <c r="Q615">
        <f t="shared" si="49"/>
        <v>97400.544444060855</v>
      </c>
      <c r="R615">
        <f t="shared" si="50"/>
        <v>-20300</v>
      </c>
    </row>
    <row r="616" spans="1:18" x14ac:dyDescent="0.25">
      <c r="A616" s="1"/>
      <c r="C616" s="1"/>
      <c r="D616" s="1">
        <v>42121</v>
      </c>
      <c r="E616" s="10">
        <v>40787</v>
      </c>
      <c r="F616" s="1">
        <v>42121</v>
      </c>
      <c r="G616">
        <v>-9428.5</v>
      </c>
      <c r="H616" s="1">
        <f t="shared" si="46"/>
        <v>42121</v>
      </c>
      <c r="I616">
        <f>IF(AND(MyRowHidden(ROW())=FALSE,MyRowHidden(ROW()-1)=TRUE),0,(E616-E615)*unitsOfDHp+I615)</f>
        <v>117620</v>
      </c>
      <c r="J616">
        <f>IF(AND(MyRowHidden(ROW())=FALSE,MyRowHidden(ROW()-1)=TRUE),0,(G616-G615)*unitsOfExo+J615)</f>
        <v>-140670</v>
      </c>
      <c r="K616" s="9">
        <f t="shared" si="47"/>
        <v>140670</v>
      </c>
      <c r="L616">
        <f t="shared" si="48"/>
        <v>-120450.54444406087</v>
      </c>
      <c r="M616">
        <f>IF(AND(MyRowHidden(ROW())=FALSE,MyRowHidden(ROW()-1)=TRUE),0,(G616-G615)*unitsFuturesCompare+M615)</f>
        <v>-281340</v>
      </c>
      <c r="N616">
        <f>IF(MyRowHidden(ROW())=TRUE,0,L616-M616)</f>
        <v>160889.45555593912</v>
      </c>
      <c r="O616">
        <f>MAX(N$12:N616)</f>
        <v>194801.08888812171</v>
      </c>
      <c r="P616">
        <f>IF(O616&gt;O615,(O616-O615)*percentSavingsParticipation,0)</f>
        <v>0</v>
      </c>
      <c r="Q616">
        <f t="shared" si="49"/>
        <v>97400.544444060855</v>
      </c>
      <c r="R616">
        <f t="shared" si="50"/>
        <v>-23050</v>
      </c>
    </row>
    <row r="617" spans="1:18" x14ac:dyDescent="0.25">
      <c r="A617" s="1"/>
      <c r="C617" s="1"/>
      <c r="D617" s="1">
        <v>42122</v>
      </c>
      <c r="E617" s="10">
        <v>40799.5</v>
      </c>
      <c r="F617" s="1">
        <v>42122</v>
      </c>
      <c r="G617">
        <v>-9391</v>
      </c>
      <c r="H617" s="1">
        <f t="shared" si="46"/>
        <v>42122</v>
      </c>
      <c r="I617">
        <f>IF(AND(MyRowHidden(ROW())=FALSE,MyRowHidden(ROW()-1)=TRUE),0,(E617-E616)*unitsOfDHp+I616)</f>
        <v>117745</v>
      </c>
      <c r="J617">
        <f>IF(AND(MyRowHidden(ROW())=FALSE,MyRowHidden(ROW()-1)=TRUE),0,(G617-G616)*unitsOfExo+J616)</f>
        <v>-140295</v>
      </c>
      <c r="K617" s="9">
        <f t="shared" si="47"/>
        <v>140295</v>
      </c>
      <c r="L617">
        <f t="shared" si="48"/>
        <v>-119950.54444406087</v>
      </c>
      <c r="M617">
        <f>IF(AND(MyRowHidden(ROW())=FALSE,MyRowHidden(ROW()-1)=TRUE),0,(G617-G616)*unitsFuturesCompare+M616)</f>
        <v>-280590</v>
      </c>
      <c r="N617">
        <f>IF(MyRowHidden(ROW())=TRUE,0,L617-M617)</f>
        <v>160639.45555593912</v>
      </c>
      <c r="O617">
        <f>MAX(N$12:N617)</f>
        <v>194801.08888812171</v>
      </c>
      <c r="P617">
        <f>IF(O617&gt;O616,(O617-O616)*percentSavingsParticipation,0)</f>
        <v>0</v>
      </c>
      <c r="Q617">
        <f t="shared" si="49"/>
        <v>97400.544444060855</v>
      </c>
      <c r="R617">
        <f t="shared" si="50"/>
        <v>-22550</v>
      </c>
    </row>
    <row r="618" spans="1:18" x14ac:dyDescent="0.25">
      <c r="A618" s="1"/>
      <c r="C618" s="1"/>
      <c r="D618" s="1">
        <v>42123</v>
      </c>
      <c r="E618" s="10">
        <v>40937</v>
      </c>
      <c r="F618" s="1">
        <v>42123</v>
      </c>
      <c r="G618">
        <v>-9316</v>
      </c>
      <c r="H618" s="1">
        <f t="shared" si="46"/>
        <v>42123</v>
      </c>
      <c r="I618">
        <f>IF(AND(MyRowHidden(ROW())=FALSE,MyRowHidden(ROW()-1)=TRUE),0,(E618-E617)*unitsOfDHp+I617)</f>
        <v>119120</v>
      </c>
      <c r="J618">
        <f>IF(AND(MyRowHidden(ROW())=FALSE,MyRowHidden(ROW()-1)=TRUE),0,(G618-G617)*unitsOfExo+J617)</f>
        <v>-139545</v>
      </c>
      <c r="K618" s="9">
        <f t="shared" si="47"/>
        <v>139545</v>
      </c>
      <c r="L618">
        <f t="shared" si="48"/>
        <v>-117825.54444406087</v>
      </c>
      <c r="M618">
        <f>IF(AND(MyRowHidden(ROW())=FALSE,MyRowHidden(ROW()-1)=TRUE),0,(G618-G617)*unitsFuturesCompare+M617)</f>
        <v>-279090</v>
      </c>
      <c r="N618">
        <f>IF(MyRowHidden(ROW())=TRUE,0,L618-M618)</f>
        <v>161264.45555593912</v>
      </c>
      <c r="O618">
        <f>MAX(N$12:N618)</f>
        <v>194801.08888812171</v>
      </c>
      <c r="P618">
        <f>IF(O618&gt;O617,(O618-O617)*percentSavingsParticipation,0)</f>
        <v>0</v>
      </c>
      <c r="Q618">
        <f t="shared" si="49"/>
        <v>97400.544444060855</v>
      </c>
      <c r="R618">
        <f t="shared" si="50"/>
        <v>-20425</v>
      </c>
    </row>
    <row r="619" spans="1:18" x14ac:dyDescent="0.25">
      <c r="A619" s="1"/>
      <c r="C619" s="1"/>
      <c r="D619" s="1">
        <v>42124</v>
      </c>
      <c r="E619" s="10">
        <v>40912</v>
      </c>
      <c r="F619" s="1">
        <v>42124</v>
      </c>
      <c r="G619">
        <v>-9416</v>
      </c>
      <c r="H619" s="1">
        <f t="shared" si="46"/>
        <v>42124</v>
      </c>
      <c r="I619">
        <f>IF(AND(MyRowHidden(ROW())=FALSE,MyRowHidden(ROW()-1)=TRUE),0,(E619-E618)*unitsOfDHp+I618)</f>
        <v>118870</v>
      </c>
      <c r="J619">
        <f>IF(AND(MyRowHidden(ROW())=FALSE,MyRowHidden(ROW()-1)=TRUE),0,(G619-G618)*unitsOfExo+J618)</f>
        <v>-140545</v>
      </c>
      <c r="K619" s="9">
        <f t="shared" si="47"/>
        <v>140545</v>
      </c>
      <c r="L619">
        <f t="shared" si="48"/>
        <v>-119075.54444406087</v>
      </c>
      <c r="M619">
        <f>IF(AND(MyRowHidden(ROW())=FALSE,MyRowHidden(ROW()-1)=TRUE),0,(G619-G618)*unitsFuturesCompare+M618)</f>
        <v>-281090</v>
      </c>
      <c r="N619">
        <f>IF(MyRowHidden(ROW())=TRUE,0,L619-M619)</f>
        <v>162014.45555593912</v>
      </c>
      <c r="O619">
        <f>MAX(N$12:N619)</f>
        <v>194801.08888812171</v>
      </c>
      <c r="P619">
        <f>IF(O619&gt;O618,(O619-O618)*percentSavingsParticipation,0)</f>
        <v>0</v>
      </c>
      <c r="Q619">
        <f t="shared" si="49"/>
        <v>97400.544444060855</v>
      </c>
      <c r="R619">
        <f t="shared" si="50"/>
        <v>-21675</v>
      </c>
    </row>
    <row r="620" spans="1:18" x14ac:dyDescent="0.25">
      <c r="A620" s="1"/>
      <c r="C620" s="1"/>
      <c r="D620" s="1">
        <v>42125</v>
      </c>
      <c r="E620" s="10">
        <v>40562</v>
      </c>
      <c r="F620" s="1">
        <v>42125</v>
      </c>
      <c r="G620">
        <v>-9578</v>
      </c>
      <c r="H620" s="1">
        <f t="shared" si="46"/>
        <v>42125</v>
      </c>
      <c r="I620">
        <f>IF(AND(MyRowHidden(ROW())=FALSE,MyRowHidden(ROW()-1)=TRUE),0,(E620-E619)*unitsOfDHp+I619)</f>
        <v>115370</v>
      </c>
      <c r="J620">
        <f>IF(AND(MyRowHidden(ROW())=FALSE,MyRowHidden(ROW()-1)=TRUE),0,(G620-G619)*unitsOfExo+J619)</f>
        <v>-142165</v>
      </c>
      <c r="K620" s="9">
        <f t="shared" si="47"/>
        <v>142165</v>
      </c>
      <c r="L620">
        <f t="shared" si="48"/>
        <v>-124195.54444406087</v>
      </c>
      <c r="M620">
        <f>IF(AND(MyRowHidden(ROW())=FALSE,MyRowHidden(ROW()-1)=TRUE),0,(G620-G619)*unitsFuturesCompare+M619)</f>
        <v>-284330</v>
      </c>
      <c r="N620">
        <f>IF(MyRowHidden(ROW())=TRUE,0,L620-M620)</f>
        <v>160134.45555593912</v>
      </c>
      <c r="O620">
        <f>MAX(N$12:N620)</f>
        <v>194801.08888812171</v>
      </c>
      <c r="P620">
        <f>IF(O620&gt;O619,(O620-O619)*percentSavingsParticipation,0)</f>
        <v>0</v>
      </c>
      <c r="Q620">
        <f t="shared" si="49"/>
        <v>97400.544444060855</v>
      </c>
      <c r="R620">
        <f t="shared" si="50"/>
        <v>-26795</v>
      </c>
    </row>
    <row r="621" spans="1:18" x14ac:dyDescent="0.25">
      <c r="A621" s="1"/>
      <c r="C621" s="1"/>
      <c r="D621" s="1">
        <v>42128</v>
      </c>
      <c r="E621" s="10">
        <v>40649.5</v>
      </c>
      <c r="F621" s="1">
        <v>42128</v>
      </c>
      <c r="G621">
        <v>-9540.5</v>
      </c>
      <c r="H621" s="1">
        <f t="shared" si="46"/>
        <v>42128</v>
      </c>
      <c r="I621">
        <f>IF(AND(MyRowHidden(ROW())=FALSE,MyRowHidden(ROW()-1)=TRUE),0,(E621-E620)*unitsOfDHp+I620)</f>
        <v>116245</v>
      </c>
      <c r="J621">
        <f>IF(AND(MyRowHidden(ROW())=FALSE,MyRowHidden(ROW()-1)=TRUE),0,(G621-G620)*unitsOfExo+J620)</f>
        <v>-141790</v>
      </c>
      <c r="K621" s="9">
        <f t="shared" si="47"/>
        <v>141790</v>
      </c>
      <c r="L621">
        <f t="shared" si="48"/>
        <v>-122945.54444406087</v>
      </c>
      <c r="M621">
        <f>IF(AND(MyRowHidden(ROW())=FALSE,MyRowHidden(ROW()-1)=TRUE),0,(G621-G620)*unitsFuturesCompare+M620)</f>
        <v>-283580</v>
      </c>
      <c r="N621">
        <f>IF(MyRowHidden(ROW())=TRUE,0,L621-M621)</f>
        <v>160634.45555593912</v>
      </c>
      <c r="O621">
        <f>MAX(N$12:N621)</f>
        <v>194801.08888812171</v>
      </c>
      <c r="P621">
        <f>IF(O621&gt;O620,(O621-O620)*percentSavingsParticipation,0)</f>
        <v>0</v>
      </c>
      <c r="Q621">
        <f t="shared" si="49"/>
        <v>97400.544444060855</v>
      </c>
      <c r="R621">
        <f t="shared" si="50"/>
        <v>-25545</v>
      </c>
    </row>
    <row r="622" spans="1:18" x14ac:dyDescent="0.25">
      <c r="A622" s="1"/>
      <c r="C622" s="1"/>
      <c r="D622" s="1">
        <v>42129</v>
      </c>
      <c r="E622" s="10">
        <v>40525.5</v>
      </c>
      <c r="F622" s="1">
        <v>42129</v>
      </c>
      <c r="G622">
        <v>-9703</v>
      </c>
      <c r="H622" s="1">
        <f t="shared" si="46"/>
        <v>42129</v>
      </c>
      <c r="I622">
        <f>IF(AND(MyRowHidden(ROW())=FALSE,MyRowHidden(ROW()-1)=TRUE),0,(E622-E621)*unitsOfDHp+I621)</f>
        <v>115005</v>
      </c>
      <c r="J622">
        <f>IF(AND(MyRowHidden(ROW())=FALSE,MyRowHidden(ROW()-1)=TRUE),0,(G622-G621)*unitsOfExo+J621)</f>
        <v>-143415</v>
      </c>
      <c r="K622" s="9">
        <f t="shared" si="47"/>
        <v>143415</v>
      </c>
      <c r="L622">
        <f t="shared" si="48"/>
        <v>-125810.54444406087</v>
      </c>
      <c r="M622">
        <f>IF(AND(MyRowHidden(ROW())=FALSE,MyRowHidden(ROW()-1)=TRUE),0,(G622-G621)*unitsFuturesCompare+M621)</f>
        <v>-286830</v>
      </c>
      <c r="N622">
        <f>IF(MyRowHidden(ROW())=TRUE,0,L622-M622)</f>
        <v>161019.45555593912</v>
      </c>
      <c r="O622">
        <f>MAX(N$12:N622)</f>
        <v>194801.08888812171</v>
      </c>
      <c r="P622">
        <f>IF(O622&gt;O621,(O622-O621)*percentSavingsParticipation,0)</f>
        <v>0</v>
      </c>
      <c r="Q622">
        <f t="shared" si="49"/>
        <v>97400.544444060855</v>
      </c>
      <c r="R622">
        <f t="shared" si="50"/>
        <v>-28410</v>
      </c>
    </row>
    <row r="623" spans="1:18" x14ac:dyDescent="0.25">
      <c r="A623" s="1"/>
      <c r="C623" s="1"/>
      <c r="D623" s="1">
        <v>42130</v>
      </c>
      <c r="E623" s="10">
        <v>40575.5</v>
      </c>
      <c r="F623" s="1">
        <v>42130</v>
      </c>
      <c r="G623">
        <v>-9440.5</v>
      </c>
      <c r="H623" s="1">
        <f t="shared" si="46"/>
        <v>42130</v>
      </c>
      <c r="I623">
        <f>IF(AND(MyRowHidden(ROW())=FALSE,MyRowHidden(ROW()-1)=TRUE),0,(E623-E622)*unitsOfDHp+I622)</f>
        <v>115505</v>
      </c>
      <c r="J623">
        <f>IF(AND(MyRowHidden(ROW())=FALSE,MyRowHidden(ROW()-1)=TRUE),0,(G623-G622)*unitsOfExo+J622)</f>
        <v>-140790</v>
      </c>
      <c r="K623" s="9">
        <f t="shared" si="47"/>
        <v>140790</v>
      </c>
      <c r="L623">
        <f t="shared" si="48"/>
        <v>-122685.54444406087</v>
      </c>
      <c r="M623">
        <f>IF(AND(MyRowHidden(ROW())=FALSE,MyRowHidden(ROW()-1)=TRUE),0,(G623-G622)*unitsFuturesCompare+M622)</f>
        <v>-281580</v>
      </c>
      <c r="N623">
        <f>IF(MyRowHidden(ROW())=TRUE,0,L623-M623)</f>
        <v>158894.45555593912</v>
      </c>
      <c r="O623">
        <f>MAX(N$12:N623)</f>
        <v>194801.08888812171</v>
      </c>
      <c r="P623">
        <f>IF(O623&gt;O622,(O623-O622)*percentSavingsParticipation,0)</f>
        <v>0</v>
      </c>
      <c r="Q623">
        <f t="shared" si="49"/>
        <v>97400.544444060855</v>
      </c>
      <c r="R623">
        <f t="shared" si="50"/>
        <v>-25285</v>
      </c>
    </row>
    <row r="624" spans="1:18" x14ac:dyDescent="0.25">
      <c r="A624" s="1"/>
      <c r="C624" s="1"/>
      <c r="D624" s="1">
        <v>42131</v>
      </c>
      <c r="E624" s="10">
        <v>40588</v>
      </c>
      <c r="F624" s="1">
        <v>42131</v>
      </c>
      <c r="G624">
        <v>-9615.5</v>
      </c>
      <c r="H624" s="1">
        <f t="shared" si="46"/>
        <v>42131</v>
      </c>
      <c r="I624">
        <f>IF(AND(MyRowHidden(ROW())=FALSE,MyRowHidden(ROW()-1)=TRUE),0,(E624-E623)*unitsOfDHp+I623)</f>
        <v>115630</v>
      </c>
      <c r="J624">
        <f>IF(AND(MyRowHidden(ROW())=FALSE,MyRowHidden(ROW()-1)=TRUE),0,(G624-G623)*unitsOfExo+J623)</f>
        <v>-142540</v>
      </c>
      <c r="K624" s="9">
        <f t="shared" si="47"/>
        <v>142540</v>
      </c>
      <c r="L624">
        <f t="shared" si="48"/>
        <v>-124310.54444406087</v>
      </c>
      <c r="M624">
        <f>IF(AND(MyRowHidden(ROW())=FALSE,MyRowHidden(ROW()-1)=TRUE),0,(G624-G623)*unitsFuturesCompare+M623)</f>
        <v>-285080</v>
      </c>
      <c r="N624">
        <f>IF(MyRowHidden(ROW())=TRUE,0,L624-M624)</f>
        <v>160769.45555593912</v>
      </c>
      <c r="O624">
        <f>MAX(N$12:N624)</f>
        <v>194801.08888812171</v>
      </c>
      <c r="P624">
        <f>IF(O624&gt;O623,(O624-O623)*percentSavingsParticipation,0)</f>
        <v>0</v>
      </c>
      <c r="Q624">
        <f t="shared" si="49"/>
        <v>97400.544444060855</v>
      </c>
      <c r="R624">
        <f t="shared" si="50"/>
        <v>-26910</v>
      </c>
    </row>
    <row r="625" spans="1:18" x14ac:dyDescent="0.25">
      <c r="A625" s="1"/>
      <c r="C625" s="1"/>
      <c r="D625" s="1">
        <v>42132</v>
      </c>
      <c r="E625" s="10">
        <v>40613</v>
      </c>
      <c r="F625" s="1">
        <v>42132</v>
      </c>
      <c r="G625">
        <v>-9603</v>
      </c>
      <c r="H625" s="1">
        <f t="shared" si="46"/>
        <v>42132</v>
      </c>
      <c r="I625">
        <f>IF(AND(MyRowHidden(ROW())=FALSE,MyRowHidden(ROW()-1)=TRUE),0,(E625-E624)*unitsOfDHp+I624)</f>
        <v>115880</v>
      </c>
      <c r="J625">
        <f>IF(AND(MyRowHidden(ROW())=FALSE,MyRowHidden(ROW()-1)=TRUE),0,(G625-G624)*unitsOfExo+J624)</f>
        <v>-142415</v>
      </c>
      <c r="K625" s="9">
        <f t="shared" si="47"/>
        <v>142415</v>
      </c>
      <c r="L625">
        <f t="shared" si="48"/>
        <v>-123935.54444406087</v>
      </c>
      <c r="M625">
        <f>IF(AND(MyRowHidden(ROW())=FALSE,MyRowHidden(ROW()-1)=TRUE),0,(G625-G624)*unitsFuturesCompare+M624)</f>
        <v>-284830</v>
      </c>
      <c r="N625">
        <f>IF(MyRowHidden(ROW())=TRUE,0,L625-M625)</f>
        <v>160894.45555593912</v>
      </c>
      <c r="O625">
        <f>MAX(N$12:N625)</f>
        <v>194801.08888812171</v>
      </c>
      <c r="P625">
        <f>IF(O625&gt;O624,(O625-O624)*percentSavingsParticipation,0)</f>
        <v>0</v>
      </c>
      <c r="Q625">
        <f t="shared" si="49"/>
        <v>97400.544444060855</v>
      </c>
      <c r="R625">
        <f t="shared" si="50"/>
        <v>-26535</v>
      </c>
    </row>
    <row r="626" spans="1:18" x14ac:dyDescent="0.25">
      <c r="A626" s="1"/>
      <c r="C626" s="1"/>
      <c r="D626" s="1">
        <v>42135</v>
      </c>
      <c r="E626" s="10">
        <v>40663</v>
      </c>
      <c r="F626" s="1">
        <v>42135</v>
      </c>
      <c r="G626">
        <v>-9740.5</v>
      </c>
      <c r="H626" s="1">
        <f t="shared" si="46"/>
        <v>42135</v>
      </c>
      <c r="I626">
        <f>IF(AND(MyRowHidden(ROW())=FALSE,MyRowHidden(ROW()-1)=TRUE),0,(E626-E625)*unitsOfDHp+I625)</f>
        <v>116380</v>
      </c>
      <c r="J626">
        <f>IF(AND(MyRowHidden(ROW())=FALSE,MyRowHidden(ROW()-1)=TRUE),0,(G626-G625)*unitsOfExo+J625)</f>
        <v>-143790</v>
      </c>
      <c r="K626" s="9">
        <f t="shared" si="47"/>
        <v>143790</v>
      </c>
      <c r="L626">
        <f t="shared" si="48"/>
        <v>-124810.54444406087</v>
      </c>
      <c r="M626">
        <f>IF(AND(MyRowHidden(ROW())=FALSE,MyRowHidden(ROW()-1)=TRUE),0,(G626-G625)*unitsFuturesCompare+M625)</f>
        <v>-287580</v>
      </c>
      <c r="N626">
        <f>IF(MyRowHidden(ROW())=TRUE,0,L626-M626)</f>
        <v>162769.45555593912</v>
      </c>
      <c r="O626">
        <f>MAX(N$12:N626)</f>
        <v>194801.08888812171</v>
      </c>
      <c r="P626">
        <f>IF(O626&gt;O625,(O626-O625)*percentSavingsParticipation,0)</f>
        <v>0</v>
      </c>
      <c r="Q626">
        <f t="shared" si="49"/>
        <v>97400.544444060855</v>
      </c>
      <c r="R626">
        <f t="shared" si="50"/>
        <v>-27410</v>
      </c>
    </row>
    <row r="627" spans="1:18" x14ac:dyDescent="0.25">
      <c r="A627" s="1"/>
      <c r="C627" s="1"/>
      <c r="D627" s="1">
        <v>42136</v>
      </c>
      <c r="E627" s="10">
        <v>40688</v>
      </c>
      <c r="F627" s="1">
        <v>42136</v>
      </c>
      <c r="G627">
        <v>-9553</v>
      </c>
      <c r="H627" s="1">
        <f t="shared" si="46"/>
        <v>42136</v>
      </c>
      <c r="I627">
        <f>IF(AND(MyRowHidden(ROW())=FALSE,MyRowHidden(ROW()-1)=TRUE),0,(E627-E626)*unitsOfDHp+I626)</f>
        <v>116630</v>
      </c>
      <c r="J627">
        <f>IF(AND(MyRowHidden(ROW())=FALSE,MyRowHidden(ROW()-1)=TRUE),0,(G627-G626)*unitsOfExo+J626)</f>
        <v>-141915</v>
      </c>
      <c r="K627" s="9">
        <f t="shared" si="47"/>
        <v>141915</v>
      </c>
      <c r="L627">
        <f t="shared" si="48"/>
        <v>-122685.54444406087</v>
      </c>
      <c r="M627">
        <f>IF(AND(MyRowHidden(ROW())=FALSE,MyRowHidden(ROW()-1)=TRUE),0,(G627-G626)*unitsFuturesCompare+M626)</f>
        <v>-283830</v>
      </c>
      <c r="N627">
        <f>IF(MyRowHidden(ROW())=TRUE,0,L627-M627)</f>
        <v>161144.45555593912</v>
      </c>
      <c r="O627">
        <f>MAX(N$12:N627)</f>
        <v>194801.08888812171</v>
      </c>
      <c r="P627">
        <f>IF(O627&gt;O626,(O627-O626)*percentSavingsParticipation,0)</f>
        <v>0</v>
      </c>
      <c r="Q627">
        <f t="shared" si="49"/>
        <v>97400.544444060855</v>
      </c>
      <c r="R627">
        <f t="shared" si="50"/>
        <v>-25285</v>
      </c>
    </row>
    <row r="628" spans="1:18" x14ac:dyDescent="0.25">
      <c r="A628" s="1"/>
      <c r="C628" s="1"/>
      <c r="D628" s="1">
        <v>42137</v>
      </c>
      <c r="E628" s="10">
        <v>40713</v>
      </c>
      <c r="F628" s="1">
        <v>42137</v>
      </c>
      <c r="G628">
        <v>-9640.5</v>
      </c>
      <c r="H628" s="1">
        <f t="shared" si="46"/>
        <v>42137</v>
      </c>
      <c r="I628">
        <f>IF(AND(MyRowHidden(ROW())=FALSE,MyRowHidden(ROW()-1)=TRUE),0,(E628-E627)*unitsOfDHp+I627)</f>
        <v>116880</v>
      </c>
      <c r="J628">
        <f>IF(AND(MyRowHidden(ROW())=FALSE,MyRowHidden(ROW()-1)=TRUE),0,(G628-G627)*unitsOfExo+J627)</f>
        <v>-142790</v>
      </c>
      <c r="K628" s="9">
        <f t="shared" si="47"/>
        <v>142790</v>
      </c>
      <c r="L628">
        <f t="shared" si="48"/>
        <v>-123310.54444406087</v>
      </c>
      <c r="M628">
        <f>IF(AND(MyRowHidden(ROW())=FALSE,MyRowHidden(ROW()-1)=TRUE),0,(G628-G627)*unitsFuturesCompare+M627)</f>
        <v>-285580</v>
      </c>
      <c r="N628">
        <f>IF(MyRowHidden(ROW())=TRUE,0,L628-M628)</f>
        <v>162269.45555593912</v>
      </c>
      <c r="O628">
        <f>MAX(N$12:N628)</f>
        <v>194801.08888812171</v>
      </c>
      <c r="P628">
        <f>IF(O628&gt;O627,(O628-O627)*percentSavingsParticipation,0)</f>
        <v>0</v>
      </c>
      <c r="Q628">
        <f t="shared" si="49"/>
        <v>97400.544444060855</v>
      </c>
      <c r="R628">
        <f t="shared" si="50"/>
        <v>-25910</v>
      </c>
    </row>
    <row r="629" spans="1:18" x14ac:dyDescent="0.25">
      <c r="A629" s="1"/>
      <c r="C629" s="1"/>
      <c r="D629" s="1">
        <v>42138</v>
      </c>
      <c r="E629" s="10">
        <v>40788</v>
      </c>
      <c r="F629" s="1">
        <v>42138</v>
      </c>
      <c r="G629">
        <v>-9315.5</v>
      </c>
      <c r="H629" s="1">
        <f t="shared" si="46"/>
        <v>42138</v>
      </c>
      <c r="I629">
        <f>IF(AND(MyRowHidden(ROW())=FALSE,MyRowHidden(ROW()-1)=TRUE),0,(E629-E628)*unitsOfDHp+I628)</f>
        <v>117630</v>
      </c>
      <c r="J629">
        <f>IF(AND(MyRowHidden(ROW())=FALSE,MyRowHidden(ROW()-1)=TRUE),0,(G629-G628)*unitsOfExo+J628)</f>
        <v>-139540</v>
      </c>
      <c r="K629" s="9">
        <f t="shared" si="47"/>
        <v>139540</v>
      </c>
      <c r="L629">
        <f t="shared" si="48"/>
        <v>-119310.54444406087</v>
      </c>
      <c r="M629">
        <f>IF(AND(MyRowHidden(ROW())=FALSE,MyRowHidden(ROW()-1)=TRUE),0,(G629-G628)*unitsFuturesCompare+M628)</f>
        <v>-279080</v>
      </c>
      <c r="N629">
        <f>IF(MyRowHidden(ROW())=TRUE,0,L629-M629)</f>
        <v>159769.45555593912</v>
      </c>
      <c r="O629">
        <f>MAX(N$12:N629)</f>
        <v>194801.08888812171</v>
      </c>
      <c r="P629">
        <f>IF(O629&gt;O628,(O629-O628)*percentSavingsParticipation,0)</f>
        <v>0</v>
      </c>
      <c r="Q629">
        <f t="shared" si="49"/>
        <v>97400.544444060855</v>
      </c>
      <c r="R629">
        <f t="shared" si="50"/>
        <v>-21910</v>
      </c>
    </row>
    <row r="630" spans="1:18" x14ac:dyDescent="0.25">
      <c r="A630" s="1"/>
      <c r="C630" s="1"/>
      <c r="D630" s="1">
        <v>42139</v>
      </c>
      <c r="E630" s="10">
        <v>40800.5</v>
      </c>
      <c r="F630" s="1">
        <v>42139</v>
      </c>
      <c r="G630">
        <v>-9465.5</v>
      </c>
      <c r="H630" s="1">
        <f t="shared" si="46"/>
        <v>42139</v>
      </c>
      <c r="I630">
        <f>IF(AND(MyRowHidden(ROW())=FALSE,MyRowHidden(ROW()-1)=TRUE),0,(E630-E629)*unitsOfDHp+I629)</f>
        <v>117755</v>
      </c>
      <c r="J630">
        <f>IF(AND(MyRowHidden(ROW())=FALSE,MyRowHidden(ROW()-1)=TRUE),0,(G630-G629)*unitsOfExo+J629)</f>
        <v>-141040</v>
      </c>
      <c r="K630" s="9">
        <f t="shared" si="47"/>
        <v>141040</v>
      </c>
      <c r="L630">
        <f t="shared" si="48"/>
        <v>-120685.54444406087</v>
      </c>
      <c r="M630">
        <f>IF(AND(MyRowHidden(ROW())=FALSE,MyRowHidden(ROW()-1)=TRUE),0,(G630-G629)*unitsFuturesCompare+M629)</f>
        <v>-282080</v>
      </c>
      <c r="N630">
        <f>IF(MyRowHidden(ROW())=TRUE,0,L630-M630)</f>
        <v>161394.45555593912</v>
      </c>
      <c r="O630">
        <f>MAX(N$12:N630)</f>
        <v>194801.08888812171</v>
      </c>
      <c r="P630">
        <f>IF(O630&gt;O629,(O630-O629)*percentSavingsParticipation,0)</f>
        <v>0</v>
      </c>
      <c r="Q630">
        <f t="shared" si="49"/>
        <v>97400.544444060855</v>
      </c>
      <c r="R630">
        <f t="shared" si="50"/>
        <v>-23285</v>
      </c>
    </row>
    <row r="631" spans="1:18" x14ac:dyDescent="0.25">
      <c r="A631" s="1"/>
      <c r="C631" s="1"/>
      <c r="D631" s="1">
        <v>42142</v>
      </c>
      <c r="E631" s="10">
        <v>41151.5</v>
      </c>
      <c r="F631" s="1">
        <v>42142</v>
      </c>
      <c r="G631">
        <v>-9190.5</v>
      </c>
      <c r="H631" s="1">
        <f t="shared" si="46"/>
        <v>42142</v>
      </c>
      <c r="I631">
        <f>IF(AND(MyRowHidden(ROW())=FALSE,MyRowHidden(ROW()-1)=TRUE),0,(E631-E630)*unitsOfDHp+I630)</f>
        <v>121265</v>
      </c>
      <c r="J631">
        <f>IF(AND(MyRowHidden(ROW())=FALSE,MyRowHidden(ROW()-1)=TRUE),0,(G631-G630)*unitsOfExo+J630)</f>
        <v>-138290</v>
      </c>
      <c r="K631" s="9">
        <f t="shared" si="47"/>
        <v>138290</v>
      </c>
      <c r="L631">
        <f t="shared" si="48"/>
        <v>-114425.54444406087</v>
      </c>
      <c r="M631">
        <f>IF(AND(MyRowHidden(ROW())=FALSE,MyRowHidden(ROW()-1)=TRUE),0,(G631-G630)*unitsFuturesCompare+M630)</f>
        <v>-276580</v>
      </c>
      <c r="N631">
        <f>IF(MyRowHidden(ROW())=TRUE,0,L631-M631)</f>
        <v>162154.45555593912</v>
      </c>
      <c r="O631">
        <f>MAX(N$12:N631)</f>
        <v>194801.08888812171</v>
      </c>
      <c r="P631">
        <f>IF(O631&gt;O630,(O631-O630)*percentSavingsParticipation,0)</f>
        <v>0</v>
      </c>
      <c r="Q631">
        <f t="shared" si="49"/>
        <v>97400.544444060855</v>
      </c>
      <c r="R631">
        <f t="shared" si="50"/>
        <v>-17025</v>
      </c>
    </row>
    <row r="632" spans="1:18" x14ac:dyDescent="0.25">
      <c r="A632" s="1"/>
      <c r="C632" s="1"/>
      <c r="D632" s="1">
        <v>42143</v>
      </c>
      <c r="E632" s="10">
        <v>40876.5</v>
      </c>
      <c r="F632" s="1">
        <v>42143</v>
      </c>
      <c r="G632">
        <v>-9603</v>
      </c>
      <c r="H632" s="1">
        <f t="shared" si="46"/>
        <v>42143</v>
      </c>
      <c r="I632">
        <f>IF(AND(MyRowHidden(ROW())=FALSE,MyRowHidden(ROW()-1)=TRUE),0,(E632-E631)*unitsOfDHp+I631)</f>
        <v>118515</v>
      </c>
      <c r="J632">
        <f>IF(AND(MyRowHidden(ROW())=FALSE,MyRowHidden(ROW()-1)=TRUE),0,(G632-G631)*unitsOfExo+J631)</f>
        <v>-142415</v>
      </c>
      <c r="K632" s="9">
        <f t="shared" si="47"/>
        <v>142415</v>
      </c>
      <c r="L632">
        <f t="shared" si="48"/>
        <v>-121300.54444406087</v>
      </c>
      <c r="M632">
        <f>IF(AND(MyRowHidden(ROW())=FALSE,MyRowHidden(ROW()-1)=TRUE),0,(G632-G631)*unitsFuturesCompare+M631)</f>
        <v>-284830</v>
      </c>
      <c r="N632">
        <f>IF(MyRowHidden(ROW())=TRUE,0,L632-M632)</f>
        <v>163529.45555593912</v>
      </c>
      <c r="O632">
        <f>MAX(N$12:N632)</f>
        <v>194801.08888812171</v>
      </c>
      <c r="P632">
        <f>IF(O632&gt;O631,(O632-O631)*percentSavingsParticipation,0)</f>
        <v>0</v>
      </c>
      <c r="Q632">
        <f t="shared" si="49"/>
        <v>97400.544444060855</v>
      </c>
      <c r="R632">
        <f t="shared" si="50"/>
        <v>-23900</v>
      </c>
    </row>
    <row r="633" spans="1:18" x14ac:dyDescent="0.25">
      <c r="A633" s="1"/>
      <c r="C633" s="1"/>
      <c r="D633" s="1">
        <v>42144</v>
      </c>
      <c r="E633" s="10">
        <v>40801.5</v>
      </c>
      <c r="F633" s="1">
        <v>42144</v>
      </c>
      <c r="G633">
        <v>-9703</v>
      </c>
      <c r="H633" s="1">
        <f t="shared" si="46"/>
        <v>42144</v>
      </c>
      <c r="I633">
        <f>IF(AND(MyRowHidden(ROW())=FALSE,MyRowHidden(ROW()-1)=TRUE),0,(E633-E632)*unitsOfDHp+I632)</f>
        <v>117765</v>
      </c>
      <c r="J633">
        <f>IF(AND(MyRowHidden(ROW())=FALSE,MyRowHidden(ROW()-1)=TRUE),0,(G633-G632)*unitsOfExo+J632)</f>
        <v>-143415</v>
      </c>
      <c r="K633" s="9">
        <f t="shared" si="47"/>
        <v>143415</v>
      </c>
      <c r="L633">
        <f t="shared" si="48"/>
        <v>-123050.54444406087</v>
      </c>
      <c r="M633">
        <f>IF(AND(MyRowHidden(ROW())=FALSE,MyRowHidden(ROW()-1)=TRUE),0,(G633-G632)*unitsFuturesCompare+M632)</f>
        <v>-286830</v>
      </c>
      <c r="N633">
        <f>IF(MyRowHidden(ROW())=TRUE,0,L633-M633)</f>
        <v>163779.45555593912</v>
      </c>
      <c r="O633">
        <f>MAX(N$12:N633)</f>
        <v>194801.08888812171</v>
      </c>
      <c r="P633">
        <f>IF(O633&gt;O632,(O633-O632)*percentSavingsParticipation,0)</f>
        <v>0</v>
      </c>
      <c r="Q633">
        <f t="shared" si="49"/>
        <v>97400.544444060855</v>
      </c>
      <c r="R633">
        <f t="shared" si="50"/>
        <v>-25650</v>
      </c>
    </row>
    <row r="634" spans="1:18" x14ac:dyDescent="0.25">
      <c r="A634" s="1"/>
      <c r="C634" s="1"/>
      <c r="D634" s="1">
        <v>42145</v>
      </c>
      <c r="E634" s="10">
        <v>40976.5</v>
      </c>
      <c r="F634" s="1">
        <v>42145</v>
      </c>
      <c r="G634">
        <v>-9453</v>
      </c>
      <c r="H634" s="1">
        <f t="shared" si="46"/>
        <v>42145</v>
      </c>
      <c r="I634">
        <f>IF(AND(MyRowHidden(ROW())=FALSE,MyRowHidden(ROW()-1)=TRUE),0,(E634-E633)*unitsOfDHp+I633)</f>
        <v>119515</v>
      </c>
      <c r="J634">
        <f>IF(AND(MyRowHidden(ROW())=FALSE,MyRowHidden(ROW()-1)=TRUE),0,(G634-G633)*unitsOfExo+J633)</f>
        <v>-140915</v>
      </c>
      <c r="K634" s="9">
        <f t="shared" si="47"/>
        <v>140915</v>
      </c>
      <c r="L634">
        <f t="shared" si="48"/>
        <v>-118800.54444406087</v>
      </c>
      <c r="M634">
        <f>IF(AND(MyRowHidden(ROW())=FALSE,MyRowHidden(ROW()-1)=TRUE),0,(G634-G633)*unitsFuturesCompare+M633)</f>
        <v>-281830</v>
      </c>
      <c r="N634">
        <f>IF(MyRowHidden(ROW())=TRUE,0,L634-M634)</f>
        <v>163029.45555593912</v>
      </c>
      <c r="O634">
        <f>MAX(N$12:N634)</f>
        <v>194801.08888812171</v>
      </c>
      <c r="P634">
        <f>IF(O634&gt;O633,(O634-O633)*percentSavingsParticipation,0)</f>
        <v>0</v>
      </c>
      <c r="Q634">
        <f t="shared" si="49"/>
        <v>97400.544444060855</v>
      </c>
      <c r="R634">
        <f t="shared" si="50"/>
        <v>-21400</v>
      </c>
    </row>
    <row r="635" spans="1:18" x14ac:dyDescent="0.25">
      <c r="A635" s="1"/>
      <c r="C635" s="1"/>
      <c r="D635" s="1">
        <v>42146</v>
      </c>
      <c r="E635" s="10">
        <v>40789</v>
      </c>
      <c r="F635" s="1">
        <v>42146</v>
      </c>
      <c r="G635">
        <v>-9653</v>
      </c>
      <c r="H635" s="1">
        <f t="shared" si="46"/>
        <v>42146</v>
      </c>
      <c r="I635">
        <f>IF(AND(MyRowHidden(ROW())=FALSE,MyRowHidden(ROW()-1)=TRUE),0,(E635-E634)*unitsOfDHp+I634)</f>
        <v>117640</v>
      </c>
      <c r="J635">
        <f>IF(AND(MyRowHidden(ROW())=FALSE,MyRowHidden(ROW()-1)=TRUE),0,(G635-G634)*unitsOfExo+J634)</f>
        <v>-142915</v>
      </c>
      <c r="K635" s="9">
        <f t="shared" si="47"/>
        <v>142915</v>
      </c>
      <c r="L635">
        <f t="shared" si="48"/>
        <v>-122675.54444406087</v>
      </c>
      <c r="M635">
        <f>IF(AND(MyRowHidden(ROW())=FALSE,MyRowHidden(ROW()-1)=TRUE),0,(G635-G634)*unitsFuturesCompare+M634)</f>
        <v>-285830</v>
      </c>
      <c r="N635">
        <f>IF(MyRowHidden(ROW())=TRUE,0,L635-M635)</f>
        <v>163154.45555593912</v>
      </c>
      <c r="O635">
        <f>MAX(N$12:N635)</f>
        <v>194801.08888812171</v>
      </c>
      <c r="P635">
        <f>IF(O635&gt;O634,(O635-O634)*percentSavingsParticipation,0)</f>
        <v>0</v>
      </c>
      <c r="Q635">
        <f t="shared" si="49"/>
        <v>97400.544444060855</v>
      </c>
      <c r="R635">
        <f t="shared" si="50"/>
        <v>-25275</v>
      </c>
    </row>
    <row r="636" spans="1:18" x14ac:dyDescent="0.25">
      <c r="A636" s="1"/>
      <c r="C636" s="1"/>
      <c r="D636" s="1">
        <v>42149</v>
      </c>
      <c r="E636" s="10">
        <v>40889</v>
      </c>
      <c r="F636" s="1">
        <v>42149</v>
      </c>
      <c r="G636">
        <v>-9690.5</v>
      </c>
      <c r="H636" s="1">
        <f t="shared" si="46"/>
        <v>42149</v>
      </c>
      <c r="I636">
        <f>IF(AND(MyRowHidden(ROW())=FALSE,MyRowHidden(ROW()-1)=TRUE),0,(E636-E635)*unitsOfDHp+I635)</f>
        <v>118640</v>
      </c>
      <c r="J636">
        <f>IF(AND(MyRowHidden(ROW())=FALSE,MyRowHidden(ROW()-1)=TRUE),0,(G636-G635)*unitsOfExo+J635)</f>
        <v>-143290</v>
      </c>
      <c r="K636" s="9">
        <f t="shared" si="47"/>
        <v>143290</v>
      </c>
      <c r="L636">
        <f t="shared" si="48"/>
        <v>-122050.54444406087</v>
      </c>
      <c r="M636">
        <f>IF(AND(MyRowHidden(ROW())=FALSE,MyRowHidden(ROW()-1)=TRUE),0,(G636-G635)*unitsFuturesCompare+M635)</f>
        <v>-286580</v>
      </c>
      <c r="N636">
        <f>IF(MyRowHidden(ROW())=TRUE,0,L636-M636)</f>
        <v>164529.45555593912</v>
      </c>
      <c r="O636">
        <f>MAX(N$12:N636)</f>
        <v>194801.08888812171</v>
      </c>
      <c r="P636">
        <f>IF(O636&gt;O635,(O636-O635)*percentSavingsParticipation,0)</f>
        <v>0</v>
      </c>
      <c r="Q636">
        <f t="shared" si="49"/>
        <v>97400.544444060855</v>
      </c>
      <c r="R636">
        <f t="shared" si="50"/>
        <v>-24650</v>
      </c>
    </row>
    <row r="637" spans="1:18" x14ac:dyDescent="0.25">
      <c r="A637" s="1"/>
      <c r="C637" s="1"/>
      <c r="D637" s="1">
        <v>42150</v>
      </c>
      <c r="E637" s="10">
        <v>40466.5</v>
      </c>
      <c r="F637" s="1">
        <v>42150</v>
      </c>
      <c r="G637">
        <v>-9990.5</v>
      </c>
      <c r="H637" s="1">
        <f t="shared" si="46"/>
        <v>42150</v>
      </c>
      <c r="I637">
        <f>IF(AND(MyRowHidden(ROW())=FALSE,MyRowHidden(ROW()-1)=TRUE),0,(E637-E636)*unitsOfDHp+I636)</f>
        <v>114415</v>
      </c>
      <c r="J637">
        <f>IF(AND(MyRowHidden(ROW())=FALSE,MyRowHidden(ROW()-1)=TRUE),0,(G637-G636)*unitsOfExo+J636)</f>
        <v>-146290</v>
      </c>
      <c r="K637" s="9">
        <f t="shared" si="47"/>
        <v>146290</v>
      </c>
      <c r="L637">
        <f t="shared" si="48"/>
        <v>-129275.54444406087</v>
      </c>
      <c r="M637">
        <f>IF(AND(MyRowHidden(ROW())=FALSE,MyRowHidden(ROW()-1)=TRUE),0,(G637-G636)*unitsFuturesCompare+M636)</f>
        <v>-292580</v>
      </c>
      <c r="N637">
        <f>IF(MyRowHidden(ROW())=TRUE,0,L637-M637)</f>
        <v>163304.45555593912</v>
      </c>
      <c r="O637">
        <f>MAX(N$12:N637)</f>
        <v>194801.08888812171</v>
      </c>
      <c r="P637">
        <f>IF(O637&gt;O636,(O637-O636)*percentSavingsParticipation,0)</f>
        <v>0</v>
      </c>
      <c r="Q637">
        <f t="shared" si="49"/>
        <v>97400.544444060855</v>
      </c>
      <c r="R637">
        <f t="shared" si="50"/>
        <v>-31875</v>
      </c>
    </row>
    <row r="638" spans="1:18" x14ac:dyDescent="0.25">
      <c r="A638" s="1"/>
      <c r="C638" s="1"/>
      <c r="D638" s="1">
        <v>42151</v>
      </c>
      <c r="E638" s="10">
        <v>40579</v>
      </c>
      <c r="F638" s="1">
        <v>42151</v>
      </c>
      <c r="G638">
        <v>-10190.5</v>
      </c>
      <c r="H638" s="1">
        <f t="shared" si="46"/>
        <v>42151</v>
      </c>
      <c r="I638">
        <f>IF(AND(MyRowHidden(ROW())=FALSE,MyRowHidden(ROW()-1)=TRUE),0,(E638-E637)*unitsOfDHp+I637)</f>
        <v>115540</v>
      </c>
      <c r="J638">
        <f>IF(AND(MyRowHidden(ROW())=FALSE,MyRowHidden(ROW()-1)=TRUE),0,(G638-G637)*unitsOfExo+J637)</f>
        <v>-148290</v>
      </c>
      <c r="K638" s="9">
        <f t="shared" si="47"/>
        <v>148290</v>
      </c>
      <c r="L638">
        <f t="shared" si="48"/>
        <v>-130150.54444406087</v>
      </c>
      <c r="M638">
        <f>IF(AND(MyRowHidden(ROW())=FALSE,MyRowHidden(ROW()-1)=TRUE),0,(G638-G637)*unitsFuturesCompare+M637)</f>
        <v>-296580</v>
      </c>
      <c r="N638">
        <f>IF(MyRowHidden(ROW())=TRUE,0,L638-M638)</f>
        <v>166429.45555593912</v>
      </c>
      <c r="O638">
        <f>MAX(N$12:N638)</f>
        <v>194801.08888812171</v>
      </c>
      <c r="P638">
        <f>IF(O638&gt;O637,(O638-O637)*percentSavingsParticipation,0)</f>
        <v>0</v>
      </c>
      <c r="Q638">
        <f t="shared" si="49"/>
        <v>97400.544444060855</v>
      </c>
      <c r="R638">
        <f t="shared" si="50"/>
        <v>-32750</v>
      </c>
    </row>
    <row r="639" spans="1:18" x14ac:dyDescent="0.25">
      <c r="A639" s="1"/>
      <c r="C639" s="1"/>
      <c r="D639" s="1">
        <v>42152</v>
      </c>
      <c r="E639" s="10">
        <v>40569</v>
      </c>
      <c r="F639" s="1">
        <v>42152</v>
      </c>
      <c r="G639">
        <v>-10003</v>
      </c>
      <c r="H639" s="1">
        <f t="shared" si="46"/>
        <v>42152</v>
      </c>
      <c r="I639">
        <f>IF(AND(MyRowHidden(ROW())=FALSE,MyRowHidden(ROW()-1)=TRUE),0,(E639-E638)*unitsOfDHp+I638)</f>
        <v>115440</v>
      </c>
      <c r="J639">
        <f>IF(AND(MyRowHidden(ROW())=FALSE,MyRowHidden(ROW()-1)=TRUE),0,(G639-G638)*unitsOfExo+J638)</f>
        <v>-146415</v>
      </c>
      <c r="K639" s="9">
        <f t="shared" si="47"/>
        <v>146415</v>
      </c>
      <c r="L639">
        <f t="shared" si="48"/>
        <v>-128375.54444406087</v>
      </c>
      <c r="M639">
        <f>IF(AND(MyRowHidden(ROW())=FALSE,MyRowHidden(ROW()-1)=TRUE),0,(G639-G638)*unitsFuturesCompare+M638)</f>
        <v>-292830</v>
      </c>
      <c r="N639">
        <f>IF(MyRowHidden(ROW())=TRUE,0,L639-M639)</f>
        <v>164454.45555593912</v>
      </c>
      <c r="O639">
        <f>MAX(N$12:N639)</f>
        <v>194801.08888812171</v>
      </c>
      <c r="P639">
        <f>IF(O639&gt;O638,(O639-O638)*percentSavingsParticipation,0)</f>
        <v>0</v>
      </c>
      <c r="Q639">
        <f t="shared" si="49"/>
        <v>97400.544444060855</v>
      </c>
      <c r="R639">
        <f t="shared" si="50"/>
        <v>-30975</v>
      </c>
    </row>
    <row r="640" spans="1:18" x14ac:dyDescent="0.25">
      <c r="A640" s="1"/>
      <c r="C640" s="1"/>
      <c r="D640" s="1">
        <v>42153</v>
      </c>
      <c r="E640" s="10">
        <v>40344</v>
      </c>
      <c r="F640" s="1">
        <v>42153</v>
      </c>
      <c r="G640">
        <v>-10165.5</v>
      </c>
      <c r="H640" s="1">
        <f t="shared" si="46"/>
        <v>42153</v>
      </c>
      <c r="I640">
        <f>IF(AND(MyRowHidden(ROW())=FALSE,MyRowHidden(ROW()-1)=TRUE),0,(E640-E639)*unitsOfDHp+I639)</f>
        <v>113190</v>
      </c>
      <c r="J640">
        <f>IF(AND(MyRowHidden(ROW())=FALSE,MyRowHidden(ROW()-1)=TRUE),0,(G640-G639)*unitsOfExo+J639)</f>
        <v>-148040</v>
      </c>
      <c r="K640" s="9">
        <f t="shared" si="47"/>
        <v>148040</v>
      </c>
      <c r="L640">
        <f t="shared" si="48"/>
        <v>-132250.54444406088</v>
      </c>
      <c r="M640">
        <f>IF(AND(MyRowHidden(ROW())=FALSE,MyRowHidden(ROW()-1)=TRUE),0,(G640-G639)*unitsFuturesCompare+M639)</f>
        <v>-296080</v>
      </c>
      <c r="N640">
        <f>IF(MyRowHidden(ROW())=TRUE,0,L640-M640)</f>
        <v>163829.45555593912</v>
      </c>
      <c r="O640">
        <f>MAX(N$12:N640)</f>
        <v>194801.08888812171</v>
      </c>
      <c r="P640">
        <f>IF(O640&gt;O639,(O640-O639)*percentSavingsParticipation,0)</f>
        <v>0</v>
      </c>
      <c r="Q640">
        <f t="shared" si="49"/>
        <v>97400.544444060855</v>
      </c>
      <c r="R640">
        <f t="shared" si="50"/>
        <v>-34850</v>
      </c>
    </row>
    <row r="641" spans="1:18" x14ac:dyDescent="0.25">
      <c r="A641" s="1"/>
      <c r="C641" s="1"/>
      <c r="D641" s="1">
        <v>42156</v>
      </c>
      <c r="E641" s="10">
        <v>40481.5</v>
      </c>
      <c r="F641" s="1">
        <v>42156</v>
      </c>
      <c r="G641">
        <v>-10090.5</v>
      </c>
      <c r="H641" s="1">
        <f t="shared" si="46"/>
        <v>42156</v>
      </c>
      <c r="I641">
        <f>IF(AND(MyRowHidden(ROW())=FALSE,MyRowHidden(ROW()-1)=TRUE),0,(E641-E640)*unitsOfDHp+I640)</f>
        <v>114565</v>
      </c>
      <c r="J641">
        <f>IF(AND(MyRowHidden(ROW())=FALSE,MyRowHidden(ROW()-1)=TRUE),0,(G641-G640)*unitsOfExo+J640)</f>
        <v>-147290</v>
      </c>
      <c r="K641" s="9">
        <f t="shared" si="47"/>
        <v>147290</v>
      </c>
      <c r="L641">
        <f t="shared" si="48"/>
        <v>-130125.54444406088</v>
      </c>
      <c r="M641">
        <f>IF(AND(MyRowHidden(ROW())=FALSE,MyRowHidden(ROW()-1)=TRUE),0,(G641-G640)*unitsFuturesCompare+M640)</f>
        <v>-294580</v>
      </c>
      <c r="N641">
        <f>IF(MyRowHidden(ROW())=TRUE,0,L641-M641)</f>
        <v>164454.45555593912</v>
      </c>
      <c r="O641">
        <f>MAX(N$12:N641)</f>
        <v>194801.08888812171</v>
      </c>
      <c r="P641">
        <f>IF(O641&gt;O640,(O641-O640)*percentSavingsParticipation,0)</f>
        <v>0</v>
      </c>
      <c r="Q641">
        <f t="shared" si="49"/>
        <v>97400.544444060855</v>
      </c>
      <c r="R641">
        <f t="shared" si="50"/>
        <v>-32725</v>
      </c>
    </row>
    <row r="642" spans="1:18" x14ac:dyDescent="0.25">
      <c r="A642" s="1"/>
      <c r="C642" s="1"/>
      <c r="D642" s="1">
        <v>42157</v>
      </c>
      <c r="E642" s="10">
        <v>40907.5</v>
      </c>
      <c r="F642" s="1">
        <v>42157</v>
      </c>
      <c r="G642">
        <v>-9728</v>
      </c>
      <c r="H642" s="1">
        <f t="shared" si="46"/>
        <v>42157</v>
      </c>
      <c r="I642">
        <f>IF(AND(MyRowHidden(ROW())=FALSE,MyRowHidden(ROW()-1)=TRUE),0,(E642-E641)*unitsOfDHp+I641)</f>
        <v>118825</v>
      </c>
      <c r="J642">
        <f>IF(AND(MyRowHidden(ROW())=FALSE,MyRowHidden(ROW()-1)=TRUE),0,(G642-G641)*unitsOfExo+J641)</f>
        <v>-143665</v>
      </c>
      <c r="K642" s="9">
        <f t="shared" si="47"/>
        <v>143665</v>
      </c>
      <c r="L642">
        <f t="shared" si="48"/>
        <v>-122240.54444406088</v>
      </c>
      <c r="M642">
        <f>IF(AND(MyRowHidden(ROW())=FALSE,MyRowHidden(ROW()-1)=TRUE),0,(G642-G641)*unitsFuturesCompare+M641)</f>
        <v>-287330</v>
      </c>
      <c r="N642">
        <f>IF(MyRowHidden(ROW())=TRUE,0,L642-M642)</f>
        <v>165089.45555593912</v>
      </c>
      <c r="O642">
        <f>MAX(N$12:N642)</f>
        <v>194801.08888812171</v>
      </c>
      <c r="P642">
        <f>IF(O642&gt;O641,(O642-O641)*percentSavingsParticipation,0)</f>
        <v>0</v>
      </c>
      <c r="Q642">
        <f t="shared" si="49"/>
        <v>97400.544444060855</v>
      </c>
      <c r="R642">
        <f t="shared" si="50"/>
        <v>-24840</v>
      </c>
    </row>
    <row r="643" spans="1:18" x14ac:dyDescent="0.25">
      <c r="A643" s="1"/>
      <c r="C643" s="1"/>
      <c r="D643" s="1">
        <v>42158</v>
      </c>
      <c r="E643" s="10">
        <v>40795</v>
      </c>
      <c r="F643" s="1">
        <v>42158</v>
      </c>
      <c r="G643">
        <v>-9815.5</v>
      </c>
      <c r="H643" s="1">
        <f t="shared" si="46"/>
        <v>42158</v>
      </c>
      <c r="I643">
        <f>IF(AND(MyRowHidden(ROW())=FALSE,MyRowHidden(ROW()-1)=TRUE),0,(E643-E642)*unitsOfDHp+I642)</f>
        <v>117700</v>
      </c>
      <c r="J643">
        <f>IF(AND(MyRowHidden(ROW())=FALSE,MyRowHidden(ROW()-1)=TRUE),0,(G643-G642)*unitsOfExo+J642)</f>
        <v>-144540</v>
      </c>
      <c r="K643" s="9">
        <f t="shared" si="47"/>
        <v>144540</v>
      </c>
      <c r="L643">
        <f t="shared" si="48"/>
        <v>-124240.54444406088</v>
      </c>
      <c r="M643">
        <f>IF(AND(MyRowHidden(ROW())=FALSE,MyRowHidden(ROW()-1)=TRUE),0,(G643-G642)*unitsFuturesCompare+M642)</f>
        <v>-289080</v>
      </c>
      <c r="N643">
        <f>IF(MyRowHidden(ROW())=TRUE,0,L643-M643)</f>
        <v>164839.45555593912</v>
      </c>
      <c r="O643">
        <f>MAX(N$12:N643)</f>
        <v>194801.08888812171</v>
      </c>
      <c r="P643">
        <f>IF(O643&gt;O642,(O643-O642)*percentSavingsParticipation,0)</f>
        <v>0</v>
      </c>
      <c r="Q643">
        <f t="shared" si="49"/>
        <v>97400.544444060855</v>
      </c>
      <c r="R643">
        <f t="shared" si="50"/>
        <v>-26840</v>
      </c>
    </row>
    <row r="644" spans="1:18" x14ac:dyDescent="0.25">
      <c r="A644" s="1"/>
      <c r="C644" s="1"/>
      <c r="D644" s="1">
        <v>42159</v>
      </c>
      <c r="E644" s="10">
        <v>41164</v>
      </c>
      <c r="F644" s="1">
        <v>42159</v>
      </c>
      <c r="G644">
        <v>-9515.5</v>
      </c>
      <c r="H644" s="1">
        <f t="shared" si="46"/>
        <v>42159</v>
      </c>
      <c r="I644">
        <f>IF(AND(MyRowHidden(ROW())=FALSE,MyRowHidden(ROW()-1)=TRUE),0,(E644-E643)*unitsOfDHp+I643)</f>
        <v>121390</v>
      </c>
      <c r="J644">
        <f>IF(AND(MyRowHidden(ROW())=FALSE,MyRowHidden(ROW()-1)=TRUE),0,(G644-G643)*unitsOfExo+J643)</f>
        <v>-141540</v>
      </c>
      <c r="K644" s="9">
        <f t="shared" si="47"/>
        <v>141540</v>
      </c>
      <c r="L644">
        <f t="shared" si="48"/>
        <v>-117550.54444406088</v>
      </c>
      <c r="M644">
        <f>IF(AND(MyRowHidden(ROW())=FALSE,MyRowHidden(ROW()-1)=TRUE),0,(G644-G643)*unitsFuturesCompare+M643)</f>
        <v>-283080</v>
      </c>
      <c r="N644">
        <f>IF(MyRowHidden(ROW())=TRUE,0,L644-M644)</f>
        <v>165529.45555593912</v>
      </c>
      <c r="O644">
        <f>MAX(N$12:N644)</f>
        <v>194801.08888812171</v>
      </c>
      <c r="P644">
        <f>IF(O644&gt;O643,(O644-O643)*percentSavingsParticipation,0)</f>
        <v>0</v>
      </c>
      <c r="Q644">
        <f t="shared" si="49"/>
        <v>97400.544444060855</v>
      </c>
      <c r="R644">
        <f t="shared" si="50"/>
        <v>-20150</v>
      </c>
    </row>
    <row r="645" spans="1:18" x14ac:dyDescent="0.25">
      <c r="A645" s="1"/>
      <c r="C645" s="1"/>
      <c r="D645" s="1">
        <v>42160</v>
      </c>
      <c r="E645" s="10">
        <v>41190</v>
      </c>
      <c r="F645" s="1">
        <v>42160</v>
      </c>
      <c r="G645">
        <v>-9678</v>
      </c>
      <c r="H645" s="1">
        <f t="shared" si="46"/>
        <v>42160</v>
      </c>
      <c r="I645">
        <f>IF(AND(MyRowHidden(ROW())=FALSE,MyRowHidden(ROW()-1)=TRUE),0,(E645-E644)*unitsOfDHp+I644)</f>
        <v>121650</v>
      </c>
      <c r="J645">
        <f>IF(AND(MyRowHidden(ROW())=FALSE,MyRowHidden(ROW()-1)=TRUE),0,(G645-G644)*unitsOfExo+J644)</f>
        <v>-143165</v>
      </c>
      <c r="K645" s="9">
        <f t="shared" si="47"/>
        <v>143165</v>
      </c>
      <c r="L645">
        <f t="shared" si="48"/>
        <v>-118915.54444406088</v>
      </c>
      <c r="M645">
        <f>IF(AND(MyRowHidden(ROW())=FALSE,MyRowHidden(ROW()-1)=TRUE),0,(G645-G644)*unitsFuturesCompare+M644)</f>
        <v>-286330</v>
      </c>
      <c r="N645">
        <f>IF(MyRowHidden(ROW())=TRUE,0,L645-M645)</f>
        <v>167414.45555593912</v>
      </c>
      <c r="O645">
        <f>MAX(N$12:N645)</f>
        <v>194801.08888812171</v>
      </c>
      <c r="P645">
        <f>IF(O645&gt;O644,(O645-O644)*percentSavingsParticipation,0)</f>
        <v>0</v>
      </c>
      <c r="Q645">
        <f t="shared" si="49"/>
        <v>97400.544444060855</v>
      </c>
      <c r="R645">
        <f t="shared" si="50"/>
        <v>-21515</v>
      </c>
    </row>
    <row r="646" spans="1:18" x14ac:dyDescent="0.25">
      <c r="A646" s="1"/>
      <c r="C646" s="1"/>
      <c r="D646" s="1">
        <v>42163</v>
      </c>
      <c r="E646" s="10">
        <v>40941</v>
      </c>
      <c r="F646" s="1">
        <v>42163</v>
      </c>
      <c r="G646">
        <v>-9465.5</v>
      </c>
      <c r="H646" s="1">
        <f t="shared" si="46"/>
        <v>42163</v>
      </c>
      <c r="I646">
        <f>IF(AND(MyRowHidden(ROW())=FALSE,MyRowHidden(ROW()-1)=TRUE),0,(E646-E645)*unitsOfDHp+I645)</f>
        <v>119160</v>
      </c>
      <c r="J646">
        <f>IF(AND(MyRowHidden(ROW())=FALSE,MyRowHidden(ROW()-1)=TRUE),0,(G646-G645)*unitsOfExo+J645)</f>
        <v>-141040</v>
      </c>
      <c r="K646" s="9">
        <f t="shared" si="47"/>
        <v>141040</v>
      </c>
      <c r="L646">
        <f t="shared" si="48"/>
        <v>-119280.54444406088</v>
      </c>
      <c r="M646">
        <f>IF(AND(MyRowHidden(ROW())=FALSE,MyRowHidden(ROW()-1)=TRUE),0,(G646-G645)*unitsFuturesCompare+M645)</f>
        <v>-282080</v>
      </c>
      <c r="N646">
        <f>IF(MyRowHidden(ROW())=TRUE,0,L646-M646)</f>
        <v>162799.45555593912</v>
      </c>
      <c r="O646">
        <f>MAX(N$12:N646)</f>
        <v>194801.08888812171</v>
      </c>
      <c r="P646">
        <f>IF(O646&gt;O645,(O646-O645)*percentSavingsParticipation,0)</f>
        <v>0</v>
      </c>
      <c r="Q646">
        <f t="shared" si="49"/>
        <v>97400.544444060855</v>
      </c>
      <c r="R646">
        <f t="shared" si="50"/>
        <v>-21880</v>
      </c>
    </row>
    <row r="647" spans="1:18" x14ac:dyDescent="0.25">
      <c r="A647" s="1"/>
      <c r="C647" s="1"/>
      <c r="D647" s="1">
        <v>42164</v>
      </c>
      <c r="E647" s="10">
        <v>40953.5</v>
      </c>
      <c r="F647" s="1">
        <v>42164</v>
      </c>
      <c r="G647">
        <v>-9428</v>
      </c>
      <c r="H647" s="1">
        <f t="shared" si="46"/>
        <v>42164</v>
      </c>
      <c r="I647">
        <f>IF(AND(MyRowHidden(ROW())=FALSE,MyRowHidden(ROW()-1)=TRUE),0,(E647-E646)*unitsOfDHp+I646)</f>
        <v>119285</v>
      </c>
      <c r="J647">
        <f>IF(AND(MyRowHidden(ROW())=FALSE,MyRowHidden(ROW()-1)=TRUE),0,(G647-G646)*unitsOfExo+J646)</f>
        <v>-140665</v>
      </c>
      <c r="K647" s="9">
        <f t="shared" si="47"/>
        <v>140665</v>
      </c>
      <c r="L647">
        <f t="shared" si="48"/>
        <v>-118780.54444406088</v>
      </c>
      <c r="M647">
        <f>IF(AND(MyRowHidden(ROW())=FALSE,MyRowHidden(ROW()-1)=TRUE),0,(G647-G646)*unitsFuturesCompare+M646)</f>
        <v>-281330</v>
      </c>
      <c r="N647">
        <f>IF(MyRowHidden(ROW())=TRUE,0,L647-M647)</f>
        <v>162549.45555593912</v>
      </c>
      <c r="O647">
        <f>MAX(N$12:N647)</f>
        <v>194801.08888812171</v>
      </c>
      <c r="P647">
        <f>IF(O647&gt;O646,(O647-O646)*percentSavingsParticipation,0)</f>
        <v>0</v>
      </c>
      <c r="Q647">
        <f t="shared" si="49"/>
        <v>97400.544444060855</v>
      </c>
      <c r="R647">
        <f t="shared" si="50"/>
        <v>-21380</v>
      </c>
    </row>
    <row r="648" spans="1:18" x14ac:dyDescent="0.25">
      <c r="A648" s="1"/>
      <c r="C648" s="1"/>
      <c r="D648" s="1">
        <v>42165</v>
      </c>
      <c r="E648" s="10">
        <v>41741</v>
      </c>
      <c r="F648" s="1">
        <v>42165</v>
      </c>
      <c r="G648">
        <v>-9728</v>
      </c>
      <c r="H648" s="1">
        <f t="shared" si="46"/>
        <v>42165</v>
      </c>
      <c r="I648">
        <f>IF(AND(MyRowHidden(ROW())=FALSE,MyRowHidden(ROW()-1)=TRUE),0,(E648-E647)*unitsOfDHp+I647)</f>
        <v>127160</v>
      </c>
      <c r="J648">
        <f>IF(AND(MyRowHidden(ROW())=FALSE,MyRowHidden(ROW()-1)=TRUE),0,(G648-G647)*unitsOfExo+J647)</f>
        <v>-143665</v>
      </c>
      <c r="K648" s="9">
        <f t="shared" si="47"/>
        <v>143665</v>
      </c>
      <c r="L648">
        <f t="shared" si="48"/>
        <v>-113905.54444406088</v>
      </c>
      <c r="M648">
        <f>IF(AND(MyRowHidden(ROW())=FALSE,MyRowHidden(ROW()-1)=TRUE),0,(G648-G647)*unitsFuturesCompare+M647)</f>
        <v>-287330</v>
      </c>
      <c r="N648">
        <f>IF(MyRowHidden(ROW())=TRUE,0,L648-M648)</f>
        <v>173424.45555593912</v>
      </c>
      <c r="O648">
        <f>MAX(N$12:N648)</f>
        <v>194801.08888812171</v>
      </c>
      <c r="P648">
        <f>IF(O648&gt;O647,(O648-O647)*percentSavingsParticipation,0)</f>
        <v>0</v>
      </c>
      <c r="Q648">
        <f t="shared" si="49"/>
        <v>97400.544444060855</v>
      </c>
      <c r="R648">
        <f t="shared" si="50"/>
        <v>-16505</v>
      </c>
    </row>
    <row r="649" spans="1:18" x14ac:dyDescent="0.25">
      <c r="A649" s="1"/>
      <c r="C649" s="1"/>
      <c r="D649" s="1">
        <v>42166</v>
      </c>
      <c r="E649" s="10">
        <v>42003.5</v>
      </c>
      <c r="F649" s="1">
        <v>42166</v>
      </c>
      <c r="G649">
        <v>-9928</v>
      </c>
      <c r="H649" s="1">
        <f t="shared" si="46"/>
        <v>42166</v>
      </c>
      <c r="I649">
        <f>IF(AND(MyRowHidden(ROW())=FALSE,MyRowHidden(ROW()-1)=TRUE),0,(E649-E648)*unitsOfDHp+I648)</f>
        <v>129785</v>
      </c>
      <c r="J649">
        <f>IF(AND(MyRowHidden(ROW())=FALSE,MyRowHidden(ROW()-1)=TRUE),0,(G649-G648)*unitsOfExo+J648)</f>
        <v>-145665</v>
      </c>
      <c r="K649" s="9">
        <f t="shared" si="47"/>
        <v>145665</v>
      </c>
      <c r="L649">
        <f t="shared" si="48"/>
        <v>-113280.54444406088</v>
      </c>
      <c r="M649">
        <f>IF(AND(MyRowHidden(ROW())=FALSE,MyRowHidden(ROW()-1)=TRUE),0,(G649-G648)*unitsFuturesCompare+M648)</f>
        <v>-291330</v>
      </c>
      <c r="N649">
        <f>IF(MyRowHidden(ROW())=TRUE,0,L649-M649)</f>
        <v>178049.45555593912</v>
      </c>
      <c r="O649">
        <f>MAX(N$12:N649)</f>
        <v>194801.08888812171</v>
      </c>
      <c r="P649">
        <f>IF(O649&gt;O648,(O649-O648)*percentSavingsParticipation,0)</f>
        <v>0</v>
      </c>
      <c r="Q649">
        <f t="shared" si="49"/>
        <v>97400.544444060855</v>
      </c>
      <c r="R649">
        <f t="shared" si="50"/>
        <v>-15880</v>
      </c>
    </row>
    <row r="650" spans="1:18" x14ac:dyDescent="0.25">
      <c r="A650" s="1"/>
      <c r="C650" s="1"/>
      <c r="D650" s="1">
        <v>42167</v>
      </c>
      <c r="E650" s="10">
        <v>42516</v>
      </c>
      <c r="F650" s="1">
        <v>42167</v>
      </c>
      <c r="G650">
        <v>-10028</v>
      </c>
      <c r="H650" s="1">
        <f t="shared" si="46"/>
        <v>42167</v>
      </c>
      <c r="I650">
        <f>IF(AND(MyRowHidden(ROW())=FALSE,MyRowHidden(ROW()-1)=TRUE),0,(E650-E649)*unitsOfDHp+I649)</f>
        <v>134910</v>
      </c>
      <c r="J650">
        <f>IF(AND(MyRowHidden(ROW())=FALSE,MyRowHidden(ROW()-1)=TRUE),0,(G650-G649)*unitsOfExo+J649)</f>
        <v>-146665</v>
      </c>
      <c r="K650" s="9">
        <f t="shared" si="47"/>
        <v>146665</v>
      </c>
      <c r="L650">
        <f t="shared" si="48"/>
        <v>-109155.54444406088</v>
      </c>
      <c r="M650">
        <f>IF(AND(MyRowHidden(ROW())=FALSE,MyRowHidden(ROW()-1)=TRUE),0,(G650-G649)*unitsFuturesCompare+M649)</f>
        <v>-293330</v>
      </c>
      <c r="N650">
        <f>IF(MyRowHidden(ROW())=TRUE,0,L650-M650)</f>
        <v>184174.45555593912</v>
      </c>
      <c r="O650">
        <f>MAX(N$12:N650)</f>
        <v>194801.08888812171</v>
      </c>
      <c r="P650">
        <f>IF(O650&gt;O649,(O650-O649)*percentSavingsParticipation,0)</f>
        <v>0</v>
      </c>
      <c r="Q650">
        <f t="shared" si="49"/>
        <v>97400.544444060855</v>
      </c>
      <c r="R650">
        <f t="shared" si="50"/>
        <v>-11755</v>
      </c>
    </row>
    <row r="651" spans="1:18" x14ac:dyDescent="0.25">
      <c r="A651" s="1"/>
      <c r="C651" s="1"/>
      <c r="D651" s="1">
        <v>42170</v>
      </c>
      <c r="E651" s="10">
        <v>42979.5</v>
      </c>
      <c r="F651" s="1">
        <v>42170</v>
      </c>
      <c r="G651">
        <v>-10303</v>
      </c>
      <c r="H651" s="1">
        <f t="shared" si="46"/>
        <v>42170</v>
      </c>
      <c r="I651">
        <f>IF(AND(MyRowHidden(ROW())=FALSE,MyRowHidden(ROW()-1)=TRUE),0,(E651-E650)*unitsOfDHp+I650)</f>
        <v>139545</v>
      </c>
      <c r="J651">
        <f>IF(AND(MyRowHidden(ROW())=FALSE,MyRowHidden(ROW()-1)=TRUE),0,(G651-G650)*unitsOfExo+J650)</f>
        <v>-149415</v>
      </c>
      <c r="K651" s="9">
        <f t="shared" si="47"/>
        <v>149415</v>
      </c>
      <c r="L651">
        <f t="shared" si="48"/>
        <v>-107270.54444406088</v>
      </c>
      <c r="M651">
        <f>IF(AND(MyRowHidden(ROW())=FALSE,MyRowHidden(ROW()-1)=TRUE),0,(G651-G650)*unitsFuturesCompare+M650)</f>
        <v>-298830</v>
      </c>
      <c r="N651">
        <f>IF(MyRowHidden(ROW())=TRUE,0,L651-M651)</f>
        <v>191559.45555593912</v>
      </c>
      <c r="O651">
        <f>MAX(N$12:N651)</f>
        <v>194801.08888812171</v>
      </c>
      <c r="P651">
        <f>IF(O651&gt;O650,(O651-O650)*percentSavingsParticipation,0)</f>
        <v>0</v>
      </c>
      <c r="Q651">
        <f t="shared" si="49"/>
        <v>97400.544444060855</v>
      </c>
      <c r="R651">
        <f t="shared" si="50"/>
        <v>-9870</v>
      </c>
    </row>
    <row r="652" spans="1:18" x14ac:dyDescent="0.25">
      <c r="A652" s="1"/>
      <c r="C652" s="1"/>
      <c r="D652" s="1">
        <v>42171</v>
      </c>
      <c r="E652" s="10">
        <v>42017</v>
      </c>
      <c r="F652" s="1">
        <v>42171</v>
      </c>
      <c r="G652">
        <v>-10115.5</v>
      </c>
      <c r="H652" s="1">
        <f t="shared" si="46"/>
        <v>42171</v>
      </c>
      <c r="I652">
        <f>IF(AND(MyRowHidden(ROW())=FALSE,MyRowHidden(ROW()-1)=TRUE),0,(E652-E651)*unitsOfDHp+I651)</f>
        <v>129920</v>
      </c>
      <c r="J652">
        <f>IF(AND(MyRowHidden(ROW())=FALSE,MyRowHidden(ROW()-1)=TRUE),0,(G652-G651)*unitsOfExo+J651)</f>
        <v>-147540</v>
      </c>
      <c r="K652" s="9">
        <f t="shared" si="47"/>
        <v>147540</v>
      </c>
      <c r="L652">
        <f t="shared" si="48"/>
        <v>-115020.54444406088</v>
      </c>
      <c r="M652">
        <f>IF(AND(MyRowHidden(ROW())=FALSE,MyRowHidden(ROW()-1)=TRUE),0,(G652-G651)*unitsFuturesCompare+M651)</f>
        <v>-295080</v>
      </c>
      <c r="N652">
        <f>IF(MyRowHidden(ROW())=TRUE,0,L652-M652)</f>
        <v>180059.45555593912</v>
      </c>
      <c r="O652">
        <f>MAX(N$12:N652)</f>
        <v>194801.08888812171</v>
      </c>
      <c r="P652">
        <f>IF(O652&gt;O651,(O652-O651)*percentSavingsParticipation,0)</f>
        <v>0</v>
      </c>
      <c r="Q652">
        <f t="shared" si="49"/>
        <v>97400.544444060855</v>
      </c>
      <c r="R652">
        <f t="shared" si="50"/>
        <v>-17620</v>
      </c>
    </row>
    <row r="653" spans="1:18" x14ac:dyDescent="0.25">
      <c r="A653" s="1"/>
      <c r="C653" s="1"/>
      <c r="D653" s="1">
        <v>42172</v>
      </c>
      <c r="E653" s="10">
        <v>41369</v>
      </c>
      <c r="F653" s="1">
        <v>42172</v>
      </c>
      <c r="G653">
        <v>-9790.5</v>
      </c>
      <c r="H653" s="1">
        <f t="shared" ref="H653:H716" si="51">D653</f>
        <v>42172</v>
      </c>
      <c r="I653">
        <f>IF(AND(MyRowHidden(ROW())=FALSE,MyRowHidden(ROW()-1)=TRUE),0,(E653-E652)*unitsOfDHp+I652)</f>
        <v>123440</v>
      </c>
      <c r="J653">
        <f>IF(AND(MyRowHidden(ROW())=FALSE,MyRowHidden(ROW()-1)=TRUE),0,(G653-G652)*unitsOfExo+J652)</f>
        <v>-144290</v>
      </c>
      <c r="K653" s="9">
        <f t="shared" ref="K653:K716" si="52">-(J653-J652)+K652</f>
        <v>144290</v>
      </c>
      <c r="L653">
        <f t="shared" ref="L653:L716" si="53">I653-I652+J653-J652+L652-P652</f>
        <v>-118250.54444406088</v>
      </c>
      <c r="M653">
        <f>IF(AND(MyRowHidden(ROW())=FALSE,MyRowHidden(ROW()-1)=TRUE),0,(G653-G652)*unitsFuturesCompare+M652)</f>
        <v>-288580</v>
      </c>
      <c r="N653">
        <f>IF(MyRowHidden(ROW())=TRUE,0,L653-M653)</f>
        <v>170329.45555593912</v>
      </c>
      <c r="O653">
        <f>MAX(N$12:N653)</f>
        <v>194801.08888812171</v>
      </c>
      <c r="P653">
        <f>IF(O653&gt;O652,(O653-O652)*percentSavingsParticipation,0)</f>
        <v>0</v>
      </c>
      <c r="Q653">
        <f t="shared" ref="Q653:Q716" si="54">P653+Q652</f>
        <v>97400.544444060855</v>
      </c>
      <c r="R653">
        <f t="shared" ref="R653:R716" si="55">I653+J653</f>
        <v>-20850</v>
      </c>
    </row>
    <row r="654" spans="1:18" x14ac:dyDescent="0.25">
      <c r="A654" s="1"/>
      <c r="C654" s="1"/>
      <c r="D654" s="1">
        <v>42173</v>
      </c>
      <c r="E654" s="10">
        <v>41460.5</v>
      </c>
      <c r="F654" s="1">
        <v>42173</v>
      </c>
      <c r="G654">
        <v>-9740.5</v>
      </c>
      <c r="H654" s="1">
        <f t="shared" si="51"/>
        <v>42173</v>
      </c>
      <c r="I654">
        <f>IF(AND(MyRowHidden(ROW())=FALSE,MyRowHidden(ROW()-1)=TRUE),0,(E654-E653)*unitsOfDHp+I653)</f>
        <v>124355</v>
      </c>
      <c r="J654">
        <f>IF(AND(MyRowHidden(ROW())=FALSE,MyRowHidden(ROW()-1)=TRUE),0,(G654-G653)*unitsOfExo+J653)</f>
        <v>-143790</v>
      </c>
      <c r="K654" s="9">
        <f t="shared" si="52"/>
        <v>143790</v>
      </c>
      <c r="L654">
        <f t="shared" si="53"/>
        <v>-116835.54444406088</v>
      </c>
      <c r="M654">
        <f>IF(AND(MyRowHidden(ROW())=FALSE,MyRowHidden(ROW()-1)=TRUE),0,(G654-G653)*unitsFuturesCompare+M653)</f>
        <v>-287580</v>
      </c>
      <c r="N654">
        <f>IF(MyRowHidden(ROW())=TRUE,0,L654-M654)</f>
        <v>170744.45555593912</v>
      </c>
      <c r="O654">
        <f>MAX(N$12:N654)</f>
        <v>194801.08888812171</v>
      </c>
      <c r="P654">
        <f>IF(O654&gt;O653,(O654-O653)*percentSavingsParticipation,0)</f>
        <v>0</v>
      </c>
      <c r="Q654">
        <f t="shared" si="54"/>
        <v>97400.544444060855</v>
      </c>
      <c r="R654">
        <f t="shared" si="55"/>
        <v>-19435</v>
      </c>
    </row>
    <row r="655" spans="1:18" x14ac:dyDescent="0.25">
      <c r="A655" s="1"/>
      <c r="C655" s="1"/>
      <c r="D655" s="1">
        <v>42174</v>
      </c>
      <c r="E655" s="10">
        <v>41060.5</v>
      </c>
      <c r="F655" s="1">
        <v>42174</v>
      </c>
      <c r="G655">
        <v>-9965.5</v>
      </c>
      <c r="H655" s="1">
        <f t="shared" si="51"/>
        <v>42174</v>
      </c>
      <c r="I655">
        <f>IF(AND(MyRowHidden(ROW())=FALSE,MyRowHidden(ROW()-1)=TRUE),0,(E655-E654)*unitsOfDHp+I654)</f>
        <v>120355</v>
      </c>
      <c r="J655">
        <f>IF(AND(MyRowHidden(ROW())=FALSE,MyRowHidden(ROW()-1)=TRUE),0,(G655-G654)*unitsOfExo+J654)</f>
        <v>-146040</v>
      </c>
      <c r="K655" s="9">
        <f t="shared" si="52"/>
        <v>146040</v>
      </c>
      <c r="L655">
        <f t="shared" si="53"/>
        <v>-123085.54444406088</v>
      </c>
      <c r="M655">
        <f>IF(AND(MyRowHidden(ROW())=FALSE,MyRowHidden(ROW()-1)=TRUE),0,(G655-G654)*unitsFuturesCompare+M654)</f>
        <v>-292080</v>
      </c>
      <c r="N655">
        <f>IF(MyRowHidden(ROW())=TRUE,0,L655-M655)</f>
        <v>168994.45555593912</v>
      </c>
      <c r="O655">
        <f>MAX(N$12:N655)</f>
        <v>194801.08888812171</v>
      </c>
      <c r="P655">
        <f>IF(O655&gt;O654,(O655-O654)*percentSavingsParticipation,0)</f>
        <v>0</v>
      </c>
      <c r="Q655">
        <f t="shared" si="54"/>
        <v>97400.544444060855</v>
      </c>
      <c r="R655">
        <f t="shared" si="55"/>
        <v>-25685</v>
      </c>
    </row>
    <row r="656" spans="1:18" x14ac:dyDescent="0.25">
      <c r="A656" s="1"/>
      <c r="C656" s="1"/>
      <c r="D656" s="1">
        <v>42177</v>
      </c>
      <c r="E656" s="10">
        <v>41473</v>
      </c>
      <c r="F656" s="1">
        <v>42177</v>
      </c>
      <c r="G656">
        <v>-9778</v>
      </c>
      <c r="H656" s="1">
        <f t="shared" si="51"/>
        <v>42177</v>
      </c>
      <c r="I656">
        <f>IF(AND(MyRowHidden(ROW())=FALSE,MyRowHidden(ROW()-1)=TRUE),0,(E656-E655)*unitsOfDHp+I655)</f>
        <v>124480</v>
      </c>
      <c r="J656">
        <f>IF(AND(MyRowHidden(ROW())=FALSE,MyRowHidden(ROW()-1)=TRUE),0,(G656-G655)*unitsOfExo+J655)</f>
        <v>-144165</v>
      </c>
      <c r="K656" s="9">
        <f t="shared" si="52"/>
        <v>144165</v>
      </c>
      <c r="L656">
        <f t="shared" si="53"/>
        <v>-117085.54444406088</v>
      </c>
      <c r="M656">
        <f>IF(AND(MyRowHidden(ROW())=FALSE,MyRowHidden(ROW()-1)=TRUE),0,(G656-G655)*unitsFuturesCompare+M655)</f>
        <v>-288330</v>
      </c>
      <c r="N656">
        <f>IF(MyRowHidden(ROW())=TRUE,0,L656-M656)</f>
        <v>171244.45555593912</v>
      </c>
      <c r="O656">
        <f>MAX(N$12:N656)</f>
        <v>194801.08888812171</v>
      </c>
      <c r="P656">
        <f>IF(O656&gt;O655,(O656-O655)*percentSavingsParticipation,0)</f>
        <v>0</v>
      </c>
      <c r="Q656">
        <f t="shared" si="54"/>
        <v>97400.544444060855</v>
      </c>
      <c r="R656">
        <f t="shared" si="55"/>
        <v>-19685</v>
      </c>
    </row>
    <row r="657" spans="1:18" x14ac:dyDescent="0.25">
      <c r="A657" s="1"/>
      <c r="C657" s="1"/>
      <c r="D657" s="1">
        <v>42178</v>
      </c>
      <c r="E657" s="10">
        <v>42126.5</v>
      </c>
      <c r="F657" s="1">
        <v>42178</v>
      </c>
      <c r="G657">
        <v>-9353</v>
      </c>
      <c r="H657" s="1">
        <f t="shared" si="51"/>
        <v>42178</v>
      </c>
      <c r="I657">
        <f>IF(AND(MyRowHidden(ROW())=FALSE,MyRowHidden(ROW()-1)=TRUE),0,(E657-E656)*unitsOfDHp+I656)</f>
        <v>131015</v>
      </c>
      <c r="J657">
        <f>IF(AND(MyRowHidden(ROW())=FALSE,MyRowHidden(ROW()-1)=TRUE),0,(G657-G656)*unitsOfExo+J656)</f>
        <v>-139915</v>
      </c>
      <c r="K657" s="9">
        <f t="shared" si="52"/>
        <v>139915</v>
      </c>
      <c r="L657">
        <f t="shared" si="53"/>
        <v>-106300.54444406088</v>
      </c>
      <c r="M657">
        <f>IF(AND(MyRowHidden(ROW())=FALSE,MyRowHidden(ROW()-1)=TRUE),0,(G657-G656)*unitsFuturesCompare+M656)</f>
        <v>-279830</v>
      </c>
      <c r="N657">
        <f>IF(MyRowHidden(ROW())=TRUE,0,L657-M657)</f>
        <v>173529.45555593912</v>
      </c>
      <c r="O657">
        <f>MAX(N$12:N657)</f>
        <v>194801.08888812171</v>
      </c>
      <c r="P657">
        <f>IF(O657&gt;O656,(O657-O656)*percentSavingsParticipation,0)</f>
        <v>0</v>
      </c>
      <c r="Q657">
        <f t="shared" si="54"/>
        <v>97400.544444060855</v>
      </c>
      <c r="R657">
        <f t="shared" si="55"/>
        <v>-8900</v>
      </c>
    </row>
    <row r="658" spans="1:18" x14ac:dyDescent="0.25">
      <c r="A658" s="1"/>
      <c r="C658" s="1"/>
      <c r="D658" s="1">
        <v>42179</v>
      </c>
      <c r="E658" s="10">
        <v>42266</v>
      </c>
      <c r="F658" s="1">
        <v>42179</v>
      </c>
      <c r="G658">
        <v>-9315.5</v>
      </c>
      <c r="H658" s="1">
        <f t="shared" si="51"/>
        <v>42179</v>
      </c>
      <c r="I658">
        <f>IF(AND(MyRowHidden(ROW())=FALSE,MyRowHidden(ROW()-1)=TRUE),0,(E658-E657)*unitsOfDHp+I657)</f>
        <v>132410</v>
      </c>
      <c r="J658">
        <f>IF(AND(MyRowHidden(ROW())=FALSE,MyRowHidden(ROW()-1)=TRUE),0,(G658-G657)*unitsOfExo+J657)</f>
        <v>-139540</v>
      </c>
      <c r="K658" s="9">
        <f t="shared" si="52"/>
        <v>139540</v>
      </c>
      <c r="L658">
        <f t="shared" si="53"/>
        <v>-104530.54444406088</v>
      </c>
      <c r="M658">
        <f>IF(AND(MyRowHidden(ROW())=FALSE,MyRowHidden(ROW()-1)=TRUE),0,(G658-G657)*unitsFuturesCompare+M657)</f>
        <v>-279080</v>
      </c>
      <c r="N658">
        <f>IF(MyRowHidden(ROW())=TRUE,0,L658-M658)</f>
        <v>174549.45555593912</v>
      </c>
      <c r="O658">
        <f>MAX(N$12:N658)</f>
        <v>194801.08888812171</v>
      </c>
      <c r="P658">
        <f>IF(O658&gt;O657,(O658-O657)*percentSavingsParticipation,0)</f>
        <v>0</v>
      </c>
      <c r="Q658">
        <f t="shared" si="54"/>
        <v>97400.544444060855</v>
      </c>
      <c r="R658">
        <f t="shared" si="55"/>
        <v>-7130</v>
      </c>
    </row>
    <row r="659" spans="1:18" x14ac:dyDescent="0.25">
      <c r="A659" s="1"/>
      <c r="C659" s="1"/>
      <c r="D659" s="1">
        <v>42180</v>
      </c>
      <c r="E659" s="10">
        <v>42602.5</v>
      </c>
      <c r="F659" s="1">
        <v>42180</v>
      </c>
      <c r="G659">
        <v>-8890.5</v>
      </c>
      <c r="H659" s="1">
        <f t="shared" si="51"/>
        <v>42180</v>
      </c>
      <c r="I659">
        <f>IF(AND(MyRowHidden(ROW())=FALSE,MyRowHidden(ROW()-1)=TRUE),0,(E659-E658)*unitsOfDHp+I658)</f>
        <v>135775</v>
      </c>
      <c r="J659">
        <f>IF(AND(MyRowHidden(ROW())=FALSE,MyRowHidden(ROW()-1)=TRUE),0,(G659-G658)*unitsOfExo+J658)</f>
        <v>-135290</v>
      </c>
      <c r="K659" s="9">
        <f t="shared" si="52"/>
        <v>135290</v>
      </c>
      <c r="L659">
        <f t="shared" si="53"/>
        <v>-96915.544444060884</v>
      </c>
      <c r="M659">
        <f>IF(AND(MyRowHidden(ROW())=FALSE,MyRowHidden(ROW()-1)=TRUE),0,(G659-G658)*unitsFuturesCompare+M658)</f>
        <v>-270580</v>
      </c>
      <c r="N659">
        <f>IF(MyRowHidden(ROW())=TRUE,0,L659-M659)</f>
        <v>173664.45555593912</v>
      </c>
      <c r="O659">
        <f>MAX(N$12:N659)</f>
        <v>194801.08888812171</v>
      </c>
      <c r="P659">
        <f>IF(O659&gt;O658,(O659-O658)*percentSavingsParticipation,0)</f>
        <v>0</v>
      </c>
      <c r="Q659">
        <f t="shared" si="54"/>
        <v>97400.544444060855</v>
      </c>
      <c r="R659">
        <f t="shared" si="55"/>
        <v>485</v>
      </c>
    </row>
    <row r="660" spans="1:18" x14ac:dyDescent="0.25">
      <c r="A660" s="1"/>
      <c r="C660" s="1"/>
      <c r="D660" s="1">
        <v>42181</v>
      </c>
      <c r="E660" s="10">
        <v>42749</v>
      </c>
      <c r="F660" s="1">
        <v>42181</v>
      </c>
      <c r="G660">
        <v>-8328</v>
      </c>
      <c r="H660" s="1">
        <f t="shared" si="51"/>
        <v>42181</v>
      </c>
      <c r="I660">
        <f>IF(AND(MyRowHidden(ROW())=FALSE,MyRowHidden(ROW()-1)=TRUE),0,(E660-E659)*unitsOfDHp+I659)</f>
        <v>137240</v>
      </c>
      <c r="J660">
        <f>IF(AND(MyRowHidden(ROW())=FALSE,MyRowHidden(ROW()-1)=TRUE),0,(G660-G659)*unitsOfExo+J659)</f>
        <v>-129665</v>
      </c>
      <c r="K660" s="9">
        <f t="shared" si="52"/>
        <v>129665</v>
      </c>
      <c r="L660">
        <f t="shared" si="53"/>
        <v>-89825.544444060884</v>
      </c>
      <c r="M660">
        <f>IF(AND(MyRowHidden(ROW())=FALSE,MyRowHidden(ROW()-1)=TRUE),0,(G660-G659)*unitsFuturesCompare+M659)</f>
        <v>-259330</v>
      </c>
      <c r="N660">
        <f>IF(MyRowHidden(ROW())=TRUE,0,L660-M660)</f>
        <v>169504.45555593912</v>
      </c>
      <c r="O660">
        <f>MAX(N$12:N660)</f>
        <v>194801.08888812171</v>
      </c>
      <c r="P660">
        <f>IF(O660&gt;O659,(O660-O659)*percentSavingsParticipation,0)</f>
        <v>0</v>
      </c>
      <c r="Q660">
        <f t="shared" si="54"/>
        <v>97400.544444060855</v>
      </c>
      <c r="R660">
        <f t="shared" si="55"/>
        <v>7575</v>
      </c>
    </row>
    <row r="661" spans="1:18" x14ac:dyDescent="0.25">
      <c r="A661" s="1"/>
      <c r="C661" s="1"/>
      <c r="D661" s="1">
        <v>42184</v>
      </c>
      <c r="E661" s="10">
        <v>42176</v>
      </c>
      <c r="F661" s="1">
        <v>42184</v>
      </c>
      <c r="G661">
        <v>-8265.5</v>
      </c>
      <c r="H661" s="1">
        <f t="shared" si="51"/>
        <v>42184</v>
      </c>
      <c r="I661">
        <f>IF(AND(MyRowHidden(ROW())=FALSE,MyRowHidden(ROW()-1)=TRUE),0,(E661-E660)*unitsOfDHp+I660)</f>
        <v>131510</v>
      </c>
      <c r="J661">
        <f>IF(AND(MyRowHidden(ROW())=FALSE,MyRowHidden(ROW()-1)=TRUE),0,(G661-G660)*unitsOfExo+J660)</f>
        <v>-129040</v>
      </c>
      <c r="K661" s="9">
        <f t="shared" si="52"/>
        <v>129040</v>
      </c>
      <c r="L661">
        <f t="shared" si="53"/>
        <v>-94930.544444060884</v>
      </c>
      <c r="M661">
        <f>IF(AND(MyRowHidden(ROW())=FALSE,MyRowHidden(ROW()-1)=TRUE),0,(G661-G660)*unitsFuturesCompare+M660)</f>
        <v>-258080</v>
      </c>
      <c r="N661">
        <f>IF(MyRowHidden(ROW())=TRUE,0,L661-M661)</f>
        <v>163149.45555593912</v>
      </c>
      <c r="O661">
        <f>MAX(N$12:N661)</f>
        <v>194801.08888812171</v>
      </c>
      <c r="P661">
        <f>IF(O661&gt;O660,(O661-O660)*percentSavingsParticipation,0)</f>
        <v>0</v>
      </c>
      <c r="Q661">
        <f t="shared" si="54"/>
        <v>97400.544444060855</v>
      </c>
      <c r="R661">
        <f t="shared" si="55"/>
        <v>2470</v>
      </c>
    </row>
    <row r="662" spans="1:18" x14ac:dyDescent="0.25">
      <c r="A662" s="1"/>
      <c r="C662" s="1"/>
      <c r="D662" s="1">
        <v>42185</v>
      </c>
      <c r="E662" s="10">
        <v>42548.5</v>
      </c>
      <c r="F662" s="1">
        <v>42185</v>
      </c>
      <c r="G662">
        <v>-7040.5</v>
      </c>
      <c r="H662" s="1">
        <f t="shared" si="51"/>
        <v>42185</v>
      </c>
      <c r="I662">
        <f>IF(AND(MyRowHidden(ROW())=FALSE,MyRowHidden(ROW()-1)=TRUE),0,(E662-E661)*unitsOfDHp+I661)</f>
        <v>135235</v>
      </c>
      <c r="J662">
        <f>IF(AND(MyRowHidden(ROW())=FALSE,MyRowHidden(ROW()-1)=TRUE),0,(G662-G661)*unitsOfExo+J661)</f>
        <v>-116790</v>
      </c>
      <c r="K662" s="9">
        <f t="shared" si="52"/>
        <v>116790</v>
      </c>
      <c r="L662">
        <f t="shared" si="53"/>
        <v>-78955.544444060884</v>
      </c>
      <c r="M662">
        <f>IF(AND(MyRowHidden(ROW())=FALSE,MyRowHidden(ROW()-1)=TRUE),0,(G662-G661)*unitsFuturesCompare+M661)</f>
        <v>-233580</v>
      </c>
      <c r="N662">
        <f>IF(MyRowHidden(ROW())=TRUE,0,L662-M662)</f>
        <v>154624.45555593912</v>
      </c>
      <c r="O662">
        <f>MAX(N$12:N662)</f>
        <v>194801.08888812171</v>
      </c>
      <c r="P662">
        <f>IF(O662&gt;O661,(O662-O661)*percentSavingsParticipation,0)</f>
        <v>0</v>
      </c>
      <c r="Q662">
        <f t="shared" si="54"/>
        <v>97400.544444060855</v>
      </c>
      <c r="R662">
        <f t="shared" si="55"/>
        <v>18445</v>
      </c>
    </row>
    <row r="663" spans="1:18" x14ac:dyDescent="0.25">
      <c r="A663" s="1"/>
      <c r="C663" s="1"/>
      <c r="D663" s="1">
        <v>42186</v>
      </c>
      <c r="E663" s="10">
        <v>41650</v>
      </c>
      <c r="F663" s="1">
        <v>42186</v>
      </c>
      <c r="G663">
        <v>-7152.5</v>
      </c>
      <c r="H663" s="1">
        <f t="shared" si="51"/>
        <v>42186</v>
      </c>
      <c r="I663">
        <f>IF(AND(MyRowHidden(ROW())=FALSE,MyRowHidden(ROW()-1)=TRUE),0,(E663-E662)*unitsOfDHp+I662)</f>
        <v>126250</v>
      </c>
      <c r="J663">
        <f>IF(AND(MyRowHidden(ROW())=FALSE,MyRowHidden(ROW()-1)=TRUE),0,(G663-G662)*unitsOfExo+J662)</f>
        <v>-117910</v>
      </c>
      <c r="K663" s="9">
        <f t="shared" si="52"/>
        <v>117910</v>
      </c>
      <c r="L663">
        <f t="shared" si="53"/>
        <v>-89060.544444060884</v>
      </c>
      <c r="M663">
        <f>IF(AND(MyRowHidden(ROW())=FALSE,MyRowHidden(ROW()-1)=TRUE),0,(G663-G662)*unitsFuturesCompare+M662)</f>
        <v>-235820</v>
      </c>
      <c r="N663">
        <f>IF(MyRowHidden(ROW())=TRUE,0,L663-M663)</f>
        <v>146759.45555593912</v>
      </c>
      <c r="O663">
        <f>MAX(N$12:N663)</f>
        <v>194801.08888812171</v>
      </c>
      <c r="P663">
        <f>IF(O663&gt;O662,(O663-O662)*percentSavingsParticipation,0)</f>
        <v>0</v>
      </c>
      <c r="Q663">
        <f t="shared" si="54"/>
        <v>97400.544444060855</v>
      </c>
      <c r="R663">
        <f t="shared" si="55"/>
        <v>8340</v>
      </c>
    </row>
    <row r="664" spans="1:18" x14ac:dyDescent="0.25">
      <c r="A664" s="1"/>
      <c r="C664" s="1"/>
      <c r="D664" s="1">
        <v>42187</v>
      </c>
      <c r="E664" s="10">
        <v>43350</v>
      </c>
      <c r="F664" s="1">
        <v>42187</v>
      </c>
      <c r="G664">
        <v>-6527.5</v>
      </c>
      <c r="H664" s="1">
        <f t="shared" si="51"/>
        <v>42187</v>
      </c>
      <c r="I664">
        <f>IF(AND(MyRowHidden(ROW())=FALSE,MyRowHidden(ROW()-1)=TRUE),0,(E664-E663)*unitsOfDHp+I663)</f>
        <v>143250</v>
      </c>
      <c r="J664">
        <f>IF(AND(MyRowHidden(ROW())=FALSE,MyRowHidden(ROW()-1)=TRUE),0,(G664-G663)*unitsOfExo+J663)</f>
        <v>-111660</v>
      </c>
      <c r="K664" s="9">
        <f t="shared" si="52"/>
        <v>111660</v>
      </c>
      <c r="L664">
        <f t="shared" si="53"/>
        <v>-65810.544444060884</v>
      </c>
      <c r="M664">
        <f>IF(AND(MyRowHidden(ROW())=FALSE,MyRowHidden(ROW()-1)=TRUE),0,(G664-G663)*unitsFuturesCompare+M663)</f>
        <v>-223320</v>
      </c>
      <c r="N664">
        <f>IF(MyRowHidden(ROW())=TRUE,0,L664-M664)</f>
        <v>157509.45555593912</v>
      </c>
      <c r="O664">
        <f>MAX(N$12:N664)</f>
        <v>194801.08888812171</v>
      </c>
      <c r="P664">
        <f>IF(O664&gt;O663,(O664-O663)*percentSavingsParticipation,0)</f>
        <v>0</v>
      </c>
      <c r="Q664">
        <f t="shared" si="54"/>
        <v>97400.544444060855</v>
      </c>
      <c r="R664">
        <f t="shared" si="55"/>
        <v>31590</v>
      </c>
    </row>
    <row r="665" spans="1:18" x14ac:dyDescent="0.25">
      <c r="A665" s="1"/>
      <c r="C665" s="1"/>
      <c r="D665" s="1">
        <v>42188</v>
      </c>
      <c r="E665" s="10">
        <v>43150</v>
      </c>
      <c r="F665" s="1">
        <v>42188</v>
      </c>
      <c r="G665">
        <v>-6577.5</v>
      </c>
      <c r="H665" s="1">
        <f t="shared" si="51"/>
        <v>42188</v>
      </c>
      <c r="I665">
        <f>IF(AND(MyRowHidden(ROW())=FALSE,MyRowHidden(ROW()-1)=TRUE),0,(E665-E664)*unitsOfDHp+I664)</f>
        <v>141250</v>
      </c>
      <c r="J665">
        <f>IF(AND(MyRowHidden(ROW())=FALSE,MyRowHidden(ROW()-1)=TRUE),0,(G665-G664)*unitsOfExo+J664)</f>
        <v>-112160</v>
      </c>
      <c r="K665" s="9">
        <f t="shared" si="52"/>
        <v>112160</v>
      </c>
      <c r="L665">
        <f t="shared" si="53"/>
        <v>-68310.544444060884</v>
      </c>
      <c r="M665">
        <f>IF(AND(MyRowHidden(ROW())=FALSE,MyRowHidden(ROW()-1)=TRUE),0,(G665-G664)*unitsFuturesCompare+M664)</f>
        <v>-224320</v>
      </c>
      <c r="N665">
        <f>IF(MyRowHidden(ROW())=TRUE,0,L665-M665)</f>
        <v>156009.45555593912</v>
      </c>
      <c r="O665">
        <f>MAX(N$12:N665)</f>
        <v>194801.08888812171</v>
      </c>
      <c r="P665">
        <f>IF(O665&gt;O664,(O665-O664)*percentSavingsParticipation,0)</f>
        <v>0</v>
      </c>
      <c r="Q665">
        <f t="shared" si="54"/>
        <v>97400.544444060855</v>
      </c>
      <c r="R665">
        <f t="shared" si="55"/>
        <v>29090</v>
      </c>
    </row>
    <row r="666" spans="1:18" x14ac:dyDescent="0.25">
      <c r="A666" s="1"/>
      <c r="C666" s="1"/>
      <c r="D666" s="1">
        <v>42191</v>
      </c>
      <c r="E666" s="10">
        <v>43350</v>
      </c>
      <c r="F666" s="1">
        <v>42191</v>
      </c>
      <c r="G666">
        <v>-6640</v>
      </c>
      <c r="H666" s="1">
        <f t="shared" si="51"/>
        <v>42191</v>
      </c>
      <c r="I666">
        <f>IF(AND(MyRowHidden(ROW())=FALSE,MyRowHidden(ROW()-1)=TRUE),0,(E666-E665)*unitsOfDHp+I665)</f>
        <v>143250</v>
      </c>
      <c r="J666">
        <f>IF(AND(MyRowHidden(ROW())=FALSE,MyRowHidden(ROW()-1)=TRUE),0,(G666-G665)*unitsOfExo+J665)</f>
        <v>-112785</v>
      </c>
      <c r="K666" s="9">
        <f t="shared" si="52"/>
        <v>112785</v>
      </c>
      <c r="L666">
        <f t="shared" si="53"/>
        <v>-66935.544444060884</v>
      </c>
      <c r="M666">
        <f>IF(AND(MyRowHidden(ROW())=FALSE,MyRowHidden(ROW()-1)=TRUE),0,(G666-G665)*unitsFuturesCompare+M665)</f>
        <v>-225570</v>
      </c>
      <c r="N666">
        <f>IF(MyRowHidden(ROW())=TRUE,0,L666-M666)</f>
        <v>158634.45555593912</v>
      </c>
      <c r="O666">
        <f>MAX(N$12:N666)</f>
        <v>194801.08888812171</v>
      </c>
      <c r="P666">
        <f>IF(O666&gt;O665,(O666-O665)*percentSavingsParticipation,0)</f>
        <v>0</v>
      </c>
      <c r="Q666">
        <f t="shared" si="54"/>
        <v>97400.544444060855</v>
      </c>
      <c r="R666">
        <f t="shared" si="55"/>
        <v>30465</v>
      </c>
    </row>
    <row r="667" spans="1:18" x14ac:dyDescent="0.25">
      <c r="A667" s="1"/>
      <c r="C667" s="1"/>
      <c r="D667" s="1">
        <v>42192</v>
      </c>
      <c r="E667" s="10">
        <v>42876</v>
      </c>
      <c r="F667" s="1">
        <v>42192</v>
      </c>
      <c r="G667">
        <v>-6877.5</v>
      </c>
      <c r="H667" s="1">
        <f t="shared" si="51"/>
        <v>42192</v>
      </c>
      <c r="I667">
        <f>IF(AND(MyRowHidden(ROW())=FALSE,MyRowHidden(ROW()-1)=TRUE),0,(E667-E666)*unitsOfDHp+I666)</f>
        <v>138510</v>
      </c>
      <c r="J667">
        <f>IF(AND(MyRowHidden(ROW())=FALSE,MyRowHidden(ROW()-1)=TRUE),0,(G667-G666)*unitsOfExo+J666)</f>
        <v>-115160</v>
      </c>
      <c r="K667" s="9">
        <f t="shared" si="52"/>
        <v>115160</v>
      </c>
      <c r="L667">
        <f t="shared" si="53"/>
        <v>-74050.544444060884</v>
      </c>
      <c r="M667">
        <f>IF(AND(MyRowHidden(ROW())=FALSE,MyRowHidden(ROW()-1)=TRUE),0,(G667-G666)*unitsFuturesCompare+M666)</f>
        <v>-230320</v>
      </c>
      <c r="N667">
        <f>IF(MyRowHidden(ROW())=TRUE,0,L667-M667)</f>
        <v>156269.45555593912</v>
      </c>
      <c r="O667">
        <f>MAX(N$12:N667)</f>
        <v>194801.08888812171</v>
      </c>
      <c r="P667">
        <f>IF(O667&gt;O666,(O667-O666)*percentSavingsParticipation,0)</f>
        <v>0</v>
      </c>
      <c r="Q667">
        <f t="shared" si="54"/>
        <v>97400.544444060855</v>
      </c>
      <c r="R667">
        <f t="shared" si="55"/>
        <v>23350</v>
      </c>
    </row>
    <row r="668" spans="1:18" x14ac:dyDescent="0.25">
      <c r="A668" s="1"/>
      <c r="C668" s="1"/>
      <c r="D668" s="1">
        <v>42193</v>
      </c>
      <c r="E668" s="10">
        <v>43251</v>
      </c>
      <c r="F668" s="1">
        <v>42193</v>
      </c>
      <c r="G668">
        <v>-6765</v>
      </c>
      <c r="H668" s="1">
        <f t="shared" si="51"/>
        <v>42193</v>
      </c>
      <c r="I668">
        <f>IF(AND(MyRowHidden(ROW())=FALSE,MyRowHidden(ROW()-1)=TRUE),0,(E668-E667)*unitsOfDHp+I667)</f>
        <v>142260</v>
      </c>
      <c r="J668">
        <f>IF(AND(MyRowHidden(ROW())=FALSE,MyRowHidden(ROW()-1)=TRUE),0,(G668-G667)*unitsOfExo+J667)</f>
        <v>-114035</v>
      </c>
      <c r="K668" s="9">
        <f t="shared" si="52"/>
        <v>114035</v>
      </c>
      <c r="L668">
        <f t="shared" si="53"/>
        <v>-69175.544444060884</v>
      </c>
      <c r="M668">
        <f>IF(AND(MyRowHidden(ROW())=FALSE,MyRowHidden(ROW()-1)=TRUE),0,(G668-G667)*unitsFuturesCompare+M667)</f>
        <v>-228070</v>
      </c>
      <c r="N668">
        <f>IF(MyRowHidden(ROW())=TRUE,0,L668-M668)</f>
        <v>158894.45555593912</v>
      </c>
      <c r="O668">
        <f>MAX(N$12:N668)</f>
        <v>194801.08888812171</v>
      </c>
      <c r="P668">
        <f>IF(O668&gt;O667,(O668-O667)*percentSavingsParticipation,0)</f>
        <v>0</v>
      </c>
      <c r="Q668">
        <f t="shared" si="54"/>
        <v>97400.544444060855</v>
      </c>
      <c r="R668">
        <f t="shared" si="55"/>
        <v>28225</v>
      </c>
    </row>
    <row r="669" spans="1:18" x14ac:dyDescent="0.25">
      <c r="A669" s="1"/>
      <c r="C669" s="1"/>
      <c r="D669" s="1">
        <v>42194</v>
      </c>
      <c r="E669" s="10">
        <v>44288.5</v>
      </c>
      <c r="F669" s="1">
        <v>42194</v>
      </c>
      <c r="G669">
        <v>-6402.5</v>
      </c>
      <c r="H669" s="1">
        <f t="shared" si="51"/>
        <v>42194</v>
      </c>
      <c r="I669">
        <f>IF(AND(MyRowHidden(ROW())=FALSE,MyRowHidden(ROW()-1)=TRUE),0,(E669-E668)*unitsOfDHp+I668)</f>
        <v>152635</v>
      </c>
      <c r="J669">
        <f>IF(AND(MyRowHidden(ROW())=FALSE,MyRowHidden(ROW()-1)=TRUE),0,(G669-G668)*unitsOfExo+J668)</f>
        <v>-110410</v>
      </c>
      <c r="K669" s="9">
        <f t="shared" si="52"/>
        <v>110410</v>
      </c>
      <c r="L669">
        <f t="shared" si="53"/>
        <v>-55175.544444060884</v>
      </c>
      <c r="M669">
        <f>IF(AND(MyRowHidden(ROW())=FALSE,MyRowHidden(ROW()-1)=TRUE),0,(G669-G668)*unitsFuturesCompare+M668)</f>
        <v>-220820</v>
      </c>
      <c r="N669">
        <f>IF(MyRowHidden(ROW())=TRUE,0,L669-M669)</f>
        <v>165644.45555593912</v>
      </c>
      <c r="O669">
        <f>MAX(N$12:N669)</f>
        <v>194801.08888812171</v>
      </c>
      <c r="P669">
        <f>IF(O669&gt;O668,(O669-O668)*percentSavingsParticipation,0)</f>
        <v>0</v>
      </c>
      <c r="Q669">
        <f t="shared" si="54"/>
        <v>97400.544444060855</v>
      </c>
      <c r="R669">
        <f t="shared" si="55"/>
        <v>42225</v>
      </c>
    </row>
    <row r="670" spans="1:18" x14ac:dyDescent="0.25">
      <c r="A670" s="1"/>
      <c r="C670" s="1"/>
      <c r="D670" s="1">
        <v>42195</v>
      </c>
      <c r="E670" s="10">
        <v>44966.5</v>
      </c>
      <c r="F670" s="1">
        <v>42195</v>
      </c>
      <c r="G670">
        <v>-6202.5</v>
      </c>
      <c r="H670" s="1">
        <f t="shared" si="51"/>
        <v>42195</v>
      </c>
      <c r="I670">
        <f>IF(AND(MyRowHidden(ROW())=FALSE,MyRowHidden(ROW()-1)=TRUE),0,(E670-E669)*unitsOfDHp+I669)</f>
        <v>159415</v>
      </c>
      <c r="J670">
        <f>IF(AND(MyRowHidden(ROW())=FALSE,MyRowHidden(ROW()-1)=TRUE),0,(G670-G669)*unitsOfExo+J669)</f>
        <v>-108410</v>
      </c>
      <c r="K670" s="9">
        <f t="shared" si="52"/>
        <v>108410</v>
      </c>
      <c r="L670">
        <f t="shared" si="53"/>
        <v>-46395.544444060884</v>
      </c>
      <c r="M670">
        <f>IF(AND(MyRowHidden(ROW())=FALSE,MyRowHidden(ROW()-1)=TRUE),0,(G670-G669)*unitsFuturesCompare+M669)</f>
        <v>-216820</v>
      </c>
      <c r="N670">
        <f>IF(MyRowHidden(ROW())=TRUE,0,L670-M670)</f>
        <v>170424.45555593912</v>
      </c>
      <c r="O670">
        <f>MAX(N$12:N670)</f>
        <v>194801.08888812171</v>
      </c>
      <c r="P670">
        <f>IF(O670&gt;O669,(O670-O669)*percentSavingsParticipation,0)</f>
        <v>0</v>
      </c>
      <c r="Q670">
        <f t="shared" si="54"/>
        <v>97400.544444060855</v>
      </c>
      <c r="R670">
        <f t="shared" si="55"/>
        <v>51005</v>
      </c>
    </row>
    <row r="671" spans="1:18" x14ac:dyDescent="0.25">
      <c r="A671" s="1"/>
      <c r="C671" s="1"/>
      <c r="D671" s="1">
        <v>42198</v>
      </c>
      <c r="E671" s="10">
        <v>45454</v>
      </c>
      <c r="F671" s="1">
        <v>42198</v>
      </c>
      <c r="G671">
        <v>-5877.5</v>
      </c>
      <c r="H671" s="1">
        <f t="shared" si="51"/>
        <v>42198</v>
      </c>
      <c r="I671">
        <f>IF(AND(MyRowHidden(ROW())=FALSE,MyRowHidden(ROW()-1)=TRUE),0,(E671-E670)*unitsOfDHp+I670)</f>
        <v>164290</v>
      </c>
      <c r="J671">
        <f>IF(AND(MyRowHidden(ROW())=FALSE,MyRowHidden(ROW()-1)=TRUE),0,(G671-G670)*unitsOfExo+J670)</f>
        <v>-105160</v>
      </c>
      <c r="K671" s="9">
        <f t="shared" si="52"/>
        <v>105160</v>
      </c>
      <c r="L671">
        <f t="shared" si="53"/>
        <v>-38270.544444060884</v>
      </c>
      <c r="M671">
        <f>IF(AND(MyRowHidden(ROW())=FALSE,MyRowHidden(ROW()-1)=TRUE),0,(G671-G670)*unitsFuturesCompare+M670)</f>
        <v>-210320</v>
      </c>
      <c r="N671">
        <f>IF(MyRowHidden(ROW())=TRUE,0,L671-M671)</f>
        <v>172049.45555593912</v>
      </c>
      <c r="O671">
        <f>MAX(N$12:N671)</f>
        <v>194801.08888812171</v>
      </c>
      <c r="P671">
        <f>IF(O671&gt;O670,(O671-O670)*percentSavingsParticipation,0)</f>
        <v>0</v>
      </c>
      <c r="Q671">
        <f t="shared" si="54"/>
        <v>97400.544444060855</v>
      </c>
      <c r="R671">
        <f t="shared" si="55"/>
        <v>59130</v>
      </c>
    </row>
    <row r="672" spans="1:18" x14ac:dyDescent="0.25">
      <c r="A672" s="1"/>
      <c r="C672" s="1"/>
      <c r="D672" s="1">
        <v>42199</v>
      </c>
      <c r="E672" s="10">
        <v>44717.5</v>
      </c>
      <c r="F672" s="1">
        <v>42199</v>
      </c>
      <c r="G672">
        <v>-6365</v>
      </c>
      <c r="H672" s="1">
        <f t="shared" si="51"/>
        <v>42199</v>
      </c>
      <c r="I672">
        <f>IF(AND(MyRowHidden(ROW())=FALSE,MyRowHidden(ROW()-1)=TRUE),0,(E672-E671)*unitsOfDHp+I671)</f>
        <v>156925</v>
      </c>
      <c r="J672">
        <f>IF(AND(MyRowHidden(ROW())=FALSE,MyRowHidden(ROW()-1)=TRUE),0,(G672-G671)*unitsOfExo+J671)</f>
        <v>-110035</v>
      </c>
      <c r="K672" s="9">
        <f t="shared" si="52"/>
        <v>110035</v>
      </c>
      <c r="L672">
        <f t="shared" si="53"/>
        <v>-50510.544444060884</v>
      </c>
      <c r="M672">
        <f>IF(AND(MyRowHidden(ROW())=FALSE,MyRowHidden(ROW()-1)=TRUE),0,(G672-G671)*unitsFuturesCompare+M671)</f>
        <v>-220070</v>
      </c>
      <c r="N672">
        <f>IF(MyRowHidden(ROW())=TRUE,0,L672-M672)</f>
        <v>169559.45555593912</v>
      </c>
      <c r="O672">
        <f>MAX(N$12:N672)</f>
        <v>194801.08888812171</v>
      </c>
      <c r="P672">
        <f>IF(O672&gt;O671,(O672-O671)*percentSavingsParticipation,0)</f>
        <v>0</v>
      </c>
      <c r="Q672">
        <f t="shared" si="54"/>
        <v>97400.544444060855</v>
      </c>
      <c r="R672">
        <f t="shared" si="55"/>
        <v>46890</v>
      </c>
    </row>
    <row r="673" spans="1:18" x14ac:dyDescent="0.25">
      <c r="A673" s="1"/>
      <c r="C673" s="1"/>
      <c r="D673" s="1">
        <v>42200</v>
      </c>
      <c r="E673" s="10">
        <v>44805</v>
      </c>
      <c r="F673" s="1">
        <v>42200</v>
      </c>
      <c r="G673">
        <v>-6565</v>
      </c>
      <c r="H673" s="1">
        <f t="shared" si="51"/>
        <v>42200</v>
      </c>
      <c r="I673">
        <f>IF(AND(MyRowHidden(ROW())=FALSE,MyRowHidden(ROW()-1)=TRUE),0,(E673-E672)*unitsOfDHp+I672)</f>
        <v>157800</v>
      </c>
      <c r="J673">
        <f>IF(AND(MyRowHidden(ROW())=FALSE,MyRowHidden(ROW()-1)=TRUE),0,(G673-G672)*unitsOfExo+J672)</f>
        <v>-112035</v>
      </c>
      <c r="K673" s="9">
        <f t="shared" si="52"/>
        <v>112035</v>
      </c>
      <c r="L673">
        <f t="shared" si="53"/>
        <v>-51635.544444060884</v>
      </c>
      <c r="M673">
        <f>IF(AND(MyRowHidden(ROW())=FALSE,MyRowHidden(ROW()-1)=TRUE),0,(G673-G672)*unitsFuturesCompare+M672)</f>
        <v>-224070</v>
      </c>
      <c r="N673">
        <f>IF(MyRowHidden(ROW())=TRUE,0,L673-M673)</f>
        <v>172434.45555593912</v>
      </c>
      <c r="O673">
        <f>MAX(N$12:N673)</f>
        <v>194801.08888812171</v>
      </c>
      <c r="P673">
        <f>IF(O673&gt;O672,(O673-O672)*percentSavingsParticipation,0)</f>
        <v>0</v>
      </c>
      <c r="Q673">
        <f t="shared" si="54"/>
        <v>97400.544444060855</v>
      </c>
      <c r="R673">
        <f t="shared" si="55"/>
        <v>45765</v>
      </c>
    </row>
    <row r="674" spans="1:18" x14ac:dyDescent="0.25">
      <c r="A674" s="1"/>
      <c r="C674" s="1"/>
      <c r="D674" s="1">
        <v>42201</v>
      </c>
      <c r="E674" s="10">
        <v>44767.5</v>
      </c>
      <c r="F674" s="1">
        <v>42201</v>
      </c>
      <c r="G674">
        <v>-6402.5</v>
      </c>
      <c r="H674" s="1">
        <f t="shared" si="51"/>
        <v>42201</v>
      </c>
      <c r="I674">
        <f>IF(AND(MyRowHidden(ROW())=FALSE,MyRowHidden(ROW()-1)=TRUE),0,(E674-E673)*unitsOfDHp+I673)</f>
        <v>157425</v>
      </c>
      <c r="J674">
        <f>IF(AND(MyRowHidden(ROW())=FALSE,MyRowHidden(ROW()-1)=TRUE),0,(G674-G673)*unitsOfExo+J673)</f>
        <v>-110410</v>
      </c>
      <c r="K674" s="9">
        <f t="shared" si="52"/>
        <v>110410</v>
      </c>
      <c r="L674">
        <f t="shared" si="53"/>
        <v>-50385.544444060884</v>
      </c>
      <c r="M674">
        <f>IF(AND(MyRowHidden(ROW())=FALSE,MyRowHidden(ROW()-1)=TRUE),0,(G674-G673)*unitsFuturesCompare+M673)</f>
        <v>-220820</v>
      </c>
      <c r="N674">
        <f>IF(MyRowHidden(ROW())=TRUE,0,L674-M674)</f>
        <v>170434.45555593912</v>
      </c>
      <c r="O674">
        <f>MAX(N$12:N674)</f>
        <v>194801.08888812171</v>
      </c>
      <c r="P674">
        <f>IF(O674&gt;O673,(O674-O673)*percentSavingsParticipation,0)</f>
        <v>0</v>
      </c>
      <c r="Q674">
        <f t="shared" si="54"/>
        <v>97400.544444060855</v>
      </c>
      <c r="R674">
        <f t="shared" si="55"/>
        <v>47015</v>
      </c>
    </row>
    <row r="675" spans="1:18" x14ac:dyDescent="0.25">
      <c r="A675" s="1"/>
      <c r="C675" s="1"/>
      <c r="D675" s="1">
        <v>42202</v>
      </c>
      <c r="E675" s="10">
        <v>44670.5</v>
      </c>
      <c r="F675" s="1">
        <v>42202</v>
      </c>
      <c r="G675">
        <v>-6940</v>
      </c>
      <c r="H675" s="1">
        <f t="shared" si="51"/>
        <v>42202</v>
      </c>
      <c r="I675">
        <f>IF(AND(MyRowHidden(ROW())=FALSE,MyRowHidden(ROW()-1)=TRUE),0,(E675-E674)*unitsOfDHp+I674)</f>
        <v>156455</v>
      </c>
      <c r="J675">
        <f>IF(AND(MyRowHidden(ROW())=FALSE,MyRowHidden(ROW()-1)=TRUE),0,(G675-G674)*unitsOfExo+J674)</f>
        <v>-115785</v>
      </c>
      <c r="K675" s="9">
        <f t="shared" si="52"/>
        <v>115785</v>
      </c>
      <c r="L675">
        <f t="shared" si="53"/>
        <v>-56730.544444060884</v>
      </c>
      <c r="M675">
        <f>IF(AND(MyRowHidden(ROW())=FALSE,MyRowHidden(ROW()-1)=TRUE),0,(G675-G674)*unitsFuturesCompare+M674)</f>
        <v>-231570</v>
      </c>
      <c r="N675">
        <f>IF(MyRowHidden(ROW())=TRUE,0,L675-M675)</f>
        <v>174839.45555593912</v>
      </c>
      <c r="O675">
        <f>MAX(N$12:N675)</f>
        <v>194801.08888812171</v>
      </c>
      <c r="P675">
        <f>IF(O675&gt;O674,(O675-O674)*percentSavingsParticipation,0)</f>
        <v>0</v>
      </c>
      <c r="Q675">
        <f t="shared" si="54"/>
        <v>97400.544444060855</v>
      </c>
      <c r="R675">
        <f t="shared" si="55"/>
        <v>40670</v>
      </c>
    </row>
    <row r="676" spans="1:18" x14ac:dyDescent="0.25">
      <c r="A676" s="1"/>
      <c r="C676" s="1"/>
      <c r="D676" s="1">
        <v>42205</v>
      </c>
      <c r="E676" s="10">
        <v>44784</v>
      </c>
      <c r="F676" s="1">
        <v>42205</v>
      </c>
      <c r="G676">
        <v>-7627.5</v>
      </c>
      <c r="H676" s="1">
        <f t="shared" si="51"/>
        <v>42205</v>
      </c>
      <c r="I676">
        <f>IF(AND(MyRowHidden(ROW())=FALSE,MyRowHidden(ROW()-1)=TRUE),0,(E676-E675)*unitsOfDHp+I675)</f>
        <v>157590</v>
      </c>
      <c r="J676">
        <f>IF(AND(MyRowHidden(ROW())=FALSE,MyRowHidden(ROW()-1)=TRUE),0,(G676-G675)*unitsOfExo+J675)</f>
        <v>-122660</v>
      </c>
      <c r="K676" s="9">
        <f t="shared" si="52"/>
        <v>122660</v>
      </c>
      <c r="L676">
        <f t="shared" si="53"/>
        <v>-62470.544444060884</v>
      </c>
      <c r="M676">
        <f>IF(AND(MyRowHidden(ROW())=FALSE,MyRowHidden(ROW()-1)=TRUE),0,(G676-G675)*unitsFuturesCompare+M675)</f>
        <v>-245320</v>
      </c>
      <c r="N676">
        <f>IF(MyRowHidden(ROW())=TRUE,0,L676-M676)</f>
        <v>182849.45555593912</v>
      </c>
      <c r="O676">
        <f>MAX(N$12:N676)</f>
        <v>194801.08888812171</v>
      </c>
      <c r="P676">
        <f>IF(O676&gt;O675,(O676-O675)*percentSavingsParticipation,0)</f>
        <v>0</v>
      </c>
      <c r="Q676">
        <f t="shared" si="54"/>
        <v>97400.544444060855</v>
      </c>
      <c r="R676">
        <f t="shared" si="55"/>
        <v>34930</v>
      </c>
    </row>
    <row r="677" spans="1:18" x14ac:dyDescent="0.25">
      <c r="A677" s="1"/>
      <c r="C677" s="1"/>
      <c r="D677" s="1">
        <v>42206</v>
      </c>
      <c r="E677" s="10">
        <v>44709</v>
      </c>
      <c r="F677" s="1">
        <v>42206</v>
      </c>
      <c r="G677">
        <v>-7565</v>
      </c>
      <c r="H677" s="1">
        <f t="shared" si="51"/>
        <v>42206</v>
      </c>
      <c r="I677">
        <f>IF(AND(MyRowHidden(ROW())=FALSE,MyRowHidden(ROW()-1)=TRUE),0,(E677-E676)*unitsOfDHp+I676)</f>
        <v>156840</v>
      </c>
      <c r="J677">
        <f>IF(AND(MyRowHidden(ROW())=FALSE,MyRowHidden(ROW()-1)=TRUE),0,(G677-G676)*unitsOfExo+J676)</f>
        <v>-122035</v>
      </c>
      <c r="K677" s="9">
        <f t="shared" si="52"/>
        <v>122035</v>
      </c>
      <c r="L677">
        <f t="shared" si="53"/>
        <v>-62595.544444060884</v>
      </c>
      <c r="M677">
        <f>IF(AND(MyRowHidden(ROW())=FALSE,MyRowHidden(ROW()-1)=TRUE),0,(G677-G676)*unitsFuturesCompare+M676)</f>
        <v>-244070</v>
      </c>
      <c r="N677">
        <f>IF(MyRowHidden(ROW())=TRUE,0,L677-M677)</f>
        <v>181474.45555593912</v>
      </c>
      <c r="O677">
        <f>MAX(N$12:N677)</f>
        <v>194801.08888812171</v>
      </c>
      <c r="P677">
        <f>IF(O677&gt;O676,(O677-O676)*percentSavingsParticipation,0)</f>
        <v>0</v>
      </c>
      <c r="Q677">
        <f t="shared" si="54"/>
        <v>97400.544444060855</v>
      </c>
      <c r="R677">
        <f t="shared" si="55"/>
        <v>34805</v>
      </c>
    </row>
    <row r="678" spans="1:18" x14ac:dyDescent="0.25">
      <c r="A678" s="1"/>
      <c r="C678" s="1"/>
      <c r="D678" s="1">
        <v>42207</v>
      </c>
      <c r="E678" s="10">
        <v>44921.5</v>
      </c>
      <c r="F678" s="1">
        <v>42207</v>
      </c>
      <c r="G678">
        <v>-7827.5</v>
      </c>
      <c r="H678" s="1">
        <f t="shared" si="51"/>
        <v>42207</v>
      </c>
      <c r="I678">
        <f>IF(AND(MyRowHidden(ROW())=FALSE,MyRowHidden(ROW()-1)=TRUE),0,(E678-E677)*unitsOfDHp+I677)</f>
        <v>158965</v>
      </c>
      <c r="J678">
        <f>IF(AND(MyRowHidden(ROW())=FALSE,MyRowHidden(ROW()-1)=TRUE),0,(G678-G677)*unitsOfExo+J677)</f>
        <v>-124660</v>
      </c>
      <c r="K678" s="9">
        <f t="shared" si="52"/>
        <v>124660</v>
      </c>
      <c r="L678">
        <f t="shared" si="53"/>
        <v>-63095.544444060884</v>
      </c>
      <c r="M678">
        <f>IF(AND(MyRowHidden(ROW())=FALSE,MyRowHidden(ROW()-1)=TRUE),0,(G678-G677)*unitsFuturesCompare+M677)</f>
        <v>-249320</v>
      </c>
      <c r="N678">
        <f>IF(MyRowHidden(ROW())=TRUE,0,L678-M678)</f>
        <v>186224.45555593912</v>
      </c>
      <c r="O678">
        <f>MAX(N$12:N678)</f>
        <v>194801.08888812171</v>
      </c>
      <c r="P678">
        <f>IF(O678&gt;O677,(O678-O677)*percentSavingsParticipation,0)</f>
        <v>0</v>
      </c>
      <c r="Q678">
        <f t="shared" si="54"/>
        <v>97400.544444060855</v>
      </c>
      <c r="R678">
        <f t="shared" si="55"/>
        <v>34305</v>
      </c>
    </row>
    <row r="679" spans="1:18" x14ac:dyDescent="0.25">
      <c r="A679" s="1"/>
      <c r="C679" s="1"/>
      <c r="D679" s="1">
        <v>42208</v>
      </c>
      <c r="E679" s="10">
        <v>44934</v>
      </c>
      <c r="F679" s="1">
        <v>42208</v>
      </c>
      <c r="G679">
        <v>-7890</v>
      </c>
      <c r="H679" s="1">
        <f t="shared" si="51"/>
        <v>42208</v>
      </c>
      <c r="I679">
        <f>IF(AND(MyRowHidden(ROW())=FALSE,MyRowHidden(ROW()-1)=TRUE),0,(E679-E678)*unitsOfDHp+I678)</f>
        <v>159090</v>
      </c>
      <c r="J679">
        <f>IF(AND(MyRowHidden(ROW())=FALSE,MyRowHidden(ROW()-1)=TRUE),0,(G679-G678)*unitsOfExo+J678)</f>
        <v>-125285</v>
      </c>
      <c r="K679" s="9">
        <f t="shared" si="52"/>
        <v>125285</v>
      </c>
      <c r="L679">
        <f t="shared" si="53"/>
        <v>-63595.544444060884</v>
      </c>
      <c r="M679">
        <f>IF(AND(MyRowHidden(ROW())=FALSE,MyRowHidden(ROW()-1)=TRUE),0,(G679-G678)*unitsFuturesCompare+M678)</f>
        <v>-250570</v>
      </c>
      <c r="N679">
        <f>IF(MyRowHidden(ROW())=TRUE,0,L679-M679)</f>
        <v>186974.45555593912</v>
      </c>
      <c r="O679">
        <f>MAX(N$12:N679)</f>
        <v>194801.08888812171</v>
      </c>
      <c r="P679">
        <f>IF(O679&gt;O678,(O679-O678)*percentSavingsParticipation,0)</f>
        <v>0</v>
      </c>
      <c r="Q679">
        <f t="shared" si="54"/>
        <v>97400.544444060855</v>
      </c>
      <c r="R679">
        <f t="shared" si="55"/>
        <v>33805</v>
      </c>
    </row>
    <row r="680" spans="1:18" x14ac:dyDescent="0.25">
      <c r="A680" s="1"/>
      <c r="C680" s="1"/>
      <c r="D680" s="1">
        <v>42209</v>
      </c>
      <c r="E680" s="10">
        <v>44985</v>
      </c>
      <c r="F680" s="1">
        <v>42209</v>
      </c>
      <c r="G680">
        <v>-8202.5</v>
      </c>
      <c r="H680" s="1">
        <f t="shared" si="51"/>
        <v>42209</v>
      </c>
      <c r="I680">
        <f>IF(AND(MyRowHidden(ROW())=FALSE,MyRowHidden(ROW()-1)=TRUE),0,(E680-E679)*unitsOfDHp+I679)</f>
        <v>159600</v>
      </c>
      <c r="J680">
        <f>IF(AND(MyRowHidden(ROW())=FALSE,MyRowHidden(ROW()-1)=TRUE),0,(G680-G679)*unitsOfExo+J679)</f>
        <v>-128410</v>
      </c>
      <c r="K680" s="9">
        <f t="shared" si="52"/>
        <v>128410</v>
      </c>
      <c r="L680">
        <f t="shared" si="53"/>
        <v>-66210.544444060884</v>
      </c>
      <c r="M680">
        <f>IF(AND(MyRowHidden(ROW())=FALSE,MyRowHidden(ROW()-1)=TRUE),0,(G680-G679)*unitsFuturesCompare+M679)</f>
        <v>-256820</v>
      </c>
      <c r="N680">
        <f>IF(MyRowHidden(ROW())=TRUE,0,L680-M680)</f>
        <v>190609.45555593912</v>
      </c>
      <c r="O680">
        <f>MAX(N$12:N680)</f>
        <v>194801.08888812171</v>
      </c>
      <c r="P680">
        <f>IF(O680&gt;O679,(O680-O679)*percentSavingsParticipation,0)</f>
        <v>0</v>
      </c>
      <c r="Q680">
        <f t="shared" si="54"/>
        <v>97400.544444060855</v>
      </c>
      <c r="R680">
        <f t="shared" si="55"/>
        <v>31190</v>
      </c>
    </row>
    <row r="681" spans="1:18" x14ac:dyDescent="0.25">
      <c r="A681" s="1"/>
      <c r="C681" s="1"/>
      <c r="D681" s="1">
        <v>42212</v>
      </c>
      <c r="E681" s="10">
        <v>45072.5</v>
      </c>
      <c r="F681" s="1">
        <v>42212</v>
      </c>
      <c r="G681">
        <v>-9090</v>
      </c>
      <c r="H681" s="1">
        <f t="shared" si="51"/>
        <v>42212</v>
      </c>
      <c r="I681">
        <f>IF(AND(MyRowHidden(ROW())=FALSE,MyRowHidden(ROW()-1)=TRUE),0,(E681-E680)*unitsOfDHp+I680)</f>
        <v>160475</v>
      </c>
      <c r="J681">
        <f>IF(AND(MyRowHidden(ROW())=FALSE,MyRowHidden(ROW()-1)=TRUE),0,(G681-G680)*unitsOfExo+J680)</f>
        <v>-137285</v>
      </c>
      <c r="K681" s="9">
        <f t="shared" si="52"/>
        <v>137285</v>
      </c>
      <c r="L681">
        <f t="shared" si="53"/>
        <v>-74210.544444060884</v>
      </c>
      <c r="M681">
        <f>IF(AND(MyRowHidden(ROW())=FALSE,MyRowHidden(ROW()-1)=TRUE),0,(G681-G680)*unitsFuturesCompare+M680)</f>
        <v>-274570</v>
      </c>
      <c r="N681">
        <f>IF(MyRowHidden(ROW())=TRUE,0,L681-M681)</f>
        <v>200359.45555593912</v>
      </c>
      <c r="O681">
        <f>MAX(N$12:N681)</f>
        <v>200359.45555593912</v>
      </c>
      <c r="P681">
        <f>IF(O681&gt;O680,(O681-O680)*percentSavingsParticipation,0)</f>
        <v>2779.1833339087025</v>
      </c>
      <c r="Q681">
        <f t="shared" si="54"/>
        <v>100179.72777796956</v>
      </c>
      <c r="R681">
        <f t="shared" si="55"/>
        <v>23190</v>
      </c>
    </row>
    <row r="682" spans="1:18" x14ac:dyDescent="0.25">
      <c r="A682" s="1"/>
      <c r="C682" s="1"/>
      <c r="D682" s="1">
        <v>42213</v>
      </c>
      <c r="E682" s="10">
        <v>44747.5</v>
      </c>
      <c r="F682" s="1">
        <v>42213</v>
      </c>
      <c r="G682">
        <v>-9390</v>
      </c>
      <c r="H682" s="1">
        <f t="shared" si="51"/>
        <v>42213</v>
      </c>
      <c r="I682">
        <f>IF(AND(MyRowHidden(ROW())=FALSE,MyRowHidden(ROW()-1)=TRUE),0,(E682-E681)*unitsOfDHp+I681)</f>
        <v>157225</v>
      </c>
      <c r="J682">
        <f>IF(AND(MyRowHidden(ROW())=FALSE,MyRowHidden(ROW()-1)=TRUE),0,(G682-G681)*unitsOfExo+J681)</f>
        <v>-140285</v>
      </c>
      <c r="K682" s="9">
        <f t="shared" si="52"/>
        <v>140285</v>
      </c>
      <c r="L682">
        <f t="shared" si="53"/>
        <v>-83239.727777969587</v>
      </c>
      <c r="M682">
        <f>IF(AND(MyRowHidden(ROW())=FALSE,MyRowHidden(ROW()-1)=TRUE),0,(G682-G681)*unitsFuturesCompare+M681)</f>
        <v>-280570</v>
      </c>
      <c r="N682">
        <f>IF(MyRowHidden(ROW())=TRUE,0,L682-M682)</f>
        <v>197330.27222203041</v>
      </c>
      <c r="O682">
        <f>MAX(N$12:N682)</f>
        <v>200359.45555593912</v>
      </c>
      <c r="P682">
        <f>IF(O682&gt;O681,(O682-O681)*percentSavingsParticipation,0)</f>
        <v>0</v>
      </c>
      <c r="Q682">
        <f t="shared" si="54"/>
        <v>100179.72777796956</v>
      </c>
      <c r="R682">
        <f t="shared" si="55"/>
        <v>16940</v>
      </c>
    </row>
    <row r="683" spans="1:18" x14ac:dyDescent="0.25">
      <c r="A683" s="1"/>
      <c r="C683" s="1"/>
      <c r="D683" s="1">
        <v>42214</v>
      </c>
      <c r="E683" s="10">
        <v>45023.5</v>
      </c>
      <c r="F683" s="1">
        <v>42214</v>
      </c>
      <c r="G683">
        <v>-9490</v>
      </c>
      <c r="H683" s="1">
        <f t="shared" si="51"/>
        <v>42214</v>
      </c>
      <c r="I683">
        <f>IF(AND(MyRowHidden(ROW())=FALSE,MyRowHidden(ROW()-1)=TRUE),0,(E683-E682)*unitsOfDHp+I682)</f>
        <v>159985</v>
      </c>
      <c r="J683">
        <f>IF(AND(MyRowHidden(ROW())=FALSE,MyRowHidden(ROW()-1)=TRUE),0,(G683-G682)*unitsOfExo+J682)</f>
        <v>-141285</v>
      </c>
      <c r="K683" s="9">
        <f t="shared" si="52"/>
        <v>141285</v>
      </c>
      <c r="L683">
        <f t="shared" si="53"/>
        <v>-81479.727777969587</v>
      </c>
      <c r="M683">
        <f>IF(AND(MyRowHidden(ROW())=FALSE,MyRowHidden(ROW()-1)=TRUE),0,(G683-G682)*unitsFuturesCompare+M682)</f>
        <v>-282570</v>
      </c>
      <c r="N683">
        <f>IF(MyRowHidden(ROW())=TRUE,0,L683-M683)</f>
        <v>201090.27222203041</v>
      </c>
      <c r="O683">
        <f>MAX(N$12:N683)</f>
        <v>201090.27222203041</v>
      </c>
      <c r="P683">
        <f>IF(O683&gt;O682,(O683-O682)*percentSavingsParticipation,0)</f>
        <v>365.40833304564876</v>
      </c>
      <c r="Q683">
        <f t="shared" si="54"/>
        <v>100545.13611101521</v>
      </c>
      <c r="R683">
        <f t="shared" si="55"/>
        <v>18700</v>
      </c>
    </row>
    <row r="684" spans="1:18" x14ac:dyDescent="0.25">
      <c r="A684" s="1"/>
      <c r="C684" s="1"/>
      <c r="D684" s="1">
        <v>42215</v>
      </c>
      <c r="E684" s="10">
        <v>45186</v>
      </c>
      <c r="F684" s="1">
        <v>42215</v>
      </c>
      <c r="G684">
        <v>-9390</v>
      </c>
      <c r="H684" s="1">
        <f t="shared" si="51"/>
        <v>42215</v>
      </c>
      <c r="I684">
        <f>IF(AND(MyRowHidden(ROW())=FALSE,MyRowHidden(ROW()-1)=TRUE),0,(E684-E683)*unitsOfDHp+I683)</f>
        <v>161610</v>
      </c>
      <c r="J684">
        <f>IF(AND(MyRowHidden(ROW())=FALSE,MyRowHidden(ROW()-1)=TRUE),0,(G684-G683)*unitsOfExo+J683)</f>
        <v>-140285</v>
      </c>
      <c r="K684" s="9">
        <f t="shared" si="52"/>
        <v>140285</v>
      </c>
      <c r="L684">
        <f t="shared" si="53"/>
        <v>-79220.136111015236</v>
      </c>
      <c r="M684">
        <f>IF(AND(MyRowHidden(ROW())=FALSE,MyRowHidden(ROW()-1)=TRUE),0,(G684-G683)*unitsFuturesCompare+M683)</f>
        <v>-280570</v>
      </c>
      <c r="N684">
        <f>IF(MyRowHidden(ROW())=TRUE,0,L684-M684)</f>
        <v>201349.86388898478</v>
      </c>
      <c r="O684">
        <f>MAX(N$12:N684)</f>
        <v>201349.86388898478</v>
      </c>
      <c r="P684">
        <f>IF(O684&gt;O683,(O684-O683)*percentSavingsParticipation,0)</f>
        <v>129.7958334771829</v>
      </c>
      <c r="Q684">
        <f t="shared" si="54"/>
        <v>100674.93194449239</v>
      </c>
      <c r="R684">
        <f t="shared" si="55"/>
        <v>21325</v>
      </c>
    </row>
    <row r="685" spans="1:18" x14ac:dyDescent="0.25">
      <c r="A685" s="1"/>
      <c r="C685" s="1"/>
      <c r="D685" s="1">
        <v>42216</v>
      </c>
      <c r="E685" s="10">
        <v>45211</v>
      </c>
      <c r="F685" s="1">
        <v>42216</v>
      </c>
      <c r="G685">
        <v>-9215</v>
      </c>
      <c r="H685" s="1">
        <f t="shared" si="51"/>
        <v>42216</v>
      </c>
      <c r="I685">
        <f>IF(AND(MyRowHidden(ROW())=FALSE,MyRowHidden(ROW()-1)=TRUE),0,(E685-E684)*unitsOfDHp+I684)</f>
        <v>161860</v>
      </c>
      <c r="J685">
        <f>IF(AND(MyRowHidden(ROW())=FALSE,MyRowHidden(ROW()-1)=TRUE),0,(G685-G684)*unitsOfExo+J684)</f>
        <v>-138535</v>
      </c>
      <c r="K685" s="9">
        <f t="shared" si="52"/>
        <v>138535</v>
      </c>
      <c r="L685">
        <f t="shared" si="53"/>
        <v>-77349.931944492419</v>
      </c>
      <c r="M685">
        <f>IF(AND(MyRowHidden(ROW())=FALSE,MyRowHidden(ROW()-1)=TRUE),0,(G685-G684)*unitsFuturesCompare+M684)</f>
        <v>-277070</v>
      </c>
      <c r="N685">
        <f>IF(MyRowHidden(ROW())=TRUE,0,L685-M685)</f>
        <v>199720.06805550758</v>
      </c>
      <c r="O685">
        <f>MAX(N$12:N685)</f>
        <v>201349.86388898478</v>
      </c>
      <c r="P685">
        <f>IF(O685&gt;O684,(O685-O684)*percentSavingsParticipation,0)</f>
        <v>0</v>
      </c>
      <c r="Q685">
        <f t="shared" si="54"/>
        <v>100674.93194449239</v>
      </c>
      <c r="R685">
        <f t="shared" si="55"/>
        <v>23325</v>
      </c>
    </row>
    <row r="686" spans="1:18" x14ac:dyDescent="0.25">
      <c r="A686" s="1"/>
      <c r="C686" s="1"/>
      <c r="D686" s="1">
        <v>42219</v>
      </c>
      <c r="E686" s="10">
        <v>45136</v>
      </c>
      <c r="F686" s="1">
        <v>42219</v>
      </c>
      <c r="G686">
        <v>-9515</v>
      </c>
      <c r="H686" s="1">
        <f t="shared" si="51"/>
        <v>42219</v>
      </c>
      <c r="I686">
        <f>IF(AND(MyRowHidden(ROW())=FALSE,MyRowHidden(ROW()-1)=TRUE),0,(E686-E685)*unitsOfDHp+I685)</f>
        <v>161110</v>
      </c>
      <c r="J686">
        <f>IF(AND(MyRowHidden(ROW())=FALSE,MyRowHidden(ROW()-1)=TRUE),0,(G686-G685)*unitsOfExo+J685)</f>
        <v>-141535</v>
      </c>
      <c r="K686" s="9">
        <f t="shared" si="52"/>
        <v>141535</v>
      </c>
      <c r="L686">
        <f t="shared" si="53"/>
        <v>-81099.931944492419</v>
      </c>
      <c r="M686">
        <f>IF(AND(MyRowHidden(ROW())=FALSE,MyRowHidden(ROW()-1)=TRUE),0,(G686-G685)*unitsFuturesCompare+M685)</f>
        <v>-283070</v>
      </c>
      <c r="N686">
        <f>IF(MyRowHidden(ROW())=TRUE,0,L686-M686)</f>
        <v>201970.06805550758</v>
      </c>
      <c r="O686">
        <f>MAX(N$12:N686)</f>
        <v>201970.06805550758</v>
      </c>
      <c r="P686">
        <f>IF(O686&gt;O685,(O686-O685)*percentSavingsParticipation,0)</f>
        <v>310.10208326140128</v>
      </c>
      <c r="Q686">
        <f t="shared" si="54"/>
        <v>100985.03402775379</v>
      </c>
      <c r="R686">
        <f t="shared" si="55"/>
        <v>19575</v>
      </c>
    </row>
    <row r="687" spans="1:18" x14ac:dyDescent="0.25">
      <c r="A687" s="1"/>
      <c r="C687" s="1"/>
      <c r="D687" s="1">
        <v>42220</v>
      </c>
      <c r="E687" s="10">
        <v>44986</v>
      </c>
      <c r="F687" s="1">
        <v>42220</v>
      </c>
      <c r="G687">
        <v>-9590</v>
      </c>
      <c r="H687" s="1">
        <f t="shared" si="51"/>
        <v>42220</v>
      </c>
      <c r="I687">
        <f>IF(AND(MyRowHidden(ROW())=FALSE,MyRowHidden(ROW()-1)=TRUE),0,(E687-E686)*unitsOfDHp+I686)</f>
        <v>159610</v>
      </c>
      <c r="J687">
        <f>IF(AND(MyRowHidden(ROW())=FALSE,MyRowHidden(ROW()-1)=TRUE),0,(G687-G686)*unitsOfExo+J686)</f>
        <v>-142285</v>
      </c>
      <c r="K687" s="9">
        <f t="shared" si="52"/>
        <v>142285</v>
      </c>
      <c r="L687">
        <f t="shared" si="53"/>
        <v>-83660.03402775382</v>
      </c>
      <c r="M687">
        <f>IF(AND(MyRowHidden(ROW())=FALSE,MyRowHidden(ROW()-1)=TRUE),0,(G687-G686)*unitsFuturesCompare+M686)</f>
        <v>-284570</v>
      </c>
      <c r="N687">
        <f>IF(MyRowHidden(ROW())=TRUE,0,L687-M687)</f>
        <v>200909.96597224619</v>
      </c>
      <c r="O687">
        <f>MAX(N$12:N687)</f>
        <v>201970.06805550758</v>
      </c>
      <c r="P687">
        <f>IF(O687&gt;O686,(O687-O686)*percentSavingsParticipation,0)</f>
        <v>0</v>
      </c>
      <c r="Q687">
        <f t="shared" si="54"/>
        <v>100985.03402775379</v>
      </c>
      <c r="R687">
        <f t="shared" si="55"/>
        <v>17325</v>
      </c>
    </row>
    <row r="688" spans="1:18" x14ac:dyDescent="0.25">
      <c r="A688" s="1"/>
      <c r="C688" s="1"/>
      <c r="D688" s="1">
        <v>42221</v>
      </c>
      <c r="E688" s="10">
        <v>45323.5</v>
      </c>
      <c r="F688" s="1">
        <v>42221</v>
      </c>
      <c r="G688">
        <v>-9340</v>
      </c>
      <c r="H688" s="1">
        <f t="shared" si="51"/>
        <v>42221</v>
      </c>
      <c r="I688">
        <f>IF(AND(MyRowHidden(ROW())=FALSE,MyRowHidden(ROW()-1)=TRUE),0,(E688-E687)*unitsOfDHp+I687)</f>
        <v>162985</v>
      </c>
      <c r="J688">
        <f>IF(AND(MyRowHidden(ROW())=FALSE,MyRowHidden(ROW()-1)=TRUE),0,(G688-G687)*unitsOfExo+J687)</f>
        <v>-139785</v>
      </c>
      <c r="K688" s="9">
        <f t="shared" si="52"/>
        <v>139785</v>
      </c>
      <c r="L688">
        <f t="shared" si="53"/>
        <v>-77785.03402775382</v>
      </c>
      <c r="M688">
        <f>IF(AND(MyRowHidden(ROW())=FALSE,MyRowHidden(ROW()-1)=TRUE),0,(G688-G687)*unitsFuturesCompare+M687)</f>
        <v>-279570</v>
      </c>
      <c r="N688">
        <f>IF(MyRowHidden(ROW())=TRUE,0,L688-M688)</f>
        <v>201784.96597224619</v>
      </c>
      <c r="O688">
        <f>MAX(N$12:N688)</f>
        <v>201970.06805550758</v>
      </c>
      <c r="P688">
        <f>IF(O688&gt;O687,(O688-O687)*percentSavingsParticipation,0)</f>
        <v>0</v>
      </c>
      <c r="Q688">
        <f t="shared" si="54"/>
        <v>100985.03402775379</v>
      </c>
      <c r="R688">
        <f t="shared" si="55"/>
        <v>23200</v>
      </c>
    </row>
    <row r="689" spans="1:18" x14ac:dyDescent="0.25">
      <c r="A689" s="1"/>
      <c r="C689" s="1"/>
      <c r="D689" s="1">
        <v>42222</v>
      </c>
      <c r="E689" s="10">
        <v>45386</v>
      </c>
      <c r="F689" s="1">
        <v>42222</v>
      </c>
      <c r="G689">
        <v>-9377.5</v>
      </c>
      <c r="H689" s="1">
        <f t="shared" si="51"/>
        <v>42222</v>
      </c>
      <c r="I689">
        <f>IF(AND(MyRowHidden(ROW())=FALSE,MyRowHidden(ROW()-1)=TRUE),0,(E689-E688)*unitsOfDHp+I688)</f>
        <v>163610</v>
      </c>
      <c r="J689">
        <f>IF(AND(MyRowHidden(ROW())=FALSE,MyRowHidden(ROW()-1)=TRUE),0,(G689-G688)*unitsOfExo+J688)</f>
        <v>-140160</v>
      </c>
      <c r="K689" s="9">
        <f t="shared" si="52"/>
        <v>140160</v>
      </c>
      <c r="L689">
        <f t="shared" si="53"/>
        <v>-77535.03402775382</v>
      </c>
      <c r="M689">
        <f>IF(AND(MyRowHidden(ROW())=FALSE,MyRowHidden(ROW()-1)=TRUE),0,(G689-G688)*unitsFuturesCompare+M688)</f>
        <v>-280320</v>
      </c>
      <c r="N689">
        <f>IF(MyRowHidden(ROW())=TRUE,0,L689-M689)</f>
        <v>202784.96597224619</v>
      </c>
      <c r="O689">
        <f>MAX(N$12:N689)</f>
        <v>202784.96597224619</v>
      </c>
      <c r="P689">
        <f>IF(O689&gt;O688,(O689-O688)*percentSavingsParticipation,0)</f>
        <v>407.44895836930664</v>
      </c>
      <c r="Q689">
        <f t="shared" si="54"/>
        <v>101392.4829861231</v>
      </c>
      <c r="R689">
        <f t="shared" si="55"/>
        <v>23450</v>
      </c>
    </row>
    <row r="690" spans="1:18" x14ac:dyDescent="0.25">
      <c r="A690" s="1"/>
      <c r="C690" s="1"/>
      <c r="D690" s="1">
        <v>42223</v>
      </c>
      <c r="E690" s="10">
        <v>45511</v>
      </c>
      <c r="F690" s="1">
        <v>42223</v>
      </c>
      <c r="G690">
        <v>-9302.5</v>
      </c>
      <c r="H690" s="1">
        <f t="shared" si="51"/>
        <v>42223</v>
      </c>
      <c r="I690">
        <f>IF(AND(MyRowHidden(ROW())=FALSE,MyRowHidden(ROW()-1)=TRUE),0,(E690-E689)*unitsOfDHp+I689)</f>
        <v>164860</v>
      </c>
      <c r="J690">
        <f>IF(AND(MyRowHidden(ROW())=FALSE,MyRowHidden(ROW()-1)=TRUE),0,(G690-G689)*unitsOfExo+J689)</f>
        <v>-139410</v>
      </c>
      <c r="K690" s="9">
        <f t="shared" si="52"/>
        <v>139410</v>
      </c>
      <c r="L690">
        <f t="shared" si="53"/>
        <v>-75942.482986123126</v>
      </c>
      <c r="M690">
        <f>IF(AND(MyRowHidden(ROW())=FALSE,MyRowHidden(ROW()-1)=TRUE),0,(G690-G689)*unitsFuturesCompare+M689)</f>
        <v>-278820</v>
      </c>
      <c r="N690">
        <f>IF(MyRowHidden(ROW())=TRUE,0,L690-M690)</f>
        <v>202877.51701387687</v>
      </c>
      <c r="O690">
        <f>MAX(N$12:N690)</f>
        <v>202877.51701387687</v>
      </c>
      <c r="P690">
        <f>IF(O690&gt;O689,(O690-O689)*percentSavingsParticipation,0)</f>
        <v>46.275520815339405</v>
      </c>
      <c r="Q690">
        <f t="shared" si="54"/>
        <v>101438.75850693844</v>
      </c>
      <c r="R690">
        <f t="shared" si="55"/>
        <v>25450</v>
      </c>
    </row>
    <row r="691" spans="1:18" x14ac:dyDescent="0.25">
      <c r="A691" s="1"/>
      <c r="C691" s="1"/>
      <c r="D691" s="1">
        <v>42226</v>
      </c>
      <c r="E691" s="10">
        <v>45924.5</v>
      </c>
      <c r="F691" s="1">
        <v>42226</v>
      </c>
      <c r="G691">
        <v>-8615</v>
      </c>
      <c r="H691" s="1">
        <f t="shared" si="51"/>
        <v>42226</v>
      </c>
      <c r="I691">
        <f>IF(AND(MyRowHidden(ROW())=FALSE,MyRowHidden(ROW()-1)=TRUE),0,(E691-E690)*unitsOfDHp+I690)</f>
        <v>168995</v>
      </c>
      <c r="J691">
        <f>IF(AND(MyRowHidden(ROW())=FALSE,MyRowHidden(ROW()-1)=TRUE),0,(G691-G690)*unitsOfExo+J690)</f>
        <v>-132535</v>
      </c>
      <c r="K691" s="9">
        <f t="shared" si="52"/>
        <v>132535</v>
      </c>
      <c r="L691">
        <f t="shared" si="53"/>
        <v>-64978.758506938466</v>
      </c>
      <c r="M691">
        <f>IF(AND(MyRowHidden(ROW())=FALSE,MyRowHidden(ROW()-1)=TRUE),0,(G691-G690)*unitsFuturesCompare+M690)</f>
        <v>-265070</v>
      </c>
      <c r="N691">
        <f>IF(MyRowHidden(ROW())=TRUE,0,L691-M691)</f>
        <v>200091.24149306153</v>
      </c>
      <c r="O691">
        <f>MAX(N$12:N691)</f>
        <v>202877.51701387687</v>
      </c>
      <c r="P691">
        <f>IF(O691&gt;O690,(O691-O690)*percentSavingsParticipation,0)</f>
        <v>0</v>
      </c>
      <c r="Q691">
        <f t="shared" si="54"/>
        <v>101438.75850693844</v>
      </c>
      <c r="R691">
        <f t="shared" si="55"/>
        <v>36460</v>
      </c>
    </row>
    <row r="692" spans="1:18" x14ac:dyDescent="0.25">
      <c r="A692" s="1"/>
      <c r="C692" s="1"/>
      <c r="D692" s="1">
        <v>42227</v>
      </c>
      <c r="E692" s="10">
        <v>45787</v>
      </c>
      <c r="F692" s="1">
        <v>42227</v>
      </c>
      <c r="G692">
        <v>-8927.5</v>
      </c>
      <c r="H692" s="1">
        <f t="shared" si="51"/>
        <v>42227</v>
      </c>
      <c r="I692">
        <f>IF(AND(MyRowHidden(ROW())=FALSE,MyRowHidden(ROW()-1)=TRUE),0,(E692-E691)*unitsOfDHp+I691)</f>
        <v>167620</v>
      </c>
      <c r="J692">
        <f>IF(AND(MyRowHidden(ROW())=FALSE,MyRowHidden(ROW()-1)=TRUE),0,(G692-G691)*unitsOfExo+J691)</f>
        <v>-135660</v>
      </c>
      <c r="K692" s="9">
        <f t="shared" si="52"/>
        <v>135660</v>
      </c>
      <c r="L692">
        <f t="shared" si="53"/>
        <v>-69478.758506938466</v>
      </c>
      <c r="M692">
        <f>IF(AND(MyRowHidden(ROW())=FALSE,MyRowHidden(ROW()-1)=TRUE),0,(G692-G691)*unitsFuturesCompare+M691)</f>
        <v>-271320</v>
      </c>
      <c r="N692">
        <f>IF(MyRowHidden(ROW())=TRUE,0,L692-M692)</f>
        <v>201841.24149306153</v>
      </c>
      <c r="O692">
        <f>MAX(N$12:N692)</f>
        <v>202877.51701387687</v>
      </c>
      <c r="P692">
        <f>IF(O692&gt;O691,(O692-O691)*percentSavingsParticipation,0)</f>
        <v>0</v>
      </c>
      <c r="Q692">
        <f t="shared" si="54"/>
        <v>101438.75850693844</v>
      </c>
      <c r="R692">
        <f t="shared" si="55"/>
        <v>31960</v>
      </c>
    </row>
    <row r="693" spans="1:18" x14ac:dyDescent="0.25">
      <c r="A693" s="1"/>
      <c r="C693" s="1"/>
      <c r="D693" s="1">
        <v>42228</v>
      </c>
      <c r="E693" s="10">
        <v>43813</v>
      </c>
      <c r="F693" s="1">
        <v>42228</v>
      </c>
      <c r="G693">
        <v>-10077.5</v>
      </c>
      <c r="H693" s="1">
        <f t="shared" si="51"/>
        <v>42228</v>
      </c>
      <c r="I693">
        <f>IF(AND(MyRowHidden(ROW())=FALSE,MyRowHidden(ROW()-1)=TRUE),0,(E693-E692)*unitsOfDHp+I692)</f>
        <v>147880</v>
      </c>
      <c r="J693">
        <f>IF(AND(MyRowHidden(ROW())=FALSE,MyRowHidden(ROW()-1)=TRUE),0,(G693-G692)*unitsOfExo+J692)</f>
        <v>-147160</v>
      </c>
      <c r="K693" s="9">
        <f t="shared" si="52"/>
        <v>147160</v>
      </c>
      <c r="L693">
        <f t="shared" si="53"/>
        <v>-100718.75850693847</v>
      </c>
      <c r="M693">
        <f>IF(AND(MyRowHidden(ROW())=FALSE,MyRowHidden(ROW()-1)=TRUE),0,(G693-G692)*unitsFuturesCompare+M692)</f>
        <v>-294320</v>
      </c>
      <c r="N693">
        <f>IF(MyRowHidden(ROW())=TRUE,0,L693-M693)</f>
        <v>193601.24149306153</v>
      </c>
      <c r="O693">
        <f>MAX(N$12:N693)</f>
        <v>202877.51701387687</v>
      </c>
      <c r="P693">
        <f>IF(O693&gt;O692,(O693-O692)*percentSavingsParticipation,0)</f>
        <v>0</v>
      </c>
      <c r="Q693">
        <f t="shared" si="54"/>
        <v>101438.75850693844</v>
      </c>
      <c r="R693">
        <f t="shared" si="55"/>
        <v>720</v>
      </c>
    </row>
    <row r="694" spans="1:18" x14ac:dyDescent="0.25">
      <c r="A694" s="1"/>
      <c r="C694" s="1"/>
      <c r="D694" s="1">
        <v>42229</v>
      </c>
      <c r="E694" s="10">
        <v>44405</v>
      </c>
      <c r="F694" s="1">
        <v>42229</v>
      </c>
      <c r="G694">
        <v>-9865</v>
      </c>
      <c r="H694" s="1">
        <f t="shared" si="51"/>
        <v>42229</v>
      </c>
      <c r="I694">
        <f>IF(AND(MyRowHidden(ROW())=FALSE,MyRowHidden(ROW()-1)=TRUE),0,(E694-E693)*unitsOfDHp+I693)</f>
        <v>153800</v>
      </c>
      <c r="J694">
        <f>IF(AND(MyRowHidden(ROW())=FALSE,MyRowHidden(ROW()-1)=TRUE),0,(G694-G693)*unitsOfExo+J693)</f>
        <v>-145035</v>
      </c>
      <c r="K694" s="9">
        <f t="shared" si="52"/>
        <v>145035</v>
      </c>
      <c r="L694">
        <f t="shared" si="53"/>
        <v>-92673.758506938466</v>
      </c>
      <c r="M694">
        <f>IF(AND(MyRowHidden(ROW())=FALSE,MyRowHidden(ROW()-1)=TRUE),0,(G694-G693)*unitsFuturesCompare+M693)</f>
        <v>-290070</v>
      </c>
      <c r="N694">
        <f>IF(MyRowHidden(ROW())=TRUE,0,L694-M694)</f>
        <v>197396.24149306153</v>
      </c>
      <c r="O694">
        <f>MAX(N$12:N694)</f>
        <v>202877.51701387687</v>
      </c>
      <c r="P694">
        <f>IF(O694&gt;O693,(O694-O693)*percentSavingsParticipation,0)</f>
        <v>0</v>
      </c>
      <c r="Q694">
        <f t="shared" si="54"/>
        <v>101438.75850693844</v>
      </c>
      <c r="R694">
        <f t="shared" si="55"/>
        <v>8765</v>
      </c>
    </row>
    <row r="695" spans="1:18" x14ac:dyDescent="0.25">
      <c r="A695" s="1"/>
      <c r="C695" s="1"/>
      <c r="D695" s="1">
        <v>42230</v>
      </c>
      <c r="E695" s="10">
        <v>44442.5</v>
      </c>
      <c r="F695" s="1">
        <v>42230</v>
      </c>
      <c r="G695">
        <v>-9802.5</v>
      </c>
      <c r="H695" s="1">
        <f t="shared" si="51"/>
        <v>42230</v>
      </c>
      <c r="I695">
        <f>IF(AND(MyRowHidden(ROW())=FALSE,MyRowHidden(ROW()-1)=TRUE),0,(E695-E694)*unitsOfDHp+I694)</f>
        <v>154175</v>
      </c>
      <c r="J695">
        <f>IF(AND(MyRowHidden(ROW())=FALSE,MyRowHidden(ROW()-1)=TRUE),0,(G695-G694)*unitsOfExo+J694)</f>
        <v>-144410</v>
      </c>
      <c r="K695" s="9">
        <f t="shared" si="52"/>
        <v>144410</v>
      </c>
      <c r="L695">
        <f t="shared" si="53"/>
        <v>-91673.758506938466</v>
      </c>
      <c r="M695">
        <f>IF(AND(MyRowHidden(ROW())=FALSE,MyRowHidden(ROW()-1)=TRUE),0,(G695-G694)*unitsFuturesCompare+M694)</f>
        <v>-288820</v>
      </c>
      <c r="N695">
        <f>IF(MyRowHidden(ROW())=TRUE,0,L695-M695)</f>
        <v>197146.24149306153</v>
      </c>
      <c r="O695">
        <f>MAX(N$12:N695)</f>
        <v>202877.51701387687</v>
      </c>
      <c r="P695">
        <f>IF(O695&gt;O694,(O695-O694)*percentSavingsParticipation,0)</f>
        <v>0</v>
      </c>
      <c r="Q695">
        <f t="shared" si="54"/>
        <v>101438.75850693844</v>
      </c>
      <c r="R695">
        <f t="shared" si="55"/>
        <v>9765</v>
      </c>
    </row>
    <row r="696" spans="1:18" x14ac:dyDescent="0.25">
      <c r="A696" s="1"/>
      <c r="C696" s="1"/>
      <c r="D696" s="1">
        <v>42233</v>
      </c>
      <c r="E696" s="10">
        <v>44555</v>
      </c>
      <c r="F696" s="1">
        <v>42233</v>
      </c>
      <c r="G696">
        <v>-9752.5</v>
      </c>
      <c r="H696" s="1">
        <f t="shared" si="51"/>
        <v>42233</v>
      </c>
      <c r="I696">
        <f>IF(AND(MyRowHidden(ROW())=FALSE,MyRowHidden(ROW()-1)=TRUE),0,(E696-E695)*unitsOfDHp+I695)</f>
        <v>155300</v>
      </c>
      <c r="J696">
        <f>IF(AND(MyRowHidden(ROW())=FALSE,MyRowHidden(ROW()-1)=TRUE),0,(G696-G695)*unitsOfExo+J695)</f>
        <v>-143910</v>
      </c>
      <c r="K696" s="9">
        <f t="shared" si="52"/>
        <v>143910</v>
      </c>
      <c r="L696">
        <f t="shared" si="53"/>
        <v>-90048.758506938466</v>
      </c>
      <c r="M696">
        <f>IF(AND(MyRowHidden(ROW())=FALSE,MyRowHidden(ROW()-1)=TRUE),0,(G696-G695)*unitsFuturesCompare+M695)</f>
        <v>-287820</v>
      </c>
      <c r="N696">
        <f>IF(MyRowHidden(ROW())=TRUE,0,L696-M696)</f>
        <v>197771.24149306153</v>
      </c>
      <c r="O696">
        <f>MAX(N$12:N696)</f>
        <v>202877.51701387687</v>
      </c>
      <c r="P696">
        <f>IF(O696&gt;O695,(O696-O695)*percentSavingsParticipation,0)</f>
        <v>0</v>
      </c>
      <c r="Q696">
        <f t="shared" si="54"/>
        <v>101438.75850693844</v>
      </c>
      <c r="R696">
        <f t="shared" si="55"/>
        <v>11390</v>
      </c>
    </row>
    <row r="697" spans="1:18" x14ac:dyDescent="0.25">
      <c r="A697" s="1"/>
      <c r="C697" s="1"/>
      <c r="D697" s="1">
        <v>42234</v>
      </c>
      <c r="E697" s="10">
        <v>44455</v>
      </c>
      <c r="F697" s="1">
        <v>42234</v>
      </c>
      <c r="G697">
        <v>-9640</v>
      </c>
      <c r="H697" s="1">
        <f t="shared" si="51"/>
        <v>42234</v>
      </c>
      <c r="I697">
        <f>IF(AND(MyRowHidden(ROW())=FALSE,MyRowHidden(ROW()-1)=TRUE),0,(E697-E696)*unitsOfDHp+I696)</f>
        <v>154300</v>
      </c>
      <c r="J697">
        <f>IF(AND(MyRowHidden(ROW())=FALSE,MyRowHidden(ROW()-1)=TRUE),0,(G697-G696)*unitsOfExo+J696)</f>
        <v>-142785</v>
      </c>
      <c r="K697" s="9">
        <f t="shared" si="52"/>
        <v>142785</v>
      </c>
      <c r="L697">
        <f t="shared" si="53"/>
        <v>-89923.758506938466</v>
      </c>
      <c r="M697">
        <f>IF(AND(MyRowHidden(ROW())=FALSE,MyRowHidden(ROW()-1)=TRUE),0,(G697-G696)*unitsFuturesCompare+M696)</f>
        <v>-285570</v>
      </c>
      <c r="N697">
        <f>IF(MyRowHidden(ROW())=TRUE,0,L697-M697)</f>
        <v>195646.24149306153</v>
      </c>
      <c r="O697">
        <f>MAX(N$12:N697)</f>
        <v>202877.51701387687</v>
      </c>
      <c r="P697">
        <f>IF(O697&gt;O696,(O697-O696)*percentSavingsParticipation,0)</f>
        <v>0</v>
      </c>
      <c r="Q697">
        <f t="shared" si="54"/>
        <v>101438.75850693844</v>
      </c>
      <c r="R697">
        <f t="shared" si="55"/>
        <v>11515</v>
      </c>
    </row>
    <row r="698" spans="1:18" x14ac:dyDescent="0.25">
      <c r="A698" s="1"/>
      <c r="C698" s="1"/>
      <c r="D698" s="1">
        <v>42235</v>
      </c>
      <c r="E698" s="10">
        <v>44457</v>
      </c>
      <c r="F698" s="1">
        <v>42235</v>
      </c>
      <c r="G698">
        <v>-9577.5</v>
      </c>
      <c r="H698" s="1">
        <f t="shared" si="51"/>
        <v>42235</v>
      </c>
      <c r="I698">
        <f>IF(AND(MyRowHidden(ROW())=FALSE,MyRowHidden(ROW()-1)=TRUE),0,(E698-E697)*unitsOfDHp+I697)</f>
        <v>154320</v>
      </c>
      <c r="J698">
        <f>IF(AND(MyRowHidden(ROW())=FALSE,MyRowHidden(ROW()-1)=TRUE),0,(G698-G697)*unitsOfExo+J697)</f>
        <v>-142160</v>
      </c>
      <c r="K698" s="9">
        <f t="shared" si="52"/>
        <v>142160</v>
      </c>
      <c r="L698">
        <f t="shared" si="53"/>
        <v>-89278.758506938466</v>
      </c>
      <c r="M698">
        <f>IF(AND(MyRowHidden(ROW())=FALSE,MyRowHidden(ROW()-1)=TRUE),0,(G698-G697)*unitsFuturesCompare+M697)</f>
        <v>-284320</v>
      </c>
      <c r="N698">
        <f>IF(MyRowHidden(ROW())=TRUE,0,L698-M698)</f>
        <v>195041.24149306153</v>
      </c>
      <c r="O698">
        <f>MAX(N$12:N698)</f>
        <v>202877.51701387687</v>
      </c>
      <c r="P698">
        <f>IF(O698&gt;O697,(O698-O697)*percentSavingsParticipation,0)</f>
        <v>0</v>
      </c>
      <c r="Q698">
        <f t="shared" si="54"/>
        <v>101438.75850693844</v>
      </c>
      <c r="R698">
        <f t="shared" si="55"/>
        <v>12160</v>
      </c>
    </row>
    <row r="699" spans="1:18" x14ac:dyDescent="0.25">
      <c r="A699" s="1"/>
      <c r="C699" s="1"/>
      <c r="D699" s="1">
        <v>42236</v>
      </c>
      <c r="E699" s="10">
        <v>44264</v>
      </c>
      <c r="F699" s="1">
        <v>42236</v>
      </c>
      <c r="G699">
        <v>-9415</v>
      </c>
      <c r="H699" s="1">
        <f t="shared" si="51"/>
        <v>42236</v>
      </c>
      <c r="I699">
        <f>IF(AND(MyRowHidden(ROW())=FALSE,MyRowHidden(ROW()-1)=TRUE),0,(E699-E698)*unitsOfDHp+I698)</f>
        <v>152390</v>
      </c>
      <c r="J699">
        <f>IF(AND(MyRowHidden(ROW())=FALSE,MyRowHidden(ROW()-1)=TRUE),0,(G699-G698)*unitsOfExo+J698)</f>
        <v>-140535</v>
      </c>
      <c r="K699" s="9">
        <f t="shared" si="52"/>
        <v>140535</v>
      </c>
      <c r="L699">
        <f t="shared" si="53"/>
        <v>-89583.758506938466</v>
      </c>
      <c r="M699">
        <f>IF(AND(MyRowHidden(ROW())=FALSE,MyRowHidden(ROW()-1)=TRUE),0,(G699-G698)*unitsFuturesCompare+M698)</f>
        <v>-281070</v>
      </c>
      <c r="N699">
        <f>IF(MyRowHidden(ROW())=TRUE,0,L699-M699)</f>
        <v>191486.24149306153</v>
      </c>
      <c r="O699">
        <f>MAX(N$12:N699)</f>
        <v>202877.51701387687</v>
      </c>
      <c r="P699">
        <f>IF(O699&gt;O698,(O699-O698)*percentSavingsParticipation,0)</f>
        <v>0</v>
      </c>
      <c r="Q699">
        <f t="shared" si="54"/>
        <v>101438.75850693844</v>
      </c>
      <c r="R699">
        <f t="shared" si="55"/>
        <v>11855</v>
      </c>
    </row>
    <row r="700" spans="1:18" x14ac:dyDescent="0.25">
      <c r="A700" s="1"/>
      <c r="C700" s="1"/>
      <c r="D700" s="1">
        <v>42237</v>
      </c>
      <c r="E700" s="10">
        <v>44251.5</v>
      </c>
      <c r="F700" s="1">
        <v>42237</v>
      </c>
      <c r="G700">
        <v>-9690</v>
      </c>
      <c r="H700" s="1">
        <f t="shared" si="51"/>
        <v>42237</v>
      </c>
      <c r="I700">
        <f>IF(AND(MyRowHidden(ROW())=FALSE,MyRowHidden(ROW()-1)=TRUE),0,(E700-E699)*unitsOfDHp+I699)</f>
        <v>152265</v>
      </c>
      <c r="J700">
        <f>IF(AND(MyRowHidden(ROW())=FALSE,MyRowHidden(ROW()-1)=TRUE),0,(G700-G699)*unitsOfExo+J699)</f>
        <v>-143285</v>
      </c>
      <c r="K700" s="9">
        <f t="shared" si="52"/>
        <v>143285</v>
      </c>
      <c r="L700">
        <f t="shared" si="53"/>
        <v>-92458.758506938466</v>
      </c>
      <c r="M700">
        <f>IF(AND(MyRowHidden(ROW())=FALSE,MyRowHidden(ROW()-1)=TRUE),0,(G700-G699)*unitsFuturesCompare+M699)</f>
        <v>-286570</v>
      </c>
      <c r="N700">
        <f>IF(MyRowHidden(ROW())=TRUE,0,L700-M700)</f>
        <v>194111.24149306153</v>
      </c>
      <c r="O700">
        <f>MAX(N$12:N700)</f>
        <v>202877.51701387687</v>
      </c>
      <c r="P700">
        <f>IF(O700&gt;O699,(O700-O699)*percentSavingsParticipation,0)</f>
        <v>0</v>
      </c>
      <c r="Q700">
        <f t="shared" si="54"/>
        <v>101438.75850693844</v>
      </c>
      <c r="R700">
        <f t="shared" si="55"/>
        <v>8980</v>
      </c>
    </row>
    <row r="701" spans="1:18" x14ac:dyDescent="0.25">
      <c r="A701" s="1"/>
      <c r="C701" s="1"/>
      <c r="D701" s="1">
        <v>42240</v>
      </c>
      <c r="E701" s="10">
        <v>44314</v>
      </c>
      <c r="F701" s="1">
        <v>42240</v>
      </c>
      <c r="G701">
        <v>-9527.5</v>
      </c>
      <c r="H701" s="1">
        <f t="shared" si="51"/>
        <v>42240</v>
      </c>
      <c r="I701">
        <f>IF(AND(MyRowHidden(ROW())=FALSE,MyRowHidden(ROW()-1)=TRUE),0,(E701-E700)*unitsOfDHp+I700)</f>
        <v>152890</v>
      </c>
      <c r="J701">
        <f>IF(AND(MyRowHidden(ROW())=FALSE,MyRowHidden(ROW()-1)=TRUE),0,(G701-G700)*unitsOfExo+J700)</f>
        <v>-141660</v>
      </c>
      <c r="K701" s="9">
        <f t="shared" si="52"/>
        <v>141660</v>
      </c>
      <c r="L701">
        <f t="shared" si="53"/>
        <v>-90208.758506938466</v>
      </c>
      <c r="M701">
        <f>IF(AND(MyRowHidden(ROW())=FALSE,MyRowHidden(ROW()-1)=TRUE),0,(G701-G700)*unitsFuturesCompare+M700)</f>
        <v>-283320</v>
      </c>
      <c r="N701">
        <f>IF(MyRowHidden(ROW())=TRUE,0,L701-M701)</f>
        <v>193111.24149306153</v>
      </c>
      <c r="O701">
        <f>MAX(N$12:N701)</f>
        <v>202877.51701387687</v>
      </c>
      <c r="P701">
        <f>IF(O701&gt;O700,(O701-O700)*percentSavingsParticipation,0)</f>
        <v>0</v>
      </c>
      <c r="Q701">
        <f t="shared" si="54"/>
        <v>101438.75850693844</v>
      </c>
      <c r="R701">
        <f t="shared" si="55"/>
        <v>11230</v>
      </c>
    </row>
    <row r="702" spans="1:18" x14ac:dyDescent="0.25">
      <c r="A702" s="1"/>
      <c r="C702" s="1"/>
      <c r="D702" s="1">
        <v>42241</v>
      </c>
      <c r="E702" s="10">
        <v>44178</v>
      </c>
      <c r="F702" s="1">
        <v>42241</v>
      </c>
      <c r="G702">
        <v>-9715</v>
      </c>
      <c r="H702" s="1">
        <f t="shared" si="51"/>
        <v>42241</v>
      </c>
      <c r="I702">
        <f>IF(AND(MyRowHidden(ROW())=FALSE,MyRowHidden(ROW()-1)=TRUE),0,(E702-E701)*unitsOfDHp+I701)</f>
        <v>151530</v>
      </c>
      <c r="J702">
        <f>IF(AND(MyRowHidden(ROW())=FALSE,MyRowHidden(ROW()-1)=TRUE),0,(G702-G701)*unitsOfExo+J701)</f>
        <v>-143535</v>
      </c>
      <c r="K702" s="9">
        <f t="shared" si="52"/>
        <v>143535</v>
      </c>
      <c r="L702">
        <f t="shared" si="53"/>
        <v>-93443.758506938466</v>
      </c>
      <c r="M702">
        <f>IF(AND(MyRowHidden(ROW())=FALSE,MyRowHidden(ROW()-1)=TRUE),0,(G702-G701)*unitsFuturesCompare+M701)</f>
        <v>-287070</v>
      </c>
      <c r="N702">
        <f>IF(MyRowHidden(ROW())=TRUE,0,L702-M702)</f>
        <v>193626.24149306153</v>
      </c>
      <c r="O702">
        <f>MAX(N$12:N702)</f>
        <v>202877.51701387687</v>
      </c>
      <c r="P702">
        <f>IF(O702&gt;O701,(O702-O701)*percentSavingsParticipation,0)</f>
        <v>0</v>
      </c>
      <c r="Q702">
        <f t="shared" si="54"/>
        <v>101438.75850693844</v>
      </c>
      <c r="R702">
        <f t="shared" si="55"/>
        <v>7995</v>
      </c>
    </row>
    <row r="703" spans="1:18" x14ac:dyDescent="0.25">
      <c r="A703" s="1"/>
      <c r="C703" s="1"/>
      <c r="D703" s="1">
        <v>42242</v>
      </c>
      <c r="E703" s="10">
        <v>44265.5</v>
      </c>
      <c r="F703" s="1">
        <v>42242</v>
      </c>
      <c r="G703">
        <v>-9840</v>
      </c>
      <c r="H703" s="1">
        <f t="shared" si="51"/>
        <v>42242</v>
      </c>
      <c r="I703">
        <f>IF(AND(MyRowHidden(ROW())=FALSE,MyRowHidden(ROW()-1)=TRUE),0,(E703-E702)*unitsOfDHp+I702)</f>
        <v>152405</v>
      </c>
      <c r="J703">
        <f>IF(AND(MyRowHidden(ROW())=FALSE,MyRowHidden(ROW()-1)=TRUE),0,(G703-G702)*unitsOfExo+J702)</f>
        <v>-144785</v>
      </c>
      <c r="K703" s="9">
        <f t="shared" si="52"/>
        <v>144785</v>
      </c>
      <c r="L703">
        <f t="shared" si="53"/>
        <v>-93818.758506938466</v>
      </c>
      <c r="M703">
        <f>IF(AND(MyRowHidden(ROW())=FALSE,MyRowHidden(ROW()-1)=TRUE),0,(G703-G702)*unitsFuturesCompare+M702)</f>
        <v>-289570</v>
      </c>
      <c r="N703">
        <f>IF(MyRowHidden(ROW())=TRUE,0,L703-M703)</f>
        <v>195751.24149306153</v>
      </c>
      <c r="O703">
        <f>MAX(N$12:N703)</f>
        <v>202877.51701387687</v>
      </c>
      <c r="P703">
        <f>IF(O703&gt;O702,(O703-O702)*percentSavingsParticipation,0)</f>
        <v>0</v>
      </c>
      <c r="Q703">
        <f t="shared" si="54"/>
        <v>101438.75850693844</v>
      </c>
      <c r="R703">
        <f t="shared" si="55"/>
        <v>7620</v>
      </c>
    </row>
    <row r="704" spans="1:18" x14ac:dyDescent="0.25">
      <c r="A704" s="1"/>
      <c r="C704" s="1"/>
      <c r="D704" s="1">
        <v>42243</v>
      </c>
      <c r="E704" s="10">
        <v>44303</v>
      </c>
      <c r="F704" s="1">
        <v>42243</v>
      </c>
      <c r="G704">
        <v>-9852.5</v>
      </c>
      <c r="H704" s="1">
        <f t="shared" si="51"/>
        <v>42243</v>
      </c>
      <c r="I704">
        <f>IF(AND(MyRowHidden(ROW())=FALSE,MyRowHidden(ROW()-1)=TRUE),0,(E704-E703)*unitsOfDHp+I703)</f>
        <v>152780</v>
      </c>
      <c r="J704">
        <f>IF(AND(MyRowHidden(ROW())=FALSE,MyRowHidden(ROW()-1)=TRUE),0,(G704-G703)*unitsOfExo+J703)</f>
        <v>-144910</v>
      </c>
      <c r="K704" s="9">
        <f t="shared" si="52"/>
        <v>144910</v>
      </c>
      <c r="L704">
        <f t="shared" si="53"/>
        <v>-93568.758506938466</v>
      </c>
      <c r="M704">
        <f>IF(AND(MyRowHidden(ROW())=FALSE,MyRowHidden(ROW()-1)=TRUE),0,(G704-G703)*unitsFuturesCompare+M703)</f>
        <v>-289820</v>
      </c>
      <c r="N704">
        <f>IF(MyRowHidden(ROW())=TRUE,0,L704-M704)</f>
        <v>196251.24149306153</v>
      </c>
      <c r="O704">
        <f>MAX(N$12:N704)</f>
        <v>202877.51701387687</v>
      </c>
      <c r="P704">
        <f>IF(O704&gt;O703,(O704-O703)*percentSavingsParticipation,0)</f>
        <v>0</v>
      </c>
      <c r="Q704">
        <f t="shared" si="54"/>
        <v>101438.75850693844</v>
      </c>
      <c r="R704">
        <f t="shared" si="55"/>
        <v>7870</v>
      </c>
    </row>
    <row r="705" spans="1:18" x14ac:dyDescent="0.25">
      <c r="A705" s="1"/>
      <c r="C705" s="1"/>
      <c r="D705" s="1">
        <v>42244</v>
      </c>
      <c r="E705" s="10">
        <v>44315.5</v>
      </c>
      <c r="F705" s="1">
        <v>42244</v>
      </c>
      <c r="G705">
        <v>-9752.5</v>
      </c>
      <c r="H705" s="1">
        <f t="shared" si="51"/>
        <v>42244</v>
      </c>
      <c r="I705">
        <f>IF(AND(MyRowHidden(ROW())=FALSE,MyRowHidden(ROW()-1)=TRUE),0,(E705-E704)*unitsOfDHp+I704)</f>
        <v>152905</v>
      </c>
      <c r="J705">
        <f>IF(AND(MyRowHidden(ROW())=FALSE,MyRowHidden(ROW()-1)=TRUE),0,(G705-G704)*unitsOfExo+J704)</f>
        <v>-143910</v>
      </c>
      <c r="K705" s="9">
        <f t="shared" si="52"/>
        <v>143910</v>
      </c>
      <c r="L705">
        <f t="shared" si="53"/>
        <v>-92443.758506938466</v>
      </c>
      <c r="M705">
        <f>IF(AND(MyRowHidden(ROW())=FALSE,MyRowHidden(ROW()-1)=TRUE),0,(G705-G704)*unitsFuturesCompare+M704)</f>
        <v>-287820</v>
      </c>
      <c r="N705">
        <f>IF(MyRowHidden(ROW())=TRUE,0,L705-M705)</f>
        <v>195376.24149306153</v>
      </c>
      <c r="O705">
        <f>MAX(N$12:N705)</f>
        <v>202877.51701387687</v>
      </c>
      <c r="P705">
        <f>IF(O705&gt;O704,(O705-O704)*percentSavingsParticipation,0)</f>
        <v>0</v>
      </c>
      <c r="Q705">
        <f t="shared" si="54"/>
        <v>101438.75850693844</v>
      </c>
      <c r="R705">
        <f t="shared" si="55"/>
        <v>8995</v>
      </c>
    </row>
    <row r="706" spans="1:18" x14ac:dyDescent="0.25">
      <c r="A706" s="1"/>
      <c r="C706" s="1"/>
      <c r="D706" s="1">
        <v>42247</v>
      </c>
      <c r="E706" s="10">
        <v>44340.5</v>
      </c>
      <c r="F706" s="1">
        <v>42247</v>
      </c>
      <c r="G706">
        <v>-9840</v>
      </c>
      <c r="H706" s="1">
        <f t="shared" si="51"/>
        <v>42247</v>
      </c>
      <c r="I706">
        <f>IF(AND(MyRowHidden(ROW())=FALSE,MyRowHidden(ROW()-1)=TRUE),0,(E706-E705)*unitsOfDHp+I705)</f>
        <v>153155</v>
      </c>
      <c r="J706">
        <f>IF(AND(MyRowHidden(ROW())=FALSE,MyRowHidden(ROW()-1)=TRUE),0,(G706-G705)*unitsOfExo+J705)</f>
        <v>-144785</v>
      </c>
      <c r="K706" s="9">
        <f t="shared" si="52"/>
        <v>144785</v>
      </c>
      <c r="L706">
        <f t="shared" si="53"/>
        <v>-93068.758506938466</v>
      </c>
      <c r="M706">
        <f>IF(AND(MyRowHidden(ROW())=FALSE,MyRowHidden(ROW()-1)=TRUE),0,(G706-G705)*unitsFuturesCompare+M705)</f>
        <v>-289570</v>
      </c>
      <c r="N706">
        <f>IF(MyRowHidden(ROW())=TRUE,0,L706-M706)</f>
        <v>196501.24149306153</v>
      </c>
      <c r="O706">
        <f>MAX(N$12:N706)</f>
        <v>202877.51701387687</v>
      </c>
      <c r="P706">
        <f>IF(O706&gt;O705,(O706-O705)*percentSavingsParticipation,0)</f>
        <v>0</v>
      </c>
      <c r="Q706">
        <f t="shared" si="54"/>
        <v>101438.75850693844</v>
      </c>
      <c r="R706">
        <f t="shared" si="55"/>
        <v>8370</v>
      </c>
    </row>
    <row r="707" spans="1:18" x14ac:dyDescent="0.25">
      <c r="A707" s="1"/>
      <c r="C707" s="1"/>
      <c r="D707" s="1">
        <v>42248</v>
      </c>
      <c r="E707" s="10">
        <v>44365.5</v>
      </c>
      <c r="F707" s="1">
        <v>42248</v>
      </c>
      <c r="G707">
        <v>-10102</v>
      </c>
      <c r="H707" s="1">
        <f t="shared" si="51"/>
        <v>42248</v>
      </c>
      <c r="I707">
        <f>IF(AND(MyRowHidden(ROW())=FALSE,MyRowHidden(ROW()-1)=TRUE),0,(E707-E706)*unitsOfDHp+I706)</f>
        <v>153405</v>
      </c>
      <c r="J707">
        <f>IF(AND(MyRowHidden(ROW())=FALSE,MyRowHidden(ROW()-1)=TRUE),0,(G707-G706)*unitsOfExo+J706)</f>
        <v>-147405</v>
      </c>
      <c r="K707" s="9">
        <f t="shared" si="52"/>
        <v>147405</v>
      </c>
      <c r="L707">
        <f t="shared" si="53"/>
        <v>-95438.758506938466</v>
      </c>
      <c r="M707">
        <f>IF(AND(MyRowHidden(ROW())=FALSE,MyRowHidden(ROW()-1)=TRUE),0,(G707-G706)*unitsFuturesCompare+M706)</f>
        <v>-294810</v>
      </c>
      <c r="N707">
        <f>IF(MyRowHidden(ROW())=TRUE,0,L707-M707)</f>
        <v>199371.24149306153</v>
      </c>
      <c r="O707">
        <f>MAX(N$12:N707)</f>
        <v>202877.51701387687</v>
      </c>
      <c r="P707">
        <f>IF(O707&gt;O706,(O707-O706)*percentSavingsParticipation,0)</f>
        <v>0</v>
      </c>
      <c r="Q707">
        <f t="shared" si="54"/>
        <v>101438.75850693844</v>
      </c>
      <c r="R707">
        <f t="shared" si="55"/>
        <v>6000</v>
      </c>
    </row>
    <row r="708" spans="1:18" x14ac:dyDescent="0.25">
      <c r="A708" s="1"/>
      <c r="C708" s="1"/>
      <c r="D708" s="1">
        <v>42249</v>
      </c>
      <c r="E708" s="10">
        <v>44390.5</v>
      </c>
      <c r="F708" s="1">
        <v>42249</v>
      </c>
      <c r="G708">
        <v>-10264.5</v>
      </c>
      <c r="H708" s="1">
        <f t="shared" si="51"/>
        <v>42249</v>
      </c>
      <c r="I708">
        <f>IF(AND(MyRowHidden(ROW())=FALSE,MyRowHidden(ROW()-1)=TRUE),0,(E708-E707)*unitsOfDHp+I707)</f>
        <v>153655</v>
      </c>
      <c r="J708">
        <f>IF(AND(MyRowHidden(ROW())=FALSE,MyRowHidden(ROW()-1)=TRUE),0,(G708-G707)*unitsOfExo+J707)</f>
        <v>-149030</v>
      </c>
      <c r="K708" s="9">
        <f t="shared" si="52"/>
        <v>149030</v>
      </c>
      <c r="L708">
        <f t="shared" si="53"/>
        <v>-96813.758506938466</v>
      </c>
      <c r="M708">
        <f>IF(AND(MyRowHidden(ROW())=FALSE,MyRowHidden(ROW()-1)=TRUE),0,(G708-G707)*unitsFuturesCompare+M707)</f>
        <v>-298060</v>
      </c>
      <c r="N708">
        <f>IF(MyRowHidden(ROW())=TRUE,0,L708-M708)</f>
        <v>201246.24149306153</v>
      </c>
      <c r="O708">
        <f>MAX(N$12:N708)</f>
        <v>202877.51701387687</v>
      </c>
      <c r="P708">
        <f>IF(O708&gt;O707,(O708-O707)*percentSavingsParticipation,0)</f>
        <v>0</v>
      </c>
      <c r="Q708">
        <f t="shared" si="54"/>
        <v>101438.75850693844</v>
      </c>
      <c r="R708">
        <f t="shared" si="55"/>
        <v>4625</v>
      </c>
    </row>
    <row r="709" spans="1:18" x14ac:dyDescent="0.25">
      <c r="A709" s="1"/>
      <c r="C709" s="1"/>
      <c r="D709" s="1">
        <v>42250</v>
      </c>
      <c r="E709" s="10">
        <v>44342</v>
      </c>
      <c r="F709" s="1">
        <v>42250</v>
      </c>
      <c r="G709">
        <v>-10464.5</v>
      </c>
      <c r="H709" s="1">
        <f t="shared" si="51"/>
        <v>42250</v>
      </c>
      <c r="I709">
        <f>IF(AND(MyRowHidden(ROW())=FALSE,MyRowHidden(ROW()-1)=TRUE),0,(E709-E708)*unitsOfDHp+I708)</f>
        <v>153170</v>
      </c>
      <c r="J709">
        <f>IF(AND(MyRowHidden(ROW())=FALSE,MyRowHidden(ROW()-1)=TRUE),0,(G709-G708)*unitsOfExo+J708)</f>
        <v>-151030</v>
      </c>
      <c r="K709" s="9">
        <f t="shared" si="52"/>
        <v>151030</v>
      </c>
      <c r="L709">
        <f t="shared" si="53"/>
        <v>-99298.758506938466</v>
      </c>
      <c r="M709">
        <f>IF(AND(MyRowHidden(ROW())=FALSE,MyRowHidden(ROW()-1)=TRUE),0,(G709-G708)*unitsFuturesCompare+M708)</f>
        <v>-302060</v>
      </c>
      <c r="N709">
        <f>IF(MyRowHidden(ROW())=TRUE,0,L709-M709)</f>
        <v>202761.24149306153</v>
      </c>
      <c r="O709">
        <f>MAX(N$12:N709)</f>
        <v>202877.51701387687</v>
      </c>
      <c r="P709">
        <f>IF(O709&gt;O708,(O709-O708)*percentSavingsParticipation,0)</f>
        <v>0</v>
      </c>
      <c r="Q709">
        <f t="shared" si="54"/>
        <v>101438.75850693844</v>
      </c>
      <c r="R709">
        <f t="shared" si="55"/>
        <v>2140</v>
      </c>
    </row>
    <row r="710" spans="1:18" x14ac:dyDescent="0.25">
      <c r="A710" s="1"/>
      <c r="C710" s="1"/>
      <c r="D710" s="1">
        <v>42251</v>
      </c>
      <c r="E710" s="10">
        <v>44370</v>
      </c>
      <c r="F710" s="1">
        <v>42251</v>
      </c>
      <c r="G710">
        <v>-10389.5</v>
      </c>
      <c r="H710" s="1">
        <f t="shared" si="51"/>
        <v>42251</v>
      </c>
      <c r="I710">
        <f>IF(AND(MyRowHidden(ROW())=FALSE,MyRowHidden(ROW()-1)=TRUE),0,(E710-E709)*unitsOfDHp+I709)</f>
        <v>153450</v>
      </c>
      <c r="J710">
        <f>IF(AND(MyRowHidden(ROW())=FALSE,MyRowHidden(ROW()-1)=TRUE),0,(G710-G709)*unitsOfExo+J709)</f>
        <v>-150280</v>
      </c>
      <c r="K710" s="9">
        <f t="shared" si="52"/>
        <v>150280</v>
      </c>
      <c r="L710">
        <f t="shared" si="53"/>
        <v>-98268.758506938466</v>
      </c>
      <c r="M710">
        <f>IF(AND(MyRowHidden(ROW())=FALSE,MyRowHidden(ROW()-1)=TRUE),0,(G710-G709)*unitsFuturesCompare+M709)</f>
        <v>-300560</v>
      </c>
      <c r="N710">
        <f>IF(MyRowHidden(ROW())=TRUE,0,L710-M710)</f>
        <v>202291.24149306153</v>
      </c>
      <c r="O710">
        <f>MAX(N$12:N710)</f>
        <v>202877.51701387687</v>
      </c>
      <c r="P710">
        <f>IF(O710&gt;O709,(O710-O709)*percentSavingsParticipation,0)</f>
        <v>0</v>
      </c>
      <c r="Q710">
        <f t="shared" si="54"/>
        <v>101438.75850693844</v>
      </c>
      <c r="R710">
        <f t="shared" si="55"/>
        <v>3170</v>
      </c>
    </row>
    <row r="711" spans="1:18" x14ac:dyDescent="0.25">
      <c r="A711" s="1"/>
      <c r="C711" s="1"/>
      <c r="D711" s="1">
        <v>42254</v>
      </c>
      <c r="E711" s="10">
        <v>44445</v>
      </c>
      <c r="F711" s="1">
        <v>42254</v>
      </c>
      <c r="G711">
        <v>-10414.5</v>
      </c>
      <c r="H711" s="1">
        <f t="shared" si="51"/>
        <v>42254</v>
      </c>
      <c r="I711">
        <f>IF(AND(MyRowHidden(ROW())=FALSE,MyRowHidden(ROW()-1)=TRUE),0,(E711-E710)*unitsOfDHp+I710)</f>
        <v>154200</v>
      </c>
      <c r="J711">
        <f>IF(AND(MyRowHidden(ROW())=FALSE,MyRowHidden(ROW()-1)=TRUE),0,(G711-G710)*unitsOfExo+J710)</f>
        <v>-150530</v>
      </c>
      <c r="K711" s="9">
        <f t="shared" si="52"/>
        <v>150530</v>
      </c>
      <c r="L711">
        <f t="shared" si="53"/>
        <v>-97768.758506938466</v>
      </c>
      <c r="M711">
        <f>IF(AND(MyRowHidden(ROW())=FALSE,MyRowHidden(ROW()-1)=TRUE),0,(G711-G710)*unitsFuturesCompare+M710)</f>
        <v>-301060</v>
      </c>
      <c r="N711">
        <f>IF(MyRowHidden(ROW())=TRUE,0,L711-M711)</f>
        <v>203291.24149306153</v>
      </c>
      <c r="O711">
        <f>MAX(N$12:N711)</f>
        <v>203291.24149306153</v>
      </c>
      <c r="P711">
        <f>IF(O711&gt;O710,(O711-O710)*percentSavingsParticipation,0)</f>
        <v>206.8622395923303</v>
      </c>
      <c r="Q711">
        <f t="shared" si="54"/>
        <v>101645.62074653077</v>
      </c>
      <c r="R711">
        <f t="shared" si="55"/>
        <v>3670</v>
      </c>
    </row>
    <row r="712" spans="1:18" x14ac:dyDescent="0.25">
      <c r="A712" s="1"/>
      <c r="C712" s="1"/>
      <c r="D712" s="1">
        <v>42255</v>
      </c>
      <c r="E712" s="10">
        <v>44520</v>
      </c>
      <c r="F712" s="1">
        <v>42255</v>
      </c>
      <c r="G712">
        <v>-10239.5</v>
      </c>
      <c r="H712" s="1">
        <f t="shared" si="51"/>
        <v>42255</v>
      </c>
      <c r="I712">
        <f>IF(AND(MyRowHidden(ROW())=FALSE,MyRowHidden(ROW()-1)=TRUE),0,(E712-E711)*unitsOfDHp+I711)</f>
        <v>154950</v>
      </c>
      <c r="J712">
        <f>IF(AND(MyRowHidden(ROW())=FALSE,MyRowHidden(ROW()-1)=TRUE),0,(G712-G711)*unitsOfExo+J711)</f>
        <v>-148780</v>
      </c>
      <c r="K712" s="9">
        <f t="shared" si="52"/>
        <v>148780</v>
      </c>
      <c r="L712">
        <f t="shared" si="53"/>
        <v>-95475.620746530796</v>
      </c>
      <c r="M712">
        <f>IF(AND(MyRowHidden(ROW())=FALSE,MyRowHidden(ROW()-1)=TRUE),0,(G712-G711)*unitsFuturesCompare+M711)</f>
        <v>-297560</v>
      </c>
      <c r="N712">
        <f>IF(MyRowHidden(ROW())=TRUE,0,L712-M712)</f>
        <v>202084.3792534692</v>
      </c>
      <c r="O712">
        <f>MAX(N$12:N712)</f>
        <v>203291.24149306153</v>
      </c>
      <c r="P712">
        <f>IF(O712&gt;O711,(O712-O711)*percentSavingsParticipation,0)</f>
        <v>0</v>
      </c>
      <c r="Q712">
        <f t="shared" si="54"/>
        <v>101645.62074653077</v>
      </c>
      <c r="R712">
        <f t="shared" si="55"/>
        <v>6170</v>
      </c>
    </row>
    <row r="713" spans="1:18" x14ac:dyDescent="0.25">
      <c r="A713" s="1"/>
      <c r="C713" s="1"/>
      <c r="D713" s="1">
        <v>42256</v>
      </c>
      <c r="E713" s="10">
        <v>44482.5</v>
      </c>
      <c r="F713" s="1">
        <v>42256</v>
      </c>
      <c r="G713">
        <v>-10089.5</v>
      </c>
      <c r="H713" s="1">
        <f t="shared" si="51"/>
        <v>42256</v>
      </c>
      <c r="I713">
        <f>IF(AND(MyRowHidden(ROW())=FALSE,MyRowHidden(ROW()-1)=TRUE),0,(E713-E712)*unitsOfDHp+I712)</f>
        <v>154575</v>
      </c>
      <c r="J713">
        <f>IF(AND(MyRowHidden(ROW())=FALSE,MyRowHidden(ROW()-1)=TRUE),0,(G713-G712)*unitsOfExo+J712)</f>
        <v>-147280</v>
      </c>
      <c r="K713" s="9">
        <f t="shared" si="52"/>
        <v>147280</v>
      </c>
      <c r="L713">
        <f t="shared" si="53"/>
        <v>-94350.620746530796</v>
      </c>
      <c r="M713">
        <f>IF(AND(MyRowHidden(ROW())=FALSE,MyRowHidden(ROW()-1)=TRUE),0,(G713-G712)*unitsFuturesCompare+M712)</f>
        <v>-294560</v>
      </c>
      <c r="N713">
        <f>IF(MyRowHidden(ROW())=TRUE,0,L713-M713)</f>
        <v>200209.3792534692</v>
      </c>
      <c r="O713">
        <f>MAX(N$12:N713)</f>
        <v>203291.24149306153</v>
      </c>
      <c r="P713">
        <f>IF(O713&gt;O712,(O713-O712)*percentSavingsParticipation,0)</f>
        <v>0</v>
      </c>
      <c r="Q713">
        <f t="shared" si="54"/>
        <v>101645.62074653077</v>
      </c>
      <c r="R713">
        <f t="shared" si="55"/>
        <v>7295</v>
      </c>
    </row>
    <row r="714" spans="1:18" x14ac:dyDescent="0.25">
      <c r="A714" s="1"/>
      <c r="C714" s="1"/>
      <c r="D714" s="1">
        <v>42257</v>
      </c>
      <c r="E714" s="10">
        <v>44512</v>
      </c>
      <c r="F714" s="1">
        <v>42257</v>
      </c>
      <c r="G714">
        <v>-9839.5</v>
      </c>
      <c r="H714" s="1">
        <f t="shared" si="51"/>
        <v>42257</v>
      </c>
      <c r="I714">
        <f>IF(AND(MyRowHidden(ROW())=FALSE,MyRowHidden(ROW()-1)=TRUE),0,(E714-E713)*unitsOfDHp+I713)</f>
        <v>154870</v>
      </c>
      <c r="J714">
        <f>IF(AND(MyRowHidden(ROW())=FALSE,MyRowHidden(ROW()-1)=TRUE),0,(G714-G713)*unitsOfExo+J713)</f>
        <v>-144780</v>
      </c>
      <c r="K714" s="9">
        <f t="shared" si="52"/>
        <v>144780</v>
      </c>
      <c r="L714">
        <f t="shared" si="53"/>
        <v>-91555.620746530796</v>
      </c>
      <c r="M714">
        <f>IF(AND(MyRowHidden(ROW())=FALSE,MyRowHidden(ROW()-1)=TRUE),0,(G714-G713)*unitsFuturesCompare+M713)</f>
        <v>-289560</v>
      </c>
      <c r="N714">
        <f>IF(MyRowHidden(ROW())=TRUE,0,L714-M714)</f>
        <v>198004.3792534692</v>
      </c>
      <c r="O714">
        <f>MAX(N$12:N714)</f>
        <v>203291.24149306153</v>
      </c>
      <c r="P714">
        <f>IF(O714&gt;O713,(O714-O713)*percentSavingsParticipation,0)</f>
        <v>0</v>
      </c>
      <c r="Q714">
        <f t="shared" si="54"/>
        <v>101645.62074653077</v>
      </c>
      <c r="R714">
        <f t="shared" si="55"/>
        <v>10090</v>
      </c>
    </row>
    <row r="715" spans="1:18" x14ac:dyDescent="0.25">
      <c r="A715" s="1"/>
      <c r="C715" s="1"/>
      <c r="D715" s="1">
        <v>42258</v>
      </c>
      <c r="E715" s="10">
        <v>44362</v>
      </c>
      <c r="F715" s="1">
        <v>42258</v>
      </c>
      <c r="G715">
        <v>-9352</v>
      </c>
      <c r="H715" s="1">
        <f t="shared" si="51"/>
        <v>42258</v>
      </c>
      <c r="I715">
        <f>IF(AND(MyRowHidden(ROW())=FALSE,MyRowHidden(ROW()-1)=TRUE),0,(E715-E714)*unitsOfDHp+I714)</f>
        <v>153370</v>
      </c>
      <c r="J715">
        <f>IF(AND(MyRowHidden(ROW())=FALSE,MyRowHidden(ROW()-1)=TRUE),0,(G715-G714)*unitsOfExo+J714)</f>
        <v>-139905</v>
      </c>
      <c r="K715" s="9">
        <f t="shared" si="52"/>
        <v>139905</v>
      </c>
      <c r="L715">
        <f t="shared" si="53"/>
        <v>-88180.620746530796</v>
      </c>
      <c r="M715">
        <f>IF(AND(MyRowHidden(ROW())=FALSE,MyRowHidden(ROW()-1)=TRUE),0,(G715-G714)*unitsFuturesCompare+M714)</f>
        <v>-279810</v>
      </c>
      <c r="N715">
        <f>IF(MyRowHidden(ROW())=TRUE,0,L715-M715)</f>
        <v>191629.3792534692</v>
      </c>
      <c r="O715">
        <f>MAX(N$12:N715)</f>
        <v>203291.24149306153</v>
      </c>
      <c r="P715">
        <f>IF(O715&gt;O714,(O715-O714)*percentSavingsParticipation,0)</f>
        <v>0</v>
      </c>
      <c r="Q715">
        <f t="shared" si="54"/>
        <v>101645.62074653077</v>
      </c>
      <c r="R715">
        <f t="shared" si="55"/>
        <v>13465</v>
      </c>
    </row>
    <row r="716" spans="1:18" x14ac:dyDescent="0.25">
      <c r="A716" s="1"/>
      <c r="C716" s="1"/>
      <c r="D716" s="1">
        <v>42261</v>
      </c>
      <c r="E716" s="10">
        <v>45952</v>
      </c>
      <c r="F716" s="1">
        <v>42261</v>
      </c>
      <c r="G716">
        <v>-8889.5</v>
      </c>
      <c r="H716" s="1">
        <f t="shared" si="51"/>
        <v>42261</v>
      </c>
      <c r="I716">
        <f>IF(AND(MyRowHidden(ROW())=FALSE,MyRowHidden(ROW()-1)=TRUE),0,(E716-E715)*unitsOfDHp+I715)</f>
        <v>169270</v>
      </c>
      <c r="J716">
        <f>IF(AND(MyRowHidden(ROW())=FALSE,MyRowHidden(ROW()-1)=TRUE),0,(G716-G715)*unitsOfExo+J715)</f>
        <v>-135280</v>
      </c>
      <c r="K716" s="9">
        <f t="shared" si="52"/>
        <v>135280</v>
      </c>
      <c r="L716">
        <f t="shared" si="53"/>
        <v>-67655.620746530796</v>
      </c>
      <c r="M716">
        <f>IF(AND(MyRowHidden(ROW())=FALSE,MyRowHidden(ROW()-1)=TRUE),0,(G716-G715)*unitsFuturesCompare+M715)</f>
        <v>-270560</v>
      </c>
      <c r="N716">
        <f>IF(MyRowHidden(ROW())=TRUE,0,L716-M716)</f>
        <v>202904.3792534692</v>
      </c>
      <c r="O716">
        <f>MAX(N$12:N716)</f>
        <v>203291.24149306153</v>
      </c>
      <c r="P716">
        <f>IF(O716&gt;O715,(O716-O715)*percentSavingsParticipation,0)</f>
        <v>0</v>
      </c>
      <c r="Q716">
        <f t="shared" si="54"/>
        <v>101645.62074653077</v>
      </c>
      <c r="R716">
        <f t="shared" si="55"/>
        <v>33990</v>
      </c>
    </row>
    <row r="717" spans="1:18" x14ac:dyDescent="0.25">
      <c r="A717" s="1"/>
      <c r="C717" s="1"/>
      <c r="D717" s="1">
        <v>42262</v>
      </c>
      <c r="E717" s="10">
        <v>45727</v>
      </c>
      <c r="F717" s="1">
        <v>42262</v>
      </c>
      <c r="G717">
        <v>-8989.5</v>
      </c>
      <c r="H717" s="1">
        <f t="shared" ref="H717:H780" si="56">D717</f>
        <v>42262</v>
      </c>
      <c r="I717">
        <f>IF(AND(MyRowHidden(ROW())=FALSE,MyRowHidden(ROW()-1)=TRUE),0,(E717-E716)*unitsOfDHp+I716)</f>
        <v>167020</v>
      </c>
      <c r="J717">
        <f>IF(AND(MyRowHidden(ROW())=FALSE,MyRowHidden(ROW()-1)=TRUE),0,(G717-G716)*unitsOfExo+J716)</f>
        <v>-136280</v>
      </c>
      <c r="K717" s="9">
        <f t="shared" ref="K717:K780" si="57">-(J717-J716)+K716</f>
        <v>136280</v>
      </c>
      <c r="L717">
        <f t="shared" ref="L717:L780" si="58">I717-I716+J717-J716+L716-P716</f>
        <v>-70905.620746530796</v>
      </c>
      <c r="M717">
        <f>IF(AND(MyRowHidden(ROW())=FALSE,MyRowHidden(ROW()-1)=TRUE),0,(G717-G716)*unitsFuturesCompare+M716)</f>
        <v>-272560</v>
      </c>
      <c r="N717">
        <f>IF(MyRowHidden(ROW())=TRUE,0,L717-M717)</f>
        <v>201654.3792534692</v>
      </c>
      <c r="O717">
        <f>MAX(N$12:N717)</f>
        <v>203291.24149306153</v>
      </c>
      <c r="P717">
        <f>IF(O717&gt;O716,(O717-O716)*percentSavingsParticipation,0)</f>
        <v>0</v>
      </c>
      <c r="Q717">
        <f t="shared" ref="Q717:Q780" si="59">P717+Q716</f>
        <v>101645.62074653077</v>
      </c>
      <c r="R717">
        <f t="shared" ref="R717:R780" si="60">I717+J717</f>
        <v>30740</v>
      </c>
    </row>
    <row r="718" spans="1:18" x14ac:dyDescent="0.25">
      <c r="A718" s="1"/>
      <c r="C718" s="1"/>
      <c r="D718" s="1">
        <v>42263</v>
      </c>
      <c r="E718" s="10">
        <v>45502</v>
      </c>
      <c r="F718" s="1">
        <v>42263</v>
      </c>
      <c r="G718">
        <v>-9239.5</v>
      </c>
      <c r="H718" s="1">
        <f t="shared" si="56"/>
        <v>42263</v>
      </c>
      <c r="I718">
        <f>IF(AND(MyRowHidden(ROW())=FALSE,MyRowHidden(ROW()-1)=TRUE),0,(E718-E717)*unitsOfDHp+I717)</f>
        <v>164770</v>
      </c>
      <c r="J718">
        <f>IF(AND(MyRowHidden(ROW())=FALSE,MyRowHidden(ROW()-1)=TRUE),0,(G718-G717)*unitsOfExo+J717)</f>
        <v>-138780</v>
      </c>
      <c r="K718" s="9">
        <f t="shared" si="57"/>
        <v>138780</v>
      </c>
      <c r="L718">
        <f t="shared" si="58"/>
        <v>-75655.620746530796</v>
      </c>
      <c r="M718">
        <f>IF(AND(MyRowHidden(ROW())=FALSE,MyRowHidden(ROW()-1)=TRUE),0,(G718-G717)*unitsFuturesCompare+M717)</f>
        <v>-277560</v>
      </c>
      <c r="N718">
        <f>IF(MyRowHidden(ROW())=TRUE,0,L718-M718)</f>
        <v>201904.3792534692</v>
      </c>
      <c r="O718">
        <f>MAX(N$12:N718)</f>
        <v>203291.24149306153</v>
      </c>
      <c r="P718">
        <f>IF(O718&gt;O717,(O718-O717)*percentSavingsParticipation,0)</f>
        <v>0</v>
      </c>
      <c r="Q718">
        <f t="shared" si="59"/>
        <v>101645.62074653077</v>
      </c>
      <c r="R718">
        <f t="shared" si="60"/>
        <v>25990</v>
      </c>
    </row>
    <row r="719" spans="1:18" x14ac:dyDescent="0.25">
      <c r="A719" s="1"/>
      <c r="C719" s="1"/>
      <c r="D719" s="1">
        <v>42264</v>
      </c>
      <c r="E719" s="10">
        <v>45128</v>
      </c>
      <c r="F719" s="1">
        <v>42264</v>
      </c>
      <c r="G719">
        <v>-9464.5</v>
      </c>
      <c r="H719" s="1">
        <f t="shared" si="56"/>
        <v>42264</v>
      </c>
      <c r="I719">
        <f>IF(AND(MyRowHidden(ROW())=FALSE,MyRowHidden(ROW()-1)=TRUE),0,(E719-E718)*unitsOfDHp+I718)</f>
        <v>161030</v>
      </c>
      <c r="J719">
        <f>IF(AND(MyRowHidden(ROW())=FALSE,MyRowHidden(ROW()-1)=TRUE),0,(G719-G718)*unitsOfExo+J718)</f>
        <v>-141030</v>
      </c>
      <c r="K719" s="9">
        <f t="shared" si="57"/>
        <v>141030</v>
      </c>
      <c r="L719">
        <f t="shared" si="58"/>
        <v>-81645.620746530796</v>
      </c>
      <c r="M719">
        <f>IF(AND(MyRowHidden(ROW())=FALSE,MyRowHidden(ROW()-1)=TRUE),0,(G719-G718)*unitsFuturesCompare+M718)</f>
        <v>-282060</v>
      </c>
      <c r="N719">
        <f>IF(MyRowHidden(ROW())=TRUE,0,L719-M719)</f>
        <v>200414.3792534692</v>
      </c>
      <c r="O719">
        <f>MAX(N$12:N719)</f>
        <v>203291.24149306153</v>
      </c>
      <c r="P719">
        <f>IF(O719&gt;O718,(O719-O718)*percentSavingsParticipation,0)</f>
        <v>0</v>
      </c>
      <c r="Q719">
        <f t="shared" si="59"/>
        <v>101645.62074653077</v>
      </c>
      <c r="R719">
        <f t="shared" si="60"/>
        <v>20000</v>
      </c>
    </row>
    <row r="720" spans="1:18" x14ac:dyDescent="0.25">
      <c r="A720" s="1"/>
      <c r="C720" s="1"/>
      <c r="D720" s="1">
        <v>42265</v>
      </c>
      <c r="E720" s="10">
        <v>44707</v>
      </c>
      <c r="F720" s="1">
        <v>42265</v>
      </c>
      <c r="G720">
        <v>-9639.5</v>
      </c>
      <c r="H720" s="1">
        <f t="shared" si="56"/>
        <v>42265</v>
      </c>
      <c r="I720">
        <f>IF(AND(MyRowHidden(ROW())=FALSE,MyRowHidden(ROW()-1)=TRUE),0,(E720-E719)*unitsOfDHp+I719)</f>
        <v>156820</v>
      </c>
      <c r="J720">
        <f>IF(AND(MyRowHidden(ROW())=FALSE,MyRowHidden(ROW()-1)=TRUE),0,(G720-G719)*unitsOfExo+J719)</f>
        <v>-142780</v>
      </c>
      <c r="K720" s="9">
        <f t="shared" si="57"/>
        <v>142780</v>
      </c>
      <c r="L720">
        <f t="shared" si="58"/>
        <v>-87605.620746530796</v>
      </c>
      <c r="M720">
        <f>IF(AND(MyRowHidden(ROW())=FALSE,MyRowHidden(ROW()-1)=TRUE),0,(G720-G719)*unitsFuturesCompare+M719)</f>
        <v>-285560</v>
      </c>
      <c r="N720">
        <f>IF(MyRowHidden(ROW())=TRUE,0,L720-M720)</f>
        <v>197954.3792534692</v>
      </c>
      <c r="O720">
        <f>MAX(N$12:N720)</f>
        <v>203291.24149306153</v>
      </c>
      <c r="P720">
        <f>IF(O720&gt;O719,(O720-O719)*percentSavingsParticipation,0)</f>
        <v>0</v>
      </c>
      <c r="Q720">
        <f t="shared" si="59"/>
        <v>101645.62074653077</v>
      </c>
      <c r="R720">
        <f t="shared" si="60"/>
        <v>14040</v>
      </c>
    </row>
    <row r="721" spans="1:18" x14ac:dyDescent="0.25">
      <c r="A721" s="1"/>
      <c r="C721" s="1"/>
      <c r="D721" s="1">
        <v>42268</v>
      </c>
      <c r="E721" s="10">
        <v>45032</v>
      </c>
      <c r="F721" s="1">
        <v>42268</v>
      </c>
      <c r="G721">
        <v>-9339.5</v>
      </c>
      <c r="H721" s="1">
        <f t="shared" si="56"/>
        <v>42268</v>
      </c>
      <c r="I721">
        <f>IF(AND(MyRowHidden(ROW())=FALSE,MyRowHidden(ROW()-1)=TRUE),0,(E721-E720)*unitsOfDHp+I720)</f>
        <v>160070</v>
      </c>
      <c r="J721">
        <f>IF(AND(MyRowHidden(ROW())=FALSE,MyRowHidden(ROW()-1)=TRUE),0,(G721-G720)*unitsOfExo+J720)</f>
        <v>-139780</v>
      </c>
      <c r="K721" s="9">
        <f t="shared" si="57"/>
        <v>139780</v>
      </c>
      <c r="L721">
        <f t="shared" si="58"/>
        <v>-81355.620746530796</v>
      </c>
      <c r="M721">
        <f>IF(AND(MyRowHidden(ROW())=FALSE,MyRowHidden(ROW()-1)=TRUE),0,(G721-G720)*unitsFuturesCompare+M720)</f>
        <v>-279560</v>
      </c>
      <c r="N721">
        <f>IF(MyRowHidden(ROW())=TRUE,0,L721-M721)</f>
        <v>198204.3792534692</v>
      </c>
      <c r="O721">
        <f>MAX(N$12:N721)</f>
        <v>203291.24149306153</v>
      </c>
      <c r="P721">
        <f>IF(O721&gt;O720,(O721-O720)*percentSavingsParticipation,0)</f>
        <v>0</v>
      </c>
      <c r="Q721">
        <f t="shared" si="59"/>
        <v>101645.62074653077</v>
      </c>
      <c r="R721">
        <f t="shared" si="60"/>
        <v>20290</v>
      </c>
    </row>
    <row r="722" spans="1:18" x14ac:dyDescent="0.25">
      <c r="A722" s="1"/>
      <c r="C722" s="1"/>
      <c r="D722" s="1">
        <v>42269</v>
      </c>
      <c r="E722" s="10">
        <v>44857</v>
      </c>
      <c r="F722" s="1">
        <v>42269</v>
      </c>
      <c r="G722">
        <v>-9552</v>
      </c>
      <c r="H722" s="1">
        <f t="shared" si="56"/>
        <v>42269</v>
      </c>
      <c r="I722">
        <f>IF(AND(MyRowHidden(ROW())=FALSE,MyRowHidden(ROW()-1)=TRUE),0,(E722-E721)*unitsOfDHp+I721)</f>
        <v>158320</v>
      </c>
      <c r="J722">
        <f>IF(AND(MyRowHidden(ROW())=FALSE,MyRowHidden(ROW()-1)=TRUE),0,(G722-G721)*unitsOfExo+J721)</f>
        <v>-141905</v>
      </c>
      <c r="K722" s="9">
        <f t="shared" si="57"/>
        <v>141905</v>
      </c>
      <c r="L722">
        <f t="shared" si="58"/>
        <v>-85230.620746530796</v>
      </c>
      <c r="M722">
        <f>IF(AND(MyRowHidden(ROW())=FALSE,MyRowHidden(ROW()-1)=TRUE),0,(G722-G721)*unitsFuturesCompare+M721)</f>
        <v>-283810</v>
      </c>
      <c r="N722">
        <f>IF(MyRowHidden(ROW())=TRUE,0,L722-M722)</f>
        <v>198579.3792534692</v>
      </c>
      <c r="O722">
        <f>MAX(N$12:N722)</f>
        <v>203291.24149306153</v>
      </c>
      <c r="P722">
        <f>IF(O722&gt;O721,(O722-O721)*percentSavingsParticipation,0)</f>
        <v>0</v>
      </c>
      <c r="Q722">
        <f t="shared" si="59"/>
        <v>101645.62074653077</v>
      </c>
      <c r="R722">
        <f t="shared" si="60"/>
        <v>16415</v>
      </c>
    </row>
    <row r="723" spans="1:18" x14ac:dyDescent="0.25">
      <c r="A723" s="1"/>
      <c r="C723" s="1"/>
      <c r="D723" s="1">
        <v>42270</v>
      </c>
      <c r="E723" s="10">
        <v>45033</v>
      </c>
      <c r="F723" s="1">
        <v>42270</v>
      </c>
      <c r="G723">
        <v>-9427</v>
      </c>
      <c r="H723" s="1">
        <f t="shared" si="56"/>
        <v>42270</v>
      </c>
      <c r="I723">
        <f>IF(AND(MyRowHidden(ROW())=FALSE,MyRowHidden(ROW()-1)=TRUE),0,(E723-E722)*unitsOfDHp+I722)</f>
        <v>160080</v>
      </c>
      <c r="J723">
        <f>IF(AND(MyRowHidden(ROW())=FALSE,MyRowHidden(ROW()-1)=TRUE),0,(G723-G722)*unitsOfExo+J722)</f>
        <v>-140655</v>
      </c>
      <c r="K723" s="9">
        <f t="shared" si="57"/>
        <v>140655</v>
      </c>
      <c r="L723">
        <f t="shared" si="58"/>
        <v>-82220.620746530796</v>
      </c>
      <c r="M723">
        <f>IF(AND(MyRowHidden(ROW())=FALSE,MyRowHidden(ROW()-1)=TRUE),0,(G723-G722)*unitsFuturesCompare+M722)</f>
        <v>-281310</v>
      </c>
      <c r="N723">
        <f>IF(MyRowHidden(ROW())=TRUE,0,L723-M723)</f>
        <v>199089.3792534692</v>
      </c>
      <c r="O723">
        <f>MAX(N$12:N723)</f>
        <v>203291.24149306153</v>
      </c>
      <c r="P723">
        <f>IF(O723&gt;O722,(O723-O722)*percentSavingsParticipation,0)</f>
        <v>0</v>
      </c>
      <c r="Q723">
        <f t="shared" si="59"/>
        <v>101645.62074653077</v>
      </c>
      <c r="R723">
        <f t="shared" si="60"/>
        <v>19425</v>
      </c>
    </row>
    <row r="724" spans="1:18" x14ac:dyDescent="0.25">
      <c r="A724" s="1"/>
      <c r="C724" s="1"/>
      <c r="D724" s="1">
        <v>42271</v>
      </c>
      <c r="E724" s="10">
        <v>44920.5</v>
      </c>
      <c r="F724" s="1">
        <v>42271</v>
      </c>
      <c r="G724">
        <v>-9514.5</v>
      </c>
      <c r="H724" s="1">
        <f t="shared" si="56"/>
        <v>42271</v>
      </c>
      <c r="I724">
        <f>IF(AND(MyRowHidden(ROW())=FALSE,MyRowHidden(ROW()-1)=TRUE),0,(E724-E723)*unitsOfDHp+I723)</f>
        <v>158955</v>
      </c>
      <c r="J724">
        <f>IF(AND(MyRowHidden(ROW())=FALSE,MyRowHidden(ROW()-1)=TRUE),0,(G724-G723)*unitsOfExo+J723)</f>
        <v>-141530</v>
      </c>
      <c r="K724" s="9">
        <f t="shared" si="57"/>
        <v>141530</v>
      </c>
      <c r="L724">
        <f t="shared" si="58"/>
        <v>-84220.620746530796</v>
      </c>
      <c r="M724">
        <f>IF(AND(MyRowHidden(ROW())=FALSE,MyRowHidden(ROW()-1)=TRUE),0,(G724-G723)*unitsFuturesCompare+M723)</f>
        <v>-283060</v>
      </c>
      <c r="N724">
        <f>IF(MyRowHidden(ROW())=TRUE,0,L724-M724)</f>
        <v>198839.3792534692</v>
      </c>
      <c r="O724">
        <f>MAX(N$12:N724)</f>
        <v>203291.24149306153</v>
      </c>
      <c r="P724">
        <f>IF(O724&gt;O723,(O724-O723)*percentSavingsParticipation,0)</f>
        <v>0</v>
      </c>
      <c r="Q724">
        <f t="shared" si="59"/>
        <v>101645.62074653077</v>
      </c>
      <c r="R724">
        <f t="shared" si="60"/>
        <v>17425</v>
      </c>
    </row>
    <row r="725" spans="1:18" x14ac:dyDescent="0.25">
      <c r="A725" s="1"/>
      <c r="C725" s="1"/>
      <c r="D725" s="1">
        <v>42272</v>
      </c>
      <c r="E725" s="10">
        <v>45284</v>
      </c>
      <c r="F725" s="1">
        <v>42272</v>
      </c>
      <c r="G725">
        <v>-9139.5</v>
      </c>
      <c r="H725" s="1">
        <f t="shared" si="56"/>
        <v>42272</v>
      </c>
      <c r="I725">
        <f>IF(AND(MyRowHidden(ROW())=FALSE,MyRowHidden(ROW()-1)=TRUE),0,(E725-E724)*unitsOfDHp+I724)</f>
        <v>162590</v>
      </c>
      <c r="J725">
        <f>IF(AND(MyRowHidden(ROW())=FALSE,MyRowHidden(ROW()-1)=TRUE),0,(G725-G724)*unitsOfExo+J724)</f>
        <v>-137780</v>
      </c>
      <c r="K725" s="9">
        <f t="shared" si="57"/>
        <v>137780</v>
      </c>
      <c r="L725">
        <f t="shared" si="58"/>
        <v>-76835.620746530796</v>
      </c>
      <c r="M725">
        <f>IF(AND(MyRowHidden(ROW())=FALSE,MyRowHidden(ROW()-1)=TRUE),0,(G725-G724)*unitsFuturesCompare+M724)</f>
        <v>-275560</v>
      </c>
      <c r="N725">
        <f>IF(MyRowHidden(ROW())=TRUE,0,L725-M725)</f>
        <v>198724.3792534692</v>
      </c>
      <c r="O725">
        <f>MAX(N$12:N725)</f>
        <v>203291.24149306153</v>
      </c>
      <c r="P725">
        <f>IF(O725&gt;O724,(O725-O724)*percentSavingsParticipation,0)</f>
        <v>0</v>
      </c>
      <c r="Q725">
        <f t="shared" si="59"/>
        <v>101645.62074653077</v>
      </c>
      <c r="R725">
        <f t="shared" si="60"/>
        <v>24810</v>
      </c>
    </row>
    <row r="726" spans="1:18" x14ac:dyDescent="0.25">
      <c r="A726" s="1"/>
      <c r="C726" s="1"/>
      <c r="D726" s="1">
        <v>42275</v>
      </c>
      <c r="E726" s="10">
        <v>45209</v>
      </c>
      <c r="F726" s="1">
        <v>42275</v>
      </c>
      <c r="G726">
        <v>-9239.5</v>
      </c>
      <c r="H726" s="1">
        <f t="shared" si="56"/>
        <v>42275</v>
      </c>
      <c r="I726">
        <f>IF(AND(MyRowHidden(ROW())=FALSE,MyRowHidden(ROW()-1)=TRUE),0,(E726-E725)*unitsOfDHp+I725)</f>
        <v>161840</v>
      </c>
      <c r="J726">
        <f>IF(AND(MyRowHidden(ROW())=FALSE,MyRowHidden(ROW()-1)=TRUE),0,(G726-G725)*unitsOfExo+J725)</f>
        <v>-138780</v>
      </c>
      <c r="K726" s="9">
        <f t="shared" si="57"/>
        <v>138780</v>
      </c>
      <c r="L726">
        <f t="shared" si="58"/>
        <v>-78585.620746530796</v>
      </c>
      <c r="M726">
        <f>IF(AND(MyRowHidden(ROW())=FALSE,MyRowHidden(ROW()-1)=TRUE),0,(G726-G725)*unitsFuturesCompare+M725)</f>
        <v>-277560</v>
      </c>
      <c r="N726">
        <f>IF(MyRowHidden(ROW())=TRUE,0,L726-M726)</f>
        <v>198974.3792534692</v>
      </c>
      <c r="O726">
        <f>MAX(N$12:N726)</f>
        <v>203291.24149306153</v>
      </c>
      <c r="P726">
        <f>IF(O726&gt;O725,(O726-O725)*percentSavingsParticipation,0)</f>
        <v>0</v>
      </c>
      <c r="Q726">
        <f t="shared" si="59"/>
        <v>101645.62074653077</v>
      </c>
      <c r="R726">
        <f t="shared" si="60"/>
        <v>23060</v>
      </c>
    </row>
    <row r="727" spans="1:18" x14ac:dyDescent="0.25">
      <c r="A727" s="1"/>
      <c r="C727" s="1"/>
      <c r="D727" s="1">
        <v>42276</v>
      </c>
      <c r="E727" s="10">
        <v>45309</v>
      </c>
      <c r="F727" s="1">
        <v>42276</v>
      </c>
      <c r="G727">
        <v>-9114.5</v>
      </c>
      <c r="H727" s="1">
        <f t="shared" si="56"/>
        <v>42276</v>
      </c>
      <c r="I727">
        <f>IF(AND(MyRowHidden(ROW())=FALSE,MyRowHidden(ROW()-1)=TRUE),0,(E727-E726)*unitsOfDHp+I726)</f>
        <v>162840</v>
      </c>
      <c r="J727">
        <f>IF(AND(MyRowHidden(ROW())=FALSE,MyRowHidden(ROW()-1)=TRUE),0,(G727-G726)*unitsOfExo+J726)</f>
        <v>-137530</v>
      </c>
      <c r="K727" s="9">
        <f t="shared" si="57"/>
        <v>137530</v>
      </c>
      <c r="L727">
        <f t="shared" si="58"/>
        <v>-76335.620746530796</v>
      </c>
      <c r="M727">
        <f>IF(AND(MyRowHidden(ROW())=FALSE,MyRowHidden(ROW()-1)=TRUE),0,(G727-G726)*unitsFuturesCompare+M726)</f>
        <v>-275060</v>
      </c>
      <c r="N727">
        <f>IF(MyRowHidden(ROW())=TRUE,0,L727-M727)</f>
        <v>198724.3792534692</v>
      </c>
      <c r="O727">
        <f>MAX(N$12:N727)</f>
        <v>203291.24149306153</v>
      </c>
      <c r="P727">
        <f>IF(O727&gt;O726,(O727-O726)*percentSavingsParticipation,0)</f>
        <v>0</v>
      </c>
      <c r="Q727">
        <f t="shared" si="59"/>
        <v>101645.62074653077</v>
      </c>
      <c r="R727">
        <f t="shared" si="60"/>
        <v>25310</v>
      </c>
    </row>
    <row r="728" spans="1:18" x14ac:dyDescent="0.25">
      <c r="A728" s="1"/>
      <c r="C728" s="1"/>
      <c r="D728" s="1">
        <v>42277</v>
      </c>
      <c r="E728" s="10">
        <v>45409</v>
      </c>
      <c r="F728" s="1">
        <v>42277</v>
      </c>
      <c r="G728">
        <v>-9277</v>
      </c>
      <c r="H728" s="1">
        <f t="shared" si="56"/>
        <v>42277</v>
      </c>
      <c r="I728">
        <f>IF(AND(MyRowHidden(ROW())=FALSE,MyRowHidden(ROW()-1)=TRUE),0,(E728-E727)*unitsOfDHp+I727)</f>
        <v>163840</v>
      </c>
      <c r="J728">
        <f>IF(AND(MyRowHidden(ROW())=FALSE,MyRowHidden(ROW()-1)=TRUE),0,(G728-G727)*unitsOfExo+J727)</f>
        <v>-139155</v>
      </c>
      <c r="K728" s="9">
        <f t="shared" si="57"/>
        <v>139155</v>
      </c>
      <c r="L728">
        <f t="shared" si="58"/>
        <v>-76960.620746530796</v>
      </c>
      <c r="M728">
        <f>IF(AND(MyRowHidden(ROW())=FALSE,MyRowHidden(ROW()-1)=TRUE),0,(G728-G727)*unitsFuturesCompare+M727)</f>
        <v>-278310</v>
      </c>
      <c r="N728">
        <f>IF(MyRowHidden(ROW())=TRUE,0,L728-M728)</f>
        <v>201349.3792534692</v>
      </c>
      <c r="O728">
        <f>MAX(N$12:N728)</f>
        <v>203291.24149306153</v>
      </c>
      <c r="P728">
        <f>IF(O728&gt;O727,(O728-O727)*percentSavingsParticipation,0)</f>
        <v>0</v>
      </c>
      <c r="Q728">
        <f t="shared" si="59"/>
        <v>101645.62074653077</v>
      </c>
      <c r="R728">
        <f t="shared" si="60"/>
        <v>24685</v>
      </c>
    </row>
    <row r="729" spans="1:18" x14ac:dyDescent="0.25">
      <c r="A729" s="1"/>
      <c r="C729" s="1"/>
      <c r="D729" s="1">
        <v>42278</v>
      </c>
      <c r="E729" s="10">
        <v>45871.5</v>
      </c>
      <c r="F729" s="1">
        <v>42278</v>
      </c>
      <c r="G729">
        <v>-9039.5</v>
      </c>
      <c r="H729" s="1">
        <f t="shared" si="56"/>
        <v>42278</v>
      </c>
      <c r="I729">
        <f>IF(AND(MyRowHidden(ROW())=FALSE,MyRowHidden(ROW()-1)=TRUE),0,(E729-E728)*unitsOfDHp+I728)</f>
        <v>168465</v>
      </c>
      <c r="J729">
        <f>IF(AND(MyRowHidden(ROW())=FALSE,MyRowHidden(ROW()-1)=TRUE),0,(G729-G728)*unitsOfExo+J728)</f>
        <v>-136780</v>
      </c>
      <c r="K729" s="9">
        <f t="shared" si="57"/>
        <v>136780</v>
      </c>
      <c r="L729">
        <f t="shared" si="58"/>
        <v>-69960.620746530796</v>
      </c>
      <c r="M729">
        <f>IF(AND(MyRowHidden(ROW())=FALSE,MyRowHidden(ROW()-1)=TRUE),0,(G729-G728)*unitsFuturesCompare+M728)</f>
        <v>-273560</v>
      </c>
      <c r="N729">
        <f>IF(MyRowHidden(ROW())=TRUE,0,L729-M729)</f>
        <v>203599.3792534692</v>
      </c>
      <c r="O729">
        <f>MAX(N$12:N729)</f>
        <v>203599.3792534692</v>
      </c>
      <c r="P729">
        <f>IF(O729&gt;O728,(O729-O728)*percentSavingsParticipation,0)</f>
        <v>154.06888020383485</v>
      </c>
      <c r="Q729">
        <f t="shared" si="59"/>
        <v>101799.6896267346</v>
      </c>
      <c r="R729">
        <f t="shared" si="60"/>
        <v>31685</v>
      </c>
    </row>
    <row r="730" spans="1:18" x14ac:dyDescent="0.25">
      <c r="A730" s="1"/>
      <c r="C730" s="1"/>
      <c r="D730" s="1">
        <v>42279</v>
      </c>
      <c r="E730" s="10">
        <v>45935</v>
      </c>
      <c r="F730" s="1">
        <v>42279</v>
      </c>
      <c r="G730">
        <v>-9039.5</v>
      </c>
      <c r="H730" s="1">
        <f t="shared" si="56"/>
        <v>42279</v>
      </c>
      <c r="I730">
        <f>IF(AND(MyRowHidden(ROW())=FALSE,MyRowHidden(ROW()-1)=TRUE),0,(E730-E729)*unitsOfDHp+I729)</f>
        <v>169100</v>
      </c>
      <c r="J730">
        <f>IF(AND(MyRowHidden(ROW())=FALSE,MyRowHidden(ROW()-1)=TRUE),0,(G730-G729)*unitsOfExo+J729)</f>
        <v>-136780</v>
      </c>
      <c r="K730" s="9">
        <f t="shared" si="57"/>
        <v>136780</v>
      </c>
      <c r="L730">
        <f t="shared" si="58"/>
        <v>-69479.689626734631</v>
      </c>
      <c r="M730">
        <f>IF(AND(MyRowHidden(ROW())=FALSE,MyRowHidden(ROW()-1)=TRUE),0,(G730-G729)*unitsFuturesCompare+M729)</f>
        <v>-273560</v>
      </c>
      <c r="N730">
        <f>IF(MyRowHidden(ROW())=TRUE,0,L730-M730)</f>
        <v>204080.31037326535</v>
      </c>
      <c r="O730">
        <f>MAX(N$12:N730)</f>
        <v>204080.31037326535</v>
      </c>
      <c r="P730">
        <f>IF(O730&gt;O729,(O730-O729)*percentSavingsParticipation,0)</f>
        <v>240.4655598980753</v>
      </c>
      <c r="Q730">
        <f t="shared" si="59"/>
        <v>102040.15518663268</v>
      </c>
      <c r="R730">
        <f t="shared" si="60"/>
        <v>32320</v>
      </c>
    </row>
    <row r="731" spans="1:18" x14ac:dyDescent="0.25">
      <c r="A731" s="1"/>
      <c r="C731" s="1"/>
      <c r="D731" s="1">
        <v>42282</v>
      </c>
      <c r="E731" s="10">
        <v>46372.5</v>
      </c>
      <c r="F731" s="1">
        <v>42282</v>
      </c>
      <c r="G731">
        <v>-8902</v>
      </c>
      <c r="H731" s="1">
        <f t="shared" si="56"/>
        <v>42282</v>
      </c>
      <c r="I731">
        <f>IF(AND(MyRowHidden(ROW())=FALSE,MyRowHidden(ROW()-1)=TRUE),0,(E731-E730)*unitsOfDHp+I730)</f>
        <v>173475</v>
      </c>
      <c r="J731">
        <f>IF(AND(MyRowHidden(ROW())=FALSE,MyRowHidden(ROW()-1)=TRUE),0,(G731-G730)*unitsOfExo+J730)</f>
        <v>-135405</v>
      </c>
      <c r="K731" s="9">
        <f t="shared" si="57"/>
        <v>135405</v>
      </c>
      <c r="L731">
        <f t="shared" si="58"/>
        <v>-63970.155186632706</v>
      </c>
      <c r="M731">
        <f>IF(AND(MyRowHidden(ROW())=FALSE,MyRowHidden(ROW()-1)=TRUE),0,(G731-G730)*unitsFuturesCompare+M730)</f>
        <v>-270810</v>
      </c>
      <c r="N731">
        <f>IF(MyRowHidden(ROW())=TRUE,0,L731-M731)</f>
        <v>206839.84481336729</v>
      </c>
      <c r="O731">
        <f>MAX(N$12:N731)</f>
        <v>206839.84481336729</v>
      </c>
      <c r="P731">
        <f>IF(O731&gt;O730,(O731-O730)*percentSavingsParticipation,0)</f>
        <v>1379.7672200509696</v>
      </c>
      <c r="Q731">
        <f t="shared" si="59"/>
        <v>103419.92240668365</v>
      </c>
      <c r="R731">
        <f t="shared" si="60"/>
        <v>38070</v>
      </c>
    </row>
    <row r="732" spans="1:18" x14ac:dyDescent="0.25">
      <c r="A732" s="1"/>
      <c r="C732" s="1"/>
      <c r="D732" s="1">
        <v>42283</v>
      </c>
      <c r="E732" s="10">
        <v>46413</v>
      </c>
      <c r="F732" s="1">
        <v>42283</v>
      </c>
      <c r="G732">
        <v>-8664.5</v>
      </c>
      <c r="H732" s="1">
        <f t="shared" si="56"/>
        <v>42283</v>
      </c>
      <c r="I732">
        <f>IF(AND(MyRowHidden(ROW())=FALSE,MyRowHidden(ROW()-1)=TRUE),0,(E732-E731)*unitsOfDHp+I731)</f>
        <v>173880</v>
      </c>
      <c r="J732">
        <f>IF(AND(MyRowHidden(ROW())=FALSE,MyRowHidden(ROW()-1)=TRUE),0,(G732-G731)*unitsOfExo+J731)</f>
        <v>-133030</v>
      </c>
      <c r="K732" s="9">
        <f t="shared" si="57"/>
        <v>133030</v>
      </c>
      <c r="L732">
        <f t="shared" si="58"/>
        <v>-62569.922406683676</v>
      </c>
      <c r="M732">
        <f>IF(AND(MyRowHidden(ROW())=FALSE,MyRowHidden(ROW()-1)=TRUE),0,(G732-G731)*unitsFuturesCompare+M731)</f>
        <v>-266060</v>
      </c>
      <c r="N732">
        <f>IF(MyRowHidden(ROW())=TRUE,0,L732-M732)</f>
        <v>203490.07759331632</v>
      </c>
      <c r="O732">
        <f>MAX(N$12:N732)</f>
        <v>206839.84481336729</v>
      </c>
      <c r="P732">
        <f>IF(O732&gt;O731,(O732-O731)*percentSavingsParticipation,0)</f>
        <v>0</v>
      </c>
      <c r="Q732">
        <f t="shared" si="59"/>
        <v>103419.92240668365</v>
      </c>
      <c r="R732">
        <f t="shared" si="60"/>
        <v>40850</v>
      </c>
    </row>
    <row r="733" spans="1:18" x14ac:dyDescent="0.25">
      <c r="A733" s="1"/>
      <c r="C733" s="1"/>
      <c r="D733" s="1">
        <v>42284</v>
      </c>
      <c r="E733" s="10">
        <v>46313</v>
      </c>
      <c r="F733" s="1">
        <v>42284</v>
      </c>
      <c r="G733">
        <v>-8752</v>
      </c>
      <c r="H733" s="1">
        <f t="shared" si="56"/>
        <v>42284</v>
      </c>
      <c r="I733">
        <f>IF(AND(MyRowHidden(ROW())=FALSE,MyRowHidden(ROW()-1)=TRUE),0,(E733-E732)*unitsOfDHp+I732)</f>
        <v>172880</v>
      </c>
      <c r="J733">
        <f>IF(AND(MyRowHidden(ROW())=FALSE,MyRowHidden(ROW()-1)=TRUE),0,(G733-G732)*unitsOfExo+J732)</f>
        <v>-133905</v>
      </c>
      <c r="K733" s="9">
        <f t="shared" si="57"/>
        <v>133905</v>
      </c>
      <c r="L733">
        <f t="shared" si="58"/>
        <v>-64444.922406683676</v>
      </c>
      <c r="M733">
        <f>IF(AND(MyRowHidden(ROW())=FALSE,MyRowHidden(ROW()-1)=TRUE),0,(G733-G732)*unitsFuturesCompare+M732)</f>
        <v>-267810</v>
      </c>
      <c r="N733">
        <f>IF(MyRowHidden(ROW())=TRUE,0,L733-M733)</f>
        <v>203365.07759331632</v>
      </c>
      <c r="O733">
        <f>MAX(N$12:N733)</f>
        <v>206839.84481336729</v>
      </c>
      <c r="P733">
        <f>IF(O733&gt;O732,(O733-O732)*percentSavingsParticipation,0)</f>
        <v>0</v>
      </c>
      <c r="Q733">
        <f t="shared" si="59"/>
        <v>103419.92240668365</v>
      </c>
      <c r="R733">
        <f t="shared" si="60"/>
        <v>38975</v>
      </c>
    </row>
    <row r="734" spans="1:18" x14ac:dyDescent="0.25">
      <c r="A734" s="1"/>
      <c r="C734" s="1"/>
      <c r="D734" s="1">
        <v>42285</v>
      </c>
      <c r="E734" s="10">
        <v>45866</v>
      </c>
      <c r="F734" s="1">
        <v>42285</v>
      </c>
      <c r="G734">
        <v>-8952</v>
      </c>
      <c r="H734" s="1">
        <f t="shared" si="56"/>
        <v>42285</v>
      </c>
      <c r="I734">
        <f>IF(AND(MyRowHidden(ROW())=FALSE,MyRowHidden(ROW()-1)=TRUE),0,(E734-E733)*unitsOfDHp+I733)</f>
        <v>168410</v>
      </c>
      <c r="J734">
        <f>IF(AND(MyRowHidden(ROW())=FALSE,MyRowHidden(ROW()-1)=TRUE),0,(G734-G733)*unitsOfExo+J733)</f>
        <v>-135905</v>
      </c>
      <c r="K734" s="9">
        <f t="shared" si="57"/>
        <v>135905</v>
      </c>
      <c r="L734">
        <f t="shared" si="58"/>
        <v>-70914.922406683676</v>
      </c>
      <c r="M734">
        <f>IF(AND(MyRowHidden(ROW())=FALSE,MyRowHidden(ROW()-1)=TRUE),0,(G734-G733)*unitsFuturesCompare+M733)</f>
        <v>-271810</v>
      </c>
      <c r="N734">
        <f>IF(MyRowHidden(ROW())=TRUE,0,L734-M734)</f>
        <v>200895.07759331632</v>
      </c>
      <c r="O734">
        <f>MAX(N$12:N734)</f>
        <v>206839.84481336729</v>
      </c>
      <c r="P734">
        <f>IF(O734&gt;O733,(O734-O733)*percentSavingsParticipation,0)</f>
        <v>0</v>
      </c>
      <c r="Q734">
        <f t="shared" si="59"/>
        <v>103419.92240668365</v>
      </c>
      <c r="R734">
        <f t="shared" si="60"/>
        <v>32505</v>
      </c>
    </row>
    <row r="735" spans="1:18" x14ac:dyDescent="0.25">
      <c r="A735" s="1"/>
      <c r="C735" s="1"/>
      <c r="D735" s="1">
        <v>42286</v>
      </c>
      <c r="E735" s="10">
        <v>44734</v>
      </c>
      <c r="F735" s="1">
        <v>42286</v>
      </c>
      <c r="G735">
        <v>-9277</v>
      </c>
      <c r="H735" s="1">
        <f t="shared" si="56"/>
        <v>42286</v>
      </c>
      <c r="I735">
        <f>IF(AND(MyRowHidden(ROW())=FALSE,MyRowHidden(ROW()-1)=TRUE),0,(E735-E734)*unitsOfDHp+I734)</f>
        <v>157090</v>
      </c>
      <c r="J735">
        <f>IF(AND(MyRowHidden(ROW())=FALSE,MyRowHidden(ROW()-1)=TRUE),0,(G735-G734)*unitsOfExo+J734)</f>
        <v>-139155</v>
      </c>
      <c r="K735" s="9">
        <f t="shared" si="57"/>
        <v>139155</v>
      </c>
      <c r="L735">
        <f t="shared" si="58"/>
        <v>-85484.922406683676</v>
      </c>
      <c r="M735">
        <f>IF(AND(MyRowHidden(ROW())=FALSE,MyRowHidden(ROW()-1)=TRUE),0,(G735-G734)*unitsFuturesCompare+M734)</f>
        <v>-278310</v>
      </c>
      <c r="N735">
        <f>IF(MyRowHidden(ROW())=TRUE,0,L735-M735)</f>
        <v>192825.07759331632</v>
      </c>
      <c r="O735">
        <f>MAX(N$12:N735)</f>
        <v>206839.84481336729</v>
      </c>
      <c r="P735">
        <f>IF(O735&gt;O734,(O735-O734)*percentSavingsParticipation,0)</f>
        <v>0</v>
      </c>
      <c r="Q735">
        <f t="shared" si="59"/>
        <v>103419.92240668365</v>
      </c>
      <c r="R735">
        <f t="shared" si="60"/>
        <v>17935</v>
      </c>
    </row>
    <row r="736" spans="1:18" x14ac:dyDescent="0.25">
      <c r="A736" s="1"/>
      <c r="C736" s="1"/>
      <c r="D736" s="1">
        <v>42289</v>
      </c>
      <c r="E736" s="10">
        <v>44862.5</v>
      </c>
      <c r="F736" s="1">
        <v>42289</v>
      </c>
      <c r="G736">
        <v>-9489.5</v>
      </c>
      <c r="H736" s="1">
        <f t="shared" si="56"/>
        <v>42289</v>
      </c>
      <c r="I736">
        <f>IF(AND(MyRowHidden(ROW())=FALSE,MyRowHidden(ROW()-1)=TRUE),0,(E736-E735)*unitsOfDHp+I735)</f>
        <v>158375</v>
      </c>
      <c r="J736">
        <f>IF(AND(MyRowHidden(ROW())=FALSE,MyRowHidden(ROW()-1)=TRUE),0,(G736-G735)*unitsOfExo+J735)</f>
        <v>-141280</v>
      </c>
      <c r="K736" s="9">
        <f t="shared" si="57"/>
        <v>141280</v>
      </c>
      <c r="L736">
        <f t="shared" si="58"/>
        <v>-86324.922406683676</v>
      </c>
      <c r="M736">
        <f>IF(AND(MyRowHidden(ROW())=FALSE,MyRowHidden(ROW()-1)=TRUE),0,(G736-G735)*unitsFuturesCompare+M735)</f>
        <v>-282560</v>
      </c>
      <c r="N736">
        <f>IF(MyRowHidden(ROW())=TRUE,0,L736-M736)</f>
        <v>196235.07759331632</v>
      </c>
      <c r="O736">
        <f>MAX(N$12:N736)</f>
        <v>206839.84481336729</v>
      </c>
      <c r="P736">
        <f>IF(O736&gt;O735,(O736-O735)*percentSavingsParticipation,0)</f>
        <v>0</v>
      </c>
      <c r="Q736">
        <f t="shared" si="59"/>
        <v>103419.92240668365</v>
      </c>
      <c r="R736">
        <f t="shared" si="60"/>
        <v>17095</v>
      </c>
    </row>
    <row r="737" spans="1:18" x14ac:dyDescent="0.25">
      <c r="A737" s="1"/>
      <c r="C737" s="1"/>
      <c r="D737" s="1">
        <v>42290</v>
      </c>
      <c r="E737" s="10">
        <v>45212.5</v>
      </c>
      <c r="F737" s="1">
        <v>42290</v>
      </c>
      <c r="G737">
        <v>-9339.5</v>
      </c>
      <c r="H737" s="1">
        <f t="shared" si="56"/>
        <v>42290</v>
      </c>
      <c r="I737">
        <f>IF(AND(MyRowHidden(ROW())=FALSE,MyRowHidden(ROW()-1)=TRUE),0,(E737-E736)*unitsOfDHp+I736)</f>
        <v>161875</v>
      </c>
      <c r="J737">
        <f>IF(AND(MyRowHidden(ROW())=FALSE,MyRowHidden(ROW()-1)=TRUE),0,(G737-G736)*unitsOfExo+J736)</f>
        <v>-139780</v>
      </c>
      <c r="K737" s="9">
        <f t="shared" si="57"/>
        <v>139780</v>
      </c>
      <c r="L737">
        <f t="shared" si="58"/>
        <v>-81324.922406683676</v>
      </c>
      <c r="M737">
        <f>IF(AND(MyRowHidden(ROW())=FALSE,MyRowHidden(ROW()-1)=TRUE),0,(G737-G736)*unitsFuturesCompare+M736)</f>
        <v>-279560</v>
      </c>
      <c r="N737">
        <f>IF(MyRowHidden(ROW())=TRUE,0,L737-M737)</f>
        <v>198235.07759331632</v>
      </c>
      <c r="O737">
        <f>MAX(N$12:N737)</f>
        <v>206839.84481336729</v>
      </c>
      <c r="P737">
        <f>IF(O737&gt;O736,(O737-O736)*percentSavingsParticipation,0)</f>
        <v>0</v>
      </c>
      <c r="Q737">
        <f t="shared" si="59"/>
        <v>103419.92240668365</v>
      </c>
      <c r="R737">
        <f t="shared" si="60"/>
        <v>22095</v>
      </c>
    </row>
    <row r="738" spans="1:18" x14ac:dyDescent="0.25">
      <c r="A738" s="1"/>
      <c r="C738" s="1"/>
      <c r="D738" s="1">
        <v>42291</v>
      </c>
      <c r="E738" s="10">
        <v>44906</v>
      </c>
      <c r="F738" s="1">
        <v>42291</v>
      </c>
      <c r="G738">
        <v>-9589.5</v>
      </c>
      <c r="H738" s="1">
        <f t="shared" si="56"/>
        <v>42291</v>
      </c>
      <c r="I738">
        <f>IF(AND(MyRowHidden(ROW())=FALSE,MyRowHidden(ROW()-1)=TRUE),0,(E738-E737)*unitsOfDHp+I737)</f>
        <v>158810</v>
      </c>
      <c r="J738">
        <f>IF(AND(MyRowHidden(ROW())=FALSE,MyRowHidden(ROW()-1)=TRUE),0,(G738-G737)*unitsOfExo+J737)</f>
        <v>-142280</v>
      </c>
      <c r="K738" s="9">
        <f t="shared" si="57"/>
        <v>142280</v>
      </c>
      <c r="L738">
        <f t="shared" si="58"/>
        <v>-86889.922406683676</v>
      </c>
      <c r="M738">
        <f>IF(AND(MyRowHidden(ROW())=FALSE,MyRowHidden(ROW()-1)=TRUE),0,(G738-G737)*unitsFuturesCompare+M737)</f>
        <v>-284560</v>
      </c>
      <c r="N738">
        <f>IF(MyRowHidden(ROW())=TRUE,0,L738-M738)</f>
        <v>197670.07759331632</v>
      </c>
      <c r="O738">
        <f>MAX(N$12:N738)</f>
        <v>206839.84481336729</v>
      </c>
      <c r="P738">
        <f>IF(O738&gt;O737,(O738-O737)*percentSavingsParticipation,0)</f>
        <v>0</v>
      </c>
      <c r="Q738">
        <f t="shared" si="59"/>
        <v>103419.92240668365</v>
      </c>
      <c r="R738">
        <f t="shared" si="60"/>
        <v>16530</v>
      </c>
    </row>
    <row r="739" spans="1:18" x14ac:dyDescent="0.25">
      <c r="A739" s="1"/>
      <c r="C739" s="1"/>
      <c r="D739" s="1">
        <v>42292</v>
      </c>
      <c r="E739" s="10">
        <v>45269</v>
      </c>
      <c r="F739" s="1">
        <v>42292</v>
      </c>
      <c r="G739">
        <v>-9764.5</v>
      </c>
      <c r="H739" s="1">
        <f t="shared" si="56"/>
        <v>42292</v>
      </c>
      <c r="I739">
        <f>IF(AND(MyRowHidden(ROW())=FALSE,MyRowHidden(ROW()-1)=TRUE),0,(E739-E738)*unitsOfDHp+I738)</f>
        <v>162440</v>
      </c>
      <c r="J739">
        <f>IF(AND(MyRowHidden(ROW())=FALSE,MyRowHidden(ROW()-1)=TRUE),0,(G739-G738)*unitsOfExo+J738)</f>
        <v>-144030</v>
      </c>
      <c r="K739" s="9">
        <f t="shared" si="57"/>
        <v>144030</v>
      </c>
      <c r="L739">
        <f t="shared" si="58"/>
        <v>-85009.922406683676</v>
      </c>
      <c r="M739">
        <f>IF(AND(MyRowHidden(ROW())=FALSE,MyRowHidden(ROW()-1)=TRUE),0,(G739-G738)*unitsFuturesCompare+M738)</f>
        <v>-288060</v>
      </c>
      <c r="N739">
        <f>IF(MyRowHidden(ROW())=TRUE,0,L739-M739)</f>
        <v>203050.07759331632</v>
      </c>
      <c r="O739">
        <f>MAX(N$12:N739)</f>
        <v>206839.84481336729</v>
      </c>
      <c r="P739">
        <f>IF(O739&gt;O738,(O739-O738)*percentSavingsParticipation,0)</f>
        <v>0</v>
      </c>
      <c r="Q739">
        <f t="shared" si="59"/>
        <v>103419.92240668365</v>
      </c>
      <c r="R739">
        <f t="shared" si="60"/>
        <v>18410</v>
      </c>
    </row>
    <row r="740" spans="1:18" x14ac:dyDescent="0.25">
      <c r="A740" s="1"/>
      <c r="C740" s="1"/>
      <c r="D740" s="1">
        <v>42293</v>
      </c>
      <c r="E740" s="10">
        <v>45056.5</v>
      </c>
      <c r="F740" s="1">
        <v>42293</v>
      </c>
      <c r="G740">
        <v>-9739.5</v>
      </c>
      <c r="H740" s="1">
        <f t="shared" si="56"/>
        <v>42293</v>
      </c>
      <c r="I740">
        <f>IF(AND(MyRowHidden(ROW())=FALSE,MyRowHidden(ROW()-1)=TRUE),0,(E740-E739)*unitsOfDHp+I739)</f>
        <v>160315</v>
      </c>
      <c r="J740">
        <f>IF(AND(MyRowHidden(ROW())=FALSE,MyRowHidden(ROW()-1)=TRUE),0,(G740-G739)*unitsOfExo+J739)</f>
        <v>-143780</v>
      </c>
      <c r="K740" s="9">
        <f t="shared" si="57"/>
        <v>143780</v>
      </c>
      <c r="L740">
        <f t="shared" si="58"/>
        <v>-86884.922406683676</v>
      </c>
      <c r="M740">
        <f>IF(AND(MyRowHidden(ROW())=FALSE,MyRowHidden(ROW()-1)=TRUE),0,(G740-G739)*unitsFuturesCompare+M739)</f>
        <v>-287560</v>
      </c>
      <c r="N740">
        <f>IF(MyRowHidden(ROW())=TRUE,0,L740-M740)</f>
        <v>200675.07759331632</v>
      </c>
      <c r="O740">
        <f>MAX(N$12:N740)</f>
        <v>206839.84481336729</v>
      </c>
      <c r="P740">
        <f>IF(O740&gt;O739,(O740-O739)*percentSavingsParticipation,0)</f>
        <v>0</v>
      </c>
      <c r="Q740">
        <f t="shared" si="59"/>
        <v>103419.92240668365</v>
      </c>
      <c r="R740">
        <f t="shared" si="60"/>
        <v>16535</v>
      </c>
    </row>
    <row r="741" spans="1:18" x14ac:dyDescent="0.25">
      <c r="A741" s="1"/>
      <c r="C741" s="1"/>
      <c r="D741" s="1">
        <v>42296</v>
      </c>
      <c r="E741" s="10">
        <v>45581.5</v>
      </c>
      <c r="F741" s="1">
        <v>42296</v>
      </c>
      <c r="G741">
        <v>-9864.5</v>
      </c>
      <c r="H741" s="1">
        <f t="shared" si="56"/>
        <v>42296</v>
      </c>
      <c r="I741">
        <f>IF(AND(MyRowHidden(ROW())=FALSE,MyRowHidden(ROW()-1)=TRUE),0,(E741-E740)*unitsOfDHp+I740)</f>
        <v>165565</v>
      </c>
      <c r="J741">
        <f>IF(AND(MyRowHidden(ROW())=FALSE,MyRowHidden(ROW()-1)=TRUE),0,(G741-G740)*unitsOfExo+J740)</f>
        <v>-145030</v>
      </c>
      <c r="K741" s="9">
        <f t="shared" si="57"/>
        <v>145030</v>
      </c>
      <c r="L741">
        <f t="shared" si="58"/>
        <v>-82884.922406683676</v>
      </c>
      <c r="M741">
        <f>IF(AND(MyRowHidden(ROW())=FALSE,MyRowHidden(ROW()-1)=TRUE),0,(G741-G740)*unitsFuturesCompare+M740)</f>
        <v>-290060</v>
      </c>
      <c r="N741">
        <f>IF(MyRowHidden(ROW())=TRUE,0,L741-M741)</f>
        <v>207175.07759331632</v>
      </c>
      <c r="O741">
        <f>MAX(N$12:N741)</f>
        <v>207175.07759331632</v>
      </c>
      <c r="P741">
        <f>IF(O741&gt;O740,(O741-O740)*percentSavingsParticipation,0)</f>
        <v>167.61638997451519</v>
      </c>
      <c r="Q741">
        <f t="shared" si="59"/>
        <v>103587.53879665816</v>
      </c>
      <c r="R741">
        <f t="shared" si="60"/>
        <v>20535</v>
      </c>
    </row>
    <row r="742" spans="1:18" x14ac:dyDescent="0.25">
      <c r="A742" s="1"/>
      <c r="C742" s="1"/>
      <c r="D742" s="1">
        <v>42297</v>
      </c>
      <c r="E742" s="10">
        <v>45306.5</v>
      </c>
      <c r="F742" s="1">
        <v>42297</v>
      </c>
      <c r="G742">
        <v>-9789.5</v>
      </c>
      <c r="H742" s="1">
        <f t="shared" si="56"/>
        <v>42297</v>
      </c>
      <c r="I742">
        <f>IF(AND(MyRowHidden(ROW())=FALSE,MyRowHidden(ROW()-1)=TRUE),0,(E742-E741)*unitsOfDHp+I741)</f>
        <v>162815</v>
      </c>
      <c r="J742">
        <f>IF(AND(MyRowHidden(ROW())=FALSE,MyRowHidden(ROW()-1)=TRUE),0,(G742-G741)*unitsOfExo+J741)</f>
        <v>-144280</v>
      </c>
      <c r="K742" s="9">
        <f t="shared" si="57"/>
        <v>144280</v>
      </c>
      <c r="L742">
        <f t="shared" si="58"/>
        <v>-85052.538796658191</v>
      </c>
      <c r="M742">
        <f>IF(AND(MyRowHidden(ROW())=FALSE,MyRowHidden(ROW()-1)=TRUE),0,(G742-G741)*unitsFuturesCompare+M741)</f>
        <v>-288560</v>
      </c>
      <c r="N742">
        <f>IF(MyRowHidden(ROW())=TRUE,0,L742-M742)</f>
        <v>203507.46120334181</v>
      </c>
      <c r="O742">
        <f>MAX(N$12:N742)</f>
        <v>207175.07759331632</v>
      </c>
      <c r="P742">
        <f>IF(O742&gt;O741,(O742-O741)*percentSavingsParticipation,0)</f>
        <v>0</v>
      </c>
      <c r="Q742">
        <f t="shared" si="59"/>
        <v>103587.53879665816</v>
      </c>
      <c r="R742">
        <f t="shared" si="60"/>
        <v>18535</v>
      </c>
    </row>
    <row r="743" spans="1:18" x14ac:dyDescent="0.25">
      <c r="A743" s="1"/>
      <c r="C743" s="1"/>
      <c r="D743" s="1">
        <v>42298</v>
      </c>
      <c r="E743" s="10">
        <v>44998</v>
      </c>
      <c r="F743" s="1">
        <v>42298</v>
      </c>
      <c r="G743">
        <v>-9527</v>
      </c>
      <c r="H743" s="1">
        <f t="shared" si="56"/>
        <v>42298</v>
      </c>
      <c r="I743">
        <f>IF(AND(MyRowHidden(ROW())=FALSE,MyRowHidden(ROW()-1)=TRUE),0,(E743-E742)*unitsOfDHp+I742)</f>
        <v>159730</v>
      </c>
      <c r="J743">
        <f>IF(AND(MyRowHidden(ROW())=FALSE,MyRowHidden(ROW()-1)=TRUE),0,(G743-G742)*unitsOfExo+J742)</f>
        <v>-141655</v>
      </c>
      <c r="K743" s="9">
        <f t="shared" si="57"/>
        <v>141655</v>
      </c>
      <c r="L743">
        <f t="shared" si="58"/>
        <v>-85512.538796658191</v>
      </c>
      <c r="M743">
        <f>IF(AND(MyRowHidden(ROW())=FALSE,MyRowHidden(ROW()-1)=TRUE),0,(G743-G742)*unitsFuturesCompare+M742)</f>
        <v>-283310</v>
      </c>
      <c r="N743">
        <f>IF(MyRowHidden(ROW())=TRUE,0,L743-M743)</f>
        <v>197797.46120334181</v>
      </c>
      <c r="O743">
        <f>MAX(N$12:N743)</f>
        <v>207175.07759331632</v>
      </c>
      <c r="P743">
        <f>IF(O743&gt;O742,(O743-O742)*percentSavingsParticipation,0)</f>
        <v>0</v>
      </c>
      <c r="Q743">
        <f t="shared" si="59"/>
        <v>103587.53879665816</v>
      </c>
      <c r="R743">
        <f t="shared" si="60"/>
        <v>18075</v>
      </c>
    </row>
    <row r="744" spans="1:18" x14ac:dyDescent="0.25">
      <c r="A744" s="1"/>
      <c r="C744" s="1"/>
      <c r="D744" s="1">
        <v>42299</v>
      </c>
      <c r="E744" s="10">
        <v>44912.5</v>
      </c>
      <c r="F744" s="1">
        <v>42299</v>
      </c>
      <c r="G744">
        <v>-9589.5</v>
      </c>
      <c r="H744" s="1">
        <f t="shared" si="56"/>
        <v>42299</v>
      </c>
      <c r="I744">
        <f>IF(AND(MyRowHidden(ROW())=FALSE,MyRowHidden(ROW()-1)=TRUE),0,(E744-E743)*unitsOfDHp+I743)</f>
        <v>158875</v>
      </c>
      <c r="J744">
        <f>IF(AND(MyRowHidden(ROW())=FALSE,MyRowHidden(ROW()-1)=TRUE),0,(G744-G743)*unitsOfExo+J743)</f>
        <v>-142280</v>
      </c>
      <c r="K744" s="9">
        <f t="shared" si="57"/>
        <v>142280</v>
      </c>
      <c r="L744">
        <f t="shared" si="58"/>
        <v>-86992.538796658191</v>
      </c>
      <c r="M744">
        <f>IF(AND(MyRowHidden(ROW())=FALSE,MyRowHidden(ROW()-1)=TRUE),0,(G744-G743)*unitsFuturesCompare+M743)</f>
        <v>-284560</v>
      </c>
      <c r="N744">
        <f>IF(MyRowHidden(ROW())=TRUE,0,L744-M744)</f>
        <v>197567.46120334181</v>
      </c>
      <c r="O744">
        <f>MAX(N$12:N744)</f>
        <v>207175.07759331632</v>
      </c>
      <c r="P744">
        <f>IF(O744&gt;O743,(O744-O743)*percentSavingsParticipation,0)</f>
        <v>0</v>
      </c>
      <c r="Q744">
        <f t="shared" si="59"/>
        <v>103587.53879665816</v>
      </c>
      <c r="R744">
        <f t="shared" si="60"/>
        <v>16595</v>
      </c>
    </row>
    <row r="745" spans="1:18" x14ac:dyDescent="0.25">
      <c r="A745" s="1"/>
      <c r="C745" s="1"/>
      <c r="D745" s="1">
        <v>42300</v>
      </c>
      <c r="E745" s="10">
        <v>44850</v>
      </c>
      <c r="F745" s="1">
        <v>42300</v>
      </c>
      <c r="G745">
        <v>-9639.5</v>
      </c>
      <c r="H745" s="1">
        <f t="shared" si="56"/>
        <v>42300</v>
      </c>
      <c r="I745">
        <f>IF(AND(MyRowHidden(ROW())=FALSE,MyRowHidden(ROW()-1)=TRUE),0,(E745-E744)*unitsOfDHp+I744)</f>
        <v>158250</v>
      </c>
      <c r="J745">
        <f>IF(AND(MyRowHidden(ROW())=FALSE,MyRowHidden(ROW()-1)=TRUE),0,(G745-G744)*unitsOfExo+J744)</f>
        <v>-142780</v>
      </c>
      <c r="K745" s="9">
        <f t="shared" si="57"/>
        <v>142780</v>
      </c>
      <c r="L745">
        <f t="shared" si="58"/>
        <v>-88117.538796658191</v>
      </c>
      <c r="M745">
        <f>IF(AND(MyRowHidden(ROW())=FALSE,MyRowHidden(ROW()-1)=TRUE),0,(G745-G744)*unitsFuturesCompare+M744)</f>
        <v>-285560</v>
      </c>
      <c r="N745">
        <f>IF(MyRowHidden(ROW())=TRUE,0,L745-M745)</f>
        <v>197442.46120334181</v>
      </c>
      <c r="O745">
        <f>MAX(N$12:N745)</f>
        <v>207175.07759331632</v>
      </c>
      <c r="P745">
        <f>IF(O745&gt;O744,(O745-O744)*percentSavingsParticipation,0)</f>
        <v>0</v>
      </c>
      <c r="Q745">
        <f t="shared" si="59"/>
        <v>103587.53879665816</v>
      </c>
      <c r="R745">
        <f t="shared" si="60"/>
        <v>15470</v>
      </c>
    </row>
    <row r="746" spans="1:18" x14ac:dyDescent="0.25">
      <c r="A746" s="1"/>
      <c r="C746" s="1"/>
      <c r="D746" s="1">
        <v>42303</v>
      </c>
      <c r="E746" s="10">
        <v>45250.5</v>
      </c>
      <c r="F746" s="1">
        <v>42303</v>
      </c>
      <c r="G746">
        <v>-9339.5</v>
      </c>
      <c r="H746" s="1">
        <f t="shared" si="56"/>
        <v>42303</v>
      </c>
      <c r="I746">
        <f>IF(AND(MyRowHidden(ROW())=FALSE,MyRowHidden(ROW()-1)=TRUE),0,(E746-E745)*unitsOfDHp+I745)</f>
        <v>162255</v>
      </c>
      <c r="J746">
        <f>IF(AND(MyRowHidden(ROW())=FALSE,MyRowHidden(ROW()-1)=TRUE),0,(G746-G745)*unitsOfExo+J745)</f>
        <v>-139780</v>
      </c>
      <c r="K746" s="9">
        <f t="shared" si="57"/>
        <v>139780</v>
      </c>
      <c r="L746">
        <f t="shared" si="58"/>
        <v>-81112.538796658191</v>
      </c>
      <c r="M746">
        <f>IF(AND(MyRowHidden(ROW())=FALSE,MyRowHidden(ROW()-1)=TRUE),0,(G746-G745)*unitsFuturesCompare+M745)</f>
        <v>-279560</v>
      </c>
      <c r="N746">
        <f>IF(MyRowHidden(ROW())=TRUE,0,L746-M746)</f>
        <v>198447.46120334181</v>
      </c>
      <c r="O746">
        <f>MAX(N$12:N746)</f>
        <v>207175.07759331632</v>
      </c>
      <c r="P746">
        <f>IF(O746&gt;O745,(O746-O745)*percentSavingsParticipation,0)</f>
        <v>0</v>
      </c>
      <c r="Q746">
        <f t="shared" si="59"/>
        <v>103587.53879665816</v>
      </c>
      <c r="R746">
        <f t="shared" si="60"/>
        <v>22475</v>
      </c>
    </row>
    <row r="747" spans="1:18" x14ac:dyDescent="0.25">
      <c r="A747" s="1"/>
      <c r="C747" s="1"/>
      <c r="D747" s="1">
        <v>42304</v>
      </c>
      <c r="E747" s="10">
        <v>45076</v>
      </c>
      <c r="F747" s="1">
        <v>42304</v>
      </c>
      <c r="G747">
        <v>-9477</v>
      </c>
      <c r="H747" s="1">
        <f t="shared" si="56"/>
        <v>42304</v>
      </c>
      <c r="I747">
        <f>IF(AND(MyRowHidden(ROW())=FALSE,MyRowHidden(ROW()-1)=TRUE),0,(E747-E746)*unitsOfDHp+I746)</f>
        <v>160510</v>
      </c>
      <c r="J747">
        <f>IF(AND(MyRowHidden(ROW())=FALSE,MyRowHidden(ROW()-1)=TRUE),0,(G747-G746)*unitsOfExo+J746)</f>
        <v>-141155</v>
      </c>
      <c r="K747" s="9">
        <f t="shared" si="57"/>
        <v>141155</v>
      </c>
      <c r="L747">
        <f t="shared" si="58"/>
        <v>-84232.538796658191</v>
      </c>
      <c r="M747">
        <f>IF(AND(MyRowHidden(ROW())=FALSE,MyRowHidden(ROW()-1)=TRUE),0,(G747-G746)*unitsFuturesCompare+M746)</f>
        <v>-282310</v>
      </c>
      <c r="N747">
        <f>IF(MyRowHidden(ROW())=TRUE,0,L747-M747)</f>
        <v>198077.46120334181</v>
      </c>
      <c r="O747">
        <f>MAX(N$12:N747)</f>
        <v>207175.07759331632</v>
      </c>
      <c r="P747">
        <f>IF(O747&gt;O746,(O747-O746)*percentSavingsParticipation,0)</f>
        <v>0</v>
      </c>
      <c r="Q747">
        <f t="shared" si="59"/>
        <v>103587.53879665816</v>
      </c>
      <c r="R747">
        <f t="shared" si="60"/>
        <v>19355</v>
      </c>
    </row>
    <row r="748" spans="1:18" x14ac:dyDescent="0.25">
      <c r="A748" s="1"/>
      <c r="C748" s="1"/>
      <c r="D748" s="1">
        <v>42305</v>
      </c>
      <c r="E748" s="10">
        <v>44863.5</v>
      </c>
      <c r="F748" s="1">
        <v>42305</v>
      </c>
      <c r="G748">
        <v>-9739.5</v>
      </c>
      <c r="H748" s="1">
        <f t="shared" si="56"/>
        <v>42305</v>
      </c>
      <c r="I748">
        <f>IF(AND(MyRowHidden(ROW())=FALSE,MyRowHidden(ROW()-1)=TRUE),0,(E748-E747)*unitsOfDHp+I747)</f>
        <v>158385</v>
      </c>
      <c r="J748">
        <f>IF(AND(MyRowHidden(ROW())=FALSE,MyRowHidden(ROW()-1)=TRUE),0,(G748-G747)*unitsOfExo+J747)</f>
        <v>-143780</v>
      </c>
      <c r="K748" s="9">
        <f t="shared" si="57"/>
        <v>143780</v>
      </c>
      <c r="L748">
        <f t="shared" si="58"/>
        <v>-88982.538796658191</v>
      </c>
      <c r="M748">
        <f>IF(AND(MyRowHidden(ROW())=FALSE,MyRowHidden(ROW()-1)=TRUE),0,(G748-G747)*unitsFuturesCompare+M747)</f>
        <v>-287560</v>
      </c>
      <c r="N748">
        <f>IF(MyRowHidden(ROW())=TRUE,0,L748-M748)</f>
        <v>198577.46120334181</v>
      </c>
      <c r="O748">
        <f>MAX(N$12:N748)</f>
        <v>207175.07759331632</v>
      </c>
      <c r="P748">
        <f>IF(O748&gt;O747,(O748-O747)*percentSavingsParticipation,0)</f>
        <v>0</v>
      </c>
      <c r="Q748">
        <f t="shared" si="59"/>
        <v>103587.53879665816</v>
      </c>
      <c r="R748">
        <f t="shared" si="60"/>
        <v>14605</v>
      </c>
    </row>
    <row r="749" spans="1:18" x14ac:dyDescent="0.25">
      <c r="A749" s="1"/>
      <c r="C749" s="1"/>
      <c r="D749" s="1">
        <v>42306</v>
      </c>
      <c r="E749" s="10">
        <v>45138.5</v>
      </c>
      <c r="F749" s="1">
        <v>42306</v>
      </c>
      <c r="G749">
        <v>-9577</v>
      </c>
      <c r="H749" s="1">
        <f t="shared" si="56"/>
        <v>42306</v>
      </c>
      <c r="I749">
        <f>IF(AND(MyRowHidden(ROW())=FALSE,MyRowHidden(ROW()-1)=TRUE),0,(E749-E748)*unitsOfDHp+I748)</f>
        <v>161135</v>
      </c>
      <c r="J749">
        <f>IF(AND(MyRowHidden(ROW())=FALSE,MyRowHidden(ROW()-1)=TRUE),0,(G749-G748)*unitsOfExo+J748)</f>
        <v>-142155</v>
      </c>
      <c r="K749" s="9">
        <f t="shared" si="57"/>
        <v>142155</v>
      </c>
      <c r="L749">
        <f t="shared" si="58"/>
        <v>-84607.538796658191</v>
      </c>
      <c r="M749">
        <f>IF(AND(MyRowHidden(ROW())=FALSE,MyRowHidden(ROW()-1)=TRUE),0,(G749-G748)*unitsFuturesCompare+M748)</f>
        <v>-284310</v>
      </c>
      <c r="N749">
        <f>IF(MyRowHidden(ROW())=TRUE,0,L749-M749)</f>
        <v>199702.46120334181</v>
      </c>
      <c r="O749">
        <f>MAX(N$12:N749)</f>
        <v>207175.07759331632</v>
      </c>
      <c r="P749">
        <f>IF(O749&gt;O748,(O749-O748)*percentSavingsParticipation,0)</f>
        <v>0</v>
      </c>
      <c r="Q749">
        <f t="shared" si="59"/>
        <v>103587.53879665816</v>
      </c>
      <c r="R749">
        <f t="shared" si="60"/>
        <v>18980</v>
      </c>
    </row>
    <row r="750" spans="1:18" x14ac:dyDescent="0.25">
      <c r="A750" s="1"/>
      <c r="C750" s="1"/>
      <c r="D750" s="1">
        <v>42307</v>
      </c>
      <c r="E750" s="10">
        <v>45229</v>
      </c>
      <c r="F750" s="1">
        <v>42307</v>
      </c>
      <c r="G750">
        <v>-9439.5</v>
      </c>
      <c r="H750" s="1">
        <f t="shared" si="56"/>
        <v>42307</v>
      </c>
      <c r="I750">
        <f>IF(AND(MyRowHidden(ROW())=FALSE,MyRowHidden(ROW()-1)=TRUE),0,(E750-E749)*unitsOfDHp+I749)</f>
        <v>162040</v>
      </c>
      <c r="J750">
        <f>IF(AND(MyRowHidden(ROW())=FALSE,MyRowHidden(ROW()-1)=TRUE),0,(G750-G749)*unitsOfExo+J749)</f>
        <v>-140780</v>
      </c>
      <c r="K750" s="9">
        <f t="shared" si="57"/>
        <v>140780</v>
      </c>
      <c r="L750">
        <f t="shared" si="58"/>
        <v>-82327.538796658191</v>
      </c>
      <c r="M750">
        <f>IF(AND(MyRowHidden(ROW())=FALSE,MyRowHidden(ROW()-1)=TRUE),0,(G750-G749)*unitsFuturesCompare+M749)</f>
        <v>-281560</v>
      </c>
      <c r="N750">
        <f>IF(MyRowHidden(ROW())=TRUE,0,L750-M750)</f>
        <v>199232.46120334181</v>
      </c>
      <c r="O750">
        <f>MAX(N$12:N750)</f>
        <v>207175.07759331632</v>
      </c>
      <c r="P750">
        <f>IF(O750&gt;O749,(O750-O749)*percentSavingsParticipation,0)</f>
        <v>0</v>
      </c>
      <c r="Q750">
        <f t="shared" si="59"/>
        <v>103587.53879665816</v>
      </c>
      <c r="R750">
        <f t="shared" si="60"/>
        <v>21260</v>
      </c>
    </row>
    <row r="751" spans="1:18" x14ac:dyDescent="0.25">
      <c r="A751" s="1"/>
      <c r="C751" s="1"/>
      <c r="D751" s="1">
        <v>42310</v>
      </c>
      <c r="E751" s="10">
        <v>45591.5</v>
      </c>
      <c r="F751" s="1">
        <v>42310</v>
      </c>
      <c r="G751">
        <v>-9714.5</v>
      </c>
      <c r="H751" s="1">
        <f t="shared" si="56"/>
        <v>42310</v>
      </c>
      <c r="I751">
        <f>IF(AND(MyRowHidden(ROW())=FALSE,MyRowHidden(ROW()-1)=TRUE),0,(E751-E750)*unitsOfDHp+I750)</f>
        <v>165665</v>
      </c>
      <c r="J751">
        <f>IF(AND(MyRowHidden(ROW())=FALSE,MyRowHidden(ROW()-1)=TRUE),0,(G751-G750)*unitsOfExo+J750)</f>
        <v>-143530</v>
      </c>
      <c r="K751" s="9">
        <f t="shared" si="57"/>
        <v>143530</v>
      </c>
      <c r="L751">
        <f t="shared" si="58"/>
        <v>-81452.538796658191</v>
      </c>
      <c r="M751">
        <f>IF(AND(MyRowHidden(ROW())=FALSE,MyRowHidden(ROW()-1)=TRUE),0,(G751-G750)*unitsFuturesCompare+M750)</f>
        <v>-287060</v>
      </c>
      <c r="N751">
        <f>IF(MyRowHidden(ROW())=TRUE,0,L751-M751)</f>
        <v>205607.46120334181</v>
      </c>
      <c r="O751">
        <f>MAX(N$12:N751)</f>
        <v>207175.07759331632</v>
      </c>
      <c r="P751">
        <f>IF(O751&gt;O750,(O751-O750)*percentSavingsParticipation,0)</f>
        <v>0</v>
      </c>
      <c r="Q751">
        <f t="shared" si="59"/>
        <v>103587.53879665816</v>
      </c>
      <c r="R751">
        <f t="shared" si="60"/>
        <v>22135</v>
      </c>
    </row>
    <row r="752" spans="1:18" x14ac:dyDescent="0.25">
      <c r="A752" s="1"/>
      <c r="C752" s="1"/>
      <c r="D752" s="1">
        <v>42311</v>
      </c>
      <c r="E752" s="10">
        <v>45479</v>
      </c>
      <c r="F752" s="1">
        <v>42311</v>
      </c>
      <c r="G752">
        <v>-9564.5</v>
      </c>
      <c r="H752" s="1">
        <f t="shared" si="56"/>
        <v>42311</v>
      </c>
      <c r="I752">
        <f>IF(AND(MyRowHidden(ROW())=FALSE,MyRowHidden(ROW()-1)=TRUE),0,(E752-E751)*unitsOfDHp+I751)</f>
        <v>164540</v>
      </c>
      <c r="J752">
        <f>IF(AND(MyRowHidden(ROW())=FALSE,MyRowHidden(ROW()-1)=TRUE),0,(G752-G751)*unitsOfExo+J751)</f>
        <v>-142030</v>
      </c>
      <c r="K752" s="9">
        <f t="shared" si="57"/>
        <v>142030</v>
      </c>
      <c r="L752">
        <f t="shared" si="58"/>
        <v>-81077.538796658191</v>
      </c>
      <c r="M752">
        <f>IF(AND(MyRowHidden(ROW())=FALSE,MyRowHidden(ROW()-1)=TRUE),0,(G752-G751)*unitsFuturesCompare+M751)</f>
        <v>-284060</v>
      </c>
      <c r="N752">
        <f>IF(MyRowHidden(ROW())=TRUE,0,L752-M752)</f>
        <v>202982.46120334181</v>
      </c>
      <c r="O752">
        <f>MAX(N$12:N752)</f>
        <v>207175.07759331632</v>
      </c>
      <c r="P752">
        <f>IF(O752&gt;O751,(O752-O751)*percentSavingsParticipation,0)</f>
        <v>0</v>
      </c>
      <c r="Q752">
        <f t="shared" si="59"/>
        <v>103587.53879665816</v>
      </c>
      <c r="R752">
        <f t="shared" si="60"/>
        <v>22510</v>
      </c>
    </row>
    <row r="753" spans="1:18" x14ac:dyDescent="0.25">
      <c r="A753" s="1"/>
      <c r="C753" s="1"/>
      <c r="D753" s="1">
        <v>42312</v>
      </c>
      <c r="E753" s="10">
        <v>45380</v>
      </c>
      <c r="F753" s="1">
        <v>42312</v>
      </c>
      <c r="G753">
        <v>-9377</v>
      </c>
      <c r="H753" s="1">
        <f t="shared" si="56"/>
        <v>42312</v>
      </c>
      <c r="I753">
        <f>IF(AND(MyRowHidden(ROW())=FALSE,MyRowHidden(ROW()-1)=TRUE),0,(E753-E752)*unitsOfDHp+I752)</f>
        <v>163550</v>
      </c>
      <c r="J753">
        <f>IF(AND(MyRowHidden(ROW())=FALSE,MyRowHidden(ROW()-1)=TRUE),0,(G753-G752)*unitsOfExo+J752)</f>
        <v>-140155</v>
      </c>
      <c r="K753" s="9">
        <f t="shared" si="57"/>
        <v>140155</v>
      </c>
      <c r="L753">
        <f t="shared" si="58"/>
        <v>-80192.538796658191</v>
      </c>
      <c r="M753">
        <f>IF(AND(MyRowHidden(ROW())=FALSE,MyRowHidden(ROW()-1)=TRUE),0,(G753-G752)*unitsFuturesCompare+M752)</f>
        <v>-280310</v>
      </c>
      <c r="N753">
        <f>IF(MyRowHidden(ROW())=TRUE,0,L753-M753)</f>
        <v>200117.46120334181</v>
      </c>
      <c r="O753">
        <f>MAX(N$12:N753)</f>
        <v>207175.07759331632</v>
      </c>
      <c r="P753">
        <f>IF(O753&gt;O752,(O753-O752)*percentSavingsParticipation,0)</f>
        <v>0</v>
      </c>
      <c r="Q753">
        <f t="shared" si="59"/>
        <v>103587.53879665816</v>
      </c>
      <c r="R753">
        <f t="shared" si="60"/>
        <v>23395</v>
      </c>
    </row>
    <row r="754" spans="1:18" x14ac:dyDescent="0.25">
      <c r="A754" s="1"/>
      <c r="C754" s="1"/>
      <c r="D754" s="1">
        <v>42313</v>
      </c>
      <c r="E754" s="10">
        <v>45136</v>
      </c>
      <c r="F754" s="1">
        <v>42313</v>
      </c>
      <c r="G754">
        <v>-9764.5</v>
      </c>
      <c r="H754" s="1">
        <f t="shared" si="56"/>
        <v>42313</v>
      </c>
      <c r="I754">
        <f>IF(AND(MyRowHidden(ROW())=FALSE,MyRowHidden(ROW()-1)=TRUE),0,(E754-E753)*unitsOfDHp+I753)</f>
        <v>161110</v>
      </c>
      <c r="J754">
        <f>IF(AND(MyRowHidden(ROW())=FALSE,MyRowHidden(ROW()-1)=TRUE),0,(G754-G753)*unitsOfExo+J753)</f>
        <v>-144030</v>
      </c>
      <c r="K754" s="9">
        <f t="shared" si="57"/>
        <v>144030</v>
      </c>
      <c r="L754">
        <f t="shared" si="58"/>
        <v>-86507.538796658191</v>
      </c>
      <c r="M754">
        <f>IF(AND(MyRowHidden(ROW())=FALSE,MyRowHidden(ROW()-1)=TRUE),0,(G754-G753)*unitsFuturesCompare+M753)</f>
        <v>-288060</v>
      </c>
      <c r="N754">
        <f>IF(MyRowHidden(ROW())=TRUE,0,L754-M754)</f>
        <v>201552.46120334181</v>
      </c>
      <c r="O754">
        <f>MAX(N$12:N754)</f>
        <v>207175.07759331632</v>
      </c>
      <c r="P754">
        <f>IF(O754&gt;O753,(O754-O753)*percentSavingsParticipation,0)</f>
        <v>0</v>
      </c>
      <c r="Q754">
        <f t="shared" si="59"/>
        <v>103587.53879665816</v>
      </c>
      <c r="R754">
        <f t="shared" si="60"/>
        <v>17080</v>
      </c>
    </row>
    <row r="755" spans="1:18" x14ac:dyDescent="0.25">
      <c r="A755" s="1"/>
      <c r="C755" s="1"/>
      <c r="D755" s="1">
        <v>42314</v>
      </c>
      <c r="E755" s="10">
        <v>44906</v>
      </c>
      <c r="F755" s="1">
        <v>42314</v>
      </c>
      <c r="G755">
        <v>-9877</v>
      </c>
      <c r="H755" s="1">
        <f t="shared" si="56"/>
        <v>42314</v>
      </c>
      <c r="I755">
        <f>IF(AND(MyRowHidden(ROW())=FALSE,MyRowHidden(ROW()-1)=TRUE),0,(E755-E754)*unitsOfDHp+I754)</f>
        <v>158810</v>
      </c>
      <c r="J755">
        <f>IF(AND(MyRowHidden(ROW())=FALSE,MyRowHidden(ROW()-1)=TRUE),0,(G755-G754)*unitsOfExo+J754)</f>
        <v>-145155</v>
      </c>
      <c r="K755" s="9">
        <f t="shared" si="57"/>
        <v>145155</v>
      </c>
      <c r="L755">
        <f t="shared" si="58"/>
        <v>-89932.538796658191</v>
      </c>
      <c r="M755">
        <f>IF(AND(MyRowHidden(ROW())=FALSE,MyRowHidden(ROW()-1)=TRUE),0,(G755-G754)*unitsFuturesCompare+M754)</f>
        <v>-290310</v>
      </c>
      <c r="N755">
        <f>IF(MyRowHidden(ROW())=TRUE,0,L755-M755)</f>
        <v>200377.46120334181</v>
      </c>
      <c r="O755">
        <f>MAX(N$12:N755)</f>
        <v>207175.07759331632</v>
      </c>
      <c r="P755">
        <f>IF(O755&gt;O754,(O755-O754)*percentSavingsParticipation,0)</f>
        <v>0</v>
      </c>
      <c r="Q755">
        <f t="shared" si="59"/>
        <v>103587.53879665816</v>
      </c>
      <c r="R755">
        <f t="shared" si="60"/>
        <v>13655</v>
      </c>
    </row>
    <row r="756" spans="1:18" x14ac:dyDescent="0.25">
      <c r="A756" s="1"/>
      <c r="C756" s="1"/>
      <c r="D756" s="1">
        <v>42317</v>
      </c>
      <c r="E756" s="10">
        <v>45807</v>
      </c>
      <c r="F756" s="1">
        <v>42317</v>
      </c>
      <c r="G756">
        <v>-10102</v>
      </c>
      <c r="H756" s="1">
        <f t="shared" si="56"/>
        <v>42317</v>
      </c>
      <c r="I756">
        <f>IF(AND(MyRowHidden(ROW())=FALSE,MyRowHidden(ROW()-1)=TRUE),0,(E756-E755)*unitsOfDHp+I755)</f>
        <v>167820</v>
      </c>
      <c r="J756">
        <f>IF(AND(MyRowHidden(ROW())=FALSE,MyRowHidden(ROW()-1)=TRUE),0,(G756-G755)*unitsOfExo+J755)</f>
        <v>-147405</v>
      </c>
      <c r="K756" s="9">
        <f t="shared" si="57"/>
        <v>147405</v>
      </c>
      <c r="L756">
        <f t="shared" si="58"/>
        <v>-83172.538796658191</v>
      </c>
      <c r="M756">
        <f>IF(AND(MyRowHidden(ROW())=FALSE,MyRowHidden(ROW()-1)=TRUE),0,(G756-G755)*unitsFuturesCompare+M755)</f>
        <v>-294810</v>
      </c>
      <c r="N756">
        <f>IF(MyRowHidden(ROW())=TRUE,0,L756-M756)</f>
        <v>211637.46120334181</v>
      </c>
      <c r="O756">
        <f>MAX(N$12:N756)</f>
        <v>211637.46120334181</v>
      </c>
      <c r="P756">
        <f>IF(O756&gt;O755,(O756-O755)*percentSavingsParticipation,0)</f>
        <v>2231.1918050127424</v>
      </c>
      <c r="Q756">
        <f t="shared" si="59"/>
        <v>105818.7306016709</v>
      </c>
      <c r="R756">
        <f t="shared" si="60"/>
        <v>20415</v>
      </c>
    </row>
    <row r="757" spans="1:18" x14ac:dyDescent="0.25">
      <c r="A757" s="1"/>
      <c r="C757" s="1"/>
      <c r="D757" s="1">
        <v>42318</v>
      </c>
      <c r="E757" s="10">
        <v>47328.5</v>
      </c>
      <c r="F757" s="1">
        <v>42318</v>
      </c>
      <c r="G757">
        <v>-10627</v>
      </c>
      <c r="H757" s="1">
        <f t="shared" si="56"/>
        <v>42318</v>
      </c>
      <c r="I757">
        <f>IF(AND(MyRowHidden(ROW())=FALSE,MyRowHidden(ROW()-1)=TRUE),0,(E757-E756)*unitsOfDHp+I756)</f>
        <v>183035</v>
      </c>
      <c r="J757">
        <f>IF(AND(MyRowHidden(ROW())=FALSE,MyRowHidden(ROW()-1)=TRUE),0,(G757-G756)*unitsOfExo+J756)</f>
        <v>-152655</v>
      </c>
      <c r="K757" s="9">
        <f t="shared" si="57"/>
        <v>152655</v>
      </c>
      <c r="L757">
        <f t="shared" si="58"/>
        <v>-75438.730601670934</v>
      </c>
      <c r="M757">
        <f>IF(AND(MyRowHidden(ROW())=FALSE,MyRowHidden(ROW()-1)=TRUE),0,(G757-G756)*unitsFuturesCompare+M756)</f>
        <v>-305310</v>
      </c>
      <c r="N757">
        <f>IF(MyRowHidden(ROW())=TRUE,0,L757-M757)</f>
        <v>229871.26939832908</v>
      </c>
      <c r="O757">
        <f>MAX(N$12:N757)</f>
        <v>229871.26939832908</v>
      </c>
      <c r="P757">
        <f>IF(O757&gt;O756,(O757-O756)*percentSavingsParticipation,0)</f>
        <v>9116.9040974936361</v>
      </c>
      <c r="Q757">
        <f t="shared" si="59"/>
        <v>114935.63469916454</v>
      </c>
      <c r="R757">
        <f t="shared" si="60"/>
        <v>30380</v>
      </c>
    </row>
    <row r="758" spans="1:18" x14ac:dyDescent="0.25">
      <c r="A758" s="1"/>
      <c r="C758" s="1"/>
      <c r="D758" s="1">
        <v>42319</v>
      </c>
      <c r="E758" s="10">
        <v>47472</v>
      </c>
      <c r="F758" s="1">
        <v>42319</v>
      </c>
      <c r="G758">
        <v>-10464.5</v>
      </c>
      <c r="H758" s="1">
        <f t="shared" si="56"/>
        <v>42319</v>
      </c>
      <c r="I758">
        <f>IF(AND(MyRowHidden(ROW())=FALSE,MyRowHidden(ROW()-1)=TRUE),0,(E758-E757)*unitsOfDHp+I757)</f>
        <v>184470</v>
      </c>
      <c r="J758">
        <f>IF(AND(MyRowHidden(ROW())=FALSE,MyRowHidden(ROW()-1)=TRUE),0,(G758-G757)*unitsOfExo+J757)</f>
        <v>-151030</v>
      </c>
      <c r="K758" s="9">
        <f t="shared" si="57"/>
        <v>151030</v>
      </c>
      <c r="L758">
        <f t="shared" si="58"/>
        <v>-81495.63469916457</v>
      </c>
      <c r="M758">
        <f>IF(AND(MyRowHidden(ROW())=FALSE,MyRowHidden(ROW()-1)=TRUE),0,(G758-G757)*unitsFuturesCompare+M757)</f>
        <v>-302060</v>
      </c>
      <c r="N758">
        <f>IF(MyRowHidden(ROW())=TRUE,0,L758-M758)</f>
        <v>220564.36530083543</v>
      </c>
      <c r="O758">
        <f>MAX(N$12:N758)</f>
        <v>229871.26939832908</v>
      </c>
      <c r="P758">
        <f>IF(O758&gt;O757,(O758-O757)*percentSavingsParticipation,0)</f>
        <v>0</v>
      </c>
      <c r="Q758">
        <f t="shared" si="59"/>
        <v>114935.63469916454</v>
      </c>
      <c r="R758">
        <f t="shared" si="60"/>
        <v>33440</v>
      </c>
    </row>
    <row r="759" spans="1:18" x14ac:dyDescent="0.25">
      <c r="A759" s="1"/>
      <c r="C759" s="1"/>
      <c r="D759" s="1">
        <v>42320</v>
      </c>
      <c r="E759" s="10">
        <v>47559.5</v>
      </c>
      <c r="F759" s="1">
        <v>42320</v>
      </c>
      <c r="G759">
        <v>-10477</v>
      </c>
      <c r="H759" s="1">
        <f t="shared" si="56"/>
        <v>42320</v>
      </c>
      <c r="I759">
        <f>IF(AND(MyRowHidden(ROW())=FALSE,MyRowHidden(ROW()-1)=TRUE),0,(E759-E758)*unitsOfDHp+I758)</f>
        <v>185345</v>
      </c>
      <c r="J759">
        <f>IF(AND(MyRowHidden(ROW())=FALSE,MyRowHidden(ROW()-1)=TRUE),0,(G759-G758)*unitsOfExo+J758)</f>
        <v>-151155</v>
      </c>
      <c r="K759" s="9">
        <f t="shared" si="57"/>
        <v>151155</v>
      </c>
      <c r="L759">
        <f t="shared" si="58"/>
        <v>-80745.63469916457</v>
      </c>
      <c r="M759">
        <f>IF(AND(MyRowHidden(ROW())=FALSE,MyRowHidden(ROW()-1)=TRUE),0,(G759-G758)*unitsFuturesCompare+M758)</f>
        <v>-302310</v>
      </c>
      <c r="N759">
        <f>IF(MyRowHidden(ROW())=TRUE,0,L759-M759)</f>
        <v>221564.36530083543</v>
      </c>
      <c r="O759">
        <f>MAX(N$12:N759)</f>
        <v>229871.26939832908</v>
      </c>
      <c r="P759">
        <f>IF(O759&gt;O758,(O759-O758)*percentSavingsParticipation,0)</f>
        <v>0</v>
      </c>
      <c r="Q759">
        <f t="shared" si="59"/>
        <v>114935.63469916454</v>
      </c>
      <c r="R759">
        <f t="shared" si="60"/>
        <v>34190</v>
      </c>
    </row>
    <row r="760" spans="1:18" x14ac:dyDescent="0.25">
      <c r="A760" s="1"/>
      <c r="C760" s="1"/>
      <c r="D760" s="1">
        <v>42321</v>
      </c>
      <c r="E760" s="10">
        <v>47034.5</v>
      </c>
      <c r="F760" s="1">
        <v>42321</v>
      </c>
      <c r="G760">
        <v>-10589.5</v>
      </c>
      <c r="H760" s="1">
        <f t="shared" si="56"/>
        <v>42321</v>
      </c>
      <c r="I760">
        <f>IF(AND(MyRowHidden(ROW())=FALSE,MyRowHidden(ROW()-1)=TRUE),0,(E760-E759)*unitsOfDHp+I759)</f>
        <v>180095</v>
      </c>
      <c r="J760">
        <f>IF(AND(MyRowHidden(ROW())=FALSE,MyRowHidden(ROW()-1)=TRUE),0,(G760-G759)*unitsOfExo+J759)</f>
        <v>-152280</v>
      </c>
      <c r="K760" s="9">
        <f t="shared" si="57"/>
        <v>152280</v>
      </c>
      <c r="L760">
        <f t="shared" si="58"/>
        <v>-87120.63469916457</v>
      </c>
      <c r="M760">
        <f>IF(AND(MyRowHidden(ROW())=FALSE,MyRowHidden(ROW()-1)=TRUE),0,(G760-G759)*unitsFuturesCompare+M759)</f>
        <v>-304560</v>
      </c>
      <c r="N760">
        <f>IF(MyRowHidden(ROW())=TRUE,0,L760-M760)</f>
        <v>217439.36530083543</v>
      </c>
      <c r="O760">
        <f>MAX(N$12:N760)</f>
        <v>229871.26939832908</v>
      </c>
      <c r="P760">
        <f>IF(O760&gt;O759,(O760-O759)*percentSavingsParticipation,0)</f>
        <v>0</v>
      </c>
      <c r="Q760">
        <f t="shared" si="59"/>
        <v>114935.63469916454</v>
      </c>
      <c r="R760">
        <f t="shared" si="60"/>
        <v>27815</v>
      </c>
    </row>
    <row r="761" spans="1:18" x14ac:dyDescent="0.25">
      <c r="A761" s="1"/>
      <c r="C761" s="1"/>
      <c r="D761" s="1">
        <v>42324</v>
      </c>
      <c r="E761" s="10">
        <v>47009.5</v>
      </c>
      <c r="F761" s="1">
        <v>42324</v>
      </c>
      <c r="G761">
        <v>-10602</v>
      </c>
      <c r="H761" s="1">
        <f t="shared" si="56"/>
        <v>42324</v>
      </c>
      <c r="I761">
        <f>IF(AND(MyRowHidden(ROW())=FALSE,MyRowHidden(ROW()-1)=TRUE),0,(E761-E760)*unitsOfDHp+I760)</f>
        <v>179845</v>
      </c>
      <c r="J761">
        <f>IF(AND(MyRowHidden(ROW())=FALSE,MyRowHidden(ROW()-1)=TRUE),0,(G761-G760)*unitsOfExo+J760)</f>
        <v>-152405</v>
      </c>
      <c r="K761" s="9">
        <f t="shared" si="57"/>
        <v>152405</v>
      </c>
      <c r="L761">
        <f t="shared" si="58"/>
        <v>-87495.63469916457</v>
      </c>
      <c r="M761">
        <f>IF(AND(MyRowHidden(ROW())=FALSE,MyRowHidden(ROW()-1)=TRUE),0,(G761-G760)*unitsFuturesCompare+M760)</f>
        <v>-304810</v>
      </c>
      <c r="N761">
        <f>IF(MyRowHidden(ROW())=TRUE,0,L761-M761)</f>
        <v>217314.36530083543</v>
      </c>
      <c r="O761">
        <f>MAX(N$12:N761)</f>
        <v>229871.26939832908</v>
      </c>
      <c r="P761">
        <f>IF(O761&gt;O760,(O761-O760)*percentSavingsParticipation,0)</f>
        <v>0</v>
      </c>
      <c r="Q761">
        <f t="shared" si="59"/>
        <v>114935.63469916454</v>
      </c>
      <c r="R761">
        <f t="shared" si="60"/>
        <v>27440</v>
      </c>
    </row>
    <row r="762" spans="1:18" x14ac:dyDescent="0.25">
      <c r="A762" s="1"/>
      <c r="C762" s="1"/>
      <c r="D762" s="1">
        <v>42325</v>
      </c>
      <c r="E762" s="10">
        <v>47322</v>
      </c>
      <c r="F762" s="1">
        <v>42325</v>
      </c>
      <c r="G762">
        <v>-10539.5</v>
      </c>
      <c r="H762" s="1">
        <f t="shared" si="56"/>
        <v>42325</v>
      </c>
      <c r="I762">
        <f>IF(AND(MyRowHidden(ROW())=FALSE,MyRowHidden(ROW()-1)=TRUE),0,(E762-E761)*unitsOfDHp+I761)</f>
        <v>182970</v>
      </c>
      <c r="J762">
        <f>IF(AND(MyRowHidden(ROW())=FALSE,MyRowHidden(ROW()-1)=TRUE),0,(G762-G761)*unitsOfExo+J761)</f>
        <v>-151780</v>
      </c>
      <c r="K762" s="9">
        <f t="shared" si="57"/>
        <v>151780</v>
      </c>
      <c r="L762">
        <f t="shared" si="58"/>
        <v>-83745.63469916457</v>
      </c>
      <c r="M762">
        <f>IF(AND(MyRowHidden(ROW())=FALSE,MyRowHidden(ROW()-1)=TRUE),0,(G762-G761)*unitsFuturesCompare+M761)</f>
        <v>-303560</v>
      </c>
      <c r="N762">
        <f>IF(MyRowHidden(ROW())=TRUE,0,L762-M762)</f>
        <v>219814.36530083543</v>
      </c>
      <c r="O762">
        <f>MAX(N$12:N762)</f>
        <v>229871.26939832908</v>
      </c>
      <c r="P762">
        <f>IF(O762&gt;O761,(O762-O761)*percentSavingsParticipation,0)</f>
        <v>0</v>
      </c>
      <c r="Q762">
        <f t="shared" si="59"/>
        <v>114935.63469916454</v>
      </c>
      <c r="R762">
        <f t="shared" si="60"/>
        <v>31190</v>
      </c>
    </row>
    <row r="763" spans="1:18" x14ac:dyDescent="0.25">
      <c r="A763" s="1"/>
      <c r="C763" s="1"/>
      <c r="D763" s="1">
        <v>42326</v>
      </c>
      <c r="E763" s="10">
        <v>47575</v>
      </c>
      <c r="F763" s="1">
        <v>42326</v>
      </c>
      <c r="G763">
        <v>-10464.5</v>
      </c>
      <c r="H763" s="1">
        <f t="shared" si="56"/>
        <v>42326</v>
      </c>
      <c r="I763">
        <f>IF(AND(MyRowHidden(ROW())=FALSE,MyRowHidden(ROW()-1)=TRUE),0,(E763-E762)*unitsOfDHp+I762)</f>
        <v>185500</v>
      </c>
      <c r="J763">
        <f>IF(AND(MyRowHidden(ROW())=FALSE,MyRowHidden(ROW()-1)=TRUE),0,(G763-G762)*unitsOfExo+J762)</f>
        <v>-151030</v>
      </c>
      <c r="K763" s="9">
        <f t="shared" si="57"/>
        <v>151030</v>
      </c>
      <c r="L763">
        <f t="shared" si="58"/>
        <v>-80465.63469916457</v>
      </c>
      <c r="M763">
        <f>IF(AND(MyRowHidden(ROW())=FALSE,MyRowHidden(ROW()-1)=TRUE),0,(G763-G762)*unitsFuturesCompare+M762)</f>
        <v>-302060</v>
      </c>
      <c r="N763">
        <f>IF(MyRowHidden(ROW())=TRUE,0,L763-M763)</f>
        <v>221594.36530083543</v>
      </c>
      <c r="O763">
        <f>MAX(N$12:N763)</f>
        <v>229871.26939832908</v>
      </c>
      <c r="P763">
        <f>IF(O763&gt;O762,(O763-O762)*percentSavingsParticipation,0)</f>
        <v>0</v>
      </c>
      <c r="Q763">
        <f t="shared" si="59"/>
        <v>114935.63469916454</v>
      </c>
      <c r="R763">
        <f t="shared" si="60"/>
        <v>34470</v>
      </c>
    </row>
    <row r="764" spans="1:18" x14ac:dyDescent="0.25">
      <c r="A764" s="1"/>
      <c r="C764" s="1"/>
      <c r="D764" s="1">
        <v>42327</v>
      </c>
      <c r="E764" s="10">
        <v>47968.5</v>
      </c>
      <c r="F764" s="1">
        <v>42327</v>
      </c>
      <c r="G764">
        <v>-10352</v>
      </c>
      <c r="H764" s="1">
        <f t="shared" si="56"/>
        <v>42327</v>
      </c>
      <c r="I764">
        <f>IF(AND(MyRowHidden(ROW())=FALSE,MyRowHidden(ROW()-1)=TRUE),0,(E764-E763)*unitsOfDHp+I763)</f>
        <v>189435</v>
      </c>
      <c r="J764">
        <f>IF(AND(MyRowHidden(ROW())=FALSE,MyRowHidden(ROW()-1)=TRUE),0,(G764-G763)*unitsOfExo+J763)</f>
        <v>-149905</v>
      </c>
      <c r="K764" s="9">
        <f t="shared" si="57"/>
        <v>149905</v>
      </c>
      <c r="L764">
        <f t="shared" si="58"/>
        <v>-75405.63469916457</v>
      </c>
      <c r="M764">
        <f>IF(AND(MyRowHidden(ROW())=FALSE,MyRowHidden(ROW()-1)=TRUE),0,(G764-G763)*unitsFuturesCompare+M763)</f>
        <v>-299810</v>
      </c>
      <c r="N764">
        <f>IF(MyRowHidden(ROW())=TRUE,0,L764-M764)</f>
        <v>224404.36530083543</v>
      </c>
      <c r="O764">
        <f>MAX(N$12:N764)</f>
        <v>229871.26939832908</v>
      </c>
      <c r="P764">
        <f>IF(O764&gt;O763,(O764-O763)*percentSavingsParticipation,0)</f>
        <v>0</v>
      </c>
      <c r="Q764">
        <f t="shared" si="59"/>
        <v>114935.63469916454</v>
      </c>
      <c r="R764">
        <f t="shared" si="60"/>
        <v>39530</v>
      </c>
    </row>
    <row r="765" spans="1:18" x14ac:dyDescent="0.25">
      <c r="A765" s="1"/>
      <c r="C765" s="1"/>
      <c r="D765" s="1">
        <v>42328</v>
      </c>
      <c r="E765" s="10">
        <v>47945.5</v>
      </c>
      <c r="F765" s="1">
        <v>42328</v>
      </c>
      <c r="G765">
        <v>-10364.5</v>
      </c>
      <c r="H765" s="1">
        <f t="shared" si="56"/>
        <v>42328</v>
      </c>
      <c r="I765">
        <f>IF(AND(MyRowHidden(ROW())=FALSE,MyRowHidden(ROW()-1)=TRUE),0,(E765-E764)*unitsOfDHp+I764)</f>
        <v>189205</v>
      </c>
      <c r="J765">
        <f>IF(AND(MyRowHidden(ROW())=FALSE,MyRowHidden(ROW()-1)=TRUE),0,(G765-G764)*unitsOfExo+J764)</f>
        <v>-150030</v>
      </c>
      <c r="K765" s="9">
        <f t="shared" si="57"/>
        <v>150030</v>
      </c>
      <c r="L765">
        <f t="shared" si="58"/>
        <v>-75760.63469916457</v>
      </c>
      <c r="M765">
        <f>IF(AND(MyRowHidden(ROW())=FALSE,MyRowHidden(ROW()-1)=TRUE),0,(G765-G764)*unitsFuturesCompare+M764)</f>
        <v>-300060</v>
      </c>
      <c r="N765">
        <f>IF(MyRowHidden(ROW())=TRUE,0,L765-M765)</f>
        <v>224299.36530083543</v>
      </c>
      <c r="O765">
        <f>MAX(N$12:N765)</f>
        <v>229871.26939832908</v>
      </c>
      <c r="P765">
        <f>IF(O765&gt;O764,(O765-O764)*percentSavingsParticipation,0)</f>
        <v>0</v>
      </c>
      <c r="Q765">
        <f t="shared" si="59"/>
        <v>114935.63469916454</v>
      </c>
      <c r="R765">
        <f t="shared" si="60"/>
        <v>39175</v>
      </c>
    </row>
    <row r="766" spans="1:18" x14ac:dyDescent="0.25">
      <c r="A766" s="1"/>
      <c r="C766" s="1"/>
      <c r="D766" s="1">
        <v>42331</v>
      </c>
      <c r="E766" s="10">
        <v>48558</v>
      </c>
      <c r="F766" s="1">
        <v>42331</v>
      </c>
      <c r="G766">
        <v>-10239.5</v>
      </c>
      <c r="H766" s="1">
        <f t="shared" si="56"/>
        <v>42331</v>
      </c>
      <c r="I766">
        <f>IF(AND(MyRowHidden(ROW())=FALSE,MyRowHidden(ROW()-1)=TRUE),0,(E766-E765)*unitsOfDHp+I765)</f>
        <v>195330</v>
      </c>
      <c r="J766">
        <f>IF(AND(MyRowHidden(ROW())=FALSE,MyRowHidden(ROW()-1)=TRUE),0,(G766-G765)*unitsOfExo+J765)</f>
        <v>-148780</v>
      </c>
      <c r="K766" s="9">
        <f t="shared" si="57"/>
        <v>148780</v>
      </c>
      <c r="L766">
        <f t="shared" si="58"/>
        <v>-68385.63469916457</v>
      </c>
      <c r="M766">
        <f>IF(AND(MyRowHidden(ROW())=FALSE,MyRowHidden(ROW()-1)=TRUE),0,(G766-G765)*unitsFuturesCompare+M765)</f>
        <v>-297560</v>
      </c>
      <c r="N766">
        <f>IF(MyRowHidden(ROW())=TRUE,0,L766-M766)</f>
        <v>229174.36530083543</v>
      </c>
      <c r="O766">
        <f>MAX(N$12:N766)</f>
        <v>229871.26939832908</v>
      </c>
      <c r="P766">
        <f>IF(O766&gt;O765,(O766-O765)*percentSavingsParticipation,0)</f>
        <v>0</v>
      </c>
      <c r="Q766">
        <f t="shared" si="59"/>
        <v>114935.63469916454</v>
      </c>
      <c r="R766">
        <f t="shared" si="60"/>
        <v>46550</v>
      </c>
    </row>
    <row r="767" spans="1:18" x14ac:dyDescent="0.25">
      <c r="A767" s="1"/>
      <c r="C767" s="1"/>
      <c r="D767" s="1">
        <v>42332</v>
      </c>
      <c r="E767" s="10">
        <v>48495.5</v>
      </c>
      <c r="F767" s="1">
        <v>42332</v>
      </c>
      <c r="G767">
        <v>-10377</v>
      </c>
      <c r="H767" s="1">
        <f t="shared" si="56"/>
        <v>42332</v>
      </c>
      <c r="I767">
        <f>IF(AND(MyRowHidden(ROW())=FALSE,MyRowHidden(ROW()-1)=TRUE),0,(E767-E766)*unitsOfDHp+I766)</f>
        <v>194705</v>
      </c>
      <c r="J767">
        <f>IF(AND(MyRowHidden(ROW())=FALSE,MyRowHidden(ROW()-1)=TRUE),0,(G767-G766)*unitsOfExo+J766)</f>
        <v>-150155</v>
      </c>
      <c r="K767" s="9">
        <f t="shared" si="57"/>
        <v>150155</v>
      </c>
      <c r="L767">
        <f t="shared" si="58"/>
        <v>-70385.63469916457</v>
      </c>
      <c r="M767">
        <f>IF(AND(MyRowHidden(ROW())=FALSE,MyRowHidden(ROW()-1)=TRUE),0,(G767-G766)*unitsFuturesCompare+M766)</f>
        <v>-300310</v>
      </c>
      <c r="N767">
        <f>IF(MyRowHidden(ROW())=TRUE,0,L767-M767)</f>
        <v>229924.36530083543</v>
      </c>
      <c r="O767">
        <f>MAX(N$12:N767)</f>
        <v>229924.36530083543</v>
      </c>
      <c r="P767">
        <f>IF(O767&gt;O766,(O767-O766)*percentSavingsParticipation,0)</f>
        <v>26.547951253174688</v>
      </c>
      <c r="Q767">
        <f t="shared" si="59"/>
        <v>114962.18265041772</v>
      </c>
      <c r="R767">
        <f t="shared" si="60"/>
        <v>44550</v>
      </c>
    </row>
    <row r="768" spans="1:18" x14ac:dyDescent="0.25">
      <c r="A768" s="1"/>
      <c r="C768" s="1"/>
      <c r="D768" s="1">
        <v>42333</v>
      </c>
      <c r="E768" s="10">
        <v>48720.5</v>
      </c>
      <c r="F768" s="1">
        <v>42333</v>
      </c>
      <c r="G768">
        <v>-10289.5</v>
      </c>
      <c r="H768" s="1">
        <f t="shared" si="56"/>
        <v>42333</v>
      </c>
      <c r="I768">
        <f>IF(AND(MyRowHidden(ROW())=FALSE,MyRowHidden(ROW()-1)=TRUE),0,(E768-E767)*unitsOfDHp+I767)</f>
        <v>196955</v>
      </c>
      <c r="J768">
        <f>IF(AND(MyRowHidden(ROW())=FALSE,MyRowHidden(ROW()-1)=TRUE),0,(G768-G767)*unitsOfExo+J767)</f>
        <v>-149280</v>
      </c>
      <c r="K768" s="9">
        <f t="shared" si="57"/>
        <v>149280</v>
      </c>
      <c r="L768">
        <f t="shared" si="58"/>
        <v>-67287.182650417744</v>
      </c>
      <c r="M768">
        <f>IF(AND(MyRowHidden(ROW())=FALSE,MyRowHidden(ROW()-1)=TRUE),0,(G768-G767)*unitsFuturesCompare+M767)</f>
        <v>-298560</v>
      </c>
      <c r="N768">
        <f>IF(MyRowHidden(ROW())=TRUE,0,L768-M768)</f>
        <v>231272.81734958227</v>
      </c>
      <c r="O768">
        <f>MAX(N$12:N768)</f>
        <v>231272.81734958227</v>
      </c>
      <c r="P768">
        <f>IF(O768&gt;O767,(O768-O767)*percentSavingsParticipation,0)</f>
        <v>674.22602437341993</v>
      </c>
      <c r="Q768">
        <f t="shared" si="59"/>
        <v>115636.40867479114</v>
      </c>
      <c r="R768">
        <f t="shared" si="60"/>
        <v>47675</v>
      </c>
    </row>
    <row r="769" spans="1:18" x14ac:dyDescent="0.25">
      <c r="A769" s="1"/>
      <c r="C769" s="1"/>
      <c r="D769" s="1">
        <v>42334</v>
      </c>
      <c r="E769" s="10">
        <v>48895.5</v>
      </c>
      <c r="F769" s="1">
        <v>42334</v>
      </c>
      <c r="G769">
        <v>-10264.5</v>
      </c>
      <c r="H769" s="1">
        <f t="shared" si="56"/>
        <v>42334</v>
      </c>
      <c r="I769">
        <f>IF(AND(MyRowHidden(ROW())=FALSE,MyRowHidden(ROW()-1)=TRUE),0,(E769-E768)*unitsOfDHp+I768)</f>
        <v>198705</v>
      </c>
      <c r="J769">
        <f>IF(AND(MyRowHidden(ROW())=FALSE,MyRowHidden(ROW()-1)=TRUE),0,(G769-G768)*unitsOfExo+J768)</f>
        <v>-149030</v>
      </c>
      <c r="K769" s="9">
        <f t="shared" si="57"/>
        <v>149030</v>
      </c>
      <c r="L769">
        <f t="shared" si="58"/>
        <v>-65961.408674791164</v>
      </c>
      <c r="M769">
        <f>IF(AND(MyRowHidden(ROW())=FALSE,MyRowHidden(ROW()-1)=TRUE),0,(G769-G768)*unitsFuturesCompare+M768)</f>
        <v>-298060</v>
      </c>
      <c r="N769">
        <f>IF(MyRowHidden(ROW())=TRUE,0,L769-M769)</f>
        <v>232098.59132520884</v>
      </c>
      <c r="O769">
        <f>MAX(N$12:N769)</f>
        <v>232098.59132520884</v>
      </c>
      <c r="P769">
        <f>IF(O769&gt;O768,(O769-O768)*percentSavingsParticipation,0)</f>
        <v>412.88698781328276</v>
      </c>
      <c r="Q769">
        <f t="shared" si="59"/>
        <v>116049.29566260442</v>
      </c>
      <c r="R769">
        <f t="shared" si="60"/>
        <v>49675</v>
      </c>
    </row>
    <row r="770" spans="1:18" x14ac:dyDescent="0.25">
      <c r="A770" s="1"/>
      <c r="C770" s="1"/>
      <c r="D770" s="1">
        <v>42335</v>
      </c>
      <c r="E770" s="10">
        <v>48333</v>
      </c>
      <c r="F770" s="1">
        <v>42335</v>
      </c>
      <c r="G770">
        <v>-10502</v>
      </c>
      <c r="H770" s="1">
        <f t="shared" si="56"/>
        <v>42335</v>
      </c>
      <c r="I770">
        <f>IF(AND(MyRowHidden(ROW())=FALSE,MyRowHidden(ROW()-1)=TRUE),0,(E770-E769)*unitsOfDHp+I769)</f>
        <v>193080</v>
      </c>
      <c r="J770">
        <f>IF(AND(MyRowHidden(ROW())=FALSE,MyRowHidden(ROW()-1)=TRUE),0,(G770-G769)*unitsOfExo+J769)</f>
        <v>-151405</v>
      </c>
      <c r="K770" s="9">
        <f t="shared" si="57"/>
        <v>151405</v>
      </c>
      <c r="L770">
        <f t="shared" si="58"/>
        <v>-74374.295662604447</v>
      </c>
      <c r="M770">
        <f>IF(AND(MyRowHidden(ROW())=FALSE,MyRowHidden(ROW()-1)=TRUE),0,(G770-G769)*unitsFuturesCompare+M769)</f>
        <v>-302810</v>
      </c>
      <c r="N770">
        <f>IF(MyRowHidden(ROW())=TRUE,0,L770-M770)</f>
        <v>228435.70433739555</v>
      </c>
      <c r="O770">
        <f>MAX(N$12:N770)</f>
        <v>232098.59132520884</v>
      </c>
      <c r="P770">
        <f>IF(O770&gt;O769,(O770-O769)*percentSavingsParticipation,0)</f>
        <v>0</v>
      </c>
      <c r="Q770">
        <f t="shared" si="59"/>
        <v>116049.29566260442</v>
      </c>
      <c r="R770">
        <f t="shared" si="60"/>
        <v>41675</v>
      </c>
    </row>
    <row r="771" spans="1:18" x14ac:dyDescent="0.25">
      <c r="A771" s="1"/>
      <c r="C771" s="1"/>
      <c r="D771" s="1">
        <v>42338</v>
      </c>
      <c r="E771" s="10">
        <v>49033</v>
      </c>
      <c r="F771" s="1">
        <v>42338</v>
      </c>
      <c r="G771">
        <v>-10289.5</v>
      </c>
      <c r="H771" s="1">
        <f t="shared" si="56"/>
        <v>42338</v>
      </c>
      <c r="I771">
        <f>IF(AND(MyRowHidden(ROW())=FALSE,MyRowHidden(ROW()-1)=TRUE),0,(E771-E770)*unitsOfDHp+I770)</f>
        <v>200080</v>
      </c>
      <c r="J771">
        <f>IF(AND(MyRowHidden(ROW())=FALSE,MyRowHidden(ROW()-1)=TRUE),0,(G771-G770)*unitsOfExo+J770)</f>
        <v>-149280</v>
      </c>
      <c r="K771" s="9">
        <f t="shared" si="57"/>
        <v>149280</v>
      </c>
      <c r="L771">
        <f t="shared" si="58"/>
        <v>-65249.295662604447</v>
      </c>
      <c r="M771">
        <f>IF(AND(MyRowHidden(ROW())=FALSE,MyRowHidden(ROW()-1)=TRUE),0,(G771-G770)*unitsFuturesCompare+M770)</f>
        <v>-298560</v>
      </c>
      <c r="N771">
        <f>IF(MyRowHidden(ROW())=TRUE,0,L771-M771)</f>
        <v>233310.70433739555</v>
      </c>
      <c r="O771">
        <f>MAX(N$12:N771)</f>
        <v>233310.70433739555</v>
      </c>
      <c r="P771">
        <f>IF(O771&gt;O770,(O771-O770)*percentSavingsParticipation,0)</f>
        <v>606.05650609335862</v>
      </c>
      <c r="Q771">
        <f t="shared" si="59"/>
        <v>116655.35216869778</v>
      </c>
      <c r="R771">
        <f t="shared" si="60"/>
        <v>50800</v>
      </c>
    </row>
    <row r="772" spans="1:18" x14ac:dyDescent="0.25">
      <c r="A772" s="1"/>
      <c r="C772" s="1"/>
      <c r="D772" s="1">
        <v>42339</v>
      </c>
      <c r="E772" s="10">
        <v>49170.5</v>
      </c>
      <c r="F772" s="1">
        <v>42339</v>
      </c>
      <c r="G772">
        <v>-10201.5</v>
      </c>
      <c r="H772" s="1">
        <f t="shared" si="56"/>
        <v>42339</v>
      </c>
      <c r="I772">
        <f>IF(AND(MyRowHidden(ROW())=FALSE,MyRowHidden(ROW()-1)=TRUE),0,(E772-E771)*unitsOfDHp+I771)</f>
        <v>201455</v>
      </c>
      <c r="J772">
        <f>IF(AND(MyRowHidden(ROW())=FALSE,MyRowHidden(ROW()-1)=TRUE),0,(G772-G771)*unitsOfExo+J771)</f>
        <v>-148400</v>
      </c>
      <c r="K772" s="9">
        <f t="shared" si="57"/>
        <v>148400</v>
      </c>
      <c r="L772">
        <f t="shared" si="58"/>
        <v>-63600.352168697806</v>
      </c>
      <c r="M772">
        <f>IF(AND(MyRowHidden(ROW())=FALSE,MyRowHidden(ROW()-1)=TRUE),0,(G772-G771)*unitsFuturesCompare+M771)</f>
        <v>-296800</v>
      </c>
      <c r="N772">
        <f>IF(MyRowHidden(ROW())=TRUE,0,L772-M772)</f>
        <v>233199.64783130219</v>
      </c>
      <c r="O772">
        <f>MAX(N$12:N772)</f>
        <v>233310.70433739555</v>
      </c>
      <c r="P772">
        <f>IF(O772&gt;O771,(O772-O771)*percentSavingsParticipation,0)</f>
        <v>0</v>
      </c>
      <c r="Q772">
        <f t="shared" si="59"/>
        <v>116655.35216869778</v>
      </c>
      <c r="R772">
        <f t="shared" si="60"/>
        <v>53055</v>
      </c>
    </row>
    <row r="773" spans="1:18" x14ac:dyDescent="0.25">
      <c r="A773" s="1"/>
      <c r="C773" s="1"/>
      <c r="D773" s="1">
        <v>42340</v>
      </c>
      <c r="E773" s="10">
        <v>48895.5</v>
      </c>
      <c r="F773" s="1">
        <v>42340</v>
      </c>
      <c r="G773">
        <v>-10339</v>
      </c>
      <c r="H773" s="1">
        <f t="shared" si="56"/>
        <v>42340</v>
      </c>
      <c r="I773">
        <f>IF(AND(MyRowHidden(ROW())=FALSE,MyRowHidden(ROW()-1)=TRUE),0,(E773-E772)*unitsOfDHp+I772)</f>
        <v>198705</v>
      </c>
      <c r="J773">
        <f>IF(AND(MyRowHidden(ROW())=FALSE,MyRowHidden(ROW()-1)=TRUE),0,(G773-G772)*unitsOfExo+J772)</f>
        <v>-149775</v>
      </c>
      <c r="K773" s="9">
        <f t="shared" si="57"/>
        <v>149775</v>
      </c>
      <c r="L773">
        <f t="shared" si="58"/>
        <v>-67725.352168697806</v>
      </c>
      <c r="M773">
        <f>IF(AND(MyRowHidden(ROW())=FALSE,MyRowHidden(ROW()-1)=TRUE),0,(G773-G772)*unitsFuturesCompare+M772)</f>
        <v>-299550</v>
      </c>
      <c r="N773">
        <f>IF(MyRowHidden(ROW())=TRUE,0,L773-M773)</f>
        <v>231824.64783130219</v>
      </c>
      <c r="O773">
        <f>MAX(N$12:N773)</f>
        <v>233310.70433739555</v>
      </c>
      <c r="P773">
        <f>IF(O773&gt;O772,(O773-O772)*percentSavingsParticipation,0)</f>
        <v>0</v>
      </c>
      <c r="Q773">
        <f t="shared" si="59"/>
        <v>116655.35216869778</v>
      </c>
      <c r="R773">
        <f t="shared" si="60"/>
        <v>48930</v>
      </c>
    </row>
    <row r="774" spans="1:18" x14ac:dyDescent="0.25">
      <c r="A774" s="1"/>
      <c r="C774" s="1"/>
      <c r="D774" s="1">
        <v>42341</v>
      </c>
      <c r="E774" s="10">
        <v>49433</v>
      </c>
      <c r="F774" s="1">
        <v>42341</v>
      </c>
      <c r="G774">
        <v>-10026.5</v>
      </c>
      <c r="H774" s="1">
        <f t="shared" si="56"/>
        <v>42341</v>
      </c>
      <c r="I774">
        <f>IF(AND(MyRowHidden(ROW())=FALSE,MyRowHidden(ROW()-1)=TRUE),0,(E774-E773)*unitsOfDHp+I773)</f>
        <v>204080</v>
      </c>
      <c r="J774">
        <f>IF(AND(MyRowHidden(ROW())=FALSE,MyRowHidden(ROW()-1)=TRUE),0,(G774-G773)*unitsOfExo+J773)</f>
        <v>-146650</v>
      </c>
      <c r="K774" s="9">
        <f t="shared" si="57"/>
        <v>146650</v>
      </c>
      <c r="L774">
        <f t="shared" si="58"/>
        <v>-59225.352168697806</v>
      </c>
      <c r="M774">
        <f>IF(AND(MyRowHidden(ROW())=FALSE,MyRowHidden(ROW()-1)=TRUE),0,(G774-G773)*unitsFuturesCompare+M773)</f>
        <v>-293300</v>
      </c>
      <c r="N774">
        <f>IF(MyRowHidden(ROW())=TRUE,0,L774-M774)</f>
        <v>234074.64783130219</v>
      </c>
      <c r="O774">
        <f>MAX(N$12:N774)</f>
        <v>234074.64783130219</v>
      </c>
      <c r="P774">
        <f>IF(O774&gt;O773,(O774-O773)*percentSavingsParticipation,0)</f>
        <v>381.97174695332069</v>
      </c>
      <c r="Q774">
        <f t="shared" si="59"/>
        <v>117037.3239156511</v>
      </c>
      <c r="R774">
        <f t="shared" si="60"/>
        <v>57430</v>
      </c>
    </row>
    <row r="775" spans="1:18" x14ac:dyDescent="0.25">
      <c r="A775" s="1"/>
      <c r="C775" s="1"/>
      <c r="D775" s="1">
        <v>42342</v>
      </c>
      <c r="E775" s="10">
        <v>49708</v>
      </c>
      <c r="F775" s="1">
        <v>42342</v>
      </c>
      <c r="G775">
        <v>-9851.5</v>
      </c>
      <c r="H775" s="1">
        <f t="shared" si="56"/>
        <v>42342</v>
      </c>
      <c r="I775">
        <f>IF(AND(MyRowHidden(ROW())=FALSE,MyRowHidden(ROW()-1)=TRUE),0,(E775-E774)*unitsOfDHp+I774)</f>
        <v>206830</v>
      </c>
      <c r="J775">
        <f>IF(AND(MyRowHidden(ROW())=FALSE,MyRowHidden(ROW()-1)=TRUE),0,(G775-G774)*unitsOfExo+J774)</f>
        <v>-144900</v>
      </c>
      <c r="K775" s="9">
        <f t="shared" si="57"/>
        <v>144900</v>
      </c>
      <c r="L775">
        <f t="shared" si="58"/>
        <v>-55107.323915651126</v>
      </c>
      <c r="M775">
        <f>IF(AND(MyRowHidden(ROW())=FALSE,MyRowHidden(ROW()-1)=TRUE),0,(G775-G774)*unitsFuturesCompare+M774)</f>
        <v>-289800</v>
      </c>
      <c r="N775">
        <f>IF(MyRowHidden(ROW())=TRUE,0,L775-M775)</f>
        <v>234692.67608434887</v>
      </c>
      <c r="O775">
        <f>MAX(N$12:N775)</f>
        <v>234692.67608434887</v>
      </c>
      <c r="P775">
        <f>IF(O775&gt;O774,(O775-O774)*percentSavingsParticipation,0)</f>
        <v>309.01412652333966</v>
      </c>
      <c r="Q775">
        <f t="shared" si="59"/>
        <v>117346.33804217444</v>
      </c>
      <c r="R775">
        <f t="shared" si="60"/>
        <v>61930</v>
      </c>
    </row>
    <row r="776" spans="1:18" x14ac:dyDescent="0.25">
      <c r="A776" s="1"/>
      <c r="C776" s="1"/>
      <c r="D776" s="1">
        <v>42345</v>
      </c>
      <c r="E776" s="10">
        <v>49408</v>
      </c>
      <c r="F776" s="1">
        <v>42345</v>
      </c>
      <c r="G776">
        <v>-10201.5</v>
      </c>
      <c r="H776" s="1">
        <f t="shared" si="56"/>
        <v>42345</v>
      </c>
      <c r="I776">
        <f>IF(AND(MyRowHidden(ROW())=FALSE,MyRowHidden(ROW()-1)=TRUE),0,(E776-E775)*unitsOfDHp+I775)</f>
        <v>203830</v>
      </c>
      <c r="J776">
        <f>IF(AND(MyRowHidden(ROW())=FALSE,MyRowHidden(ROW()-1)=TRUE),0,(G776-G775)*unitsOfExo+J775)</f>
        <v>-148400</v>
      </c>
      <c r="K776" s="9">
        <f t="shared" si="57"/>
        <v>148400</v>
      </c>
      <c r="L776">
        <f t="shared" si="58"/>
        <v>-61916.338042174466</v>
      </c>
      <c r="M776">
        <f>IF(AND(MyRowHidden(ROW())=FALSE,MyRowHidden(ROW()-1)=TRUE),0,(G776-G775)*unitsFuturesCompare+M775)</f>
        <v>-296800</v>
      </c>
      <c r="N776">
        <f>IF(MyRowHidden(ROW())=TRUE,0,L776-M776)</f>
        <v>234883.66195782553</v>
      </c>
      <c r="O776">
        <f>MAX(N$12:N776)</f>
        <v>234883.66195782553</v>
      </c>
      <c r="P776">
        <f>IF(O776&gt;O775,(O776-O775)*percentSavingsParticipation,0)</f>
        <v>95.492936738330172</v>
      </c>
      <c r="Q776">
        <f t="shared" si="59"/>
        <v>117441.83097891277</v>
      </c>
      <c r="R776">
        <f t="shared" si="60"/>
        <v>55430</v>
      </c>
    </row>
    <row r="777" spans="1:18" x14ac:dyDescent="0.25">
      <c r="A777" s="1"/>
      <c r="C777" s="1"/>
      <c r="D777" s="1">
        <v>42346</v>
      </c>
      <c r="E777" s="10">
        <v>49408</v>
      </c>
      <c r="F777" s="1">
        <v>42346</v>
      </c>
      <c r="G777">
        <v>-10189</v>
      </c>
      <c r="H777" s="1">
        <f t="shared" si="56"/>
        <v>42346</v>
      </c>
      <c r="I777">
        <f>IF(AND(MyRowHidden(ROW())=FALSE,MyRowHidden(ROW()-1)=TRUE),0,(E777-E776)*unitsOfDHp+I776)</f>
        <v>203830</v>
      </c>
      <c r="J777">
        <f>IF(AND(MyRowHidden(ROW())=FALSE,MyRowHidden(ROW()-1)=TRUE),0,(G777-G776)*unitsOfExo+J776)</f>
        <v>-148275</v>
      </c>
      <c r="K777" s="9">
        <f t="shared" si="57"/>
        <v>148275</v>
      </c>
      <c r="L777">
        <f t="shared" si="58"/>
        <v>-61886.830978912796</v>
      </c>
      <c r="M777">
        <f>IF(AND(MyRowHidden(ROW())=FALSE,MyRowHidden(ROW()-1)=TRUE),0,(G777-G776)*unitsFuturesCompare+M776)</f>
        <v>-296550</v>
      </c>
      <c r="N777">
        <f>IF(MyRowHidden(ROW())=TRUE,0,L777-M777)</f>
        <v>234663.1690210872</v>
      </c>
      <c r="O777">
        <f>MAX(N$12:N777)</f>
        <v>234883.66195782553</v>
      </c>
      <c r="P777">
        <f>IF(O777&gt;O776,(O777-O776)*percentSavingsParticipation,0)</f>
        <v>0</v>
      </c>
      <c r="Q777">
        <f t="shared" si="59"/>
        <v>117441.83097891277</v>
      </c>
      <c r="R777">
        <f t="shared" si="60"/>
        <v>55555</v>
      </c>
    </row>
    <row r="778" spans="1:18" x14ac:dyDescent="0.25">
      <c r="A778" s="1"/>
      <c r="C778" s="1"/>
      <c r="D778" s="1">
        <v>42347</v>
      </c>
      <c r="E778" s="10">
        <v>49583</v>
      </c>
      <c r="F778" s="1">
        <v>42347</v>
      </c>
      <c r="G778">
        <v>-10214</v>
      </c>
      <c r="H778" s="1">
        <f t="shared" si="56"/>
        <v>42347</v>
      </c>
      <c r="I778">
        <f>IF(AND(MyRowHidden(ROW())=FALSE,MyRowHidden(ROW()-1)=TRUE),0,(E778-E777)*unitsOfDHp+I777)</f>
        <v>205580</v>
      </c>
      <c r="J778">
        <f>IF(AND(MyRowHidden(ROW())=FALSE,MyRowHidden(ROW()-1)=TRUE),0,(G778-G777)*unitsOfExo+J777)</f>
        <v>-148525</v>
      </c>
      <c r="K778" s="9">
        <f t="shared" si="57"/>
        <v>148525</v>
      </c>
      <c r="L778">
        <f t="shared" si="58"/>
        <v>-60386.830978912796</v>
      </c>
      <c r="M778">
        <f>IF(AND(MyRowHidden(ROW())=FALSE,MyRowHidden(ROW()-1)=TRUE),0,(G778-G777)*unitsFuturesCompare+M777)</f>
        <v>-297050</v>
      </c>
      <c r="N778">
        <f>IF(MyRowHidden(ROW())=TRUE,0,L778-M778)</f>
        <v>236663.1690210872</v>
      </c>
      <c r="O778">
        <f>MAX(N$12:N778)</f>
        <v>236663.1690210872</v>
      </c>
      <c r="P778">
        <f>IF(O778&gt;O777,(O778-O777)*percentSavingsParticipation,0)</f>
        <v>889.75353163083491</v>
      </c>
      <c r="Q778">
        <f t="shared" si="59"/>
        <v>118331.5845105436</v>
      </c>
      <c r="R778">
        <f t="shared" si="60"/>
        <v>57055</v>
      </c>
    </row>
    <row r="779" spans="1:18" x14ac:dyDescent="0.25">
      <c r="A779" s="1"/>
      <c r="C779" s="1"/>
      <c r="D779" s="1">
        <v>42348</v>
      </c>
      <c r="E779" s="10">
        <v>50108</v>
      </c>
      <c r="F779" s="1">
        <v>42348</v>
      </c>
      <c r="G779">
        <v>-9951.5</v>
      </c>
      <c r="H779" s="1">
        <f t="shared" si="56"/>
        <v>42348</v>
      </c>
      <c r="I779">
        <f>IF(AND(MyRowHidden(ROW())=FALSE,MyRowHidden(ROW()-1)=TRUE),0,(E779-E778)*unitsOfDHp+I778)</f>
        <v>210830</v>
      </c>
      <c r="J779">
        <f>IF(AND(MyRowHidden(ROW())=FALSE,MyRowHidden(ROW()-1)=TRUE),0,(G779-G778)*unitsOfExo+J778)</f>
        <v>-145900</v>
      </c>
      <c r="K779" s="9">
        <f t="shared" si="57"/>
        <v>145900</v>
      </c>
      <c r="L779">
        <f t="shared" si="58"/>
        <v>-53401.584510543631</v>
      </c>
      <c r="M779">
        <f>IF(AND(MyRowHidden(ROW())=FALSE,MyRowHidden(ROW()-1)=TRUE),0,(G779-G778)*unitsFuturesCompare+M778)</f>
        <v>-291800</v>
      </c>
      <c r="N779">
        <f>IF(MyRowHidden(ROW())=TRUE,0,L779-M779)</f>
        <v>238398.41548945638</v>
      </c>
      <c r="O779">
        <f>MAX(N$12:N779)</f>
        <v>238398.41548945638</v>
      </c>
      <c r="P779">
        <f>IF(O779&gt;O778,(O779-O778)*percentSavingsParticipation,0)</f>
        <v>867.62323418458982</v>
      </c>
      <c r="Q779">
        <f t="shared" si="59"/>
        <v>119199.20774472819</v>
      </c>
      <c r="R779">
        <f t="shared" si="60"/>
        <v>64930</v>
      </c>
    </row>
    <row r="780" spans="1:18" x14ac:dyDescent="0.25">
      <c r="A780" s="1"/>
      <c r="C780" s="1"/>
      <c r="D780" s="1">
        <v>42349</v>
      </c>
      <c r="E780" s="10">
        <v>49820.5</v>
      </c>
      <c r="F780" s="1">
        <v>42349</v>
      </c>
      <c r="G780">
        <v>-10126.5</v>
      </c>
      <c r="H780" s="1">
        <f t="shared" si="56"/>
        <v>42349</v>
      </c>
      <c r="I780">
        <f>IF(AND(MyRowHidden(ROW())=FALSE,MyRowHidden(ROW()-1)=TRUE),0,(E780-E779)*unitsOfDHp+I779)</f>
        <v>207955</v>
      </c>
      <c r="J780">
        <f>IF(AND(MyRowHidden(ROW())=FALSE,MyRowHidden(ROW()-1)=TRUE),0,(G780-G779)*unitsOfExo+J779)</f>
        <v>-147650</v>
      </c>
      <c r="K780" s="9">
        <f t="shared" si="57"/>
        <v>147650</v>
      </c>
      <c r="L780">
        <f t="shared" si="58"/>
        <v>-58894.207744728221</v>
      </c>
      <c r="M780">
        <f>IF(AND(MyRowHidden(ROW())=FALSE,MyRowHidden(ROW()-1)=TRUE),0,(G780-G779)*unitsFuturesCompare+M779)</f>
        <v>-295300</v>
      </c>
      <c r="N780">
        <f>IF(MyRowHidden(ROW())=TRUE,0,L780-M780)</f>
        <v>236405.79225527178</v>
      </c>
      <c r="O780">
        <f>MAX(N$12:N780)</f>
        <v>238398.41548945638</v>
      </c>
      <c r="P780">
        <f>IF(O780&gt;O779,(O780-O779)*percentSavingsParticipation,0)</f>
        <v>0</v>
      </c>
      <c r="Q780">
        <f t="shared" si="59"/>
        <v>119199.20774472819</v>
      </c>
      <c r="R780">
        <f t="shared" si="60"/>
        <v>60305</v>
      </c>
    </row>
    <row r="781" spans="1:18" x14ac:dyDescent="0.25">
      <c r="A781" s="1"/>
      <c r="C781" s="1"/>
      <c r="D781" s="1">
        <v>42352</v>
      </c>
      <c r="E781" s="10">
        <v>50145.5</v>
      </c>
      <c r="F781" s="1">
        <v>42352</v>
      </c>
      <c r="G781">
        <v>-9951.5</v>
      </c>
      <c r="H781" s="1">
        <f t="shared" ref="H781:H844" si="61">D781</f>
        <v>42352</v>
      </c>
      <c r="I781">
        <f>IF(AND(MyRowHidden(ROW())=FALSE,MyRowHidden(ROW()-1)=TRUE),0,(E781-E780)*unitsOfDHp+I780)</f>
        <v>211205</v>
      </c>
      <c r="J781">
        <f>IF(AND(MyRowHidden(ROW())=FALSE,MyRowHidden(ROW()-1)=TRUE),0,(G781-G780)*unitsOfExo+J780)</f>
        <v>-145900</v>
      </c>
      <c r="K781" s="9">
        <f t="shared" ref="K781:K844" si="62">-(J781-J780)+K780</f>
        <v>145900</v>
      </c>
      <c r="L781">
        <f t="shared" ref="L781:L844" si="63">I781-I780+J781-J780+L780-P780</f>
        <v>-53894.207744728221</v>
      </c>
      <c r="M781">
        <f>IF(AND(MyRowHidden(ROW())=FALSE,MyRowHidden(ROW()-1)=TRUE),0,(G781-G780)*unitsFuturesCompare+M780)</f>
        <v>-291800</v>
      </c>
      <c r="N781">
        <f>IF(MyRowHidden(ROW())=TRUE,0,L781-M781)</f>
        <v>237905.79225527178</v>
      </c>
      <c r="O781">
        <f>MAX(N$12:N781)</f>
        <v>238398.41548945638</v>
      </c>
      <c r="P781">
        <f>IF(O781&gt;O780,(O781-O780)*percentSavingsParticipation,0)</f>
        <v>0</v>
      </c>
      <c r="Q781">
        <f t="shared" ref="Q781:Q844" si="64">P781+Q780</f>
        <v>119199.20774472819</v>
      </c>
      <c r="R781">
        <f t="shared" ref="R781:R844" si="65">I781+J781</f>
        <v>65305</v>
      </c>
    </row>
    <row r="782" spans="1:18" x14ac:dyDescent="0.25">
      <c r="A782" s="1"/>
      <c r="C782" s="1"/>
      <c r="D782" s="1">
        <v>42353</v>
      </c>
      <c r="E782" s="10">
        <v>50158</v>
      </c>
      <c r="F782" s="1">
        <v>42353</v>
      </c>
      <c r="G782">
        <v>-9939</v>
      </c>
      <c r="H782" s="1">
        <f t="shared" si="61"/>
        <v>42353</v>
      </c>
      <c r="I782">
        <f>IF(AND(MyRowHidden(ROW())=FALSE,MyRowHidden(ROW()-1)=TRUE),0,(E782-E781)*unitsOfDHp+I781)</f>
        <v>211330</v>
      </c>
      <c r="J782">
        <f>IF(AND(MyRowHidden(ROW())=FALSE,MyRowHidden(ROW()-1)=TRUE),0,(G782-G781)*unitsOfExo+J781)</f>
        <v>-145775</v>
      </c>
      <c r="K782" s="9">
        <f t="shared" si="62"/>
        <v>145775</v>
      </c>
      <c r="L782">
        <f t="shared" si="63"/>
        <v>-53644.207744728221</v>
      </c>
      <c r="M782">
        <f>IF(AND(MyRowHidden(ROW())=FALSE,MyRowHidden(ROW()-1)=TRUE),0,(G782-G781)*unitsFuturesCompare+M781)</f>
        <v>-291550</v>
      </c>
      <c r="N782">
        <f>IF(MyRowHidden(ROW())=TRUE,0,L782-M782)</f>
        <v>237905.79225527178</v>
      </c>
      <c r="O782">
        <f>MAX(N$12:N782)</f>
        <v>238398.41548945638</v>
      </c>
      <c r="P782">
        <f>IF(O782&gt;O781,(O782-O781)*percentSavingsParticipation,0)</f>
        <v>0</v>
      </c>
      <c r="Q782">
        <f t="shared" si="64"/>
        <v>119199.20774472819</v>
      </c>
      <c r="R782">
        <f t="shared" si="65"/>
        <v>65555</v>
      </c>
    </row>
    <row r="783" spans="1:18" x14ac:dyDescent="0.25">
      <c r="A783" s="1"/>
      <c r="C783" s="1"/>
      <c r="D783" s="1">
        <v>42354</v>
      </c>
      <c r="E783" s="10">
        <v>49473.5</v>
      </c>
      <c r="F783" s="1">
        <v>42354</v>
      </c>
      <c r="G783">
        <v>-10376.5</v>
      </c>
      <c r="H783" s="1">
        <f t="shared" si="61"/>
        <v>42354</v>
      </c>
      <c r="I783">
        <f>IF(AND(MyRowHidden(ROW())=FALSE,MyRowHidden(ROW()-1)=TRUE),0,(E783-E782)*unitsOfDHp+I782)</f>
        <v>204485</v>
      </c>
      <c r="J783">
        <f>IF(AND(MyRowHidden(ROW())=FALSE,MyRowHidden(ROW()-1)=TRUE),0,(G783-G782)*unitsOfExo+J782)</f>
        <v>-150150</v>
      </c>
      <c r="K783" s="9">
        <f t="shared" si="62"/>
        <v>150150</v>
      </c>
      <c r="L783">
        <f t="shared" si="63"/>
        <v>-64864.207744728221</v>
      </c>
      <c r="M783">
        <f>IF(AND(MyRowHidden(ROW())=FALSE,MyRowHidden(ROW()-1)=TRUE),0,(G783-G782)*unitsFuturesCompare+M782)</f>
        <v>-300300</v>
      </c>
      <c r="N783">
        <f>IF(MyRowHidden(ROW())=TRUE,0,L783-M783)</f>
        <v>235435.79225527178</v>
      </c>
      <c r="O783">
        <f>MAX(N$12:N783)</f>
        <v>238398.41548945638</v>
      </c>
      <c r="P783">
        <f>IF(O783&gt;O782,(O783-O782)*percentSavingsParticipation,0)</f>
        <v>0</v>
      </c>
      <c r="Q783">
        <f t="shared" si="64"/>
        <v>119199.20774472819</v>
      </c>
      <c r="R783">
        <f t="shared" si="65"/>
        <v>54335</v>
      </c>
    </row>
    <row r="784" spans="1:18" x14ac:dyDescent="0.25">
      <c r="A784" s="1"/>
      <c r="C784" s="1"/>
      <c r="D784" s="1">
        <v>42355</v>
      </c>
      <c r="E784" s="10">
        <v>49573.5</v>
      </c>
      <c r="F784" s="1">
        <v>42355</v>
      </c>
      <c r="G784">
        <v>-10214</v>
      </c>
      <c r="H784" s="1">
        <f t="shared" si="61"/>
        <v>42355</v>
      </c>
      <c r="I784">
        <f>IF(AND(MyRowHidden(ROW())=FALSE,MyRowHidden(ROW()-1)=TRUE),0,(E784-E783)*unitsOfDHp+I783)</f>
        <v>205485</v>
      </c>
      <c r="J784">
        <f>IF(AND(MyRowHidden(ROW())=FALSE,MyRowHidden(ROW()-1)=TRUE),0,(G784-G783)*unitsOfExo+J783)</f>
        <v>-148525</v>
      </c>
      <c r="K784" s="9">
        <f t="shared" si="62"/>
        <v>148525</v>
      </c>
      <c r="L784">
        <f t="shared" si="63"/>
        <v>-62239.207744728221</v>
      </c>
      <c r="M784">
        <f>IF(AND(MyRowHidden(ROW())=FALSE,MyRowHidden(ROW()-1)=TRUE),0,(G784-G783)*unitsFuturesCompare+M783)</f>
        <v>-297050</v>
      </c>
      <c r="N784">
        <f>IF(MyRowHidden(ROW())=TRUE,0,L784-M784)</f>
        <v>234810.79225527178</v>
      </c>
      <c r="O784">
        <f>MAX(N$12:N784)</f>
        <v>238398.41548945638</v>
      </c>
      <c r="P784">
        <f>IF(O784&gt;O783,(O784-O783)*percentSavingsParticipation,0)</f>
        <v>0</v>
      </c>
      <c r="Q784">
        <f t="shared" si="64"/>
        <v>119199.20774472819</v>
      </c>
      <c r="R784">
        <f t="shared" si="65"/>
        <v>56960</v>
      </c>
    </row>
    <row r="785" spans="1:18" x14ac:dyDescent="0.25">
      <c r="A785" s="1"/>
      <c r="C785" s="1"/>
      <c r="D785" s="1">
        <v>42356</v>
      </c>
      <c r="E785" s="10">
        <v>49523.5</v>
      </c>
      <c r="F785" s="1">
        <v>42356</v>
      </c>
      <c r="G785">
        <v>-10151.5</v>
      </c>
      <c r="H785" s="1">
        <f t="shared" si="61"/>
        <v>42356</v>
      </c>
      <c r="I785">
        <f>IF(AND(MyRowHidden(ROW())=FALSE,MyRowHidden(ROW()-1)=TRUE),0,(E785-E784)*unitsOfDHp+I784)</f>
        <v>204985</v>
      </c>
      <c r="J785">
        <f>IF(AND(MyRowHidden(ROW())=FALSE,MyRowHidden(ROW()-1)=TRUE),0,(G785-G784)*unitsOfExo+J784)</f>
        <v>-147900</v>
      </c>
      <c r="K785" s="9">
        <f t="shared" si="62"/>
        <v>147900</v>
      </c>
      <c r="L785">
        <f t="shared" si="63"/>
        <v>-62114.207744728221</v>
      </c>
      <c r="M785">
        <f>IF(AND(MyRowHidden(ROW())=FALSE,MyRowHidden(ROW()-1)=TRUE),0,(G785-G784)*unitsFuturesCompare+M784)</f>
        <v>-295800</v>
      </c>
      <c r="N785">
        <f>IF(MyRowHidden(ROW())=TRUE,0,L785-M785)</f>
        <v>233685.79225527178</v>
      </c>
      <c r="O785">
        <f>MAX(N$12:N785)</f>
        <v>238398.41548945638</v>
      </c>
      <c r="P785">
        <f>IF(O785&gt;O784,(O785-O784)*percentSavingsParticipation,0)</f>
        <v>0</v>
      </c>
      <c r="Q785">
        <f t="shared" si="64"/>
        <v>119199.20774472819</v>
      </c>
      <c r="R785">
        <f t="shared" si="65"/>
        <v>57085</v>
      </c>
    </row>
    <row r="786" spans="1:18" x14ac:dyDescent="0.25">
      <c r="A786" s="1"/>
      <c r="C786" s="1"/>
      <c r="D786" s="1">
        <v>42359</v>
      </c>
      <c r="E786" s="10">
        <v>49798.5</v>
      </c>
      <c r="F786" s="1">
        <v>42359</v>
      </c>
      <c r="G786">
        <v>-10301.5</v>
      </c>
      <c r="H786" s="1">
        <f t="shared" si="61"/>
        <v>42359</v>
      </c>
      <c r="I786">
        <f>IF(AND(MyRowHidden(ROW())=FALSE,MyRowHidden(ROW()-1)=TRUE),0,(E786-E785)*unitsOfDHp+I785)</f>
        <v>207735</v>
      </c>
      <c r="J786">
        <f>IF(AND(MyRowHidden(ROW())=FALSE,MyRowHidden(ROW()-1)=TRUE),0,(G786-G785)*unitsOfExo+J785)</f>
        <v>-149400</v>
      </c>
      <c r="K786" s="9">
        <f t="shared" si="62"/>
        <v>149400</v>
      </c>
      <c r="L786">
        <f t="shared" si="63"/>
        <v>-60864.207744728221</v>
      </c>
      <c r="M786">
        <f>IF(AND(MyRowHidden(ROW())=FALSE,MyRowHidden(ROW()-1)=TRUE),0,(G786-G785)*unitsFuturesCompare+M785)</f>
        <v>-298800</v>
      </c>
      <c r="N786">
        <f>IF(MyRowHidden(ROW())=TRUE,0,L786-M786)</f>
        <v>237935.79225527178</v>
      </c>
      <c r="O786">
        <f>MAX(N$12:N786)</f>
        <v>238398.41548945638</v>
      </c>
      <c r="P786">
        <f>IF(O786&gt;O785,(O786-O785)*percentSavingsParticipation,0)</f>
        <v>0</v>
      </c>
      <c r="Q786">
        <f t="shared" si="64"/>
        <v>119199.20774472819</v>
      </c>
      <c r="R786">
        <f t="shared" si="65"/>
        <v>58335</v>
      </c>
    </row>
    <row r="787" spans="1:18" x14ac:dyDescent="0.25">
      <c r="A787" s="1"/>
      <c r="C787" s="1"/>
      <c r="D787" s="1">
        <v>42360</v>
      </c>
      <c r="E787" s="10">
        <v>49453</v>
      </c>
      <c r="F787" s="1">
        <v>42360</v>
      </c>
      <c r="G787">
        <v>-10551.5</v>
      </c>
      <c r="H787" s="1">
        <f t="shared" si="61"/>
        <v>42360</v>
      </c>
      <c r="I787">
        <f>IF(AND(MyRowHidden(ROW())=FALSE,MyRowHidden(ROW()-1)=TRUE),0,(E787-E786)*unitsOfDHp+I786)</f>
        <v>204280</v>
      </c>
      <c r="J787">
        <f>IF(AND(MyRowHidden(ROW())=FALSE,MyRowHidden(ROW()-1)=TRUE),0,(G787-G786)*unitsOfExo+J786)</f>
        <v>-151900</v>
      </c>
      <c r="K787" s="9">
        <f t="shared" si="62"/>
        <v>151900</v>
      </c>
      <c r="L787">
        <f t="shared" si="63"/>
        <v>-66819.207744728221</v>
      </c>
      <c r="M787">
        <f>IF(AND(MyRowHidden(ROW())=FALSE,MyRowHidden(ROW()-1)=TRUE),0,(G787-G786)*unitsFuturesCompare+M786)</f>
        <v>-303800</v>
      </c>
      <c r="N787">
        <f>IF(MyRowHidden(ROW())=TRUE,0,L787-M787)</f>
        <v>236980.79225527178</v>
      </c>
      <c r="O787">
        <f>MAX(N$12:N787)</f>
        <v>238398.41548945638</v>
      </c>
      <c r="P787">
        <f>IF(O787&gt;O786,(O787-O786)*percentSavingsParticipation,0)</f>
        <v>0</v>
      </c>
      <c r="Q787">
        <f t="shared" si="64"/>
        <v>119199.20774472819</v>
      </c>
      <c r="R787">
        <f t="shared" si="65"/>
        <v>52380</v>
      </c>
    </row>
    <row r="788" spans="1:18" x14ac:dyDescent="0.25">
      <c r="A788" s="1"/>
      <c r="C788" s="1"/>
      <c r="D788" s="1">
        <v>42361</v>
      </c>
      <c r="E788" s="10">
        <v>49323</v>
      </c>
      <c r="F788" s="1">
        <v>42361</v>
      </c>
      <c r="G788">
        <v>-10601.5</v>
      </c>
      <c r="H788" s="1">
        <f t="shared" si="61"/>
        <v>42361</v>
      </c>
      <c r="I788">
        <f>IF(AND(MyRowHidden(ROW())=FALSE,MyRowHidden(ROW()-1)=TRUE),0,(E788-E787)*unitsOfDHp+I787)</f>
        <v>202980</v>
      </c>
      <c r="J788">
        <f>IF(AND(MyRowHidden(ROW())=FALSE,MyRowHidden(ROW()-1)=TRUE),0,(G788-G787)*unitsOfExo+J787)</f>
        <v>-152400</v>
      </c>
      <c r="K788" s="9">
        <f t="shared" si="62"/>
        <v>152400</v>
      </c>
      <c r="L788">
        <f t="shared" si="63"/>
        <v>-68619.207744728221</v>
      </c>
      <c r="M788">
        <f>IF(AND(MyRowHidden(ROW())=FALSE,MyRowHidden(ROW()-1)=TRUE),0,(G788-G787)*unitsFuturesCompare+M787)</f>
        <v>-304800</v>
      </c>
      <c r="N788">
        <f>IF(MyRowHidden(ROW())=TRUE,0,L788-M788)</f>
        <v>236180.79225527178</v>
      </c>
      <c r="O788">
        <f>MAX(N$12:N788)</f>
        <v>238398.41548945638</v>
      </c>
      <c r="P788">
        <f>IF(O788&gt;O787,(O788-O787)*percentSavingsParticipation,0)</f>
        <v>0</v>
      </c>
      <c r="Q788">
        <f t="shared" si="64"/>
        <v>119199.20774472819</v>
      </c>
      <c r="R788">
        <f t="shared" si="65"/>
        <v>50580</v>
      </c>
    </row>
    <row r="789" spans="1:18" x14ac:dyDescent="0.25">
      <c r="A789" s="1"/>
      <c r="C789" s="1"/>
      <c r="D789" s="1">
        <v>42362</v>
      </c>
      <c r="E789" s="10">
        <v>53360.5</v>
      </c>
      <c r="F789" s="1">
        <v>42362</v>
      </c>
      <c r="G789">
        <v>-10651.5</v>
      </c>
      <c r="H789" s="1">
        <f t="shared" si="61"/>
        <v>42362</v>
      </c>
      <c r="I789">
        <f>IF(AND(MyRowHidden(ROW())=FALSE,MyRowHidden(ROW()-1)=TRUE),0,(E789-E788)*unitsOfDHp+I788)</f>
        <v>243355</v>
      </c>
      <c r="J789">
        <f>IF(AND(MyRowHidden(ROW())=FALSE,MyRowHidden(ROW()-1)=TRUE),0,(G789-G788)*unitsOfExo+J788)</f>
        <v>-152900</v>
      </c>
      <c r="K789" s="9">
        <f t="shared" si="62"/>
        <v>152900</v>
      </c>
      <c r="L789">
        <f t="shared" si="63"/>
        <v>-28744.207744728221</v>
      </c>
      <c r="M789">
        <f>IF(AND(MyRowHidden(ROW())=FALSE,MyRowHidden(ROW()-1)=TRUE),0,(G789-G788)*unitsFuturesCompare+M788)</f>
        <v>-305800</v>
      </c>
      <c r="N789">
        <f>IF(MyRowHidden(ROW())=TRUE,0,L789-M789)</f>
        <v>277055.79225527181</v>
      </c>
      <c r="O789">
        <f>MAX(N$12:N789)</f>
        <v>277055.79225527181</v>
      </c>
      <c r="P789">
        <f>IF(O789&gt;O788,(O789-O788)*percentSavingsParticipation,0)</f>
        <v>19328.688382907712</v>
      </c>
      <c r="Q789">
        <f t="shared" si="64"/>
        <v>138527.8961276359</v>
      </c>
      <c r="R789">
        <f t="shared" si="65"/>
        <v>90455</v>
      </c>
    </row>
    <row r="790" spans="1:18" x14ac:dyDescent="0.25">
      <c r="A790" s="1"/>
      <c r="C790" s="1"/>
      <c r="D790" s="1">
        <v>42363</v>
      </c>
      <c r="E790" s="10">
        <v>50985.5</v>
      </c>
      <c r="F790" s="1">
        <v>42363</v>
      </c>
      <c r="G790">
        <v>-10701.5</v>
      </c>
      <c r="H790" s="1">
        <f t="shared" si="61"/>
        <v>42363</v>
      </c>
      <c r="I790">
        <f>IF(AND(MyRowHidden(ROW())=FALSE,MyRowHidden(ROW()-1)=TRUE),0,(E790-E789)*unitsOfDHp+I789)</f>
        <v>219605</v>
      </c>
      <c r="J790">
        <f>IF(AND(MyRowHidden(ROW())=FALSE,MyRowHidden(ROW()-1)=TRUE),0,(G790-G789)*unitsOfExo+J789)</f>
        <v>-153400</v>
      </c>
      <c r="K790" s="9">
        <f t="shared" si="62"/>
        <v>153400</v>
      </c>
      <c r="L790">
        <f t="shared" si="63"/>
        <v>-72322.896127635933</v>
      </c>
      <c r="M790">
        <f>IF(AND(MyRowHidden(ROW())=FALSE,MyRowHidden(ROW()-1)=TRUE),0,(G790-G789)*unitsFuturesCompare+M789)</f>
        <v>-306800</v>
      </c>
      <c r="N790">
        <f>IF(MyRowHidden(ROW())=TRUE,0,L790-M790)</f>
        <v>234477.10387236407</v>
      </c>
      <c r="O790">
        <f>MAX(N$12:N790)</f>
        <v>277055.79225527181</v>
      </c>
      <c r="P790">
        <f>IF(O790&gt;O789,(O790-O789)*percentSavingsParticipation,0)</f>
        <v>0</v>
      </c>
      <c r="Q790">
        <f t="shared" si="64"/>
        <v>138527.8961276359</v>
      </c>
      <c r="R790">
        <f t="shared" si="65"/>
        <v>66205</v>
      </c>
    </row>
    <row r="791" spans="1:18" x14ac:dyDescent="0.25">
      <c r="A791" s="1"/>
      <c r="C791" s="1"/>
      <c r="D791" s="1">
        <v>42366</v>
      </c>
      <c r="E791" s="10">
        <v>51213.5</v>
      </c>
      <c r="F791" s="1">
        <v>42366</v>
      </c>
      <c r="G791">
        <v>-10839</v>
      </c>
      <c r="H791" s="1">
        <f t="shared" si="61"/>
        <v>42366</v>
      </c>
      <c r="I791">
        <f>IF(AND(MyRowHidden(ROW())=FALSE,MyRowHidden(ROW()-1)=TRUE),0,(E791-E790)*unitsOfDHp+I790)</f>
        <v>221885</v>
      </c>
      <c r="J791">
        <f>IF(AND(MyRowHidden(ROW())=FALSE,MyRowHidden(ROW()-1)=TRUE),0,(G791-G790)*unitsOfExo+J790)</f>
        <v>-154775</v>
      </c>
      <c r="K791" s="9">
        <f t="shared" si="62"/>
        <v>154775</v>
      </c>
      <c r="L791">
        <f t="shared" si="63"/>
        <v>-71417.896127635933</v>
      </c>
      <c r="M791">
        <f>IF(AND(MyRowHidden(ROW())=FALSE,MyRowHidden(ROW()-1)=TRUE),0,(G791-G790)*unitsFuturesCompare+M790)</f>
        <v>-309550</v>
      </c>
      <c r="N791">
        <f>IF(MyRowHidden(ROW())=TRUE,0,L791-M791)</f>
        <v>238132.10387236407</v>
      </c>
      <c r="O791">
        <f>MAX(N$12:N791)</f>
        <v>277055.79225527181</v>
      </c>
      <c r="P791">
        <f>IF(O791&gt;O790,(O791-O790)*percentSavingsParticipation,0)</f>
        <v>0</v>
      </c>
      <c r="Q791">
        <f t="shared" si="64"/>
        <v>138527.8961276359</v>
      </c>
      <c r="R791">
        <f t="shared" si="65"/>
        <v>67110</v>
      </c>
    </row>
    <row r="792" spans="1:18" x14ac:dyDescent="0.25">
      <c r="A792" s="1"/>
      <c r="C792" s="1"/>
      <c r="D792" s="1">
        <v>42367</v>
      </c>
      <c r="E792" s="10">
        <v>51238.5</v>
      </c>
      <c r="F792" s="1">
        <v>42367</v>
      </c>
      <c r="G792">
        <v>-10789</v>
      </c>
      <c r="H792" s="1">
        <f t="shared" si="61"/>
        <v>42367</v>
      </c>
      <c r="I792">
        <f>IF(AND(MyRowHidden(ROW())=FALSE,MyRowHidden(ROW()-1)=TRUE),0,(E792-E791)*unitsOfDHp+I791)</f>
        <v>222135</v>
      </c>
      <c r="J792">
        <f>IF(AND(MyRowHidden(ROW())=FALSE,MyRowHidden(ROW()-1)=TRUE),0,(G792-G791)*unitsOfExo+J791)</f>
        <v>-154275</v>
      </c>
      <c r="K792" s="9">
        <f t="shared" si="62"/>
        <v>154275</v>
      </c>
      <c r="L792">
        <f t="shared" si="63"/>
        <v>-70667.896127635933</v>
      </c>
      <c r="M792">
        <f>IF(AND(MyRowHidden(ROW())=FALSE,MyRowHidden(ROW()-1)=TRUE),0,(G792-G791)*unitsFuturesCompare+M791)</f>
        <v>-308550</v>
      </c>
      <c r="N792">
        <f>IF(MyRowHidden(ROW())=TRUE,0,L792-M792)</f>
        <v>237882.10387236407</v>
      </c>
      <c r="O792">
        <f>MAX(N$12:N792)</f>
        <v>277055.79225527181</v>
      </c>
      <c r="P792">
        <f>IF(O792&gt;O791,(O792-O791)*percentSavingsParticipation,0)</f>
        <v>0</v>
      </c>
      <c r="Q792">
        <f t="shared" si="64"/>
        <v>138527.8961276359</v>
      </c>
      <c r="R792">
        <f t="shared" si="65"/>
        <v>67860</v>
      </c>
    </row>
    <row r="793" spans="1:18" x14ac:dyDescent="0.25">
      <c r="A793" s="1"/>
      <c r="C793" s="1"/>
      <c r="D793" s="1">
        <v>42368</v>
      </c>
      <c r="E793" s="10">
        <v>51251</v>
      </c>
      <c r="F793" s="1">
        <v>42368</v>
      </c>
      <c r="G793">
        <v>-10914</v>
      </c>
      <c r="H793" s="1">
        <f t="shared" si="61"/>
        <v>42368</v>
      </c>
      <c r="I793">
        <f>IF(AND(MyRowHidden(ROW())=FALSE,MyRowHidden(ROW()-1)=TRUE),0,(E793-E792)*unitsOfDHp+I792)</f>
        <v>222260</v>
      </c>
      <c r="J793">
        <f>IF(AND(MyRowHidden(ROW())=FALSE,MyRowHidden(ROW()-1)=TRUE),0,(G793-G792)*unitsOfExo+J792)</f>
        <v>-155525</v>
      </c>
      <c r="K793" s="9">
        <f t="shared" si="62"/>
        <v>155525</v>
      </c>
      <c r="L793">
        <f t="shared" si="63"/>
        <v>-71792.896127635933</v>
      </c>
      <c r="M793">
        <f>IF(AND(MyRowHidden(ROW())=FALSE,MyRowHidden(ROW()-1)=TRUE),0,(G793-G792)*unitsFuturesCompare+M792)</f>
        <v>-311050</v>
      </c>
      <c r="N793">
        <f>IF(MyRowHidden(ROW())=TRUE,0,L793-M793)</f>
        <v>239257.10387236407</v>
      </c>
      <c r="O793">
        <f>MAX(N$12:N793)</f>
        <v>277055.79225527181</v>
      </c>
      <c r="P793">
        <f>IF(O793&gt;O792,(O793-O792)*percentSavingsParticipation,0)</f>
        <v>0</v>
      </c>
      <c r="Q793">
        <f t="shared" si="64"/>
        <v>138527.8961276359</v>
      </c>
      <c r="R793">
        <f t="shared" si="65"/>
        <v>66735</v>
      </c>
    </row>
    <row r="794" spans="1:18" x14ac:dyDescent="0.25">
      <c r="A794" s="1"/>
      <c r="C794" s="1"/>
      <c r="D794" s="1">
        <v>42369</v>
      </c>
      <c r="E794" s="10">
        <v>51226</v>
      </c>
      <c r="F794" s="1">
        <v>42369</v>
      </c>
      <c r="G794">
        <v>-10951.5</v>
      </c>
      <c r="H794" s="1">
        <f t="shared" si="61"/>
        <v>42369</v>
      </c>
      <c r="I794">
        <f>IF(AND(MyRowHidden(ROW())=FALSE,MyRowHidden(ROW()-1)=TRUE),0,(E794-E793)*unitsOfDHp+I793)</f>
        <v>222010</v>
      </c>
      <c r="J794">
        <f>IF(AND(MyRowHidden(ROW())=FALSE,MyRowHidden(ROW()-1)=TRUE),0,(G794-G793)*unitsOfExo+J793)</f>
        <v>-155900</v>
      </c>
      <c r="K794" s="9">
        <f t="shared" si="62"/>
        <v>155900</v>
      </c>
      <c r="L794">
        <f t="shared" si="63"/>
        <v>-72417.896127635933</v>
      </c>
      <c r="M794">
        <f>IF(AND(MyRowHidden(ROW())=FALSE,MyRowHidden(ROW()-1)=TRUE),0,(G794-G793)*unitsFuturesCompare+M793)</f>
        <v>-311800</v>
      </c>
      <c r="N794">
        <f>IF(MyRowHidden(ROW())=TRUE,0,L794-M794)</f>
        <v>239382.10387236407</v>
      </c>
      <c r="O794">
        <f>MAX(N$12:N794)</f>
        <v>277055.79225527181</v>
      </c>
      <c r="P794">
        <f>IF(O794&gt;O793,(O794-O793)*percentSavingsParticipation,0)</f>
        <v>0</v>
      </c>
      <c r="Q794">
        <f t="shared" si="64"/>
        <v>138527.8961276359</v>
      </c>
      <c r="R794">
        <f t="shared" si="65"/>
        <v>66110</v>
      </c>
    </row>
    <row r="795" spans="1:18" x14ac:dyDescent="0.25">
      <c r="A795" s="1"/>
      <c r="C795" s="1"/>
      <c r="D795" s="1">
        <v>42370</v>
      </c>
      <c r="E795" s="10">
        <v>51226</v>
      </c>
      <c r="F795" s="1">
        <v>42370</v>
      </c>
      <c r="G795">
        <v>-10901</v>
      </c>
      <c r="H795" s="1">
        <f t="shared" si="61"/>
        <v>42370</v>
      </c>
      <c r="I795">
        <f>IF(AND(MyRowHidden(ROW())=FALSE,MyRowHidden(ROW()-1)=TRUE),0,(E795-E794)*unitsOfDHp+I794)</f>
        <v>222010</v>
      </c>
      <c r="J795">
        <f>IF(AND(MyRowHidden(ROW())=FALSE,MyRowHidden(ROW()-1)=TRUE),0,(G795-G794)*unitsOfExo+J794)</f>
        <v>-155395</v>
      </c>
      <c r="K795" s="9">
        <f t="shared" si="62"/>
        <v>155395</v>
      </c>
      <c r="L795">
        <f t="shared" si="63"/>
        <v>-71912.896127635933</v>
      </c>
      <c r="M795">
        <f>IF(AND(MyRowHidden(ROW())=FALSE,MyRowHidden(ROW()-1)=TRUE),0,(G795-G794)*unitsFuturesCompare+M794)</f>
        <v>-310790</v>
      </c>
      <c r="N795">
        <f>IF(MyRowHidden(ROW())=TRUE,0,L795-M795)</f>
        <v>238877.10387236407</v>
      </c>
      <c r="O795">
        <f>MAX(N$12:N795)</f>
        <v>277055.79225527181</v>
      </c>
      <c r="P795">
        <f>IF(O795&gt;O794,(O795-O794)*percentSavingsParticipation,0)</f>
        <v>0</v>
      </c>
      <c r="Q795">
        <f t="shared" si="64"/>
        <v>138527.8961276359</v>
      </c>
      <c r="R795">
        <f t="shared" si="65"/>
        <v>66615</v>
      </c>
    </row>
    <row r="796" spans="1:18" x14ac:dyDescent="0.25">
      <c r="A796" s="1"/>
      <c r="C796" s="1"/>
      <c r="D796" s="1">
        <v>42373</v>
      </c>
      <c r="E796" s="10">
        <v>50606.5</v>
      </c>
      <c r="F796" s="1">
        <v>42373</v>
      </c>
      <c r="G796">
        <v>-11301</v>
      </c>
      <c r="H796" s="1">
        <f t="shared" si="61"/>
        <v>42373</v>
      </c>
      <c r="I796">
        <f>IF(AND(MyRowHidden(ROW())=FALSE,MyRowHidden(ROW()-1)=TRUE),0,(E796-E795)*unitsOfDHp+I795)</f>
        <v>215815</v>
      </c>
      <c r="J796">
        <f>IF(AND(MyRowHidden(ROW())=FALSE,MyRowHidden(ROW()-1)=TRUE),0,(G796-G795)*unitsOfExo+J795)</f>
        <v>-159395</v>
      </c>
      <c r="K796" s="9">
        <f t="shared" si="62"/>
        <v>159395</v>
      </c>
      <c r="L796">
        <f t="shared" si="63"/>
        <v>-82107.896127635933</v>
      </c>
      <c r="M796">
        <f>IF(AND(MyRowHidden(ROW())=FALSE,MyRowHidden(ROW()-1)=TRUE),0,(G796-G795)*unitsFuturesCompare+M795)</f>
        <v>-318790</v>
      </c>
      <c r="N796">
        <f>IF(MyRowHidden(ROW())=TRUE,0,L796-M796)</f>
        <v>236682.10387236407</v>
      </c>
      <c r="O796">
        <f>MAX(N$12:N796)</f>
        <v>277055.79225527181</v>
      </c>
      <c r="P796">
        <f>IF(O796&gt;O795,(O796-O795)*percentSavingsParticipation,0)</f>
        <v>0</v>
      </c>
      <c r="Q796">
        <f t="shared" si="64"/>
        <v>138527.8961276359</v>
      </c>
      <c r="R796">
        <f t="shared" si="65"/>
        <v>56420</v>
      </c>
    </row>
    <row r="797" spans="1:18" x14ac:dyDescent="0.25">
      <c r="A797" s="1"/>
      <c r="C797" s="1"/>
      <c r="D797" s="1">
        <v>42374</v>
      </c>
      <c r="E797" s="10">
        <v>50522</v>
      </c>
      <c r="F797" s="1">
        <v>42374</v>
      </c>
      <c r="G797">
        <v>-11226</v>
      </c>
      <c r="H797" s="1">
        <f t="shared" si="61"/>
        <v>42374</v>
      </c>
      <c r="I797">
        <f>IF(AND(MyRowHidden(ROW())=FALSE,MyRowHidden(ROW()-1)=TRUE),0,(E797-E796)*unitsOfDHp+I796)</f>
        <v>214970</v>
      </c>
      <c r="J797">
        <f>IF(AND(MyRowHidden(ROW())=FALSE,MyRowHidden(ROW()-1)=TRUE),0,(G797-G796)*unitsOfExo+J796)</f>
        <v>-158645</v>
      </c>
      <c r="K797" s="9">
        <f t="shared" si="62"/>
        <v>158645</v>
      </c>
      <c r="L797">
        <f t="shared" si="63"/>
        <v>-82202.896127635933</v>
      </c>
      <c r="M797">
        <f>IF(AND(MyRowHidden(ROW())=FALSE,MyRowHidden(ROW()-1)=TRUE),0,(G797-G796)*unitsFuturesCompare+M796)</f>
        <v>-317290</v>
      </c>
      <c r="N797">
        <f>IF(MyRowHidden(ROW())=TRUE,0,L797-M797)</f>
        <v>235087.10387236407</v>
      </c>
      <c r="O797">
        <f>MAX(N$12:N797)</f>
        <v>277055.79225527181</v>
      </c>
      <c r="P797">
        <f>IF(O797&gt;O796,(O797-O796)*percentSavingsParticipation,0)</f>
        <v>0</v>
      </c>
      <c r="Q797">
        <f t="shared" si="64"/>
        <v>138527.8961276359</v>
      </c>
      <c r="R797">
        <f t="shared" si="65"/>
        <v>56325</v>
      </c>
    </row>
    <row r="798" spans="1:18" x14ac:dyDescent="0.25">
      <c r="A798" s="1"/>
      <c r="C798" s="1"/>
      <c r="D798" s="1">
        <v>42375</v>
      </c>
      <c r="E798" s="10">
        <v>50659.5</v>
      </c>
      <c r="F798" s="1">
        <v>42375</v>
      </c>
      <c r="G798">
        <v>-11176</v>
      </c>
      <c r="H798" s="1">
        <f t="shared" si="61"/>
        <v>42375</v>
      </c>
      <c r="I798">
        <f>IF(AND(MyRowHidden(ROW())=FALSE,MyRowHidden(ROW()-1)=TRUE),0,(E798-E797)*unitsOfDHp+I797)</f>
        <v>216345</v>
      </c>
      <c r="J798">
        <f>IF(AND(MyRowHidden(ROW())=FALSE,MyRowHidden(ROW()-1)=TRUE),0,(G798-G797)*unitsOfExo+J797)</f>
        <v>-158145</v>
      </c>
      <c r="K798" s="9">
        <f t="shared" si="62"/>
        <v>158145</v>
      </c>
      <c r="L798">
        <f t="shared" si="63"/>
        <v>-80327.896127635933</v>
      </c>
      <c r="M798">
        <f>IF(AND(MyRowHidden(ROW())=FALSE,MyRowHidden(ROW()-1)=TRUE),0,(G798-G797)*unitsFuturesCompare+M797)</f>
        <v>-316290</v>
      </c>
      <c r="N798">
        <f>IF(MyRowHidden(ROW())=TRUE,0,L798-M798)</f>
        <v>235962.10387236407</v>
      </c>
      <c r="O798">
        <f>MAX(N$12:N798)</f>
        <v>277055.79225527181</v>
      </c>
      <c r="P798">
        <f>IF(O798&gt;O797,(O798-O797)*percentSavingsParticipation,0)</f>
        <v>0</v>
      </c>
      <c r="Q798">
        <f t="shared" si="64"/>
        <v>138527.8961276359</v>
      </c>
      <c r="R798">
        <f t="shared" si="65"/>
        <v>58200</v>
      </c>
    </row>
    <row r="799" spans="1:18" x14ac:dyDescent="0.25">
      <c r="A799" s="1"/>
      <c r="C799" s="1"/>
      <c r="D799" s="1">
        <v>42376</v>
      </c>
      <c r="E799" s="10">
        <v>50584.5</v>
      </c>
      <c r="F799" s="1">
        <v>42376</v>
      </c>
      <c r="G799">
        <v>-11263.5</v>
      </c>
      <c r="H799" s="1">
        <f t="shared" si="61"/>
        <v>42376</v>
      </c>
      <c r="I799">
        <f>IF(AND(MyRowHidden(ROW())=FALSE,MyRowHidden(ROW()-1)=TRUE),0,(E799-E798)*unitsOfDHp+I798)</f>
        <v>215595</v>
      </c>
      <c r="J799">
        <f>IF(AND(MyRowHidden(ROW())=FALSE,MyRowHidden(ROW()-1)=TRUE),0,(G799-G798)*unitsOfExo+J798)</f>
        <v>-159020</v>
      </c>
      <c r="K799" s="9">
        <f t="shared" si="62"/>
        <v>159020</v>
      </c>
      <c r="L799">
        <f t="shared" si="63"/>
        <v>-81952.896127635933</v>
      </c>
      <c r="M799">
        <f>IF(AND(MyRowHidden(ROW())=FALSE,MyRowHidden(ROW()-1)=TRUE),0,(G799-G798)*unitsFuturesCompare+M798)</f>
        <v>-318040</v>
      </c>
      <c r="N799">
        <f>IF(MyRowHidden(ROW())=TRUE,0,L799-M799)</f>
        <v>236087.10387236407</v>
      </c>
      <c r="O799">
        <f>MAX(N$12:N799)</f>
        <v>277055.79225527181</v>
      </c>
      <c r="P799">
        <f>IF(O799&gt;O798,(O799-O798)*percentSavingsParticipation,0)</f>
        <v>0</v>
      </c>
      <c r="Q799">
        <f t="shared" si="64"/>
        <v>138527.8961276359</v>
      </c>
      <c r="R799">
        <f t="shared" si="65"/>
        <v>56575</v>
      </c>
    </row>
    <row r="800" spans="1:18" x14ac:dyDescent="0.25">
      <c r="A800" s="1"/>
      <c r="C800" s="1"/>
      <c r="D800" s="1">
        <v>42377</v>
      </c>
      <c r="E800" s="10">
        <v>50834.5</v>
      </c>
      <c r="F800" s="1">
        <v>42377</v>
      </c>
      <c r="G800">
        <v>-11063.5</v>
      </c>
      <c r="H800" s="1">
        <f t="shared" si="61"/>
        <v>42377</v>
      </c>
      <c r="I800">
        <f>IF(AND(MyRowHidden(ROW())=FALSE,MyRowHidden(ROW()-1)=TRUE),0,(E800-E799)*unitsOfDHp+I799)</f>
        <v>218095</v>
      </c>
      <c r="J800">
        <f>IF(AND(MyRowHidden(ROW())=FALSE,MyRowHidden(ROW()-1)=TRUE),0,(G800-G799)*unitsOfExo+J799)</f>
        <v>-157020</v>
      </c>
      <c r="K800" s="9">
        <f t="shared" si="62"/>
        <v>157020</v>
      </c>
      <c r="L800">
        <f t="shared" si="63"/>
        <v>-77452.896127635933</v>
      </c>
      <c r="M800">
        <f>IF(AND(MyRowHidden(ROW())=FALSE,MyRowHidden(ROW()-1)=TRUE),0,(G800-G799)*unitsFuturesCompare+M799)</f>
        <v>-314040</v>
      </c>
      <c r="N800">
        <f>IF(MyRowHidden(ROW())=TRUE,0,L800-M800)</f>
        <v>236587.10387236407</v>
      </c>
      <c r="O800">
        <f>MAX(N$12:N800)</f>
        <v>277055.79225527181</v>
      </c>
      <c r="P800">
        <f>IF(O800&gt;O799,(O800-O799)*percentSavingsParticipation,0)</f>
        <v>0</v>
      </c>
      <c r="Q800">
        <f t="shared" si="64"/>
        <v>138527.8961276359</v>
      </c>
      <c r="R800">
        <f t="shared" si="65"/>
        <v>61075</v>
      </c>
    </row>
    <row r="801" spans="1:18" x14ac:dyDescent="0.25">
      <c r="A801" s="1"/>
      <c r="C801" s="1"/>
      <c r="D801" s="1">
        <v>42380</v>
      </c>
      <c r="E801" s="10">
        <v>50784.5</v>
      </c>
      <c r="F801" s="1">
        <v>42380</v>
      </c>
      <c r="G801">
        <v>-11338.5</v>
      </c>
      <c r="H801" s="1">
        <f t="shared" si="61"/>
        <v>42380</v>
      </c>
      <c r="I801">
        <f>IF(AND(MyRowHidden(ROW())=FALSE,MyRowHidden(ROW()-1)=TRUE),0,(E801-E800)*unitsOfDHp+I800)</f>
        <v>217595</v>
      </c>
      <c r="J801">
        <f>IF(AND(MyRowHidden(ROW())=FALSE,MyRowHidden(ROW()-1)=TRUE),0,(G801-G800)*unitsOfExo+J800)</f>
        <v>-159770</v>
      </c>
      <c r="K801" s="9">
        <f t="shared" si="62"/>
        <v>159770</v>
      </c>
      <c r="L801">
        <f t="shared" si="63"/>
        <v>-80702.896127635933</v>
      </c>
      <c r="M801">
        <f>IF(AND(MyRowHidden(ROW())=FALSE,MyRowHidden(ROW()-1)=TRUE),0,(G801-G800)*unitsFuturesCompare+M800)</f>
        <v>-319540</v>
      </c>
      <c r="N801">
        <f>IF(MyRowHidden(ROW())=TRUE,0,L801-M801)</f>
        <v>238837.10387236407</v>
      </c>
      <c r="O801">
        <f>MAX(N$12:N801)</f>
        <v>277055.79225527181</v>
      </c>
      <c r="P801">
        <f>IF(O801&gt;O800,(O801-O800)*percentSavingsParticipation,0)</f>
        <v>0</v>
      </c>
      <c r="Q801">
        <f t="shared" si="64"/>
        <v>138527.8961276359</v>
      </c>
      <c r="R801">
        <f t="shared" si="65"/>
        <v>57825</v>
      </c>
    </row>
    <row r="802" spans="1:18" x14ac:dyDescent="0.25">
      <c r="A802" s="1"/>
      <c r="C802" s="1"/>
      <c r="D802" s="1">
        <v>42381</v>
      </c>
      <c r="E802" s="10">
        <v>51273.5</v>
      </c>
      <c r="F802" s="1">
        <v>42381</v>
      </c>
      <c r="G802">
        <v>-10988.5</v>
      </c>
      <c r="H802" s="1">
        <f t="shared" si="61"/>
        <v>42381</v>
      </c>
      <c r="I802">
        <f>IF(AND(MyRowHidden(ROW())=FALSE,MyRowHidden(ROW()-1)=TRUE),0,(E802-E801)*unitsOfDHp+I801)</f>
        <v>222485</v>
      </c>
      <c r="J802">
        <f>IF(AND(MyRowHidden(ROW())=FALSE,MyRowHidden(ROW()-1)=TRUE),0,(G802-G801)*unitsOfExo+J801)</f>
        <v>-156270</v>
      </c>
      <c r="K802" s="9">
        <f t="shared" si="62"/>
        <v>156270</v>
      </c>
      <c r="L802">
        <f t="shared" si="63"/>
        <v>-72312.896127635933</v>
      </c>
      <c r="M802">
        <f>IF(AND(MyRowHidden(ROW())=FALSE,MyRowHidden(ROW()-1)=TRUE),0,(G802-G801)*unitsFuturesCompare+M801)</f>
        <v>-312540</v>
      </c>
      <c r="N802">
        <f>IF(MyRowHidden(ROW())=TRUE,0,L802-M802)</f>
        <v>240227.10387236407</v>
      </c>
      <c r="O802">
        <f>MAX(N$12:N802)</f>
        <v>277055.79225527181</v>
      </c>
      <c r="P802">
        <f>IF(O802&gt;O801,(O802-O801)*percentSavingsParticipation,0)</f>
        <v>0</v>
      </c>
      <c r="Q802">
        <f t="shared" si="64"/>
        <v>138527.8961276359</v>
      </c>
      <c r="R802">
        <f t="shared" si="65"/>
        <v>66215</v>
      </c>
    </row>
    <row r="803" spans="1:18" x14ac:dyDescent="0.25">
      <c r="A803" s="1"/>
      <c r="C803" s="1"/>
      <c r="D803" s="1">
        <v>42382</v>
      </c>
      <c r="E803" s="10">
        <v>51800.5</v>
      </c>
      <c r="F803" s="1">
        <v>42382</v>
      </c>
      <c r="G803">
        <v>-10951</v>
      </c>
      <c r="H803" s="1">
        <f t="shared" si="61"/>
        <v>42382</v>
      </c>
      <c r="I803">
        <f>IF(AND(MyRowHidden(ROW())=FALSE,MyRowHidden(ROW()-1)=TRUE),0,(E803-E802)*unitsOfDHp+I802)</f>
        <v>227755</v>
      </c>
      <c r="J803">
        <f>IF(AND(MyRowHidden(ROW())=FALSE,MyRowHidden(ROW()-1)=TRUE),0,(G803-G802)*unitsOfExo+J802)</f>
        <v>-155895</v>
      </c>
      <c r="K803" s="9">
        <f t="shared" si="62"/>
        <v>155895</v>
      </c>
      <c r="L803">
        <f t="shared" si="63"/>
        <v>-66667.896127635933</v>
      </c>
      <c r="M803">
        <f>IF(AND(MyRowHidden(ROW())=FALSE,MyRowHidden(ROW()-1)=TRUE),0,(G803-G802)*unitsFuturesCompare+M802)</f>
        <v>-311790</v>
      </c>
      <c r="N803">
        <f>IF(MyRowHidden(ROW())=TRUE,0,L803-M803)</f>
        <v>245122.10387236407</v>
      </c>
      <c r="O803">
        <f>MAX(N$12:N803)</f>
        <v>277055.79225527181</v>
      </c>
      <c r="P803">
        <f>IF(O803&gt;O802,(O803-O802)*percentSavingsParticipation,0)</f>
        <v>0</v>
      </c>
      <c r="Q803">
        <f t="shared" si="64"/>
        <v>138527.8961276359</v>
      </c>
      <c r="R803">
        <f t="shared" si="65"/>
        <v>71860</v>
      </c>
    </row>
    <row r="804" spans="1:18" x14ac:dyDescent="0.25">
      <c r="A804" s="1"/>
      <c r="C804" s="1"/>
      <c r="D804" s="1">
        <v>42383</v>
      </c>
      <c r="E804" s="10">
        <v>52100.5</v>
      </c>
      <c r="F804" s="1">
        <v>42383</v>
      </c>
      <c r="G804">
        <v>-10951</v>
      </c>
      <c r="H804" s="1">
        <f t="shared" si="61"/>
        <v>42383</v>
      </c>
      <c r="I804">
        <f>IF(AND(MyRowHidden(ROW())=FALSE,MyRowHidden(ROW()-1)=TRUE),0,(E804-E803)*unitsOfDHp+I803)</f>
        <v>230755</v>
      </c>
      <c r="J804">
        <f>IF(AND(MyRowHidden(ROW())=FALSE,MyRowHidden(ROW()-1)=TRUE),0,(G804-G803)*unitsOfExo+J803)</f>
        <v>-155895</v>
      </c>
      <c r="K804" s="9">
        <f t="shared" si="62"/>
        <v>155895</v>
      </c>
      <c r="L804">
        <f t="shared" si="63"/>
        <v>-63667.896127635933</v>
      </c>
      <c r="M804">
        <f>IF(AND(MyRowHidden(ROW())=FALSE,MyRowHidden(ROW()-1)=TRUE),0,(G804-G803)*unitsFuturesCompare+M803)</f>
        <v>-311790</v>
      </c>
      <c r="N804">
        <f>IF(MyRowHidden(ROW())=TRUE,0,L804-M804)</f>
        <v>248122.10387236407</v>
      </c>
      <c r="O804">
        <f>MAX(N$12:N804)</f>
        <v>277055.79225527181</v>
      </c>
      <c r="P804">
        <f>IF(O804&gt;O803,(O804-O803)*percentSavingsParticipation,0)</f>
        <v>0</v>
      </c>
      <c r="Q804">
        <f t="shared" si="64"/>
        <v>138527.8961276359</v>
      </c>
      <c r="R804">
        <f t="shared" si="65"/>
        <v>74860</v>
      </c>
    </row>
    <row r="805" spans="1:18" x14ac:dyDescent="0.25">
      <c r="A805" s="1"/>
      <c r="C805" s="1"/>
      <c r="D805" s="1">
        <v>42384</v>
      </c>
      <c r="E805" s="10">
        <v>52475.5</v>
      </c>
      <c r="F805" s="1">
        <v>42384</v>
      </c>
      <c r="G805">
        <v>-10776</v>
      </c>
      <c r="H805" s="1">
        <f t="shared" si="61"/>
        <v>42384</v>
      </c>
      <c r="I805">
        <f>IF(AND(MyRowHidden(ROW())=FALSE,MyRowHidden(ROW()-1)=TRUE),0,(E805-E804)*unitsOfDHp+I804)</f>
        <v>234505</v>
      </c>
      <c r="J805">
        <f>IF(AND(MyRowHidden(ROW())=FALSE,MyRowHidden(ROW()-1)=TRUE),0,(G805-G804)*unitsOfExo+J804)</f>
        <v>-154145</v>
      </c>
      <c r="K805" s="9">
        <f t="shared" si="62"/>
        <v>154145</v>
      </c>
      <c r="L805">
        <f t="shared" si="63"/>
        <v>-58167.896127635933</v>
      </c>
      <c r="M805">
        <f>IF(AND(MyRowHidden(ROW())=FALSE,MyRowHidden(ROW()-1)=TRUE),0,(G805-G804)*unitsFuturesCompare+M804)</f>
        <v>-308290</v>
      </c>
      <c r="N805">
        <f>IF(MyRowHidden(ROW())=TRUE,0,L805-M805)</f>
        <v>250122.10387236407</v>
      </c>
      <c r="O805">
        <f>MAX(N$12:N805)</f>
        <v>277055.79225527181</v>
      </c>
      <c r="P805">
        <f>IF(O805&gt;O804,(O805-O804)*percentSavingsParticipation,0)</f>
        <v>0</v>
      </c>
      <c r="Q805">
        <f t="shared" si="64"/>
        <v>138527.8961276359</v>
      </c>
      <c r="R805">
        <f t="shared" si="65"/>
        <v>80360</v>
      </c>
    </row>
    <row r="806" spans="1:18" x14ac:dyDescent="0.25">
      <c r="A806" s="1"/>
      <c r="C806" s="1"/>
      <c r="D806" s="1">
        <v>42387</v>
      </c>
      <c r="E806" s="10">
        <v>52725.5</v>
      </c>
      <c r="F806" s="1">
        <v>42387</v>
      </c>
      <c r="G806">
        <v>-10726</v>
      </c>
      <c r="H806" s="1">
        <f t="shared" si="61"/>
        <v>42387</v>
      </c>
      <c r="I806">
        <f>IF(AND(MyRowHidden(ROW())=FALSE,MyRowHidden(ROW()-1)=TRUE),0,(E806-E805)*unitsOfDHp+I805)</f>
        <v>237005</v>
      </c>
      <c r="J806">
        <f>IF(AND(MyRowHidden(ROW())=FALSE,MyRowHidden(ROW()-1)=TRUE),0,(G806-G805)*unitsOfExo+J805)</f>
        <v>-153645</v>
      </c>
      <c r="K806" s="9">
        <f t="shared" si="62"/>
        <v>153645</v>
      </c>
      <c r="L806">
        <f t="shared" si="63"/>
        <v>-55167.896127635933</v>
      </c>
      <c r="M806">
        <f>IF(AND(MyRowHidden(ROW())=FALSE,MyRowHidden(ROW()-1)=TRUE),0,(G806-G805)*unitsFuturesCompare+M805)</f>
        <v>-307290</v>
      </c>
      <c r="N806">
        <f>IF(MyRowHidden(ROW())=TRUE,0,L806-M806)</f>
        <v>252122.10387236407</v>
      </c>
      <c r="O806">
        <f>MAX(N$12:N806)</f>
        <v>277055.79225527181</v>
      </c>
      <c r="P806">
        <f>IF(O806&gt;O805,(O806-O805)*percentSavingsParticipation,0)</f>
        <v>0</v>
      </c>
      <c r="Q806">
        <f t="shared" si="64"/>
        <v>138527.8961276359</v>
      </c>
      <c r="R806">
        <f t="shared" si="65"/>
        <v>83360</v>
      </c>
    </row>
    <row r="807" spans="1:18" x14ac:dyDescent="0.25">
      <c r="A807" s="1"/>
      <c r="C807" s="1"/>
      <c r="D807" s="1">
        <v>42388</v>
      </c>
      <c r="E807" s="10">
        <v>52864</v>
      </c>
      <c r="F807" s="1">
        <v>42388</v>
      </c>
      <c r="G807">
        <v>-10463.5</v>
      </c>
      <c r="H807" s="1">
        <f t="shared" si="61"/>
        <v>42388</v>
      </c>
      <c r="I807">
        <f>IF(AND(MyRowHidden(ROW())=FALSE,MyRowHidden(ROW()-1)=TRUE),0,(E807-E806)*unitsOfDHp+I806)</f>
        <v>238390</v>
      </c>
      <c r="J807">
        <f>IF(AND(MyRowHidden(ROW())=FALSE,MyRowHidden(ROW()-1)=TRUE),0,(G807-G806)*unitsOfExo+J806)</f>
        <v>-151020</v>
      </c>
      <c r="K807" s="9">
        <f t="shared" si="62"/>
        <v>151020</v>
      </c>
      <c r="L807">
        <f t="shared" si="63"/>
        <v>-51157.896127635933</v>
      </c>
      <c r="M807">
        <f>IF(AND(MyRowHidden(ROW())=FALSE,MyRowHidden(ROW()-1)=TRUE),0,(G807-G806)*unitsFuturesCompare+M806)</f>
        <v>-302040</v>
      </c>
      <c r="N807">
        <f>IF(MyRowHidden(ROW())=TRUE,0,L807-M807)</f>
        <v>250882.10387236407</v>
      </c>
      <c r="O807">
        <f>MAX(N$12:N807)</f>
        <v>277055.79225527181</v>
      </c>
      <c r="P807">
        <f>IF(O807&gt;O806,(O807-O806)*percentSavingsParticipation,0)</f>
        <v>0</v>
      </c>
      <c r="Q807">
        <f t="shared" si="64"/>
        <v>138527.8961276359</v>
      </c>
      <c r="R807">
        <f t="shared" si="65"/>
        <v>87370</v>
      </c>
    </row>
    <row r="808" spans="1:18" x14ac:dyDescent="0.25">
      <c r="A808" s="1"/>
      <c r="C808" s="1"/>
      <c r="D808" s="1">
        <v>42389</v>
      </c>
      <c r="E808" s="10">
        <v>52966</v>
      </c>
      <c r="F808" s="1">
        <v>42389</v>
      </c>
      <c r="G808">
        <v>-10488.5</v>
      </c>
      <c r="H808" s="1">
        <f t="shared" si="61"/>
        <v>42389</v>
      </c>
      <c r="I808">
        <f>IF(AND(MyRowHidden(ROW())=FALSE,MyRowHidden(ROW()-1)=TRUE),0,(E808-E807)*unitsOfDHp+I807)</f>
        <v>239410</v>
      </c>
      <c r="J808">
        <f>IF(AND(MyRowHidden(ROW())=FALSE,MyRowHidden(ROW()-1)=TRUE),0,(G808-G807)*unitsOfExo+J807)</f>
        <v>-151270</v>
      </c>
      <c r="K808" s="9">
        <f t="shared" si="62"/>
        <v>151270</v>
      </c>
      <c r="L808">
        <f t="shared" si="63"/>
        <v>-50387.896127635933</v>
      </c>
      <c r="M808">
        <f>IF(AND(MyRowHidden(ROW())=FALSE,MyRowHidden(ROW()-1)=TRUE),0,(G808-G807)*unitsFuturesCompare+M807)</f>
        <v>-302540</v>
      </c>
      <c r="N808">
        <f>IF(MyRowHidden(ROW())=TRUE,0,L808-M808)</f>
        <v>252152.10387236407</v>
      </c>
      <c r="O808">
        <f>MAX(N$12:N808)</f>
        <v>277055.79225527181</v>
      </c>
      <c r="P808">
        <f>IF(O808&gt;O807,(O808-O807)*percentSavingsParticipation,0)</f>
        <v>0</v>
      </c>
      <c r="Q808">
        <f t="shared" si="64"/>
        <v>138527.8961276359</v>
      </c>
      <c r="R808">
        <f t="shared" si="65"/>
        <v>88140</v>
      </c>
    </row>
    <row r="809" spans="1:18" x14ac:dyDescent="0.25">
      <c r="A809" s="1"/>
      <c r="C809" s="1"/>
      <c r="D809" s="1">
        <v>42390</v>
      </c>
      <c r="E809" s="10">
        <v>53144</v>
      </c>
      <c r="F809" s="1">
        <v>42390</v>
      </c>
      <c r="G809">
        <v>-10513.5</v>
      </c>
      <c r="H809" s="1">
        <f t="shared" si="61"/>
        <v>42390</v>
      </c>
      <c r="I809">
        <f>IF(AND(MyRowHidden(ROW())=FALSE,MyRowHidden(ROW()-1)=TRUE),0,(E809-E808)*unitsOfDHp+I808)</f>
        <v>241190</v>
      </c>
      <c r="J809">
        <f>IF(AND(MyRowHidden(ROW())=FALSE,MyRowHidden(ROW()-1)=TRUE),0,(G809-G808)*unitsOfExo+J808)</f>
        <v>-151520</v>
      </c>
      <c r="K809" s="9">
        <f t="shared" si="62"/>
        <v>151520</v>
      </c>
      <c r="L809">
        <f t="shared" si="63"/>
        <v>-48857.896127635933</v>
      </c>
      <c r="M809">
        <f>IF(AND(MyRowHidden(ROW())=FALSE,MyRowHidden(ROW()-1)=TRUE),0,(G809-G808)*unitsFuturesCompare+M808)</f>
        <v>-303040</v>
      </c>
      <c r="N809">
        <f>IF(MyRowHidden(ROW())=TRUE,0,L809-M809)</f>
        <v>254182.10387236407</v>
      </c>
      <c r="O809">
        <f>MAX(N$12:N809)</f>
        <v>277055.79225527181</v>
      </c>
      <c r="P809">
        <f>IF(O809&gt;O808,(O809-O808)*percentSavingsParticipation,0)</f>
        <v>0</v>
      </c>
      <c r="Q809">
        <f t="shared" si="64"/>
        <v>138527.8961276359</v>
      </c>
      <c r="R809">
        <f t="shared" si="65"/>
        <v>89670</v>
      </c>
    </row>
    <row r="810" spans="1:18" x14ac:dyDescent="0.25">
      <c r="A810" s="1"/>
      <c r="C810" s="1"/>
      <c r="D810" s="1">
        <v>42391</v>
      </c>
      <c r="E810" s="10">
        <v>53307.5</v>
      </c>
      <c r="F810" s="1">
        <v>42391</v>
      </c>
      <c r="G810">
        <v>-10401</v>
      </c>
      <c r="H810" s="1">
        <f t="shared" si="61"/>
        <v>42391</v>
      </c>
      <c r="I810">
        <f>IF(AND(MyRowHidden(ROW())=FALSE,MyRowHidden(ROW()-1)=TRUE),0,(E810-E809)*unitsOfDHp+I809)</f>
        <v>242825</v>
      </c>
      <c r="J810">
        <f>IF(AND(MyRowHidden(ROW())=FALSE,MyRowHidden(ROW()-1)=TRUE),0,(G810-G809)*unitsOfExo+J809)</f>
        <v>-150395</v>
      </c>
      <c r="K810" s="9">
        <f t="shared" si="62"/>
        <v>150395</v>
      </c>
      <c r="L810">
        <f t="shared" si="63"/>
        <v>-46097.896127635933</v>
      </c>
      <c r="M810">
        <f>IF(AND(MyRowHidden(ROW())=FALSE,MyRowHidden(ROW()-1)=TRUE),0,(G810-G809)*unitsFuturesCompare+M809)</f>
        <v>-300790</v>
      </c>
      <c r="N810">
        <f>IF(MyRowHidden(ROW())=TRUE,0,L810-M810)</f>
        <v>254692.10387236407</v>
      </c>
      <c r="O810">
        <f>MAX(N$12:N810)</f>
        <v>277055.79225527181</v>
      </c>
      <c r="P810">
        <f>IF(O810&gt;O809,(O810-O809)*percentSavingsParticipation,0)</f>
        <v>0</v>
      </c>
      <c r="Q810">
        <f t="shared" si="64"/>
        <v>138527.8961276359</v>
      </c>
      <c r="R810">
        <f t="shared" si="65"/>
        <v>92430</v>
      </c>
    </row>
    <row r="811" spans="1:18" x14ac:dyDescent="0.25">
      <c r="A811" s="1"/>
      <c r="C811" s="1"/>
      <c r="D811" s="1">
        <v>42394</v>
      </c>
      <c r="E811" s="10">
        <v>53495</v>
      </c>
      <c r="F811" s="1">
        <v>42394</v>
      </c>
      <c r="G811">
        <v>-10413.5</v>
      </c>
      <c r="H811" s="1">
        <f t="shared" si="61"/>
        <v>42394</v>
      </c>
      <c r="I811">
        <f>IF(AND(MyRowHidden(ROW())=FALSE,MyRowHidden(ROW()-1)=TRUE),0,(E811-E810)*unitsOfDHp+I810)</f>
        <v>244700</v>
      </c>
      <c r="J811">
        <f>IF(AND(MyRowHidden(ROW())=FALSE,MyRowHidden(ROW()-1)=TRUE),0,(G811-G810)*unitsOfExo+J810)</f>
        <v>-150520</v>
      </c>
      <c r="K811" s="9">
        <f t="shared" si="62"/>
        <v>150520</v>
      </c>
      <c r="L811">
        <f t="shared" si="63"/>
        <v>-44347.896127635933</v>
      </c>
      <c r="M811">
        <f>IF(AND(MyRowHidden(ROW())=FALSE,MyRowHidden(ROW()-1)=TRUE),0,(G811-G810)*unitsFuturesCompare+M810)</f>
        <v>-301040</v>
      </c>
      <c r="N811">
        <f>IF(MyRowHidden(ROW())=TRUE,0,L811-M811)</f>
        <v>256692.10387236407</v>
      </c>
      <c r="O811">
        <f>MAX(N$12:N811)</f>
        <v>277055.79225527181</v>
      </c>
      <c r="P811">
        <f>IF(O811&gt;O810,(O811-O810)*percentSavingsParticipation,0)</f>
        <v>0</v>
      </c>
      <c r="Q811">
        <f t="shared" si="64"/>
        <v>138527.8961276359</v>
      </c>
      <c r="R811">
        <f t="shared" si="65"/>
        <v>94180</v>
      </c>
    </row>
    <row r="812" spans="1:18" x14ac:dyDescent="0.25">
      <c r="A812" s="1"/>
      <c r="C812" s="1"/>
      <c r="D812" s="1">
        <v>42395</v>
      </c>
      <c r="E812" s="10">
        <v>53632.5</v>
      </c>
      <c r="F812" s="1">
        <v>42395</v>
      </c>
      <c r="G812">
        <v>-10438.5</v>
      </c>
      <c r="H812" s="1">
        <f t="shared" si="61"/>
        <v>42395</v>
      </c>
      <c r="I812">
        <f>IF(AND(MyRowHidden(ROW())=FALSE,MyRowHidden(ROW()-1)=TRUE),0,(E812-E811)*unitsOfDHp+I811)</f>
        <v>246075</v>
      </c>
      <c r="J812">
        <f>IF(AND(MyRowHidden(ROW())=FALSE,MyRowHidden(ROW()-1)=TRUE),0,(G812-G811)*unitsOfExo+J811)</f>
        <v>-150770</v>
      </c>
      <c r="K812" s="9">
        <f t="shared" si="62"/>
        <v>150770</v>
      </c>
      <c r="L812">
        <f t="shared" si="63"/>
        <v>-43222.896127635933</v>
      </c>
      <c r="M812">
        <f>IF(AND(MyRowHidden(ROW())=FALSE,MyRowHidden(ROW()-1)=TRUE),0,(G812-G811)*unitsFuturesCompare+M811)</f>
        <v>-301540</v>
      </c>
      <c r="N812">
        <f>IF(MyRowHidden(ROW())=TRUE,0,L812-M812)</f>
        <v>258317.10387236407</v>
      </c>
      <c r="O812">
        <f>MAX(N$12:N812)</f>
        <v>277055.79225527181</v>
      </c>
      <c r="P812">
        <f>IF(O812&gt;O811,(O812-O811)*percentSavingsParticipation,0)</f>
        <v>0</v>
      </c>
      <c r="Q812">
        <f t="shared" si="64"/>
        <v>138527.8961276359</v>
      </c>
      <c r="R812">
        <f t="shared" si="65"/>
        <v>95305</v>
      </c>
    </row>
    <row r="813" spans="1:18" x14ac:dyDescent="0.25">
      <c r="A813" s="1"/>
      <c r="C813" s="1"/>
      <c r="D813" s="1">
        <v>42396</v>
      </c>
      <c r="E813" s="10">
        <v>53745</v>
      </c>
      <c r="F813" s="1">
        <v>42396</v>
      </c>
      <c r="G813">
        <v>-10388.5</v>
      </c>
      <c r="H813" s="1">
        <f t="shared" si="61"/>
        <v>42396</v>
      </c>
      <c r="I813">
        <f>IF(AND(MyRowHidden(ROW())=FALSE,MyRowHidden(ROW()-1)=TRUE),0,(E813-E812)*unitsOfDHp+I812)</f>
        <v>247200</v>
      </c>
      <c r="J813">
        <f>IF(AND(MyRowHidden(ROW())=FALSE,MyRowHidden(ROW()-1)=TRUE),0,(G813-G812)*unitsOfExo+J812)</f>
        <v>-150270</v>
      </c>
      <c r="K813" s="9">
        <f t="shared" si="62"/>
        <v>150270</v>
      </c>
      <c r="L813">
        <f t="shared" si="63"/>
        <v>-41597.896127635933</v>
      </c>
      <c r="M813">
        <f>IF(AND(MyRowHidden(ROW())=FALSE,MyRowHidden(ROW()-1)=TRUE),0,(G813-G812)*unitsFuturesCompare+M812)</f>
        <v>-300540</v>
      </c>
      <c r="N813">
        <f>IF(MyRowHidden(ROW())=TRUE,0,L813-M813)</f>
        <v>258942.10387236407</v>
      </c>
      <c r="O813">
        <f>MAX(N$12:N813)</f>
        <v>277055.79225527181</v>
      </c>
      <c r="P813">
        <f>IF(O813&gt;O812,(O813-O812)*percentSavingsParticipation,0)</f>
        <v>0</v>
      </c>
      <c r="Q813">
        <f t="shared" si="64"/>
        <v>138527.8961276359</v>
      </c>
      <c r="R813">
        <f t="shared" si="65"/>
        <v>96930</v>
      </c>
    </row>
    <row r="814" spans="1:18" x14ac:dyDescent="0.25">
      <c r="A814" s="1"/>
      <c r="C814" s="1"/>
      <c r="D814" s="1">
        <v>42397</v>
      </c>
      <c r="E814" s="10">
        <v>53670</v>
      </c>
      <c r="F814" s="1">
        <v>42397</v>
      </c>
      <c r="G814">
        <v>-10588.5</v>
      </c>
      <c r="H814" s="1">
        <f t="shared" si="61"/>
        <v>42397</v>
      </c>
      <c r="I814">
        <f>IF(AND(MyRowHidden(ROW())=FALSE,MyRowHidden(ROW()-1)=TRUE),0,(E814-E813)*unitsOfDHp+I813)</f>
        <v>246450</v>
      </c>
      <c r="J814">
        <f>IF(AND(MyRowHidden(ROW())=FALSE,MyRowHidden(ROW()-1)=TRUE),0,(G814-G813)*unitsOfExo+J813)</f>
        <v>-152270</v>
      </c>
      <c r="K814" s="9">
        <f t="shared" si="62"/>
        <v>152270</v>
      </c>
      <c r="L814">
        <f t="shared" si="63"/>
        <v>-44347.896127635933</v>
      </c>
      <c r="M814">
        <f>IF(AND(MyRowHidden(ROW())=FALSE,MyRowHidden(ROW()-1)=TRUE),0,(G814-G813)*unitsFuturesCompare+M813)</f>
        <v>-304540</v>
      </c>
      <c r="N814">
        <f>IF(MyRowHidden(ROW())=TRUE,0,L814-M814)</f>
        <v>260192.10387236407</v>
      </c>
      <c r="O814">
        <f>MAX(N$12:N814)</f>
        <v>277055.79225527181</v>
      </c>
      <c r="P814">
        <f>IF(O814&gt;O813,(O814-O813)*percentSavingsParticipation,0)</f>
        <v>0</v>
      </c>
      <c r="Q814">
        <f t="shared" si="64"/>
        <v>138527.8961276359</v>
      </c>
      <c r="R814">
        <f t="shared" si="65"/>
        <v>94180</v>
      </c>
    </row>
    <row r="815" spans="1:18" x14ac:dyDescent="0.25">
      <c r="A815" s="1"/>
      <c r="C815" s="1"/>
      <c r="D815" s="1">
        <v>42398</v>
      </c>
      <c r="E815" s="10">
        <v>53845</v>
      </c>
      <c r="F815" s="1">
        <v>42398</v>
      </c>
      <c r="G815">
        <v>-10351</v>
      </c>
      <c r="H815" s="1">
        <f t="shared" si="61"/>
        <v>42398</v>
      </c>
      <c r="I815">
        <f>IF(AND(MyRowHidden(ROW())=FALSE,MyRowHidden(ROW()-1)=TRUE),0,(E815-E814)*unitsOfDHp+I814)</f>
        <v>248200</v>
      </c>
      <c r="J815">
        <f>IF(AND(MyRowHidden(ROW())=FALSE,MyRowHidden(ROW()-1)=TRUE),0,(G815-G814)*unitsOfExo+J814)</f>
        <v>-149895</v>
      </c>
      <c r="K815" s="9">
        <f t="shared" si="62"/>
        <v>149895</v>
      </c>
      <c r="L815">
        <f t="shared" si="63"/>
        <v>-40222.896127635933</v>
      </c>
      <c r="M815">
        <f>IF(AND(MyRowHidden(ROW())=FALSE,MyRowHidden(ROW()-1)=TRUE),0,(G815-G814)*unitsFuturesCompare+M814)</f>
        <v>-299790</v>
      </c>
      <c r="N815">
        <f>IF(MyRowHidden(ROW())=TRUE,0,L815-M815)</f>
        <v>259567.10387236407</v>
      </c>
      <c r="O815">
        <f>MAX(N$12:N815)</f>
        <v>277055.79225527181</v>
      </c>
      <c r="P815">
        <f>IF(O815&gt;O814,(O815-O814)*percentSavingsParticipation,0)</f>
        <v>0</v>
      </c>
      <c r="Q815">
        <f t="shared" si="64"/>
        <v>138527.8961276359</v>
      </c>
      <c r="R815">
        <f t="shared" si="65"/>
        <v>98305</v>
      </c>
    </row>
    <row r="816" spans="1:18" x14ac:dyDescent="0.25">
      <c r="A816" s="1"/>
      <c r="C816" s="1"/>
      <c r="D816" s="1">
        <v>42401</v>
      </c>
      <c r="E816" s="10">
        <v>53970</v>
      </c>
      <c r="F816" s="1">
        <v>42401</v>
      </c>
      <c r="G816">
        <v>-10388</v>
      </c>
      <c r="H816" s="1">
        <f t="shared" si="61"/>
        <v>42401</v>
      </c>
      <c r="I816">
        <f>IF(AND(MyRowHidden(ROW())=FALSE,MyRowHidden(ROW()-1)=TRUE),0,(E816-E815)*unitsOfDHp+I815)</f>
        <v>249450</v>
      </c>
      <c r="J816">
        <f>IF(AND(MyRowHidden(ROW())=FALSE,MyRowHidden(ROW()-1)=TRUE),0,(G816-G815)*unitsOfExo+J815)</f>
        <v>-150265</v>
      </c>
      <c r="K816" s="9">
        <f t="shared" si="62"/>
        <v>150265</v>
      </c>
      <c r="L816">
        <f t="shared" si="63"/>
        <v>-39342.896127635933</v>
      </c>
      <c r="M816">
        <f>IF(AND(MyRowHidden(ROW())=FALSE,MyRowHidden(ROW()-1)=TRUE),0,(G816-G815)*unitsFuturesCompare+M815)</f>
        <v>-300530</v>
      </c>
      <c r="N816">
        <f>IF(MyRowHidden(ROW())=TRUE,0,L816-M816)</f>
        <v>261187.10387236407</v>
      </c>
      <c r="O816">
        <f>MAX(N$12:N816)</f>
        <v>277055.79225527181</v>
      </c>
      <c r="P816">
        <f>IF(O816&gt;O815,(O816-O815)*percentSavingsParticipation,0)</f>
        <v>0</v>
      </c>
      <c r="Q816">
        <f t="shared" si="64"/>
        <v>138527.8961276359</v>
      </c>
      <c r="R816">
        <f t="shared" si="65"/>
        <v>99185</v>
      </c>
    </row>
    <row r="817" spans="1:18" x14ac:dyDescent="0.25">
      <c r="A817" s="1"/>
      <c r="C817" s="1"/>
      <c r="D817" s="1">
        <v>42402</v>
      </c>
      <c r="E817" s="10">
        <v>54057.5</v>
      </c>
      <c r="F817" s="1">
        <v>42402</v>
      </c>
      <c r="G817">
        <v>-10313</v>
      </c>
      <c r="H817" s="1">
        <f t="shared" si="61"/>
        <v>42402</v>
      </c>
      <c r="I817">
        <f>IF(AND(MyRowHidden(ROW())=FALSE,MyRowHidden(ROW()-1)=TRUE),0,(E817-E816)*unitsOfDHp+I816)</f>
        <v>250325</v>
      </c>
      <c r="J817">
        <f>IF(AND(MyRowHidden(ROW())=FALSE,MyRowHidden(ROW()-1)=TRUE),0,(G817-G816)*unitsOfExo+J816)</f>
        <v>-149515</v>
      </c>
      <c r="K817" s="9">
        <f t="shared" si="62"/>
        <v>149515</v>
      </c>
      <c r="L817">
        <f t="shared" si="63"/>
        <v>-37717.896127635933</v>
      </c>
      <c r="M817">
        <f>IF(AND(MyRowHidden(ROW())=FALSE,MyRowHidden(ROW()-1)=TRUE),0,(G817-G816)*unitsFuturesCompare+M816)</f>
        <v>-299030</v>
      </c>
      <c r="N817">
        <f>IF(MyRowHidden(ROW())=TRUE,0,L817-M817)</f>
        <v>261312.10387236407</v>
      </c>
      <c r="O817">
        <f>MAX(N$12:N817)</f>
        <v>277055.79225527181</v>
      </c>
      <c r="P817">
        <f>IF(O817&gt;O816,(O817-O816)*percentSavingsParticipation,0)</f>
        <v>0</v>
      </c>
      <c r="Q817">
        <f t="shared" si="64"/>
        <v>138527.8961276359</v>
      </c>
      <c r="R817">
        <f t="shared" si="65"/>
        <v>100810</v>
      </c>
    </row>
    <row r="818" spans="1:18" x14ac:dyDescent="0.25">
      <c r="A818" s="1"/>
      <c r="C818" s="1"/>
      <c r="D818" s="1">
        <v>42403</v>
      </c>
      <c r="E818" s="10">
        <v>54182.5</v>
      </c>
      <c r="F818" s="1">
        <v>42403</v>
      </c>
      <c r="G818">
        <v>-10375.5</v>
      </c>
      <c r="H818" s="1">
        <f t="shared" si="61"/>
        <v>42403</v>
      </c>
      <c r="I818">
        <f>IF(AND(MyRowHidden(ROW())=FALSE,MyRowHidden(ROW()-1)=TRUE),0,(E818-E817)*unitsOfDHp+I817)</f>
        <v>251575</v>
      </c>
      <c r="J818">
        <f>IF(AND(MyRowHidden(ROW())=FALSE,MyRowHidden(ROW()-1)=TRUE),0,(G818-G817)*unitsOfExo+J817)</f>
        <v>-150140</v>
      </c>
      <c r="K818" s="9">
        <f t="shared" si="62"/>
        <v>150140</v>
      </c>
      <c r="L818">
        <f t="shared" si="63"/>
        <v>-37092.896127635933</v>
      </c>
      <c r="M818">
        <f>IF(AND(MyRowHidden(ROW())=FALSE,MyRowHidden(ROW()-1)=TRUE),0,(G818-G817)*unitsFuturesCompare+M817)</f>
        <v>-300280</v>
      </c>
      <c r="N818">
        <f>IF(MyRowHidden(ROW())=TRUE,0,L818-M818)</f>
        <v>263187.10387236404</v>
      </c>
      <c r="O818">
        <f>MAX(N$12:N818)</f>
        <v>277055.79225527181</v>
      </c>
      <c r="P818">
        <f>IF(O818&gt;O817,(O818-O817)*percentSavingsParticipation,0)</f>
        <v>0</v>
      </c>
      <c r="Q818">
        <f t="shared" si="64"/>
        <v>138527.8961276359</v>
      </c>
      <c r="R818">
        <f t="shared" si="65"/>
        <v>101435</v>
      </c>
    </row>
    <row r="819" spans="1:18" x14ac:dyDescent="0.25">
      <c r="A819" s="1"/>
      <c r="C819" s="1"/>
      <c r="D819" s="1">
        <v>42404</v>
      </c>
      <c r="E819" s="10">
        <v>54257.5</v>
      </c>
      <c r="F819" s="1">
        <v>42404</v>
      </c>
      <c r="G819">
        <v>-10463</v>
      </c>
      <c r="H819" s="1">
        <f t="shared" si="61"/>
        <v>42404</v>
      </c>
      <c r="I819">
        <f>IF(AND(MyRowHidden(ROW())=FALSE,MyRowHidden(ROW()-1)=TRUE),0,(E819-E818)*unitsOfDHp+I818)</f>
        <v>252325</v>
      </c>
      <c r="J819">
        <f>IF(AND(MyRowHidden(ROW())=FALSE,MyRowHidden(ROW()-1)=TRUE),0,(G819-G818)*unitsOfExo+J818)</f>
        <v>-151015</v>
      </c>
      <c r="K819" s="9">
        <f t="shared" si="62"/>
        <v>151015</v>
      </c>
      <c r="L819">
        <f t="shared" si="63"/>
        <v>-37217.896127635933</v>
      </c>
      <c r="M819">
        <f>IF(AND(MyRowHidden(ROW())=FALSE,MyRowHidden(ROW()-1)=TRUE),0,(G819-G818)*unitsFuturesCompare+M818)</f>
        <v>-302030</v>
      </c>
      <c r="N819">
        <f>IF(MyRowHidden(ROW())=TRUE,0,L819-M819)</f>
        <v>264812.10387236404</v>
      </c>
      <c r="O819">
        <f>MAX(N$12:N819)</f>
        <v>277055.79225527181</v>
      </c>
      <c r="P819">
        <f>IF(O819&gt;O818,(O819-O818)*percentSavingsParticipation,0)</f>
        <v>0</v>
      </c>
      <c r="Q819">
        <f t="shared" si="64"/>
        <v>138527.8961276359</v>
      </c>
      <c r="R819">
        <f t="shared" si="65"/>
        <v>101310</v>
      </c>
    </row>
    <row r="820" spans="1:18" x14ac:dyDescent="0.25">
      <c r="A820" s="1"/>
      <c r="C820" s="1"/>
      <c r="D820" s="1">
        <v>42405</v>
      </c>
      <c r="E820" s="10">
        <v>54183.5</v>
      </c>
      <c r="F820" s="1">
        <v>42405</v>
      </c>
      <c r="G820">
        <v>-10588</v>
      </c>
      <c r="H820" s="1">
        <f t="shared" si="61"/>
        <v>42405</v>
      </c>
      <c r="I820">
        <f>IF(AND(MyRowHidden(ROW())=FALSE,MyRowHidden(ROW()-1)=TRUE),0,(E820-E819)*unitsOfDHp+I819)</f>
        <v>251585</v>
      </c>
      <c r="J820">
        <f>IF(AND(MyRowHidden(ROW())=FALSE,MyRowHidden(ROW()-1)=TRUE),0,(G820-G819)*unitsOfExo+J819)</f>
        <v>-152265</v>
      </c>
      <c r="K820" s="9">
        <f t="shared" si="62"/>
        <v>152265</v>
      </c>
      <c r="L820">
        <f t="shared" si="63"/>
        <v>-39207.896127635933</v>
      </c>
      <c r="M820">
        <f>IF(AND(MyRowHidden(ROW())=FALSE,MyRowHidden(ROW()-1)=TRUE),0,(G820-G819)*unitsFuturesCompare+M819)</f>
        <v>-304530</v>
      </c>
      <c r="N820">
        <f>IF(MyRowHidden(ROW())=TRUE,0,L820-M820)</f>
        <v>265322.10387236404</v>
      </c>
      <c r="O820">
        <f>MAX(N$12:N820)</f>
        <v>277055.79225527181</v>
      </c>
      <c r="P820">
        <f>IF(O820&gt;O819,(O820-O819)*percentSavingsParticipation,0)</f>
        <v>0</v>
      </c>
      <c r="Q820">
        <f t="shared" si="64"/>
        <v>138527.8961276359</v>
      </c>
      <c r="R820">
        <f t="shared" si="65"/>
        <v>99320</v>
      </c>
    </row>
    <row r="821" spans="1:18" x14ac:dyDescent="0.25">
      <c r="A821" s="1"/>
      <c r="C821" s="1"/>
      <c r="D821" s="1">
        <v>42408</v>
      </c>
      <c r="E821" s="10">
        <v>54084.5</v>
      </c>
      <c r="F821" s="1">
        <v>42408</v>
      </c>
      <c r="G821">
        <v>-10825.5</v>
      </c>
      <c r="H821" s="1">
        <f t="shared" si="61"/>
        <v>42408</v>
      </c>
      <c r="I821">
        <f>IF(AND(MyRowHidden(ROW())=FALSE,MyRowHidden(ROW()-1)=TRUE),0,(E821-E820)*unitsOfDHp+I820)</f>
        <v>250595</v>
      </c>
      <c r="J821">
        <f>IF(AND(MyRowHidden(ROW())=FALSE,MyRowHidden(ROW()-1)=TRUE),0,(G821-G820)*unitsOfExo+J820)</f>
        <v>-154640</v>
      </c>
      <c r="K821" s="9">
        <f t="shared" si="62"/>
        <v>154640</v>
      </c>
      <c r="L821">
        <f t="shared" si="63"/>
        <v>-42572.896127635933</v>
      </c>
      <c r="M821">
        <f>IF(AND(MyRowHidden(ROW())=FALSE,MyRowHidden(ROW()-1)=TRUE),0,(G821-G820)*unitsFuturesCompare+M820)</f>
        <v>-309280</v>
      </c>
      <c r="N821">
        <f>IF(MyRowHidden(ROW())=TRUE,0,L821-M821)</f>
        <v>266707.10387236404</v>
      </c>
      <c r="O821">
        <f>MAX(N$12:N821)</f>
        <v>277055.79225527181</v>
      </c>
      <c r="P821">
        <f>IF(O821&gt;O820,(O821-O820)*percentSavingsParticipation,0)</f>
        <v>0</v>
      </c>
      <c r="Q821">
        <f t="shared" si="64"/>
        <v>138527.8961276359</v>
      </c>
      <c r="R821">
        <f t="shared" si="65"/>
        <v>95955</v>
      </c>
    </row>
    <row r="822" spans="1:18" x14ac:dyDescent="0.25">
      <c r="A822" s="1"/>
      <c r="C822" s="1"/>
      <c r="D822" s="1">
        <v>42409</v>
      </c>
      <c r="E822" s="10">
        <v>53801.5</v>
      </c>
      <c r="F822" s="1">
        <v>42409</v>
      </c>
      <c r="G822">
        <v>-10875.5</v>
      </c>
      <c r="H822" s="1">
        <f t="shared" si="61"/>
        <v>42409</v>
      </c>
      <c r="I822">
        <f>IF(AND(MyRowHidden(ROW())=FALSE,MyRowHidden(ROW()-1)=TRUE),0,(E822-E821)*unitsOfDHp+I821)</f>
        <v>247765</v>
      </c>
      <c r="J822">
        <f>IF(AND(MyRowHidden(ROW())=FALSE,MyRowHidden(ROW()-1)=TRUE),0,(G822-G821)*unitsOfExo+J821)</f>
        <v>-155140</v>
      </c>
      <c r="K822" s="9">
        <f t="shared" si="62"/>
        <v>155140</v>
      </c>
      <c r="L822">
        <f t="shared" si="63"/>
        <v>-45902.896127635933</v>
      </c>
      <c r="M822">
        <f>IF(AND(MyRowHidden(ROW())=FALSE,MyRowHidden(ROW()-1)=TRUE),0,(G822-G821)*unitsFuturesCompare+M821)</f>
        <v>-310280</v>
      </c>
      <c r="N822">
        <f>IF(MyRowHidden(ROW())=TRUE,0,L822-M822)</f>
        <v>264377.10387236404</v>
      </c>
      <c r="O822">
        <f>MAX(N$12:N822)</f>
        <v>277055.79225527181</v>
      </c>
      <c r="P822">
        <f>IF(O822&gt;O821,(O822-O821)*percentSavingsParticipation,0)</f>
        <v>0</v>
      </c>
      <c r="Q822">
        <f t="shared" si="64"/>
        <v>138527.8961276359</v>
      </c>
      <c r="R822">
        <f t="shared" si="65"/>
        <v>92625</v>
      </c>
    </row>
    <row r="823" spans="1:18" x14ac:dyDescent="0.25">
      <c r="A823" s="1"/>
      <c r="C823" s="1"/>
      <c r="D823" s="1">
        <v>42410</v>
      </c>
      <c r="E823" s="10">
        <v>54064</v>
      </c>
      <c r="F823" s="1">
        <v>42410</v>
      </c>
      <c r="G823">
        <v>-10888</v>
      </c>
      <c r="H823" s="1">
        <f t="shared" si="61"/>
        <v>42410</v>
      </c>
      <c r="I823">
        <f>IF(AND(MyRowHidden(ROW())=FALSE,MyRowHidden(ROW()-1)=TRUE),0,(E823-E822)*unitsOfDHp+I822)</f>
        <v>250390</v>
      </c>
      <c r="J823">
        <f>IF(AND(MyRowHidden(ROW())=FALSE,MyRowHidden(ROW()-1)=TRUE),0,(G823-G822)*unitsOfExo+J822)</f>
        <v>-155265</v>
      </c>
      <c r="K823" s="9">
        <f t="shared" si="62"/>
        <v>155265</v>
      </c>
      <c r="L823">
        <f t="shared" si="63"/>
        <v>-43402.896127635933</v>
      </c>
      <c r="M823">
        <f>IF(AND(MyRowHidden(ROW())=FALSE,MyRowHidden(ROW()-1)=TRUE),0,(G823-G822)*unitsFuturesCompare+M822)</f>
        <v>-310530</v>
      </c>
      <c r="N823">
        <f>IF(MyRowHidden(ROW())=TRUE,0,L823-M823)</f>
        <v>267127.10387236404</v>
      </c>
      <c r="O823">
        <f>MAX(N$12:N823)</f>
        <v>277055.79225527181</v>
      </c>
      <c r="P823">
        <f>IF(O823&gt;O822,(O823-O822)*percentSavingsParticipation,0)</f>
        <v>0</v>
      </c>
      <c r="Q823">
        <f t="shared" si="64"/>
        <v>138527.8961276359</v>
      </c>
      <c r="R823">
        <f t="shared" si="65"/>
        <v>95125</v>
      </c>
    </row>
    <row r="824" spans="1:18" x14ac:dyDescent="0.25">
      <c r="A824" s="1"/>
      <c r="C824" s="1"/>
      <c r="D824" s="1">
        <v>42411</v>
      </c>
      <c r="E824" s="10">
        <v>54101.5</v>
      </c>
      <c r="F824" s="1">
        <v>42411</v>
      </c>
      <c r="G824">
        <v>-10913</v>
      </c>
      <c r="H824" s="1">
        <f t="shared" si="61"/>
        <v>42411</v>
      </c>
      <c r="I824">
        <f>IF(AND(MyRowHidden(ROW())=FALSE,MyRowHidden(ROW()-1)=TRUE),0,(E824-E823)*unitsOfDHp+I823)</f>
        <v>250765</v>
      </c>
      <c r="J824">
        <f>IF(AND(MyRowHidden(ROW())=FALSE,MyRowHidden(ROW()-1)=TRUE),0,(G824-G823)*unitsOfExo+J823)</f>
        <v>-155515</v>
      </c>
      <c r="K824" s="9">
        <f t="shared" si="62"/>
        <v>155515</v>
      </c>
      <c r="L824">
        <f t="shared" si="63"/>
        <v>-43277.896127635933</v>
      </c>
      <c r="M824">
        <f>IF(AND(MyRowHidden(ROW())=FALSE,MyRowHidden(ROW()-1)=TRUE),0,(G824-G823)*unitsFuturesCompare+M823)</f>
        <v>-311030</v>
      </c>
      <c r="N824">
        <f>IF(MyRowHidden(ROW())=TRUE,0,L824-M824)</f>
        <v>267752.10387236404</v>
      </c>
      <c r="O824">
        <f>MAX(N$12:N824)</f>
        <v>277055.79225527181</v>
      </c>
      <c r="P824">
        <f>IF(O824&gt;O823,(O824-O823)*percentSavingsParticipation,0)</f>
        <v>0</v>
      </c>
      <c r="Q824">
        <f t="shared" si="64"/>
        <v>138527.8961276359</v>
      </c>
      <c r="R824">
        <f t="shared" si="65"/>
        <v>95250</v>
      </c>
    </row>
    <row r="825" spans="1:18" x14ac:dyDescent="0.25">
      <c r="A825" s="1"/>
      <c r="C825" s="1"/>
      <c r="D825" s="1">
        <v>42412</v>
      </c>
      <c r="E825" s="10">
        <v>54251.5</v>
      </c>
      <c r="F825" s="1">
        <v>42412</v>
      </c>
      <c r="G825">
        <v>-10975.5</v>
      </c>
      <c r="H825" s="1">
        <f t="shared" si="61"/>
        <v>42412</v>
      </c>
      <c r="I825">
        <f>IF(AND(MyRowHidden(ROW())=FALSE,MyRowHidden(ROW()-1)=TRUE),0,(E825-E824)*unitsOfDHp+I824)</f>
        <v>252265</v>
      </c>
      <c r="J825">
        <f>IF(AND(MyRowHidden(ROW())=FALSE,MyRowHidden(ROW()-1)=TRUE),0,(G825-G824)*unitsOfExo+J824)</f>
        <v>-156140</v>
      </c>
      <c r="K825" s="9">
        <f t="shared" si="62"/>
        <v>156140</v>
      </c>
      <c r="L825">
        <f t="shared" si="63"/>
        <v>-42402.896127635933</v>
      </c>
      <c r="M825">
        <f>IF(AND(MyRowHidden(ROW())=FALSE,MyRowHidden(ROW()-1)=TRUE),0,(G825-G824)*unitsFuturesCompare+M824)</f>
        <v>-312280</v>
      </c>
      <c r="N825">
        <f>IF(MyRowHidden(ROW())=TRUE,0,L825-M825)</f>
        <v>269877.10387236404</v>
      </c>
      <c r="O825">
        <f>MAX(N$12:N825)</f>
        <v>277055.79225527181</v>
      </c>
      <c r="P825">
        <f>IF(O825&gt;O824,(O825-O824)*percentSavingsParticipation,0)</f>
        <v>0</v>
      </c>
      <c r="Q825">
        <f t="shared" si="64"/>
        <v>138527.8961276359</v>
      </c>
      <c r="R825">
        <f t="shared" si="65"/>
        <v>96125</v>
      </c>
    </row>
    <row r="826" spans="1:18" x14ac:dyDescent="0.25">
      <c r="A826" s="1"/>
      <c r="C826" s="1"/>
      <c r="D826" s="1">
        <v>42415</v>
      </c>
      <c r="E826" s="10">
        <v>54439</v>
      </c>
      <c r="F826" s="1">
        <v>42415</v>
      </c>
      <c r="G826">
        <v>-10950.5</v>
      </c>
      <c r="H826" s="1">
        <f t="shared" si="61"/>
        <v>42415</v>
      </c>
      <c r="I826">
        <f>IF(AND(MyRowHidden(ROW())=FALSE,MyRowHidden(ROW()-1)=TRUE),0,(E826-E825)*unitsOfDHp+I825)</f>
        <v>254140</v>
      </c>
      <c r="J826">
        <f>IF(AND(MyRowHidden(ROW())=FALSE,MyRowHidden(ROW()-1)=TRUE),0,(G826-G825)*unitsOfExo+J825)</f>
        <v>-155890</v>
      </c>
      <c r="K826" s="9">
        <f t="shared" si="62"/>
        <v>155890</v>
      </c>
      <c r="L826">
        <f t="shared" si="63"/>
        <v>-40277.896127635933</v>
      </c>
      <c r="M826">
        <f>IF(AND(MyRowHidden(ROW())=FALSE,MyRowHidden(ROW()-1)=TRUE),0,(G826-G825)*unitsFuturesCompare+M825)</f>
        <v>-311780</v>
      </c>
      <c r="N826">
        <f>IF(MyRowHidden(ROW())=TRUE,0,L826-M826)</f>
        <v>271502.10387236404</v>
      </c>
      <c r="O826">
        <f>MAX(N$12:N826)</f>
        <v>277055.79225527181</v>
      </c>
      <c r="P826">
        <f>IF(O826&gt;O825,(O826-O825)*percentSavingsParticipation,0)</f>
        <v>0</v>
      </c>
      <c r="Q826">
        <f t="shared" si="64"/>
        <v>138527.8961276359</v>
      </c>
      <c r="R826">
        <f t="shared" si="65"/>
        <v>98250</v>
      </c>
    </row>
    <row r="827" spans="1:18" x14ac:dyDescent="0.25">
      <c r="A827" s="1"/>
      <c r="C827" s="1"/>
      <c r="D827" s="1">
        <v>42416</v>
      </c>
      <c r="E827" s="10">
        <v>54101.5</v>
      </c>
      <c r="F827" s="1">
        <v>42416</v>
      </c>
      <c r="G827">
        <v>-10850.5</v>
      </c>
      <c r="H827" s="1">
        <f t="shared" si="61"/>
        <v>42416</v>
      </c>
      <c r="I827">
        <f>IF(AND(MyRowHidden(ROW())=FALSE,MyRowHidden(ROW()-1)=TRUE),0,(E827-E826)*unitsOfDHp+I826)</f>
        <v>250765</v>
      </c>
      <c r="J827">
        <f>IF(AND(MyRowHidden(ROW())=FALSE,MyRowHidden(ROW()-1)=TRUE),0,(G827-G826)*unitsOfExo+J826)</f>
        <v>-154890</v>
      </c>
      <c r="K827" s="9">
        <f t="shared" si="62"/>
        <v>154890</v>
      </c>
      <c r="L827">
        <f t="shared" si="63"/>
        <v>-42652.896127635933</v>
      </c>
      <c r="M827">
        <f>IF(AND(MyRowHidden(ROW())=FALSE,MyRowHidden(ROW()-1)=TRUE),0,(G827-G826)*unitsFuturesCompare+M826)</f>
        <v>-309780</v>
      </c>
      <c r="N827">
        <f>IF(MyRowHidden(ROW())=TRUE,0,L827-M827)</f>
        <v>267127.10387236404</v>
      </c>
      <c r="O827">
        <f>MAX(N$12:N827)</f>
        <v>277055.79225527181</v>
      </c>
      <c r="P827">
        <f>IF(O827&gt;O826,(O827-O826)*percentSavingsParticipation,0)</f>
        <v>0</v>
      </c>
      <c r="Q827">
        <f t="shared" si="64"/>
        <v>138527.8961276359</v>
      </c>
      <c r="R827">
        <f t="shared" si="65"/>
        <v>95875</v>
      </c>
    </row>
    <row r="828" spans="1:18" x14ac:dyDescent="0.25">
      <c r="A828" s="1"/>
      <c r="C828" s="1"/>
      <c r="D828" s="1">
        <v>42417</v>
      </c>
      <c r="E828" s="10">
        <v>53308</v>
      </c>
      <c r="F828" s="1">
        <v>42417</v>
      </c>
      <c r="G828">
        <v>-10563</v>
      </c>
      <c r="H828" s="1">
        <f t="shared" si="61"/>
        <v>42417</v>
      </c>
      <c r="I828">
        <f>IF(AND(MyRowHidden(ROW())=FALSE,MyRowHidden(ROW()-1)=TRUE),0,(E828-E827)*unitsOfDHp+I827)</f>
        <v>242830</v>
      </c>
      <c r="J828">
        <f>IF(AND(MyRowHidden(ROW())=FALSE,MyRowHidden(ROW()-1)=TRUE),0,(G828-G827)*unitsOfExo+J827)</f>
        <v>-152015</v>
      </c>
      <c r="K828" s="9">
        <f t="shared" si="62"/>
        <v>152015</v>
      </c>
      <c r="L828">
        <f t="shared" si="63"/>
        <v>-47712.896127635933</v>
      </c>
      <c r="M828">
        <f>IF(AND(MyRowHidden(ROW())=FALSE,MyRowHidden(ROW()-1)=TRUE),0,(G828-G827)*unitsFuturesCompare+M827)</f>
        <v>-304030</v>
      </c>
      <c r="N828">
        <f>IF(MyRowHidden(ROW())=TRUE,0,L828-M828)</f>
        <v>256317.10387236407</v>
      </c>
      <c r="O828">
        <f>MAX(N$12:N828)</f>
        <v>277055.79225527181</v>
      </c>
      <c r="P828">
        <f>IF(O828&gt;O827,(O828-O827)*percentSavingsParticipation,0)</f>
        <v>0</v>
      </c>
      <c r="Q828">
        <f t="shared" si="64"/>
        <v>138527.8961276359</v>
      </c>
      <c r="R828">
        <f t="shared" si="65"/>
        <v>90815</v>
      </c>
    </row>
    <row r="829" spans="1:18" x14ac:dyDescent="0.25">
      <c r="A829" s="1"/>
      <c r="C829" s="1"/>
      <c r="D829" s="1">
        <v>42418</v>
      </c>
      <c r="E829" s="10">
        <v>53299.5</v>
      </c>
      <c r="F829" s="1">
        <v>42418</v>
      </c>
      <c r="G829">
        <v>-10613</v>
      </c>
      <c r="H829" s="1">
        <f t="shared" si="61"/>
        <v>42418</v>
      </c>
      <c r="I829">
        <f>IF(AND(MyRowHidden(ROW())=FALSE,MyRowHidden(ROW()-1)=TRUE),0,(E829-E828)*unitsOfDHp+I828)</f>
        <v>242745</v>
      </c>
      <c r="J829">
        <f>IF(AND(MyRowHidden(ROW())=FALSE,MyRowHidden(ROW()-1)=TRUE),0,(G829-G828)*unitsOfExo+J828)</f>
        <v>-152515</v>
      </c>
      <c r="K829" s="9">
        <f t="shared" si="62"/>
        <v>152515</v>
      </c>
      <c r="L829">
        <f t="shared" si="63"/>
        <v>-48297.896127635933</v>
      </c>
      <c r="M829">
        <f>IF(AND(MyRowHidden(ROW())=FALSE,MyRowHidden(ROW()-1)=TRUE),0,(G829-G828)*unitsFuturesCompare+M828)</f>
        <v>-305030</v>
      </c>
      <c r="N829">
        <f>IF(MyRowHidden(ROW())=TRUE,0,L829-M829)</f>
        <v>256732.10387236407</v>
      </c>
      <c r="O829">
        <f>MAX(N$12:N829)</f>
        <v>277055.79225527181</v>
      </c>
      <c r="P829">
        <f>IF(O829&gt;O828,(O829-O828)*percentSavingsParticipation,0)</f>
        <v>0</v>
      </c>
      <c r="Q829">
        <f t="shared" si="64"/>
        <v>138527.8961276359</v>
      </c>
      <c r="R829">
        <f t="shared" si="65"/>
        <v>90230</v>
      </c>
    </row>
    <row r="830" spans="1:18" x14ac:dyDescent="0.25">
      <c r="A830" s="1"/>
      <c r="C830" s="1"/>
      <c r="D830" s="1">
        <v>42419</v>
      </c>
      <c r="E830" s="10">
        <v>53227.5</v>
      </c>
      <c r="F830" s="1">
        <v>42419</v>
      </c>
      <c r="G830">
        <v>-10663</v>
      </c>
      <c r="H830" s="1">
        <f t="shared" si="61"/>
        <v>42419</v>
      </c>
      <c r="I830">
        <f>IF(AND(MyRowHidden(ROW())=FALSE,MyRowHidden(ROW()-1)=TRUE),0,(E830-E829)*unitsOfDHp+I829)</f>
        <v>242025</v>
      </c>
      <c r="J830">
        <f>IF(AND(MyRowHidden(ROW())=FALSE,MyRowHidden(ROW()-1)=TRUE),0,(G830-G829)*unitsOfExo+J829)</f>
        <v>-153015</v>
      </c>
      <c r="K830" s="9">
        <f t="shared" si="62"/>
        <v>153015</v>
      </c>
      <c r="L830">
        <f t="shared" si="63"/>
        <v>-49517.896127635933</v>
      </c>
      <c r="M830">
        <f>IF(AND(MyRowHidden(ROW())=FALSE,MyRowHidden(ROW()-1)=TRUE),0,(G830-G829)*unitsFuturesCompare+M829)</f>
        <v>-306030</v>
      </c>
      <c r="N830">
        <f>IF(MyRowHidden(ROW())=TRUE,0,L830-M830)</f>
        <v>256512.10387236407</v>
      </c>
      <c r="O830">
        <f>MAX(N$12:N830)</f>
        <v>277055.79225527181</v>
      </c>
      <c r="P830">
        <f>IF(O830&gt;O829,(O830-O829)*percentSavingsParticipation,0)</f>
        <v>0</v>
      </c>
      <c r="Q830">
        <f t="shared" si="64"/>
        <v>138527.8961276359</v>
      </c>
      <c r="R830">
        <f t="shared" si="65"/>
        <v>89010</v>
      </c>
    </row>
    <row r="831" spans="1:18" x14ac:dyDescent="0.25">
      <c r="A831" s="1"/>
      <c r="C831" s="1"/>
      <c r="D831" s="1">
        <v>42422</v>
      </c>
      <c r="E831" s="10">
        <v>53565</v>
      </c>
      <c r="F831" s="1">
        <v>42422</v>
      </c>
      <c r="G831">
        <v>-10525.5</v>
      </c>
      <c r="H831" s="1">
        <f t="shared" si="61"/>
        <v>42422</v>
      </c>
      <c r="I831">
        <f>IF(AND(MyRowHidden(ROW())=FALSE,MyRowHidden(ROW()-1)=TRUE),0,(E831-E830)*unitsOfDHp+I830)</f>
        <v>245400</v>
      </c>
      <c r="J831">
        <f>IF(AND(MyRowHidden(ROW())=FALSE,MyRowHidden(ROW()-1)=TRUE),0,(G831-G830)*unitsOfExo+J830)</f>
        <v>-151640</v>
      </c>
      <c r="K831" s="9">
        <f t="shared" si="62"/>
        <v>151640</v>
      </c>
      <c r="L831">
        <f t="shared" si="63"/>
        <v>-44767.896127635933</v>
      </c>
      <c r="M831">
        <f>IF(AND(MyRowHidden(ROW())=FALSE,MyRowHidden(ROW()-1)=TRUE),0,(G831-G830)*unitsFuturesCompare+M830)</f>
        <v>-303280</v>
      </c>
      <c r="N831">
        <f>IF(MyRowHidden(ROW())=TRUE,0,L831-M831)</f>
        <v>258512.10387236407</v>
      </c>
      <c r="O831">
        <f>MAX(N$12:N831)</f>
        <v>277055.79225527181</v>
      </c>
      <c r="P831">
        <f>IF(O831&gt;O830,(O831-O830)*percentSavingsParticipation,0)</f>
        <v>0</v>
      </c>
      <c r="Q831">
        <f t="shared" si="64"/>
        <v>138527.8961276359</v>
      </c>
      <c r="R831">
        <f t="shared" si="65"/>
        <v>93760</v>
      </c>
    </row>
    <row r="832" spans="1:18" x14ac:dyDescent="0.25">
      <c r="A832" s="1"/>
      <c r="C832" s="1"/>
      <c r="D832" s="1">
        <v>42423</v>
      </c>
      <c r="E832" s="10">
        <v>53227.5</v>
      </c>
      <c r="F832" s="1">
        <v>42423</v>
      </c>
      <c r="G832">
        <v>-10800.5</v>
      </c>
      <c r="H832" s="1">
        <f t="shared" si="61"/>
        <v>42423</v>
      </c>
      <c r="I832">
        <f>IF(AND(MyRowHidden(ROW())=FALSE,MyRowHidden(ROW()-1)=TRUE),0,(E832-E831)*unitsOfDHp+I831)</f>
        <v>242025</v>
      </c>
      <c r="J832">
        <f>IF(AND(MyRowHidden(ROW())=FALSE,MyRowHidden(ROW()-1)=TRUE),0,(G832-G831)*unitsOfExo+J831)</f>
        <v>-154390</v>
      </c>
      <c r="K832" s="9">
        <f t="shared" si="62"/>
        <v>154390</v>
      </c>
      <c r="L832">
        <f t="shared" si="63"/>
        <v>-50892.896127635933</v>
      </c>
      <c r="M832">
        <f>IF(AND(MyRowHidden(ROW())=FALSE,MyRowHidden(ROW()-1)=TRUE),0,(G832-G831)*unitsFuturesCompare+M831)</f>
        <v>-308780</v>
      </c>
      <c r="N832">
        <f>IF(MyRowHidden(ROW())=TRUE,0,L832-M832)</f>
        <v>257887.10387236407</v>
      </c>
      <c r="O832">
        <f>MAX(N$12:N832)</f>
        <v>277055.79225527181</v>
      </c>
      <c r="P832">
        <f>IF(O832&gt;O831,(O832-O831)*percentSavingsParticipation,0)</f>
        <v>0</v>
      </c>
      <c r="Q832">
        <f t="shared" si="64"/>
        <v>138527.8961276359</v>
      </c>
      <c r="R832">
        <f t="shared" si="65"/>
        <v>87635</v>
      </c>
    </row>
    <row r="833" spans="1:18" x14ac:dyDescent="0.25">
      <c r="A833" s="1"/>
      <c r="C833" s="1"/>
      <c r="D833" s="1">
        <v>42424</v>
      </c>
      <c r="E833" s="10">
        <v>53077.5</v>
      </c>
      <c r="F833" s="1">
        <v>42424</v>
      </c>
      <c r="G833">
        <v>-10863</v>
      </c>
      <c r="H833" s="1">
        <f t="shared" si="61"/>
        <v>42424</v>
      </c>
      <c r="I833">
        <f>IF(AND(MyRowHidden(ROW())=FALSE,MyRowHidden(ROW()-1)=TRUE),0,(E833-E832)*unitsOfDHp+I832)</f>
        <v>240525</v>
      </c>
      <c r="J833">
        <f>IF(AND(MyRowHidden(ROW())=FALSE,MyRowHidden(ROW()-1)=TRUE),0,(G833-G832)*unitsOfExo+J832)</f>
        <v>-155015</v>
      </c>
      <c r="K833" s="9">
        <f t="shared" si="62"/>
        <v>155015</v>
      </c>
      <c r="L833">
        <f t="shared" si="63"/>
        <v>-53017.896127635933</v>
      </c>
      <c r="M833">
        <f>IF(AND(MyRowHidden(ROW())=FALSE,MyRowHidden(ROW()-1)=TRUE),0,(G833-G832)*unitsFuturesCompare+M832)</f>
        <v>-310030</v>
      </c>
      <c r="N833">
        <f>IF(MyRowHidden(ROW())=TRUE,0,L833-M833)</f>
        <v>257012.10387236407</v>
      </c>
      <c r="O833">
        <f>MAX(N$12:N833)</f>
        <v>277055.79225527181</v>
      </c>
      <c r="P833">
        <f>IF(O833&gt;O832,(O833-O832)*percentSavingsParticipation,0)</f>
        <v>0</v>
      </c>
      <c r="Q833">
        <f t="shared" si="64"/>
        <v>138527.8961276359</v>
      </c>
      <c r="R833">
        <f t="shared" si="65"/>
        <v>85510</v>
      </c>
    </row>
    <row r="834" spans="1:18" x14ac:dyDescent="0.25">
      <c r="A834" s="1"/>
      <c r="C834" s="1"/>
      <c r="D834" s="1">
        <v>42425</v>
      </c>
      <c r="E834" s="10">
        <v>52643</v>
      </c>
      <c r="F834" s="1">
        <v>42425</v>
      </c>
      <c r="G834">
        <v>-11088</v>
      </c>
      <c r="H834" s="1">
        <f t="shared" si="61"/>
        <v>42425</v>
      </c>
      <c r="I834">
        <f>IF(AND(MyRowHidden(ROW())=FALSE,MyRowHidden(ROW()-1)=TRUE),0,(E834-E833)*unitsOfDHp+I833)</f>
        <v>236180</v>
      </c>
      <c r="J834">
        <f>IF(AND(MyRowHidden(ROW())=FALSE,MyRowHidden(ROW()-1)=TRUE),0,(G834-G833)*unitsOfExo+J833)</f>
        <v>-157265</v>
      </c>
      <c r="K834" s="9">
        <f t="shared" si="62"/>
        <v>157265</v>
      </c>
      <c r="L834">
        <f t="shared" si="63"/>
        <v>-59612.896127635933</v>
      </c>
      <c r="M834">
        <f>IF(AND(MyRowHidden(ROW())=FALSE,MyRowHidden(ROW()-1)=TRUE),0,(G834-G833)*unitsFuturesCompare+M833)</f>
        <v>-314530</v>
      </c>
      <c r="N834">
        <f>IF(MyRowHidden(ROW())=TRUE,0,L834-M834)</f>
        <v>254917.10387236407</v>
      </c>
      <c r="O834">
        <f>MAX(N$12:N834)</f>
        <v>277055.79225527181</v>
      </c>
      <c r="P834">
        <f>IF(O834&gt;O833,(O834-O833)*percentSavingsParticipation,0)</f>
        <v>0</v>
      </c>
      <c r="Q834">
        <f t="shared" si="64"/>
        <v>138527.8961276359</v>
      </c>
      <c r="R834">
        <f t="shared" si="65"/>
        <v>78915</v>
      </c>
    </row>
    <row r="835" spans="1:18" x14ac:dyDescent="0.25">
      <c r="A835" s="1"/>
      <c r="C835" s="1"/>
      <c r="D835" s="1">
        <v>42426</v>
      </c>
      <c r="E835" s="10">
        <v>52434</v>
      </c>
      <c r="F835" s="1">
        <v>42426</v>
      </c>
      <c r="G835">
        <v>-11200.5</v>
      </c>
      <c r="H835" s="1">
        <f t="shared" si="61"/>
        <v>42426</v>
      </c>
      <c r="I835">
        <f>IF(AND(MyRowHidden(ROW())=FALSE,MyRowHidden(ROW()-1)=TRUE),0,(E835-E834)*unitsOfDHp+I834)</f>
        <v>234090</v>
      </c>
      <c r="J835">
        <f>IF(AND(MyRowHidden(ROW())=FALSE,MyRowHidden(ROW()-1)=TRUE),0,(G835-G834)*unitsOfExo+J834)</f>
        <v>-158390</v>
      </c>
      <c r="K835" s="9">
        <f t="shared" si="62"/>
        <v>158390</v>
      </c>
      <c r="L835">
        <f t="shared" si="63"/>
        <v>-62827.896127635933</v>
      </c>
      <c r="M835">
        <f>IF(AND(MyRowHidden(ROW())=FALSE,MyRowHidden(ROW()-1)=TRUE),0,(G835-G834)*unitsFuturesCompare+M834)</f>
        <v>-316780</v>
      </c>
      <c r="N835">
        <f>IF(MyRowHidden(ROW())=TRUE,0,L835-M835)</f>
        <v>253952.10387236407</v>
      </c>
      <c r="O835">
        <f>MAX(N$12:N835)</f>
        <v>277055.79225527181</v>
      </c>
      <c r="P835">
        <f>IF(O835&gt;O834,(O835-O834)*percentSavingsParticipation,0)</f>
        <v>0</v>
      </c>
      <c r="Q835">
        <f t="shared" si="64"/>
        <v>138527.8961276359</v>
      </c>
      <c r="R835">
        <f t="shared" si="65"/>
        <v>75700</v>
      </c>
    </row>
    <row r="836" spans="1:18" x14ac:dyDescent="0.25">
      <c r="A836" s="1"/>
      <c r="C836" s="1"/>
      <c r="D836" s="1">
        <v>42429</v>
      </c>
      <c r="E836" s="10">
        <v>52534</v>
      </c>
      <c r="F836" s="1">
        <v>42429</v>
      </c>
      <c r="G836">
        <v>-11275.5</v>
      </c>
      <c r="H836" s="1">
        <f t="shared" si="61"/>
        <v>42429</v>
      </c>
      <c r="I836">
        <f>IF(AND(MyRowHidden(ROW())=FALSE,MyRowHidden(ROW()-1)=TRUE),0,(E836-E835)*unitsOfDHp+I835)</f>
        <v>235090</v>
      </c>
      <c r="J836">
        <f>IF(AND(MyRowHidden(ROW())=FALSE,MyRowHidden(ROW()-1)=TRUE),0,(G836-G835)*unitsOfExo+J835)</f>
        <v>-159140</v>
      </c>
      <c r="K836" s="9">
        <f t="shared" si="62"/>
        <v>159140</v>
      </c>
      <c r="L836">
        <f t="shared" si="63"/>
        <v>-62577.896127635933</v>
      </c>
      <c r="M836">
        <f>IF(AND(MyRowHidden(ROW())=FALSE,MyRowHidden(ROW()-1)=TRUE),0,(G836-G835)*unitsFuturesCompare+M835)</f>
        <v>-318280</v>
      </c>
      <c r="N836">
        <f>IF(MyRowHidden(ROW())=TRUE,0,L836-M836)</f>
        <v>255702.10387236407</v>
      </c>
      <c r="O836">
        <f>MAX(N$12:N836)</f>
        <v>277055.79225527181</v>
      </c>
      <c r="P836">
        <f>IF(O836&gt;O835,(O836-O835)*percentSavingsParticipation,0)</f>
        <v>0</v>
      </c>
      <c r="Q836">
        <f t="shared" si="64"/>
        <v>138527.8961276359</v>
      </c>
      <c r="R836">
        <f t="shared" si="65"/>
        <v>75950</v>
      </c>
    </row>
    <row r="837" spans="1:18" x14ac:dyDescent="0.25">
      <c r="A837" s="1"/>
      <c r="C837" s="1"/>
      <c r="D837" s="1">
        <v>42430</v>
      </c>
      <c r="E837" s="10">
        <v>52659</v>
      </c>
      <c r="F837" s="1">
        <v>42430</v>
      </c>
      <c r="G837">
        <v>-11312.5</v>
      </c>
      <c r="H837" s="1">
        <f t="shared" si="61"/>
        <v>42430</v>
      </c>
      <c r="I837">
        <f>IF(AND(MyRowHidden(ROW())=FALSE,MyRowHidden(ROW()-1)=TRUE),0,(E837-E836)*unitsOfDHp+I836)</f>
        <v>236340</v>
      </c>
      <c r="J837">
        <f>IF(AND(MyRowHidden(ROW())=FALSE,MyRowHidden(ROW()-1)=TRUE),0,(G837-G836)*unitsOfExo+J836)</f>
        <v>-159510</v>
      </c>
      <c r="K837" s="9">
        <f t="shared" si="62"/>
        <v>159510</v>
      </c>
      <c r="L837">
        <f t="shared" si="63"/>
        <v>-61697.896127635933</v>
      </c>
      <c r="M837">
        <f>IF(AND(MyRowHidden(ROW())=FALSE,MyRowHidden(ROW()-1)=TRUE),0,(G837-G836)*unitsFuturesCompare+M836)</f>
        <v>-319020</v>
      </c>
      <c r="N837">
        <f>IF(MyRowHidden(ROW())=TRUE,0,L837-M837)</f>
        <v>257322.10387236407</v>
      </c>
      <c r="O837">
        <f>MAX(N$12:N837)</f>
        <v>277055.79225527181</v>
      </c>
      <c r="P837">
        <f>IF(O837&gt;O836,(O837-O836)*percentSavingsParticipation,0)</f>
        <v>0</v>
      </c>
      <c r="Q837">
        <f t="shared" si="64"/>
        <v>138527.8961276359</v>
      </c>
      <c r="R837">
        <f t="shared" si="65"/>
        <v>76830</v>
      </c>
    </row>
    <row r="838" spans="1:18" x14ac:dyDescent="0.25">
      <c r="A838" s="1"/>
      <c r="C838" s="1"/>
      <c r="D838" s="1">
        <v>42431</v>
      </c>
      <c r="E838" s="10">
        <v>52671.5</v>
      </c>
      <c r="F838" s="1">
        <v>42431</v>
      </c>
      <c r="G838">
        <v>-11362.5</v>
      </c>
      <c r="H838" s="1">
        <f t="shared" si="61"/>
        <v>42431</v>
      </c>
      <c r="I838">
        <f>IF(AND(MyRowHidden(ROW())=FALSE,MyRowHidden(ROW()-1)=TRUE),0,(E838-E837)*unitsOfDHp+I837)</f>
        <v>236465</v>
      </c>
      <c r="J838">
        <f>IF(AND(MyRowHidden(ROW())=FALSE,MyRowHidden(ROW()-1)=TRUE),0,(G838-G837)*unitsOfExo+J837)</f>
        <v>-160010</v>
      </c>
      <c r="K838" s="9">
        <f t="shared" si="62"/>
        <v>160010</v>
      </c>
      <c r="L838">
        <f t="shared" si="63"/>
        <v>-62072.896127635933</v>
      </c>
      <c r="M838">
        <f>IF(AND(MyRowHidden(ROW())=FALSE,MyRowHidden(ROW()-1)=TRUE),0,(G838-G837)*unitsFuturesCompare+M837)</f>
        <v>-320020</v>
      </c>
      <c r="N838">
        <f>IF(MyRowHidden(ROW())=TRUE,0,L838-M838)</f>
        <v>257947.10387236407</v>
      </c>
      <c r="O838">
        <f>MAX(N$12:N838)</f>
        <v>277055.79225527181</v>
      </c>
      <c r="P838">
        <f>IF(O838&gt;O837,(O838-O837)*percentSavingsParticipation,0)</f>
        <v>0</v>
      </c>
      <c r="Q838">
        <f t="shared" si="64"/>
        <v>138527.8961276359</v>
      </c>
      <c r="R838">
        <f t="shared" si="65"/>
        <v>76455</v>
      </c>
    </row>
    <row r="839" spans="1:18" x14ac:dyDescent="0.25">
      <c r="A839" s="1"/>
      <c r="C839" s="1"/>
      <c r="D839" s="1">
        <v>42432</v>
      </c>
      <c r="E839" s="10">
        <v>52735</v>
      </c>
      <c r="F839" s="1">
        <v>42432</v>
      </c>
      <c r="G839">
        <v>-11362.5</v>
      </c>
      <c r="H839" s="1">
        <f t="shared" si="61"/>
        <v>42432</v>
      </c>
      <c r="I839">
        <f>IF(AND(MyRowHidden(ROW())=FALSE,MyRowHidden(ROW()-1)=TRUE),0,(E839-E838)*unitsOfDHp+I838)</f>
        <v>237100</v>
      </c>
      <c r="J839">
        <f>IF(AND(MyRowHidden(ROW())=FALSE,MyRowHidden(ROW()-1)=TRUE),0,(G839-G838)*unitsOfExo+J838)</f>
        <v>-160010</v>
      </c>
      <c r="K839" s="9">
        <f t="shared" si="62"/>
        <v>160010</v>
      </c>
      <c r="L839">
        <f t="shared" si="63"/>
        <v>-61437.896127635933</v>
      </c>
      <c r="M839">
        <f>IF(AND(MyRowHidden(ROW())=FALSE,MyRowHidden(ROW()-1)=TRUE),0,(G839-G838)*unitsFuturesCompare+M838)</f>
        <v>-320020</v>
      </c>
      <c r="N839">
        <f>IF(MyRowHidden(ROW())=TRUE,0,L839-M839)</f>
        <v>258582.10387236407</v>
      </c>
      <c r="O839">
        <f>MAX(N$12:N839)</f>
        <v>277055.79225527181</v>
      </c>
      <c r="P839">
        <f>IF(O839&gt;O838,(O839-O838)*percentSavingsParticipation,0)</f>
        <v>0</v>
      </c>
      <c r="Q839">
        <f t="shared" si="64"/>
        <v>138527.8961276359</v>
      </c>
      <c r="R839">
        <f t="shared" si="65"/>
        <v>77090</v>
      </c>
    </row>
    <row r="840" spans="1:18" x14ac:dyDescent="0.25">
      <c r="A840" s="1"/>
      <c r="C840" s="1"/>
      <c r="D840" s="1">
        <v>42433</v>
      </c>
      <c r="E840" s="10">
        <v>52324.5</v>
      </c>
      <c r="F840" s="1">
        <v>42433</v>
      </c>
      <c r="G840">
        <v>-11250</v>
      </c>
      <c r="H840" s="1">
        <f t="shared" si="61"/>
        <v>42433</v>
      </c>
      <c r="I840">
        <f>IF(AND(MyRowHidden(ROW())=FALSE,MyRowHidden(ROW()-1)=TRUE),0,(E840-E839)*unitsOfDHp+I839)</f>
        <v>232995</v>
      </c>
      <c r="J840">
        <f>IF(AND(MyRowHidden(ROW())=FALSE,MyRowHidden(ROW()-1)=TRUE),0,(G840-G839)*unitsOfExo+J839)</f>
        <v>-158885</v>
      </c>
      <c r="K840" s="9">
        <f t="shared" si="62"/>
        <v>158885</v>
      </c>
      <c r="L840">
        <f t="shared" si="63"/>
        <v>-64417.896127635933</v>
      </c>
      <c r="M840">
        <f>IF(AND(MyRowHidden(ROW())=FALSE,MyRowHidden(ROW()-1)=TRUE),0,(G840-G839)*unitsFuturesCompare+M839)</f>
        <v>-317770</v>
      </c>
      <c r="N840">
        <f>IF(MyRowHidden(ROW())=TRUE,0,L840-M840)</f>
        <v>253352.10387236407</v>
      </c>
      <c r="O840">
        <f>MAX(N$12:N840)</f>
        <v>277055.79225527181</v>
      </c>
      <c r="P840">
        <f>IF(O840&gt;O839,(O840-O839)*percentSavingsParticipation,0)</f>
        <v>0</v>
      </c>
      <c r="Q840">
        <f t="shared" si="64"/>
        <v>138527.8961276359</v>
      </c>
      <c r="R840">
        <f t="shared" si="65"/>
        <v>74110</v>
      </c>
    </row>
    <row r="841" spans="1:18" x14ac:dyDescent="0.25">
      <c r="A841" s="1"/>
      <c r="C841" s="1"/>
      <c r="D841" s="1">
        <v>42436</v>
      </c>
      <c r="E841" s="10">
        <v>52131</v>
      </c>
      <c r="F841" s="1">
        <v>42436</v>
      </c>
      <c r="G841">
        <v>-11150</v>
      </c>
      <c r="H841" s="1">
        <f t="shared" si="61"/>
        <v>42436</v>
      </c>
      <c r="I841">
        <f>IF(AND(MyRowHidden(ROW())=FALSE,MyRowHidden(ROW()-1)=TRUE),0,(E841-E840)*unitsOfDHp+I840)</f>
        <v>231060</v>
      </c>
      <c r="J841">
        <f>IF(AND(MyRowHidden(ROW())=FALSE,MyRowHidden(ROW()-1)=TRUE),0,(G841-G840)*unitsOfExo+J840)</f>
        <v>-157885</v>
      </c>
      <c r="K841" s="9">
        <f t="shared" si="62"/>
        <v>157885</v>
      </c>
      <c r="L841">
        <f t="shared" si="63"/>
        <v>-65352.896127635933</v>
      </c>
      <c r="M841">
        <f>IF(AND(MyRowHidden(ROW())=FALSE,MyRowHidden(ROW()-1)=TRUE),0,(G841-G840)*unitsFuturesCompare+M840)</f>
        <v>-315770</v>
      </c>
      <c r="N841">
        <f>IF(MyRowHidden(ROW())=TRUE,0,L841-M841)</f>
        <v>250417.10387236407</v>
      </c>
      <c r="O841">
        <f>MAX(N$12:N841)</f>
        <v>277055.79225527181</v>
      </c>
      <c r="P841">
        <f>IF(O841&gt;O840,(O841-O840)*percentSavingsParticipation,0)</f>
        <v>0</v>
      </c>
      <c r="Q841">
        <f t="shared" si="64"/>
        <v>138527.8961276359</v>
      </c>
      <c r="R841">
        <f t="shared" si="65"/>
        <v>73175</v>
      </c>
    </row>
    <row r="842" spans="1:18" x14ac:dyDescent="0.25">
      <c r="A842" s="1"/>
      <c r="C842" s="1"/>
      <c r="D842" s="1">
        <v>42437</v>
      </c>
      <c r="E842" s="10">
        <v>52106</v>
      </c>
      <c r="F842" s="1">
        <v>42437</v>
      </c>
      <c r="G842">
        <v>-11162.5</v>
      </c>
      <c r="H842" s="1">
        <f t="shared" si="61"/>
        <v>42437</v>
      </c>
      <c r="I842">
        <f>IF(AND(MyRowHidden(ROW())=FALSE,MyRowHidden(ROW()-1)=TRUE),0,(E842-E841)*unitsOfDHp+I841)</f>
        <v>230810</v>
      </c>
      <c r="J842">
        <f>IF(AND(MyRowHidden(ROW())=FALSE,MyRowHidden(ROW()-1)=TRUE),0,(G842-G841)*unitsOfExo+J841)</f>
        <v>-158010</v>
      </c>
      <c r="K842" s="9">
        <f t="shared" si="62"/>
        <v>158010</v>
      </c>
      <c r="L842">
        <f t="shared" si="63"/>
        <v>-65727.896127635933</v>
      </c>
      <c r="M842">
        <f>IF(AND(MyRowHidden(ROW())=FALSE,MyRowHidden(ROW()-1)=TRUE),0,(G842-G841)*unitsFuturesCompare+M841)</f>
        <v>-316020</v>
      </c>
      <c r="N842">
        <f>IF(MyRowHidden(ROW())=TRUE,0,L842-M842)</f>
        <v>250292.10387236407</v>
      </c>
      <c r="O842">
        <f>MAX(N$12:N842)</f>
        <v>277055.79225527181</v>
      </c>
      <c r="P842">
        <f>IF(O842&gt;O841,(O842-O841)*percentSavingsParticipation,0)</f>
        <v>0</v>
      </c>
      <c r="Q842">
        <f t="shared" si="64"/>
        <v>138527.8961276359</v>
      </c>
      <c r="R842">
        <f t="shared" si="65"/>
        <v>72800</v>
      </c>
    </row>
    <row r="843" spans="1:18" x14ac:dyDescent="0.25">
      <c r="A843" s="1"/>
      <c r="C843" s="1"/>
      <c r="D843" s="1">
        <v>42438</v>
      </c>
      <c r="E843" s="10">
        <v>52093.5</v>
      </c>
      <c r="F843" s="1">
        <v>42438</v>
      </c>
      <c r="G843">
        <v>-11175</v>
      </c>
      <c r="H843" s="1">
        <f t="shared" si="61"/>
        <v>42438</v>
      </c>
      <c r="I843">
        <f>IF(AND(MyRowHidden(ROW())=FALSE,MyRowHidden(ROW()-1)=TRUE),0,(E843-E842)*unitsOfDHp+I842)</f>
        <v>230685</v>
      </c>
      <c r="J843">
        <f>IF(AND(MyRowHidden(ROW())=FALSE,MyRowHidden(ROW()-1)=TRUE),0,(G843-G842)*unitsOfExo+J842)</f>
        <v>-158135</v>
      </c>
      <c r="K843" s="9">
        <f t="shared" si="62"/>
        <v>158135</v>
      </c>
      <c r="L843">
        <f t="shared" si="63"/>
        <v>-65977.896127635933</v>
      </c>
      <c r="M843">
        <f>IF(AND(MyRowHidden(ROW())=FALSE,MyRowHidden(ROW()-1)=TRUE),0,(G843-G842)*unitsFuturesCompare+M842)</f>
        <v>-316270</v>
      </c>
      <c r="N843">
        <f>IF(MyRowHidden(ROW())=TRUE,0,L843-M843)</f>
        <v>250292.10387236407</v>
      </c>
      <c r="O843">
        <f>MAX(N$12:N843)</f>
        <v>277055.79225527181</v>
      </c>
      <c r="P843">
        <f>IF(O843&gt;O842,(O843-O842)*percentSavingsParticipation,0)</f>
        <v>0</v>
      </c>
      <c r="Q843">
        <f t="shared" si="64"/>
        <v>138527.8961276359</v>
      </c>
      <c r="R843">
        <f t="shared" si="65"/>
        <v>72550</v>
      </c>
    </row>
    <row r="844" spans="1:18" x14ac:dyDescent="0.25">
      <c r="A844" s="1"/>
      <c r="C844" s="1"/>
      <c r="D844" s="1">
        <v>42439</v>
      </c>
      <c r="E844" s="10">
        <v>52368.5</v>
      </c>
      <c r="F844" s="1">
        <v>42439</v>
      </c>
      <c r="G844">
        <v>-11012.5</v>
      </c>
      <c r="H844" s="1">
        <f t="shared" si="61"/>
        <v>42439</v>
      </c>
      <c r="I844">
        <f>IF(AND(MyRowHidden(ROW())=FALSE,MyRowHidden(ROW()-1)=TRUE),0,(E844-E843)*unitsOfDHp+I843)</f>
        <v>233435</v>
      </c>
      <c r="J844">
        <f>IF(AND(MyRowHidden(ROW())=FALSE,MyRowHidden(ROW()-1)=TRUE),0,(G844-G843)*unitsOfExo+J843)</f>
        <v>-156510</v>
      </c>
      <c r="K844" s="9">
        <f t="shared" si="62"/>
        <v>156510</v>
      </c>
      <c r="L844">
        <f t="shared" si="63"/>
        <v>-61602.896127635933</v>
      </c>
      <c r="M844">
        <f>IF(AND(MyRowHidden(ROW())=FALSE,MyRowHidden(ROW()-1)=TRUE),0,(G844-G843)*unitsFuturesCompare+M843)</f>
        <v>-313020</v>
      </c>
      <c r="N844">
        <f>IF(MyRowHidden(ROW())=TRUE,0,L844-M844)</f>
        <v>251417.10387236407</v>
      </c>
      <c r="O844">
        <f>MAX(N$12:N844)</f>
        <v>277055.79225527181</v>
      </c>
      <c r="P844">
        <f>IF(O844&gt;O843,(O844-O843)*percentSavingsParticipation,0)</f>
        <v>0</v>
      </c>
      <c r="Q844">
        <f t="shared" si="64"/>
        <v>138527.8961276359</v>
      </c>
      <c r="R844">
        <f t="shared" si="65"/>
        <v>76925</v>
      </c>
    </row>
    <row r="845" spans="1:18" x14ac:dyDescent="0.25">
      <c r="A845" s="1"/>
      <c r="C845" s="1"/>
      <c r="D845" s="1">
        <v>42440</v>
      </c>
      <c r="E845" s="10">
        <v>52370.5</v>
      </c>
      <c r="F845" s="1">
        <v>42440</v>
      </c>
      <c r="G845">
        <v>-10900</v>
      </c>
      <c r="H845" s="1">
        <f t="shared" ref="H845:H908" si="66">D845</f>
        <v>42440</v>
      </c>
      <c r="I845">
        <f>IF(AND(MyRowHidden(ROW())=FALSE,MyRowHidden(ROW()-1)=TRUE),0,(E845-E844)*unitsOfDHp+I844)</f>
        <v>233455</v>
      </c>
      <c r="J845">
        <f>IF(AND(MyRowHidden(ROW())=FALSE,MyRowHidden(ROW()-1)=TRUE),0,(G845-G844)*unitsOfExo+J844)</f>
        <v>-155385</v>
      </c>
      <c r="K845" s="9">
        <f t="shared" ref="K845:K908" si="67">-(J845-J844)+K844</f>
        <v>155385</v>
      </c>
      <c r="L845">
        <f t="shared" ref="L845:L908" si="68">I845-I844+J845-J844+L844-P844</f>
        <v>-60457.896127635933</v>
      </c>
      <c r="M845">
        <f>IF(AND(MyRowHidden(ROW())=FALSE,MyRowHidden(ROW()-1)=TRUE),0,(G845-G844)*unitsFuturesCompare+M844)</f>
        <v>-310770</v>
      </c>
      <c r="N845">
        <f>IF(MyRowHidden(ROW())=TRUE,0,L845-M845)</f>
        <v>250312.10387236407</v>
      </c>
      <c r="O845">
        <f>MAX(N$12:N845)</f>
        <v>277055.79225527181</v>
      </c>
      <c r="P845">
        <f>IF(O845&gt;O844,(O845-O844)*percentSavingsParticipation,0)</f>
        <v>0</v>
      </c>
      <c r="Q845">
        <f t="shared" ref="Q845:Q908" si="69">P845+Q844</f>
        <v>138527.8961276359</v>
      </c>
      <c r="R845">
        <f t="shared" ref="R845:R908" si="70">I845+J845</f>
        <v>78070</v>
      </c>
    </row>
    <row r="846" spans="1:18" x14ac:dyDescent="0.25">
      <c r="A846" s="1"/>
      <c r="C846" s="1"/>
      <c r="D846" s="1">
        <v>42443</v>
      </c>
      <c r="E846" s="10">
        <v>52570.5</v>
      </c>
      <c r="F846" s="1">
        <v>42443</v>
      </c>
      <c r="G846">
        <v>-10700</v>
      </c>
      <c r="H846" s="1">
        <f t="shared" si="66"/>
        <v>42443</v>
      </c>
      <c r="I846">
        <f>IF(AND(MyRowHidden(ROW())=FALSE,MyRowHidden(ROW()-1)=TRUE),0,(E846-E845)*unitsOfDHp+I845)</f>
        <v>235455</v>
      </c>
      <c r="J846">
        <f>IF(AND(MyRowHidden(ROW())=FALSE,MyRowHidden(ROW()-1)=TRUE),0,(G846-G845)*unitsOfExo+J845)</f>
        <v>-153385</v>
      </c>
      <c r="K846" s="9">
        <f t="shared" si="67"/>
        <v>153385</v>
      </c>
      <c r="L846">
        <f t="shared" si="68"/>
        <v>-56457.896127635933</v>
      </c>
      <c r="M846">
        <f>IF(AND(MyRowHidden(ROW())=FALSE,MyRowHidden(ROW()-1)=TRUE),0,(G846-G845)*unitsFuturesCompare+M845)</f>
        <v>-306770</v>
      </c>
      <c r="N846">
        <f>IF(MyRowHidden(ROW())=TRUE,0,L846-M846)</f>
        <v>250312.10387236407</v>
      </c>
      <c r="O846">
        <f>MAX(N$12:N846)</f>
        <v>277055.79225527181</v>
      </c>
      <c r="P846">
        <f>IF(O846&gt;O845,(O846-O845)*percentSavingsParticipation,0)</f>
        <v>0</v>
      </c>
      <c r="Q846">
        <f t="shared" si="69"/>
        <v>138527.8961276359</v>
      </c>
      <c r="R846">
        <f t="shared" si="70"/>
        <v>82070</v>
      </c>
    </row>
    <row r="847" spans="1:18" x14ac:dyDescent="0.25">
      <c r="A847" s="1"/>
      <c r="C847" s="1"/>
      <c r="D847" s="1">
        <v>42444</v>
      </c>
      <c r="E847" s="10">
        <v>52584</v>
      </c>
      <c r="F847" s="1">
        <v>42444</v>
      </c>
      <c r="G847">
        <v>-10712.5</v>
      </c>
      <c r="H847" s="1">
        <f t="shared" si="66"/>
        <v>42444</v>
      </c>
      <c r="I847">
        <f>IF(AND(MyRowHidden(ROW())=FALSE,MyRowHidden(ROW()-1)=TRUE),0,(E847-E846)*unitsOfDHp+I846)</f>
        <v>235590</v>
      </c>
      <c r="J847">
        <f>IF(AND(MyRowHidden(ROW())=FALSE,MyRowHidden(ROW()-1)=TRUE),0,(G847-G846)*unitsOfExo+J846)</f>
        <v>-153510</v>
      </c>
      <c r="K847" s="9">
        <f t="shared" si="67"/>
        <v>153510</v>
      </c>
      <c r="L847">
        <f t="shared" si="68"/>
        <v>-56447.896127635933</v>
      </c>
      <c r="M847">
        <f>IF(AND(MyRowHidden(ROW())=FALSE,MyRowHidden(ROW()-1)=TRUE),0,(G847-G846)*unitsFuturesCompare+M846)</f>
        <v>-307020</v>
      </c>
      <c r="N847">
        <f>IF(MyRowHidden(ROW())=TRUE,0,L847-M847)</f>
        <v>250572.10387236407</v>
      </c>
      <c r="O847">
        <f>MAX(N$12:N847)</f>
        <v>277055.79225527181</v>
      </c>
      <c r="P847">
        <f>IF(O847&gt;O846,(O847-O846)*percentSavingsParticipation,0)</f>
        <v>0</v>
      </c>
      <c r="Q847">
        <f t="shared" si="69"/>
        <v>138527.8961276359</v>
      </c>
      <c r="R847">
        <f t="shared" si="70"/>
        <v>82080</v>
      </c>
    </row>
    <row r="848" spans="1:18" x14ac:dyDescent="0.25">
      <c r="A848" s="1"/>
      <c r="C848" s="1"/>
      <c r="D848" s="1">
        <v>42445</v>
      </c>
      <c r="E848" s="10">
        <v>52611.5</v>
      </c>
      <c r="F848" s="1">
        <v>42445</v>
      </c>
      <c r="G848">
        <v>-10762.5</v>
      </c>
      <c r="H848" s="1">
        <f t="shared" si="66"/>
        <v>42445</v>
      </c>
      <c r="I848">
        <f>IF(AND(MyRowHidden(ROW())=FALSE,MyRowHidden(ROW()-1)=TRUE),0,(E848-E847)*unitsOfDHp+I847)</f>
        <v>235865</v>
      </c>
      <c r="J848">
        <f>IF(AND(MyRowHidden(ROW())=FALSE,MyRowHidden(ROW()-1)=TRUE),0,(G848-G847)*unitsOfExo+J847)</f>
        <v>-154010</v>
      </c>
      <c r="K848" s="9">
        <f t="shared" si="67"/>
        <v>154010</v>
      </c>
      <c r="L848">
        <f t="shared" si="68"/>
        <v>-56672.896127635933</v>
      </c>
      <c r="M848">
        <f>IF(AND(MyRowHidden(ROW())=FALSE,MyRowHidden(ROW()-1)=TRUE),0,(G848-G847)*unitsFuturesCompare+M847)</f>
        <v>-308020</v>
      </c>
      <c r="N848">
        <f>IF(MyRowHidden(ROW())=TRUE,0,L848-M848)</f>
        <v>251347.10387236407</v>
      </c>
      <c r="O848">
        <f>MAX(N$12:N848)</f>
        <v>277055.79225527181</v>
      </c>
      <c r="P848">
        <f>IF(O848&gt;O847,(O848-O847)*percentSavingsParticipation,0)</f>
        <v>0</v>
      </c>
      <c r="Q848">
        <f t="shared" si="69"/>
        <v>138527.8961276359</v>
      </c>
      <c r="R848">
        <f t="shared" si="70"/>
        <v>81855</v>
      </c>
    </row>
    <row r="849" spans="1:18" x14ac:dyDescent="0.25">
      <c r="A849" s="1"/>
      <c r="C849" s="1"/>
      <c r="D849" s="1">
        <v>42446</v>
      </c>
      <c r="E849" s="10">
        <v>52587.5</v>
      </c>
      <c r="F849" s="1">
        <v>42446</v>
      </c>
      <c r="G849">
        <v>-10737.5</v>
      </c>
      <c r="H849" s="1">
        <f t="shared" si="66"/>
        <v>42446</v>
      </c>
      <c r="I849">
        <f>IF(AND(MyRowHidden(ROW())=FALSE,MyRowHidden(ROW()-1)=TRUE),0,(E849-E848)*unitsOfDHp+I848)</f>
        <v>235625</v>
      </c>
      <c r="J849">
        <f>IF(AND(MyRowHidden(ROW())=FALSE,MyRowHidden(ROW()-1)=TRUE),0,(G849-G848)*unitsOfExo+J848)</f>
        <v>-153760</v>
      </c>
      <c r="K849" s="9">
        <f t="shared" si="67"/>
        <v>153760</v>
      </c>
      <c r="L849">
        <f t="shared" si="68"/>
        <v>-56662.896127635933</v>
      </c>
      <c r="M849">
        <f>IF(AND(MyRowHidden(ROW())=FALSE,MyRowHidden(ROW()-1)=TRUE),0,(G849-G848)*unitsFuturesCompare+M848)</f>
        <v>-307520</v>
      </c>
      <c r="N849">
        <f>IF(MyRowHidden(ROW())=TRUE,0,L849-M849)</f>
        <v>250857.10387236407</v>
      </c>
      <c r="O849">
        <f>MAX(N$12:N849)</f>
        <v>277055.79225527181</v>
      </c>
      <c r="P849">
        <f>IF(O849&gt;O848,(O849-O848)*percentSavingsParticipation,0)</f>
        <v>0</v>
      </c>
      <c r="Q849">
        <f t="shared" si="69"/>
        <v>138527.8961276359</v>
      </c>
      <c r="R849">
        <f t="shared" si="70"/>
        <v>81865</v>
      </c>
    </row>
    <row r="850" spans="1:18" x14ac:dyDescent="0.25">
      <c r="A850" s="1"/>
      <c r="C850" s="1"/>
      <c r="D850" s="1">
        <v>42447</v>
      </c>
      <c r="E850" s="10">
        <v>52475</v>
      </c>
      <c r="F850" s="1">
        <v>42447</v>
      </c>
      <c r="G850">
        <v>-10812.5</v>
      </c>
      <c r="H850" s="1">
        <f t="shared" si="66"/>
        <v>42447</v>
      </c>
      <c r="I850">
        <f>IF(AND(MyRowHidden(ROW())=FALSE,MyRowHidden(ROW()-1)=TRUE),0,(E850-E849)*unitsOfDHp+I849)</f>
        <v>234500</v>
      </c>
      <c r="J850">
        <f>IF(AND(MyRowHidden(ROW())=FALSE,MyRowHidden(ROW()-1)=TRUE),0,(G850-G849)*unitsOfExo+J849)</f>
        <v>-154510</v>
      </c>
      <c r="K850" s="9">
        <f t="shared" si="67"/>
        <v>154510</v>
      </c>
      <c r="L850">
        <f t="shared" si="68"/>
        <v>-58537.896127635933</v>
      </c>
      <c r="M850">
        <f>IF(AND(MyRowHidden(ROW())=FALSE,MyRowHidden(ROW()-1)=TRUE),0,(G850-G849)*unitsFuturesCompare+M849)</f>
        <v>-309020</v>
      </c>
      <c r="N850">
        <f>IF(MyRowHidden(ROW())=TRUE,0,L850-M850)</f>
        <v>250482.10387236407</v>
      </c>
      <c r="O850">
        <f>MAX(N$12:N850)</f>
        <v>277055.79225527181</v>
      </c>
      <c r="P850">
        <f>IF(O850&gt;O849,(O850-O849)*percentSavingsParticipation,0)</f>
        <v>0</v>
      </c>
      <c r="Q850">
        <f t="shared" si="69"/>
        <v>138527.8961276359</v>
      </c>
      <c r="R850">
        <f t="shared" si="70"/>
        <v>79990</v>
      </c>
    </row>
    <row r="851" spans="1:18" x14ac:dyDescent="0.25">
      <c r="A851" s="1"/>
      <c r="C851" s="1"/>
      <c r="D851" s="1">
        <v>42450</v>
      </c>
      <c r="E851" s="10">
        <v>52712.5</v>
      </c>
      <c r="F851" s="1">
        <v>42450</v>
      </c>
      <c r="G851">
        <v>-10675</v>
      </c>
      <c r="H851" s="1">
        <f t="shared" si="66"/>
        <v>42450</v>
      </c>
      <c r="I851">
        <f>IF(AND(MyRowHidden(ROW())=FALSE,MyRowHidden(ROW()-1)=TRUE),0,(E851-E850)*unitsOfDHp+I850)</f>
        <v>236875</v>
      </c>
      <c r="J851">
        <f>IF(AND(MyRowHidden(ROW())=FALSE,MyRowHidden(ROW()-1)=TRUE),0,(G851-G850)*unitsOfExo+J850)</f>
        <v>-153135</v>
      </c>
      <c r="K851" s="9">
        <f t="shared" si="67"/>
        <v>153135</v>
      </c>
      <c r="L851">
        <f t="shared" si="68"/>
        <v>-54787.896127635933</v>
      </c>
      <c r="M851">
        <f>IF(AND(MyRowHidden(ROW())=FALSE,MyRowHidden(ROW()-1)=TRUE),0,(G851-G850)*unitsFuturesCompare+M850)</f>
        <v>-306270</v>
      </c>
      <c r="N851">
        <f>IF(MyRowHidden(ROW())=TRUE,0,L851-M851)</f>
        <v>251482.10387236407</v>
      </c>
      <c r="O851">
        <f>MAX(N$12:N851)</f>
        <v>277055.79225527181</v>
      </c>
      <c r="P851">
        <f>IF(O851&gt;O850,(O851-O850)*percentSavingsParticipation,0)</f>
        <v>0</v>
      </c>
      <c r="Q851">
        <f t="shared" si="69"/>
        <v>138527.8961276359</v>
      </c>
      <c r="R851">
        <f t="shared" si="70"/>
        <v>83740</v>
      </c>
    </row>
    <row r="852" spans="1:18" x14ac:dyDescent="0.25">
      <c r="A852" s="1"/>
      <c r="C852" s="1"/>
      <c r="D852" s="1">
        <v>42451</v>
      </c>
      <c r="E852" s="10">
        <v>52688.5</v>
      </c>
      <c r="F852" s="1">
        <v>42451</v>
      </c>
      <c r="G852">
        <v>-10662.5</v>
      </c>
      <c r="H852" s="1">
        <f t="shared" si="66"/>
        <v>42451</v>
      </c>
      <c r="I852">
        <f>IF(AND(MyRowHidden(ROW())=FALSE,MyRowHidden(ROW()-1)=TRUE),0,(E852-E851)*unitsOfDHp+I851)</f>
        <v>236635</v>
      </c>
      <c r="J852">
        <f>IF(AND(MyRowHidden(ROW())=FALSE,MyRowHidden(ROW()-1)=TRUE),0,(G852-G851)*unitsOfExo+J851)</f>
        <v>-153010</v>
      </c>
      <c r="K852" s="9">
        <f t="shared" si="67"/>
        <v>153010</v>
      </c>
      <c r="L852">
        <f t="shared" si="68"/>
        <v>-54902.896127635933</v>
      </c>
      <c r="M852">
        <f>IF(AND(MyRowHidden(ROW())=FALSE,MyRowHidden(ROW()-1)=TRUE),0,(G852-G851)*unitsFuturesCompare+M851)</f>
        <v>-306020</v>
      </c>
      <c r="N852">
        <f>IF(MyRowHidden(ROW())=TRUE,0,L852-M852)</f>
        <v>251117.10387236407</v>
      </c>
      <c r="O852">
        <f>MAX(N$12:N852)</f>
        <v>277055.79225527181</v>
      </c>
      <c r="P852">
        <f>IF(O852&gt;O851,(O852-O851)*percentSavingsParticipation,0)</f>
        <v>0</v>
      </c>
      <c r="Q852">
        <f t="shared" si="69"/>
        <v>138527.8961276359</v>
      </c>
      <c r="R852">
        <f t="shared" si="70"/>
        <v>83625</v>
      </c>
    </row>
    <row r="853" spans="1:18" x14ac:dyDescent="0.25">
      <c r="A853" s="1"/>
      <c r="C853" s="1"/>
      <c r="D853" s="1">
        <v>42452</v>
      </c>
      <c r="E853" s="10">
        <v>52613.5</v>
      </c>
      <c r="F853" s="1">
        <v>42452</v>
      </c>
      <c r="G853">
        <v>-10737.5</v>
      </c>
      <c r="H853" s="1">
        <f t="shared" si="66"/>
        <v>42452</v>
      </c>
      <c r="I853">
        <f>IF(AND(MyRowHidden(ROW())=FALSE,MyRowHidden(ROW()-1)=TRUE),0,(E853-E852)*unitsOfDHp+I852)</f>
        <v>235885</v>
      </c>
      <c r="J853">
        <f>IF(AND(MyRowHidden(ROW())=FALSE,MyRowHidden(ROW()-1)=TRUE),0,(G853-G852)*unitsOfExo+J852)</f>
        <v>-153760</v>
      </c>
      <c r="K853" s="9">
        <f t="shared" si="67"/>
        <v>153760</v>
      </c>
      <c r="L853">
        <f t="shared" si="68"/>
        <v>-56402.896127635933</v>
      </c>
      <c r="M853">
        <f>IF(AND(MyRowHidden(ROW())=FALSE,MyRowHidden(ROW()-1)=TRUE),0,(G853-G852)*unitsFuturesCompare+M852)</f>
        <v>-307520</v>
      </c>
      <c r="N853">
        <f>IF(MyRowHidden(ROW())=TRUE,0,L853-M853)</f>
        <v>251117.10387236407</v>
      </c>
      <c r="O853">
        <f>MAX(N$12:N853)</f>
        <v>277055.79225527181</v>
      </c>
      <c r="P853">
        <f>IF(O853&gt;O852,(O853-O852)*percentSavingsParticipation,0)</f>
        <v>0</v>
      </c>
      <c r="Q853">
        <f t="shared" si="69"/>
        <v>138527.8961276359</v>
      </c>
      <c r="R853">
        <f t="shared" si="70"/>
        <v>82125</v>
      </c>
    </row>
    <row r="854" spans="1:18" x14ac:dyDescent="0.25">
      <c r="A854" s="1"/>
      <c r="C854" s="1"/>
      <c r="D854" s="1">
        <v>42453</v>
      </c>
      <c r="E854" s="10">
        <v>52676</v>
      </c>
      <c r="F854" s="1">
        <v>42453</v>
      </c>
      <c r="G854">
        <v>-10662.5</v>
      </c>
      <c r="H854" s="1">
        <f t="shared" si="66"/>
        <v>42453</v>
      </c>
      <c r="I854">
        <f>IF(AND(MyRowHidden(ROW())=FALSE,MyRowHidden(ROW()-1)=TRUE),0,(E854-E853)*unitsOfDHp+I853)</f>
        <v>236510</v>
      </c>
      <c r="J854">
        <f>IF(AND(MyRowHidden(ROW())=FALSE,MyRowHidden(ROW()-1)=TRUE),0,(G854-G853)*unitsOfExo+J853)</f>
        <v>-153010</v>
      </c>
      <c r="K854" s="9">
        <f t="shared" si="67"/>
        <v>153010</v>
      </c>
      <c r="L854">
        <f t="shared" si="68"/>
        <v>-55027.896127635933</v>
      </c>
      <c r="M854">
        <f>IF(AND(MyRowHidden(ROW())=FALSE,MyRowHidden(ROW()-1)=TRUE),0,(G854-G853)*unitsFuturesCompare+M853)</f>
        <v>-306020</v>
      </c>
      <c r="N854">
        <f>IF(MyRowHidden(ROW())=TRUE,0,L854-M854)</f>
        <v>250992.10387236407</v>
      </c>
      <c r="O854">
        <f>MAX(N$12:N854)</f>
        <v>277055.79225527181</v>
      </c>
      <c r="P854">
        <f>IF(O854&gt;O853,(O854-O853)*percentSavingsParticipation,0)</f>
        <v>0</v>
      </c>
      <c r="Q854">
        <f t="shared" si="69"/>
        <v>138527.8961276359</v>
      </c>
      <c r="R854">
        <f t="shared" si="70"/>
        <v>83500</v>
      </c>
    </row>
    <row r="855" spans="1:18" x14ac:dyDescent="0.25">
      <c r="A855" s="1"/>
      <c r="C855" s="1"/>
      <c r="D855" s="1">
        <v>42454</v>
      </c>
      <c r="E855" s="10">
        <v>52713.5</v>
      </c>
      <c r="F855" s="1">
        <v>42454</v>
      </c>
      <c r="G855">
        <v>-10612.5</v>
      </c>
      <c r="H855" s="1">
        <f t="shared" si="66"/>
        <v>42454</v>
      </c>
      <c r="I855">
        <f>IF(AND(MyRowHidden(ROW())=FALSE,MyRowHidden(ROW()-1)=TRUE),0,(E855-E854)*unitsOfDHp+I854)</f>
        <v>236885</v>
      </c>
      <c r="J855">
        <f>IF(AND(MyRowHidden(ROW())=FALSE,MyRowHidden(ROW()-1)=TRUE),0,(G855-G854)*unitsOfExo+J854)</f>
        <v>-152510</v>
      </c>
      <c r="K855" s="9">
        <f t="shared" si="67"/>
        <v>152510</v>
      </c>
      <c r="L855">
        <f t="shared" si="68"/>
        <v>-54152.896127635933</v>
      </c>
      <c r="M855">
        <f>IF(AND(MyRowHidden(ROW())=FALSE,MyRowHidden(ROW()-1)=TRUE),0,(G855-G854)*unitsFuturesCompare+M854)</f>
        <v>-305020</v>
      </c>
      <c r="N855">
        <f>IF(MyRowHidden(ROW())=TRUE,0,L855-M855)</f>
        <v>250867.10387236407</v>
      </c>
      <c r="O855">
        <f>MAX(N$12:N855)</f>
        <v>277055.79225527181</v>
      </c>
      <c r="P855">
        <f>IF(O855&gt;O854,(O855-O854)*percentSavingsParticipation,0)</f>
        <v>0</v>
      </c>
      <c r="Q855">
        <f t="shared" si="69"/>
        <v>138527.8961276359</v>
      </c>
      <c r="R855">
        <f t="shared" si="70"/>
        <v>84375</v>
      </c>
    </row>
    <row r="856" spans="1:18" x14ac:dyDescent="0.25">
      <c r="A856" s="1"/>
      <c r="C856" s="1"/>
      <c r="D856" s="1">
        <v>42457</v>
      </c>
      <c r="E856" s="10">
        <v>52814.5</v>
      </c>
      <c r="F856" s="1">
        <v>42457</v>
      </c>
      <c r="G856">
        <v>-10575</v>
      </c>
      <c r="H856" s="1">
        <f t="shared" si="66"/>
        <v>42457</v>
      </c>
      <c r="I856">
        <f>IF(AND(MyRowHidden(ROW())=FALSE,MyRowHidden(ROW()-1)=TRUE),0,(E856-E855)*unitsOfDHp+I855)</f>
        <v>237895</v>
      </c>
      <c r="J856">
        <f>IF(AND(MyRowHidden(ROW())=FALSE,MyRowHidden(ROW()-1)=TRUE),0,(G856-G855)*unitsOfExo+J855)</f>
        <v>-152135</v>
      </c>
      <c r="K856" s="9">
        <f t="shared" si="67"/>
        <v>152135</v>
      </c>
      <c r="L856">
        <f t="shared" si="68"/>
        <v>-52767.896127635933</v>
      </c>
      <c r="M856">
        <f>IF(AND(MyRowHidden(ROW())=FALSE,MyRowHidden(ROW()-1)=TRUE),0,(G856-G855)*unitsFuturesCompare+M855)</f>
        <v>-304270</v>
      </c>
      <c r="N856">
        <f>IF(MyRowHidden(ROW())=TRUE,0,L856-M856)</f>
        <v>251502.10387236407</v>
      </c>
      <c r="O856">
        <f>MAX(N$12:N856)</f>
        <v>277055.79225527181</v>
      </c>
      <c r="P856">
        <f>IF(O856&gt;O855,(O856-O855)*percentSavingsParticipation,0)</f>
        <v>0</v>
      </c>
      <c r="Q856">
        <f t="shared" si="69"/>
        <v>138527.8961276359</v>
      </c>
      <c r="R856">
        <f t="shared" si="70"/>
        <v>85760</v>
      </c>
    </row>
    <row r="857" spans="1:18" x14ac:dyDescent="0.25">
      <c r="A857" s="1"/>
      <c r="C857" s="1"/>
      <c r="D857" s="1">
        <v>42458</v>
      </c>
      <c r="E857" s="10">
        <v>52814.5</v>
      </c>
      <c r="F857" s="1">
        <v>42458</v>
      </c>
      <c r="G857">
        <v>-10537.5</v>
      </c>
      <c r="H857" s="1">
        <f t="shared" si="66"/>
        <v>42458</v>
      </c>
      <c r="I857">
        <f>IF(AND(MyRowHidden(ROW())=FALSE,MyRowHidden(ROW()-1)=TRUE),0,(E857-E856)*unitsOfDHp+I856)</f>
        <v>237895</v>
      </c>
      <c r="J857">
        <f>IF(AND(MyRowHidden(ROW())=FALSE,MyRowHidden(ROW()-1)=TRUE),0,(G857-G856)*unitsOfExo+J856)</f>
        <v>-151760</v>
      </c>
      <c r="K857" s="9">
        <f t="shared" si="67"/>
        <v>151760</v>
      </c>
      <c r="L857">
        <f t="shared" si="68"/>
        <v>-52392.896127635933</v>
      </c>
      <c r="M857">
        <f>IF(AND(MyRowHidden(ROW())=FALSE,MyRowHidden(ROW()-1)=TRUE),0,(G857-G856)*unitsFuturesCompare+M856)</f>
        <v>-303520</v>
      </c>
      <c r="N857">
        <f>IF(MyRowHidden(ROW())=TRUE,0,L857-M857)</f>
        <v>251127.10387236407</v>
      </c>
      <c r="O857">
        <f>MAX(N$12:N857)</f>
        <v>277055.79225527181</v>
      </c>
      <c r="P857">
        <f>IF(O857&gt;O856,(O857-O856)*percentSavingsParticipation,0)</f>
        <v>0</v>
      </c>
      <c r="Q857">
        <f t="shared" si="69"/>
        <v>138527.8961276359</v>
      </c>
      <c r="R857">
        <f t="shared" si="70"/>
        <v>86135</v>
      </c>
    </row>
    <row r="858" spans="1:18" x14ac:dyDescent="0.25">
      <c r="A858" s="1"/>
      <c r="C858" s="1"/>
      <c r="D858" s="1">
        <v>42459</v>
      </c>
      <c r="E858" s="10">
        <v>52655</v>
      </c>
      <c r="F858" s="1">
        <v>42459</v>
      </c>
      <c r="G858">
        <v>-10675</v>
      </c>
      <c r="H858" s="1">
        <f t="shared" si="66"/>
        <v>42459</v>
      </c>
      <c r="I858">
        <f>IF(AND(MyRowHidden(ROW())=FALSE,MyRowHidden(ROW()-1)=TRUE),0,(E858-E857)*unitsOfDHp+I857)</f>
        <v>236300</v>
      </c>
      <c r="J858">
        <f>IF(AND(MyRowHidden(ROW())=FALSE,MyRowHidden(ROW()-1)=TRUE),0,(G858-G857)*unitsOfExo+J857)</f>
        <v>-153135</v>
      </c>
      <c r="K858" s="9">
        <f t="shared" si="67"/>
        <v>153135</v>
      </c>
      <c r="L858">
        <f t="shared" si="68"/>
        <v>-55362.896127635933</v>
      </c>
      <c r="M858">
        <f>IF(AND(MyRowHidden(ROW())=FALSE,MyRowHidden(ROW()-1)=TRUE),0,(G858-G857)*unitsFuturesCompare+M857)</f>
        <v>-306270</v>
      </c>
      <c r="N858">
        <f>IF(MyRowHidden(ROW())=TRUE,0,L858-M858)</f>
        <v>250907.10387236407</v>
      </c>
      <c r="O858">
        <f>MAX(N$12:N858)</f>
        <v>277055.79225527181</v>
      </c>
      <c r="P858">
        <f>IF(O858&gt;O857,(O858-O857)*percentSavingsParticipation,0)</f>
        <v>0</v>
      </c>
      <c r="Q858">
        <f t="shared" si="69"/>
        <v>138527.8961276359</v>
      </c>
      <c r="R858">
        <f t="shared" si="70"/>
        <v>83165</v>
      </c>
    </row>
    <row r="859" spans="1:18" x14ac:dyDescent="0.25">
      <c r="A859" s="1"/>
      <c r="C859" s="1"/>
      <c r="D859" s="1">
        <v>42460</v>
      </c>
      <c r="E859" s="10">
        <v>52901.5</v>
      </c>
      <c r="F859" s="1">
        <v>42460</v>
      </c>
      <c r="G859">
        <v>-11725</v>
      </c>
      <c r="H859" s="1">
        <f t="shared" si="66"/>
        <v>42460</v>
      </c>
      <c r="I859">
        <f>IF(AND(MyRowHidden(ROW())=FALSE,MyRowHidden(ROW()-1)=TRUE),0,(E859-E858)*unitsOfDHp+I858)</f>
        <v>238765</v>
      </c>
      <c r="J859">
        <f>IF(AND(MyRowHidden(ROW())=FALSE,MyRowHidden(ROW()-1)=TRUE),0,(G859-G858)*unitsOfExo+J858)</f>
        <v>-163635</v>
      </c>
      <c r="K859" s="9">
        <f t="shared" si="67"/>
        <v>163635</v>
      </c>
      <c r="L859">
        <f t="shared" si="68"/>
        <v>-63397.896127635933</v>
      </c>
      <c r="M859">
        <f>IF(AND(MyRowHidden(ROW())=FALSE,MyRowHidden(ROW()-1)=TRUE),0,(G859-G858)*unitsFuturesCompare+M858)</f>
        <v>-327270</v>
      </c>
      <c r="N859">
        <f>IF(MyRowHidden(ROW())=TRUE,0,L859-M859)</f>
        <v>263872.10387236404</v>
      </c>
      <c r="O859">
        <f>MAX(N$12:N859)</f>
        <v>277055.79225527181</v>
      </c>
      <c r="P859">
        <f>IF(O859&gt;O858,(O859-O858)*percentSavingsParticipation,0)</f>
        <v>0</v>
      </c>
      <c r="Q859">
        <f t="shared" si="69"/>
        <v>138527.8961276359</v>
      </c>
      <c r="R859">
        <f t="shared" si="70"/>
        <v>75130</v>
      </c>
    </row>
    <row r="860" spans="1:18" x14ac:dyDescent="0.25">
      <c r="A860" s="1"/>
      <c r="C860" s="1"/>
      <c r="D860" s="1">
        <v>42461</v>
      </c>
      <c r="E860" s="10">
        <v>52668</v>
      </c>
      <c r="F860" s="1">
        <v>42461</v>
      </c>
      <c r="G860">
        <v>-11575</v>
      </c>
      <c r="H860" s="1">
        <f t="shared" si="66"/>
        <v>42461</v>
      </c>
      <c r="I860">
        <f>IF(AND(MyRowHidden(ROW())=FALSE,MyRowHidden(ROW()-1)=TRUE),0,(E860-E859)*unitsOfDHp+I859)</f>
        <v>236430</v>
      </c>
      <c r="J860">
        <f>IF(AND(MyRowHidden(ROW())=FALSE,MyRowHidden(ROW()-1)=TRUE),0,(G860-G859)*unitsOfExo+J859)</f>
        <v>-162135</v>
      </c>
      <c r="K860" s="9">
        <f t="shared" si="67"/>
        <v>162135</v>
      </c>
      <c r="L860">
        <f t="shared" si="68"/>
        <v>-64232.896127635933</v>
      </c>
      <c r="M860">
        <f>IF(AND(MyRowHidden(ROW())=FALSE,MyRowHidden(ROW()-1)=TRUE),0,(G860-G859)*unitsFuturesCompare+M859)</f>
        <v>-324270</v>
      </c>
      <c r="N860">
        <f>IF(MyRowHidden(ROW())=TRUE,0,L860-M860)</f>
        <v>260037.10387236407</v>
      </c>
      <c r="O860">
        <f>MAX(N$12:N860)</f>
        <v>277055.79225527181</v>
      </c>
      <c r="P860">
        <f>IF(O860&gt;O859,(O860-O859)*percentSavingsParticipation,0)</f>
        <v>0</v>
      </c>
      <c r="Q860">
        <f t="shared" si="69"/>
        <v>138527.8961276359</v>
      </c>
      <c r="R860">
        <f t="shared" si="70"/>
        <v>74295</v>
      </c>
    </row>
    <row r="861" spans="1:18" x14ac:dyDescent="0.25">
      <c r="A861" s="1"/>
      <c r="C861" s="1"/>
      <c r="D861" s="1">
        <v>42464</v>
      </c>
      <c r="E861" s="10">
        <v>53033.5</v>
      </c>
      <c r="F861" s="1">
        <v>42464</v>
      </c>
      <c r="G861">
        <v>-11412.5</v>
      </c>
      <c r="H861" s="1">
        <f t="shared" si="66"/>
        <v>42464</v>
      </c>
      <c r="I861">
        <f>IF(AND(MyRowHidden(ROW())=FALSE,MyRowHidden(ROW()-1)=TRUE),0,(E861-E860)*unitsOfDHp+I860)</f>
        <v>240085</v>
      </c>
      <c r="J861">
        <f>IF(AND(MyRowHidden(ROW())=FALSE,MyRowHidden(ROW()-1)=TRUE),0,(G861-G860)*unitsOfExo+J860)</f>
        <v>-160510</v>
      </c>
      <c r="K861" s="9">
        <f t="shared" si="67"/>
        <v>160510</v>
      </c>
      <c r="L861">
        <f t="shared" si="68"/>
        <v>-58952.896127635933</v>
      </c>
      <c r="M861">
        <f>IF(AND(MyRowHidden(ROW())=FALSE,MyRowHidden(ROW()-1)=TRUE),0,(G861-G860)*unitsFuturesCompare+M860)</f>
        <v>-321020</v>
      </c>
      <c r="N861">
        <f>IF(MyRowHidden(ROW())=TRUE,0,L861-M861)</f>
        <v>262067.10387236407</v>
      </c>
      <c r="O861">
        <f>MAX(N$12:N861)</f>
        <v>277055.79225527181</v>
      </c>
      <c r="P861">
        <f>IF(O861&gt;O860,(O861-O860)*percentSavingsParticipation,0)</f>
        <v>0</v>
      </c>
      <c r="Q861">
        <f t="shared" si="69"/>
        <v>138527.8961276359</v>
      </c>
      <c r="R861">
        <f t="shared" si="70"/>
        <v>79575</v>
      </c>
    </row>
    <row r="862" spans="1:18" x14ac:dyDescent="0.25">
      <c r="A862" s="1"/>
      <c r="C862" s="1"/>
      <c r="D862" s="1">
        <v>42465</v>
      </c>
      <c r="E862" s="10">
        <v>53235</v>
      </c>
      <c r="F862" s="1">
        <v>42465</v>
      </c>
      <c r="G862">
        <v>-11362.5</v>
      </c>
      <c r="H862" s="1">
        <f t="shared" si="66"/>
        <v>42465</v>
      </c>
      <c r="I862">
        <f>IF(AND(MyRowHidden(ROW())=FALSE,MyRowHidden(ROW()-1)=TRUE),0,(E862-E861)*unitsOfDHp+I861)</f>
        <v>242100</v>
      </c>
      <c r="J862">
        <f>IF(AND(MyRowHidden(ROW())=FALSE,MyRowHidden(ROW()-1)=TRUE),0,(G862-G861)*unitsOfExo+J861)</f>
        <v>-160010</v>
      </c>
      <c r="K862" s="9">
        <f t="shared" si="67"/>
        <v>160010</v>
      </c>
      <c r="L862">
        <f t="shared" si="68"/>
        <v>-56437.896127635933</v>
      </c>
      <c r="M862">
        <f>IF(AND(MyRowHidden(ROW())=FALSE,MyRowHidden(ROW()-1)=TRUE),0,(G862-G861)*unitsFuturesCompare+M861)</f>
        <v>-320020</v>
      </c>
      <c r="N862">
        <f>IF(MyRowHidden(ROW())=TRUE,0,L862-M862)</f>
        <v>263582.10387236404</v>
      </c>
      <c r="O862">
        <f>MAX(N$12:N862)</f>
        <v>277055.79225527181</v>
      </c>
      <c r="P862">
        <f>IF(O862&gt;O861,(O862-O861)*percentSavingsParticipation,0)</f>
        <v>0</v>
      </c>
      <c r="Q862">
        <f t="shared" si="69"/>
        <v>138527.8961276359</v>
      </c>
      <c r="R862">
        <f t="shared" si="70"/>
        <v>82090</v>
      </c>
    </row>
    <row r="863" spans="1:18" x14ac:dyDescent="0.25">
      <c r="A863" s="1"/>
      <c r="C863" s="1"/>
      <c r="D863" s="1">
        <v>42466</v>
      </c>
      <c r="E863" s="10">
        <v>53611.5</v>
      </c>
      <c r="F863" s="1">
        <v>42466</v>
      </c>
      <c r="G863">
        <v>-11237.5</v>
      </c>
      <c r="H863" s="1">
        <f t="shared" si="66"/>
        <v>42466</v>
      </c>
      <c r="I863">
        <f>IF(AND(MyRowHidden(ROW())=FALSE,MyRowHidden(ROW()-1)=TRUE),0,(E863-E862)*unitsOfDHp+I862)</f>
        <v>245865</v>
      </c>
      <c r="J863">
        <f>IF(AND(MyRowHidden(ROW())=FALSE,MyRowHidden(ROW()-1)=TRUE),0,(G863-G862)*unitsOfExo+J862)</f>
        <v>-158760</v>
      </c>
      <c r="K863" s="9">
        <f t="shared" si="67"/>
        <v>158760</v>
      </c>
      <c r="L863">
        <f t="shared" si="68"/>
        <v>-51422.896127635933</v>
      </c>
      <c r="M863">
        <f>IF(AND(MyRowHidden(ROW())=FALSE,MyRowHidden(ROW()-1)=TRUE),0,(G863-G862)*unitsFuturesCompare+M862)</f>
        <v>-317520</v>
      </c>
      <c r="N863">
        <f>IF(MyRowHidden(ROW())=TRUE,0,L863-M863)</f>
        <v>266097.10387236404</v>
      </c>
      <c r="O863">
        <f>MAX(N$12:N863)</f>
        <v>277055.79225527181</v>
      </c>
      <c r="P863">
        <f>IF(O863&gt;O862,(O863-O862)*percentSavingsParticipation,0)</f>
        <v>0</v>
      </c>
      <c r="Q863">
        <f t="shared" si="69"/>
        <v>138527.8961276359</v>
      </c>
      <c r="R863">
        <f t="shared" si="70"/>
        <v>87105</v>
      </c>
    </row>
    <row r="864" spans="1:18" x14ac:dyDescent="0.25">
      <c r="A864" s="1"/>
      <c r="C864" s="1"/>
      <c r="D864" s="1">
        <v>42467</v>
      </c>
      <c r="E864" s="10">
        <v>54274</v>
      </c>
      <c r="F864" s="1">
        <v>42467</v>
      </c>
      <c r="G864">
        <v>-11075</v>
      </c>
      <c r="H864" s="1">
        <f t="shared" si="66"/>
        <v>42467</v>
      </c>
      <c r="I864">
        <f>IF(AND(MyRowHidden(ROW())=FALSE,MyRowHidden(ROW()-1)=TRUE),0,(E864-E863)*unitsOfDHp+I863)</f>
        <v>252490</v>
      </c>
      <c r="J864">
        <f>IF(AND(MyRowHidden(ROW())=FALSE,MyRowHidden(ROW()-1)=TRUE),0,(G864-G863)*unitsOfExo+J863)</f>
        <v>-157135</v>
      </c>
      <c r="K864" s="9">
        <f t="shared" si="67"/>
        <v>157135</v>
      </c>
      <c r="L864">
        <f t="shared" si="68"/>
        <v>-43172.896127635933</v>
      </c>
      <c r="M864">
        <f>IF(AND(MyRowHidden(ROW())=FALSE,MyRowHidden(ROW()-1)=TRUE),0,(G864-G863)*unitsFuturesCompare+M863)</f>
        <v>-314270</v>
      </c>
      <c r="N864">
        <f>IF(MyRowHidden(ROW())=TRUE,0,L864-M864)</f>
        <v>271097.10387236404</v>
      </c>
      <c r="O864">
        <f>MAX(N$12:N864)</f>
        <v>277055.79225527181</v>
      </c>
      <c r="P864">
        <f>IF(O864&gt;O863,(O864-O863)*percentSavingsParticipation,0)</f>
        <v>0</v>
      </c>
      <c r="Q864">
        <f t="shared" si="69"/>
        <v>138527.8961276359</v>
      </c>
      <c r="R864">
        <f t="shared" si="70"/>
        <v>95355</v>
      </c>
    </row>
    <row r="865" spans="1:18" x14ac:dyDescent="0.25">
      <c r="A865" s="1"/>
      <c r="C865" s="1"/>
      <c r="D865" s="1">
        <v>42468</v>
      </c>
      <c r="E865" s="10">
        <v>54386.5</v>
      </c>
      <c r="F865" s="1">
        <v>42468</v>
      </c>
      <c r="G865">
        <v>-11050</v>
      </c>
      <c r="H865" s="1">
        <f t="shared" si="66"/>
        <v>42468</v>
      </c>
      <c r="I865">
        <f>IF(AND(MyRowHidden(ROW())=FALSE,MyRowHidden(ROW()-1)=TRUE),0,(E865-E864)*unitsOfDHp+I864)</f>
        <v>253615</v>
      </c>
      <c r="J865">
        <f>IF(AND(MyRowHidden(ROW())=FALSE,MyRowHidden(ROW()-1)=TRUE),0,(G865-G864)*unitsOfExo+J864)</f>
        <v>-156885</v>
      </c>
      <c r="K865" s="9">
        <f t="shared" si="67"/>
        <v>156885</v>
      </c>
      <c r="L865">
        <f t="shared" si="68"/>
        <v>-41797.896127635933</v>
      </c>
      <c r="M865">
        <f>IF(AND(MyRowHidden(ROW())=FALSE,MyRowHidden(ROW()-1)=TRUE),0,(G865-G864)*unitsFuturesCompare+M864)</f>
        <v>-313770</v>
      </c>
      <c r="N865">
        <f>IF(MyRowHidden(ROW())=TRUE,0,L865-M865)</f>
        <v>271972.10387236404</v>
      </c>
      <c r="O865">
        <f>MAX(N$12:N865)</f>
        <v>277055.79225527181</v>
      </c>
      <c r="P865">
        <f>IF(O865&gt;O864,(O865-O864)*percentSavingsParticipation,0)</f>
        <v>0</v>
      </c>
      <c r="Q865">
        <f t="shared" si="69"/>
        <v>138527.8961276359</v>
      </c>
      <c r="R865">
        <f t="shared" si="70"/>
        <v>96730</v>
      </c>
    </row>
    <row r="866" spans="1:18" x14ac:dyDescent="0.25">
      <c r="A866" s="1"/>
      <c r="C866" s="1"/>
      <c r="D866" s="1">
        <v>42471</v>
      </c>
      <c r="E866" s="10">
        <v>53574</v>
      </c>
      <c r="F866" s="1">
        <v>42471</v>
      </c>
      <c r="G866">
        <v>-11312.5</v>
      </c>
      <c r="H866" s="1">
        <f t="shared" si="66"/>
        <v>42471</v>
      </c>
      <c r="I866">
        <f>IF(AND(MyRowHidden(ROW())=FALSE,MyRowHidden(ROW()-1)=TRUE),0,(E866-E865)*unitsOfDHp+I865)</f>
        <v>245490</v>
      </c>
      <c r="J866">
        <f>IF(AND(MyRowHidden(ROW())=FALSE,MyRowHidden(ROW()-1)=TRUE),0,(G866-G865)*unitsOfExo+J865)</f>
        <v>-159510</v>
      </c>
      <c r="K866" s="9">
        <f t="shared" si="67"/>
        <v>159510</v>
      </c>
      <c r="L866">
        <f t="shared" si="68"/>
        <v>-52547.896127635933</v>
      </c>
      <c r="M866">
        <f>IF(AND(MyRowHidden(ROW())=FALSE,MyRowHidden(ROW()-1)=TRUE),0,(G866-G865)*unitsFuturesCompare+M865)</f>
        <v>-319020</v>
      </c>
      <c r="N866">
        <f>IF(MyRowHidden(ROW())=TRUE,0,L866-M866)</f>
        <v>266472.10387236404</v>
      </c>
      <c r="O866">
        <f>MAX(N$12:N866)</f>
        <v>277055.79225527181</v>
      </c>
      <c r="P866">
        <f>IF(O866&gt;O865,(O866-O865)*percentSavingsParticipation,0)</f>
        <v>0</v>
      </c>
      <c r="Q866">
        <f t="shared" si="69"/>
        <v>138527.8961276359</v>
      </c>
      <c r="R866">
        <f t="shared" si="70"/>
        <v>85980</v>
      </c>
    </row>
    <row r="867" spans="1:18" x14ac:dyDescent="0.25">
      <c r="A867" s="1"/>
      <c r="C867" s="1"/>
      <c r="D867" s="1">
        <v>42472</v>
      </c>
      <c r="E867" s="10">
        <v>54024</v>
      </c>
      <c r="F867" s="1">
        <v>42472</v>
      </c>
      <c r="G867">
        <v>-11175</v>
      </c>
      <c r="H867" s="1">
        <f t="shared" si="66"/>
        <v>42472</v>
      </c>
      <c r="I867">
        <f>IF(AND(MyRowHidden(ROW())=FALSE,MyRowHidden(ROW()-1)=TRUE),0,(E867-E866)*unitsOfDHp+I866)</f>
        <v>249990</v>
      </c>
      <c r="J867">
        <f>IF(AND(MyRowHidden(ROW())=FALSE,MyRowHidden(ROW()-1)=TRUE),0,(G867-G866)*unitsOfExo+J866)</f>
        <v>-158135</v>
      </c>
      <c r="K867" s="9">
        <f t="shared" si="67"/>
        <v>158135</v>
      </c>
      <c r="L867">
        <f t="shared" si="68"/>
        <v>-46672.896127635933</v>
      </c>
      <c r="M867">
        <f>IF(AND(MyRowHidden(ROW())=FALSE,MyRowHidden(ROW()-1)=TRUE),0,(G867-G866)*unitsFuturesCompare+M866)</f>
        <v>-316270</v>
      </c>
      <c r="N867">
        <f>IF(MyRowHidden(ROW())=TRUE,0,L867-M867)</f>
        <v>269597.10387236404</v>
      </c>
      <c r="O867">
        <f>MAX(N$12:N867)</f>
        <v>277055.79225527181</v>
      </c>
      <c r="P867">
        <f>IF(O867&gt;O866,(O867-O866)*percentSavingsParticipation,0)</f>
        <v>0</v>
      </c>
      <c r="Q867">
        <f t="shared" si="69"/>
        <v>138527.8961276359</v>
      </c>
      <c r="R867">
        <f t="shared" si="70"/>
        <v>91855</v>
      </c>
    </row>
    <row r="868" spans="1:18" x14ac:dyDescent="0.25">
      <c r="A868" s="1"/>
      <c r="C868" s="1"/>
      <c r="D868" s="1">
        <v>42473</v>
      </c>
      <c r="E868" s="10">
        <v>55464.5</v>
      </c>
      <c r="F868" s="1">
        <v>42473</v>
      </c>
      <c r="G868">
        <v>-10450</v>
      </c>
      <c r="H868" s="1">
        <f t="shared" si="66"/>
        <v>42473</v>
      </c>
      <c r="I868">
        <f>IF(AND(MyRowHidden(ROW())=FALSE,MyRowHidden(ROW()-1)=TRUE),0,(E868-E867)*unitsOfDHp+I867)</f>
        <v>264395</v>
      </c>
      <c r="J868">
        <f>IF(AND(MyRowHidden(ROW())=FALSE,MyRowHidden(ROW()-1)=TRUE),0,(G868-G867)*unitsOfExo+J867)</f>
        <v>-150885</v>
      </c>
      <c r="K868" s="9">
        <f t="shared" si="67"/>
        <v>150885</v>
      </c>
      <c r="L868">
        <f t="shared" si="68"/>
        <v>-25017.896127635933</v>
      </c>
      <c r="M868">
        <f>IF(AND(MyRowHidden(ROW())=FALSE,MyRowHidden(ROW()-1)=TRUE),0,(G868-G867)*unitsFuturesCompare+M867)</f>
        <v>-301770</v>
      </c>
      <c r="N868">
        <f>IF(MyRowHidden(ROW())=TRUE,0,L868-M868)</f>
        <v>276752.10387236404</v>
      </c>
      <c r="O868">
        <f>MAX(N$12:N868)</f>
        <v>277055.79225527181</v>
      </c>
      <c r="P868">
        <f>IF(O868&gt;O867,(O868-O867)*percentSavingsParticipation,0)</f>
        <v>0</v>
      </c>
      <c r="Q868">
        <f t="shared" si="69"/>
        <v>138527.8961276359</v>
      </c>
      <c r="R868">
        <f t="shared" si="70"/>
        <v>113510</v>
      </c>
    </row>
    <row r="869" spans="1:18" x14ac:dyDescent="0.25">
      <c r="A869" s="1"/>
      <c r="C869" s="1"/>
      <c r="D869" s="1">
        <v>42474</v>
      </c>
      <c r="E869" s="10">
        <v>55314.5</v>
      </c>
      <c r="F869" s="1">
        <v>42474</v>
      </c>
      <c r="G869">
        <v>-10450</v>
      </c>
      <c r="H869" s="1">
        <f t="shared" si="66"/>
        <v>42474</v>
      </c>
      <c r="I869">
        <f>IF(AND(MyRowHidden(ROW())=FALSE,MyRowHidden(ROW()-1)=TRUE),0,(E869-E868)*unitsOfDHp+I868)</f>
        <v>262895</v>
      </c>
      <c r="J869">
        <f>IF(AND(MyRowHidden(ROW())=FALSE,MyRowHidden(ROW()-1)=TRUE),0,(G869-G868)*unitsOfExo+J868)</f>
        <v>-150885</v>
      </c>
      <c r="K869" s="9">
        <f t="shared" si="67"/>
        <v>150885</v>
      </c>
      <c r="L869">
        <f t="shared" si="68"/>
        <v>-26517.896127635933</v>
      </c>
      <c r="M869">
        <f>IF(AND(MyRowHidden(ROW())=FALSE,MyRowHidden(ROW()-1)=TRUE),0,(G869-G868)*unitsFuturesCompare+M868)</f>
        <v>-301770</v>
      </c>
      <c r="N869">
        <f>IF(MyRowHidden(ROW())=TRUE,0,L869-M869)</f>
        <v>275252.10387236404</v>
      </c>
      <c r="O869">
        <f>MAX(N$12:N869)</f>
        <v>277055.79225527181</v>
      </c>
      <c r="P869">
        <f>IF(O869&gt;O868,(O869-O868)*percentSavingsParticipation,0)</f>
        <v>0</v>
      </c>
      <c r="Q869">
        <f t="shared" si="69"/>
        <v>138527.8961276359</v>
      </c>
      <c r="R869">
        <f t="shared" si="70"/>
        <v>112010</v>
      </c>
    </row>
    <row r="870" spans="1:18" x14ac:dyDescent="0.25">
      <c r="A870" s="1"/>
      <c r="C870" s="1"/>
      <c r="D870" s="1">
        <v>42475</v>
      </c>
      <c r="E870" s="10">
        <v>56269</v>
      </c>
      <c r="F870" s="1">
        <v>42475</v>
      </c>
      <c r="G870">
        <v>-10150</v>
      </c>
      <c r="H870" s="1">
        <f t="shared" si="66"/>
        <v>42475</v>
      </c>
      <c r="I870">
        <f>IF(AND(MyRowHidden(ROW())=FALSE,MyRowHidden(ROW()-1)=TRUE),0,(E870-E869)*unitsOfDHp+I869)</f>
        <v>272440</v>
      </c>
      <c r="J870">
        <f>IF(AND(MyRowHidden(ROW())=FALSE,MyRowHidden(ROW()-1)=TRUE),0,(G870-G869)*unitsOfExo+J869)</f>
        <v>-147885</v>
      </c>
      <c r="K870" s="9">
        <f t="shared" si="67"/>
        <v>147885</v>
      </c>
      <c r="L870">
        <f t="shared" si="68"/>
        <v>-13972.896127635933</v>
      </c>
      <c r="M870">
        <f>IF(AND(MyRowHidden(ROW())=FALSE,MyRowHidden(ROW()-1)=TRUE),0,(G870-G869)*unitsFuturesCompare+M869)</f>
        <v>-295770</v>
      </c>
      <c r="N870">
        <f>IF(MyRowHidden(ROW())=TRUE,0,L870-M870)</f>
        <v>281797.10387236404</v>
      </c>
      <c r="O870">
        <f>MAX(N$12:N870)</f>
        <v>281797.10387236404</v>
      </c>
      <c r="P870">
        <f>IF(O870&gt;O869,(O870-O869)*percentSavingsParticipation,0)</f>
        <v>2370.6558085461147</v>
      </c>
      <c r="Q870">
        <f t="shared" si="69"/>
        <v>140898.55193618202</v>
      </c>
      <c r="R870">
        <f t="shared" si="70"/>
        <v>124555</v>
      </c>
    </row>
    <row r="871" spans="1:18" x14ac:dyDescent="0.25">
      <c r="A871" s="1"/>
      <c r="C871" s="1"/>
      <c r="D871" s="1">
        <v>42478</v>
      </c>
      <c r="E871" s="10">
        <v>56688</v>
      </c>
      <c r="F871" s="1">
        <v>42478</v>
      </c>
      <c r="G871">
        <v>-10087.5</v>
      </c>
      <c r="H871" s="1">
        <f t="shared" si="66"/>
        <v>42478</v>
      </c>
      <c r="I871">
        <f>IF(AND(MyRowHidden(ROW())=FALSE,MyRowHidden(ROW()-1)=TRUE),0,(E871-E870)*unitsOfDHp+I870)</f>
        <v>276630</v>
      </c>
      <c r="J871">
        <f>IF(AND(MyRowHidden(ROW())=FALSE,MyRowHidden(ROW()-1)=TRUE),0,(G871-G870)*unitsOfExo+J870)</f>
        <v>-147260</v>
      </c>
      <c r="K871" s="9">
        <f t="shared" si="67"/>
        <v>147260</v>
      </c>
      <c r="L871">
        <f t="shared" si="68"/>
        <v>-11528.551936182048</v>
      </c>
      <c r="M871">
        <f>IF(AND(MyRowHidden(ROW())=FALSE,MyRowHidden(ROW()-1)=TRUE),0,(G871-G870)*unitsFuturesCompare+M870)</f>
        <v>-294520</v>
      </c>
      <c r="N871">
        <f>IF(MyRowHidden(ROW())=TRUE,0,L871-M871)</f>
        <v>282991.44806381792</v>
      </c>
      <c r="O871">
        <f>MAX(N$12:N871)</f>
        <v>282991.44806381792</v>
      </c>
      <c r="P871">
        <f>IF(O871&gt;O870,(O871-O870)*percentSavingsParticipation,0)</f>
        <v>597.17209572694264</v>
      </c>
      <c r="Q871">
        <f t="shared" si="69"/>
        <v>141495.72403190896</v>
      </c>
      <c r="R871">
        <f t="shared" si="70"/>
        <v>129370</v>
      </c>
    </row>
    <row r="872" spans="1:18" x14ac:dyDescent="0.25">
      <c r="A872" s="1"/>
      <c r="C872" s="1"/>
      <c r="D872" s="1">
        <v>42479</v>
      </c>
      <c r="E872" s="10">
        <v>58000.5</v>
      </c>
      <c r="F872" s="1">
        <v>42479</v>
      </c>
      <c r="G872">
        <v>-9912.5</v>
      </c>
      <c r="H872" s="1">
        <f t="shared" si="66"/>
        <v>42479</v>
      </c>
      <c r="I872">
        <f>IF(AND(MyRowHidden(ROW())=FALSE,MyRowHidden(ROW()-1)=TRUE),0,(E872-E871)*unitsOfDHp+I871)</f>
        <v>289755</v>
      </c>
      <c r="J872">
        <f>IF(AND(MyRowHidden(ROW())=FALSE,MyRowHidden(ROW()-1)=TRUE),0,(G872-G871)*unitsOfExo+J871)</f>
        <v>-145510</v>
      </c>
      <c r="K872" s="9">
        <f t="shared" si="67"/>
        <v>145510</v>
      </c>
      <c r="L872">
        <f t="shared" si="68"/>
        <v>2749.2759680910094</v>
      </c>
      <c r="M872">
        <f>IF(AND(MyRowHidden(ROW())=FALSE,MyRowHidden(ROW()-1)=TRUE),0,(G872-G871)*unitsFuturesCompare+M871)</f>
        <v>-291020</v>
      </c>
      <c r="N872">
        <f>IF(MyRowHidden(ROW())=TRUE,0,L872-M872)</f>
        <v>293769.27596809098</v>
      </c>
      <c r="O872">
        <f>MAX(N$12:N872)</f>
        <v>293769.27596809098</v>
      </c>
      <c r="P872">
        <f>IF(O872&gt;O871,(O872-O871)*percentSavingsParticipation,0)</f>
        <v>5388.9139521365287</v>
      </c>
      <c r="Q872">
        <f t="shared" si="69"/>
        <v>146884.63798404549</v>
      </c>
      <c r="R872">
        <f t="shared" si="70"/>
        <v>144245</v>
      </c>
    </row>
    <row r="873" spans="1:18" x14ac:dyDescent="0.25">
      <c r="A873" s="1"/>
      <c r="C873" s="1"/>
      <c r="D873" s="1">
        <v>42480</v>
      </c>
      <c r="E873" s="10">
        <v>60373.5</v>
      </c>
      <c r="F873" s="1">
        <v>42480</v>
      </c>
      <c r="G873">
        <v>-9587.5</v>
      </c>
      <c r="H873" s="1">
        <f t="shared" si="66"/>
        <v>42480</v>
      </c>
      <c r="I873">
        <f>IF(AND(MyRowHidden(ROW())=FALSE,MyRowHidden(ROW()-1)=TRUE),0,(E873-E872)*unitsOfDHp+I872)</f>
        <v>313485</v>
      </c>
      <c r="J873">
        <f>IF(AND(MyRowHidden(ROW())=FALSE,MyRowHidden(ROW()-1)=TRUE),0,(G873-G872)*unitsOfExo+J872)</f>
        <v>-142260</v>
      </c>
      <c r="K873" s="9">
        <f t="shared" si="67"/>
        <v>142260</v>
      </c>
      <c r="L873">
        <f t="shared" si="68"/>
        <v>24340.362015954481</v>
      </c>
      <c r="M873">
        <f>IF(AND(MyRowHidden(ROW())=FALSE,MyRowHidden(ROW()-1)=TRUE),0,(G873-G872)*unitsFuturesCompare+M872)</f>
        <v>-284520</v>
      </c>
      <c r="N873">
        <f>IF(MyRowHidden(ROW())=TRUE,0,L873-M873)</f>
        <v>308860.36201595445</v>
      </c>
      <c r="O873">
        <f>MAX(N$12:N873)</f>
        <v>308860.36201595445</v>
      </c>
      <c r="P873">
        <f>IF(O873&gt;O872,(O873-O872)*percentSavingsParticipation,0)</f>
        <v>7545.5430239317357</v>
      </c>
      <c r="Q873">
        <f t="shared" si="69"/>
        <v>154430.18100797723</v>
      </c>
      <c r="R873">
        <f t="shared" si="70"/>
        <v>171225</v>
      </c>
    </row>
    <row r="874" spans="1:18" x14ac:dyDescent="0.25">
      <c r="A874" s="1"/>
      <c r="C874" s="1"/>
      <c r="D874" s="1">
        <v>42481</v>
      </c>
      <c r="E874" s="10">
        <v>59281</v>
      </c>
      <c r="F874" s="1">
        <v>42481</v>
      </c>
      <c r="G874">
        <v>-9637.5</v>
      </c>
      <c r="H874" s="1">
        <f t="shared" si="66"/>
        <v>42481</v>
      </c>
      <c r="I874">
        <f>IF(AND(MyRowHidden(ROW())=FALSE,MyRowHidden(ROW()-1)=TRUE),0,(E874-E873)*unitsOfDHp+I873)</f>
        <v>302560</v>
      </c>
      <c r="J874">
        <f>IF(AND(MyRowHidden(ROW())=FALSE,MyRowHidden(ROW()-1)=TRUE),0,(G874-G873)*unitsOfExo+J873)</f>
        <v>-142760</v>
      </c>
      <c r="K874" s="9">
        <f t="shared" si="67"/>
        <v>142760</v>
      </c>
      <c r="L874">
        <f t="shared" si="68"/>
        <v>5369.8189920227451</v>
      </c>
      <c r="M874">
        <f>IF(AND(MyRowHidden(ROW())=FALSE,MyRowHidden(ROW()-1)=TRUE),0,(G874-G873)*unitsFuturesCompare+M873)</f>
        <v>-285520</v>
      </c>
      <c r="N874">
        <f>IF(MyRowHidden(ROW())=TRUE,0,L874-M874)</f>
        <v>290889.81899202277</v>
      </c>
      <c r="O874">
        <f>MAX(N$12:N874)</f>
        <v>308860.36201595445</v>
      </c>
      <c r="P874">
        <f>IF(O874&gt;O873,(O874-O873)*percentSavingsParticipation,0)</f>
        <v>0</v>
      </c>
      <c r="Q874">
        <f t="shared" si="69"/>
        <v>154430.18100797723</v>
      </c>
      <c r="R874">
        <f t="shared" si="70"/>
        <v>159800</v>
      </c>
    </row>
    <row r="875" spans="1:18" x14ac:dyDescent="0.25">
      <c r="A875" s="1"/>
      <c r="C875" s="1"/>
      <c r="D875" s="1">
        <v>42482</v>
      </c>
      <c r="E875" s="10">
        <v>55247.5</v>
      </c>
      <c r="F875" s="1">
        <v>42482</v>
      </c>
      <c r="G875">
        <v>-10512.5</v>
      </c>
      <c r="H875" s="1">
        <f t="shared" si="66"/>
        <v>42482</v>
      </c>
      <c r="I875">
        <f>IF(AND(MyRowHidden(ROW())=FALSE,MyRowHidden(ROW()-1)=TRUE),0,(E875-E874)*unitsOfDHp+I874)</f>
        <v>262225</v>
      </c>
      <c r="J875">
        <f>IF(AND(MyRowHidden(ROW())=FALSE,MyRowHidden(ROW()-1)=TRUE),0,(G875-G874)*unitsOfExo+J874)</f>
        <v>-151510</v>
      </c>
      <c r="K875" s="9">
        <f t="shared" si="67"/>
        <v>151510</v>
      </c>
      <c r="L875">
        <f t="shared" si="68"/>
        <v>-43715.181007977255</v>
      </c>
      <c r="M875">
        <f>IF(AND(MyRowHidden(ROW())=FALSE,MyRowHidden(ROW()-1)=TRUE),0,(G875-G874)*unitsFuturesCompare+M874)</f>
        <v>-303020</v>
      </c>
      <c r="N875">
        <f>IF(MyRowHidden(ROW())=TRUE,0,L875-M875)</f>
        <v>259304.81899202275</v>
      </c>
      <c r="O875">
        <f>MAX(N$12:N875)</f>
        <v>308860.36201595445</v>
      </c>
      <c r="P875">
        <f>IF(O875&gt;O874,(O875-O874)*percentSavingsParticipation,0)</f>
        <v>0</v>
      </c>
      <c r="Q875">
        <f t="shared" si="69"/>
        <v>154430.18100797723</v>
      </c>
      <c r="R875">
        <f t="shared" si="70"/>
        <v>110715</v>
      </c>
    </row>
    <row r="876" spans="1:18" x14ac:dyDescent="0.25">
      <c r="A876" s="1"/>
      <c r="C876" s="1"/>
      <c r="D876" s="1">
        <v>42485</v>
      </c>
      <c r="E876" s="10">
        <v>57397.5</v>
      </c>
      <c r="F876" s="1">
        <v>42485</v>
      </c>
      <c r="G876">
        <v>-10150</v>
      </c>
      <c r="H876" s="1">
        <f t="shared" si="66"/>
        <v>42485</v>
      </c>
      <c r="I876">
        <f>IF(AND(MyRowHidden(ROW())=FALSE,MyRowHidden(ROW()-1)=TRUE),0,(E876-E875)*unitsOfDHp+I875)</f>
        <v>283725</v>
      </c>
      <c r="J876">
        <f>IF(AND(MyRowHidden(ROW())=FALSE,MyRowHidden(ROW()-1)=TRUE),0,(G876-G875)*unitsOfExo+J875)</f>
        <v>-147885</v>
      </c>
      <c r="K876" s="9">
        <f t="shared" si="67"/>
        <v>147885</v>
      </c>
      <c r="L876">
        <f t="shared" si="68"/>
        <v>-18590.181007977255</v>
      </c>
      <c r="M876">
        <f>IF(AND(MyRowHidden(ROW())=FALSE,MyRowHidden(ROW()-1)=TRUE),0,(G876-G875)*unitsFuturesCompare+M875)</f>
        <v>-295770</v>
      </c>
      <c r="N876">
        <f>IF(MyRowHidden(ROW())=TRUE,0,L876-M876)</f>
        <v>277179.81899202277</v>
      </c>
      <c r="O876">
        <f>MAX(N$12:N876)</f>
        <v>308860.36201595445</v>
      </c>
      <c r="P876">
        <f>IF(O876&gt;O875,(O876-O875)*percentSavingsParticipation,0)</f>
        <v>0</v>
      </c>
      <c r="Q876">
        <f t="shared" si="69"/>
        <v>154430.18100797723</v>
      </c>
      <c r="R876">
        <f t="shared" si="70"/>
        <v>135840</v>
      </c>
    </row>
    <row r="877" spans="1:18" x14ac:dyDescent="0.25">
      <c r="A877" s="1"/>
      <c r="C877" s="1"/>
      <c r="D877" s="1">
        <v>42486</v>
      </c>
      <c r="E877" s="10">
        <v>56789.5</v>
      </c>
      <c r="F877" s="1">
        <v>42486</v>
      </c>
      <c r="G877">
        <v>-10150</v>
      </c>
      <c r="H877" s="1">
        <f t="shared" si="66"/>
        <v>42486</v>
      </c>
      <c r="I877">
        <f>IF(AND(MyRowHidden(ROW())=FALSE,MyRowHidden(ROW()-1)=TRUE),0,(E877-E876)*unitsOfDHp+I876)</f>
        <v>277645</v>
      </c>
      <c r="J877">
        <f>IF(AND(MyRowHidden(ROW())=FALSE,MyRowHidden(ROW()-1)=TRUE),0,(G877-G876)*unitsOfExo+J876)</f>
        <v>-147885</v>
      </c>
      <c r="K877" s="9">
        <f t="shared" si="67"/>
        <v>147885</v>
      </c>
      <c r="L877">
        <f t="shared" si="68"/>
        <v>-24670.181007977255</v>
      </c>
      <c r="M877">
        <f>IF(AND(MyRowHidden(ROW())=FALSE,MyRowHidden(ROW()-1)=TRUE),0,(G877-G876)*unitsFuturesCompare+M876)</f>
        <v>-295770</v>
      </c>
      <c r="N877">
        <f>IF(MyRowHidden(ROW())=TRUE,0,L877-M877)</f>
        <v>271099.81899202277</v>
      </c>
      <c r="O877">
        <f>MAX(N$12:N877)</f>
        <v>308860.36201595445</v>
      </c>
      <c r="P877">
        <f>IF(O877&gt;O876,(O877-O876)*percentSavingsParticipation,0)</f>
        <v>0</v>
      </c>
      <c r="Q877">
        <f t="shared" si="69"/>
        <v>154430.18100797723</v>
      </c>
      <c r="R877">
        <f t="shared" si="70"/>
        <v>129760</v>
      </c>
    </row>
    <row r="878" spans="1:18" x14ac:dyDescent="0.25">
      <c r="A878" s="1"/>
      <c r="C878" s="1"/>
      <c r="D878" s="1">
        <v>42487</v>
      </c>
      <c r="E878" s="10">
        <v>56589.5</v>
      </c>
      <c r="F878" s="1">
        <v>42487</v>
      </c>
      <c r="G878">
        <v>-10262.5</v>
      </c>
      <c r="H878" s="1">
        <f t="shared" si="66"/>
        <v>42487</v>
      </c>
      <c r="I878">
        <f>IF(AND(MyRowHidden(ROW())=FALSE,MyRowHidden(ROW()-1)=TRUE),0,(E878-E877)*unitsOfDHp+I877)</f>
        <v>275645</v>
      </c>
      <c r="J878">
        <f>IF(AND(MyRowHidden(ROW())=FALSE,MyRowHidden(ROW()-1)=TRUE),0,(G878-G877)*unitsOfExo+J877)</f>
        <v>-149010</v>
      </c>
      <c r="K878" s="9">
        <f t="shared" si="67"/>
        <v>149010</v>
      </c>
      <c r="L878">
        <f t="shared" si="68"/>
        <v>-27795.181007977255</v>
      </c>
      <c r="M878">
        <f>IF(AND(MyRowHidden(ROW())=FALSE,MyRowHidden(ROW()-1)=TRUE),0,(G878-G877)*unitsFuturesCompare+M877)</f>
        <v>-298020</v>
      </c>
      <c r="N878">
        <f>IF(MyRowHidden(ROW())=TRUE,0,L878-M878)</f>
        <v>270224.81899202277</v>
      </c>
      <c r="O878">
        <f>MAX(N$12:N878)</f>
        <v>308860.36201595445</v>
      </c>
      <c r="P878">
        <f>IF(O878&gt;O877,(O878-O877)*percentSavingsParticipation,0)</f>
        <v>0</v>
      </c>
      <c r="Q878">
        <f t="shared" si="69"/>
        <v>154430.18100797723</v>
      </c>
      <c r="R878">
        <f t="shared" si="70"/>
        <v>126635</v>
      </c>
    </row>
    <row r="879" spans="1:18" x14ac:dyDescent="0.25">
      <c r="A879" s="1"/>
      <c r="C879" s="1"/>
      <c r="D879" s="1">
        <v>42488</v>
      </c>
      <c r="E879" s="10">
        <v>57827</v>
      </c>
      <c r="F879" s="1">
        <v>42488</v>
      </c>
      <c r="G879">
        <v>-9875</v>
      </c>
      <c r="H879" s="1">
        <f t="shared" si="66"/>
        <v>42488</v>
      </c>
      <c r="I879">
        <f>IF(AND(MyRowHidden(ROW())=FALSE,MyRowHidden(ROW()-1)=TRUE),0,(E879-E878)*unitsOfDHp+I878)</f>
        <v>288020</v>
      </c>
      <c r="J879">
        <f>IF(AND(MyRowHidden(ROW())=FALSE,MyRowHidden(ROW()-1)=TRUE),0,(G879-G878)*unitsOfExo+J878)</f>
        <v>-145135</v>
      </c>
      <c r="K879" s="9">
        <f t="shared" si="67"/>
        <v>145135</v>
      </c>
      <c r="L879">
        <f t="shared" si="68"/>
        <v>-11545.181007977255</v>
      </c>
      <c r="M879">
        <f>IF(AND(MyRowHidden(ROW())=FALSE,MyRowHidden(ROW()-1)=TRUE),0,(G879-G878)*unitsFuturesCompare+M878)</f>
        <v>-290270</v>
      </c>
      <c r="N879">
        <f>IF(MyRowHidden(ROW())=TRUE,0,L879-M879)</f>
        <v>278724.81899202277</v>
      </c>
      <c r="O879">
        <f>MAX(N$12:N879)</f>
        <v>308860.36201595445</v>
      </c>
      <c r="P879">
        <f>IF(O879&gt;O878,(O879-O878)*percentSavingsParticipation,0)</f>
        <v>0</v>
      </c>
      <c r="Q879">
        <f t="shared" si="69"/>
        <v>154430.18100797723</v>
      </c>
      <c r="R879">
        <f t="shared" si="70"/>
        <v>142885</v>
      </c>
    </row>
    <row r="880" spans="1:18" x14ac:dyDescent="0.25">
      <c r="A880" s="1"/>
      <c r="C880" s="1"/>
      <c r="D880" s="1">
        <v>42489</v>
      </c>
      <c r="E880" s="10">
        <v>57933</v>
      </c>
      <c r="F880" s="1">
        <v>42489</v>
      </c>
      <c r="G880">
        <v>-9862.5</v>
      </c>
      <c r="H880" s="1">
        <f t="shared" si="66"/>
        <v>42489</v>
      </c>
      <c r="I880">
        <f>IF(AND(MyRowHidden(ROW())=FALSE,MyRowHidden(ROW()-1)=TRUE),0,(E880-E879)*unitsOfDHp+I879)</f>
        <v>289080</v>
      </c>
      <c r="J880">
        <f>IF(AND(MyRowHidden(ROW())=FALSE,MyRowHidden(ROW()-1)=TRUE),0,(G880-G879)*unitsOfExo+J879)</f>
        <v>-145010</v>
      </c>
      <c r="K880" s="9">
        <f t="shared" si="67"/>
        <v>145010</v>
      </c>
      <c r="L880">
        <f t="shared" si="68"/>
        <v>-10360.181007977255</v>
      </c>
      <c r="M880">
        <f>IF(AND(MyRowHidden(ROW())=FALSE,MyRowHidden(ROW()-1)=TRUE),0,(G880-G879)*unitsFuturesCompare+M879)</f>
        <v>-290020</v>
      </c>
      <c r="N880">
        <f>IF(MyRowHidden(ROW())=TRUE,0,L880-M880)</f>
        <v>279659.81899202277</v>
      </c>
      <c r="O880">
        <f>MAX(N$12:N880)</f>
        <v>308860.36201595445</v>
      </c>
      <c r="P880">
        <f>IF(O880&gt;O879,(O880-O879)*percentSavingsParticipation,0)</f>
        <v>0</v>
      </c>
      <c r="Q880">
        <f t="shared" si="69"/>
        <v>154430.18100797723</v>
      </c>
      <c r="R880">
        <f t="shared" si="70"/>
        <v>144070</v>
      </c>
    </row>
    <row r="881" spans="1:18" x14ac:dyDescent="0.25">
      <c r="A881" s="1"/>
      <c r="C881" s="1"/>
      <c r="D881" s="1">
        <v>42492</v>
      </c>
      <c r="E881" s="10">
        <v>57570.5</v>
      </c>
      <c r="F881" s="1">
        <v>42492</v>
      </c>
      <c r="G881">
        <v>-9974.5</v>
      </c>
      <c r="H881" s="1">
        <f t="shared" si="66"/>
        <v>42492</v>
      </c>
      <c r="I881">
        <f>IF(AND(MyRowHidden(ROW())=FALSE,MyRowHidden(ROW()-1)=TRUE),0,(E881-E880)*unitsOfDHp+I880)</f>
        <v>285455</v>
      </c>
      <c r="J881">
        <f>IF(AND(MyRowHidden(ROW())=FALSE,MyRowHidden(ROW()-1)=TRUE),0,(G881-G880)*unitsOfExo+J880)</f>
        <v>-146130</v>
      </c>
      <c r="K881" s="9">
        <f t="shared" si="67"/>
        <v>146130</v>
      </c>
      <c r="L881">
        <f t="shared" si="68"/>
        <v>-15105.181007977255</v>
      </c>
      <c r="M881">
        <f>IF(AND(MyRowHidden(ROW())=FALSE,MyRowHidden(ROW()-1)=TRUE),0,(G881-G880)*unitsFuturesCompare+M880)</f>
        <v>-292260</v>
      </c>
      <c r="N881">
        <f>IF(MyRowHidden(ROW())=TRUE,0,L881-M881)</f>
        <v>277154.81899202277</v>
      </c>
      <c r="O881">
        <f>MAX(N$12:N881)</f>
        <v>308860.36201595445</v>
      </c>
      <c r="P881">
        <f>IF(O881&gt;O880,(O881-O880)*percentSavingsParticipation,0)</f>
        <v>0</v>
      </c>
      <c r="Q881">
        <f t="shared" si="69"/>
        <v>154430.18100797723</v>
      </c>
      <c r="R881">
        <f t="shared" si="70"/>
        <v>139325</v>
      </c>
    </row>
    <row r="882" spans="1:18" x14ac:dyDescent="0.25">
      <c r="A882" s="1"/>
      <c r="C882" s="1"/>
      <c r="D882" s="1">
        <v>42493</v>
      </c>
      <c r="E882" s="10">
        <v>54500.5</v>
      </c>
      <c r="F882" s="1">
        <v>42493</v>
      </c>
      <c r="G882">
        <v>-10499.5</v>
      </c>
      <c r="H882" s="1">
        <f t="shared" si="66"/>
        <v>42493</v>
      </c>
      <c r="I882">
        <f>IF(AND(MyRowHidden(ROW())=FALSE,MyRowHidden(ROW()-1)=TRUE),0,(E882-E881)*unitsOfDHp+I881)</f>
        <v>254755</v>
      </c>
      <c r="J882">
        <f>IF(AND(MyRowHidden(ROW())=FALSE,MyRowHidden(ROW()-1)=TRUE),0,(G882-G881)*unitsOfExo+J881)</f>
        <v>-151380</v>
      </c>
      <c r="K882" s="9">
        <f t="shared" si="67"/>
        <v>151380</v>
      </c>
      <c r="L882">
        <f t="shared" si="68"/>
        <v>-51055.181007977255</v>
      </c>
      <c r="M882">
        <f>IF(AND(MyRowHidden(ROW())=FALSE,MyRowHidden(ROW()-1)=TRUE),0,(G882-G881)*unitsFuturesCompare+M881)</f>
        <v>-302760</v>
      </c>
      <c r="N882">
        <f>IF(MyRowHidden(ROW())=TRUE,0,L882-M882)</f>
        <v>251704.81899202275</v>
      </c>
      <c r="O882">
        <f>MAX(N$12:N882)</f>
        <v>308860.36201595445</v>
      </c>
      <c r="P882">
        <f>IF(O882&gt;O881,(O882-O881)*percentSavingsParticipation,0)</f>
        <v>0</v>
      </c>
      <c r="Q882">
        <f t="shared" si="69"/>
        <v>154430.18100797723</v>
      </c>
      <c r="R882">
        <f t="shared" si="70"/>
        <v>103375</v>
      </c>
    </row>
    <row r="883" spans="1:18" x14ac:dyDescent="0.25">
      <c r="A883" s="1"/>
      <c r="C883" s="1"/>
      <c r="D883" s="1">
        <v>42494</v>
      </c>
      <c r="E883" s="10">
        <v>54214</v>
      </c>
      <c r="F883" s="1">
        <v>42494</v>
      </c>
      <c r="G883">
        <v>-10512</v>
      </c>
      <c r="H883" s="1">
        <f t="shared" si="66"/>
        <v>42494</v>
      </c>
      <c r="I883">
        <f>IF(AND(MyRowHidden(ROW())=FALSE,MyRowHidden(ROW()-1)=TRUE),0,(E883-E882)*unitsOfDHp+I882)</f>
        <v>251890</v>
      </c>
      <c r="J883">
        <f>IF(AND(MyRowHidden(ROW())=FALSE,MyRowHidden(ROW()-1)=TRUE),0,(G883-G882)*unitsOfExo+J882)</f>
        <v>-151505</v>
      </c>
      <c r="K883" s="9">
        <f t="shared" si="67"/>
        <v>151505</v>
      </c>
      <c r="L883">
        <f t="shared" si="68"/>
        <v>-54045.181007977255</v>
      </c>
      <c r="M883">
        <f>IF(AND(MyRowHidden(ROW())=FALSE,MyRowHidden(ROW()-1)=TRUE),0,(G883-G882)*unitsFuturesCompare+M882)</f>
        <v>-303010</v>
      </c>
      <c r="N883">
        <f>IF(MyRowHidden(ROW())=TRUE,0,L883-M883)</f>
        <v>248964.81899202275</v>
      </c>
      <c r="O883">
        <f>MAX(N$12:N883)</f>
        <v>308860.36201595445</v>
      </c>
      <c r="P883">
        <f>IF(O883&gt;O882,(O883-O882)*percentSavingsParticipation,0)</f>
        <v>0</v>
      </c>
      <c r="Q883">
        <f t="shared" si="69"/>
        <v>154430.18100797723</v>
      </c>
      <c r="R883">
        <f t="shared" si="70"/>
        <v>100385</v>
      </c>
    </row>
    <row r="884" spans="1:18" x14ac:dyDescent="0.25">
      <c r="A884" s="1"/>
      <c r="C884" s="1"/>
      <c r="D884" s="1">
        <v>42495</v>
      </c>
      <c r="E884" s="10">
        <v>53409.5</v>
      </c>
      <c r="F884" s="1">
        <v>42495</v>
      </c>
      <c r="G884">
        <v>-10724.5</v>
      </c>
      <c r="H884" s="1">
        <f t="shared" si="66"/>
        <v>42495</v>
      </c>
      <c r="I884">
        <f>IF(AND(MyRowHidden(ROW())=FALSE,MyRowHidden(ROW()-1)=TRUE),0,(E884-E883)*unitsOfDHp+I883)</f>
        <v>243845</v>
      </c>
      <c r="J884">
        <f>IF(AND(MyRowHidden(ROW())=FALSE,MyRowHidden(ROW()-1)=TRUE),0,(G884-G883)*unitsOfExo+J883)</f>
        <v>-153630</v>
      </c>
      <c r="K884" s="9">
        <f t="shared" si="67"/>
        <v>153630</v>
      </c>
      <c r="L884">
        <f t="shared" si="68"/>
        <v>-64215.181007977255</v>
      </c>
      <c r="M884">
        <f>IF(AND(MyRowHidden(ROW())=FALSE,MyRowHidden(ROW()-1)=TRUE),0,(G884-G883)*unitsFuturesCompare+M883)</f>
        <v>-307260</v>
      </c>
      <c r="N884">
        <f>IF(MyRowHidden(ROW())=TRUE,0,L884-M884)</f>
        <v>243044.81899202275</v>
      </c>
      <c r="O884">
        <f>MAX(N$12:N884)</f>
        <v>308860.36201595445</v>
      </c>
      <c r="P884">
        <f>IF(O884&gt;O883,(O884-O883)*percentSavingsParticipation,0)</f>
        <v>0</v>
      </c>
      <c r="Q884">
        <f t="shared" si="69"/>
        <v>154430.18100797723</v>
      </c>
      <c r="R884">
        <f t="shared" si="70"/>
        <v>90215</v>
      </c>
    </row>
    <row r="885" spans="1:18" x14ac:dyDescent="0.25">
      <c r="A885" s="1"/>
      <c r="C885" s="1"/>
      <c r="D885" s="1">
        <v>42496</v>
      </c>
      <c r="E885" s="10">
        <v>53272</v>
      </c>
      <c r="F885" s="1">
        <v>42496</v>
      </c>
      <c r="G885">
        <v>-10549.5</v>
      </c>
      <c r="H885" s="1">
        <f t="shared" si="66"/>
        <v>42496</v>
      </c>
      <c r="I885">
        <f>IF(AND(MyRowHidden(ROW())=FALSE,MyRowHidden(ROW()-1)=TRUE),0,(E885-E884)*unitsOfDHp+I884)</f>
        <v>242470</v>
      </c>
      <c r="J885">
        <f>IF(AND(MyRowHidden(ROW())=FALSE,MyRowHidden(ROW()-1)=TRUE),0,(G885-G884)*unitsOfExo+J884)</f>
        <v>-151880</v>
      </c>
      <c r="K885" s="9">
        <f t="shared" si="67"/>
        <v>151880</v>
      </c>
      <c r="L885">
        <f t="shared" si="68"/>
        <v>-63840.181007977255</v>
      </c>
      <c r="M885">
        <f>IF(AND(MyRowHidden(ROW())=FALSE,MyRowHidden(ROW()-1)=TRUE),0,(G885-G884)*unitsFuturesCompare+M884)</f>
        <v>-303760</v>
      </c>
      <c r="N885">
        <f>IF(MyRowHidden(ROW())=TRUE,0,L885-M885)</f>
        <v>239919.81899202275</v>
      </c>
      <c r="O885">
        <f>MAX(N$12:N885)</f>
        <v>308860.36201595445</v>
      </c>
      <c r="P885">
        <f>IF(O885&gt;O884,(O885-O884)*percentSavingsParticipation,0)</f>
        <v>0</v>
      </c>
      <c r="Q885">
        <f t="shared" si="69"/>
        <v>154430.18100797723</v>
      </c>
      <c r="R885">
        <f t="shared" si="70"/>
        <v>90590</v>
      </c>
    </row>
    <row r="886" spans="1:18" x14ac:dyDescent="0.25">
      <c r="A886" s="1"/>
      <c r="C886" s="1"/>
      <c r="D886" s="1">
        <v>42499</v>
      </c>
      <c r="E886" s="10">
        <v>53222</v>
      </c>
      <c r="F886" s="1">
        <v>42499</v>
      </c>
      <c r="G886">
        <v>-10899.5</v>
      </c>
      <c r="H886" s="1">
        <f t="shared" si="66"/>
        <v>42499</v>
      </c>
      <c r="I886">
        <f>IF(AND(MyRowHidden(ROW())=FALSE,MyRowHidden(ROW()-1)=TRUE),0,(E886-E885)*unitsOfDHp+I885)</f>
        <v>241970</v>
      </c>
      <c r="J886">
        <f>IF(AND(MyRowHidden(ROW())=FALSE,MyRowHidden(ROW()-1)=TRUE),0,(G886-G885)*unitsOfExo+J885)</f>
        <v>-155380</v>
      </c>
      <c r="K886" s="9">
        <f t="shared" si="67"/>
        <v>155380</v>
      </c>
      <c r="L886">
        <f t="shared" si="68"/>
        <v>-67840.181007977255</v>
      </c>
      <c r="M886">
        <f>IF(AND(MyRowHidden(ROW())=FALSE,MyRowHidden(ROW()-1)=TRUE),0,(G886-G885)*unitsFuturesCompare+M885)</f>
        <v>-310760</v>
      </c>
      <c r="N886">
        <f>IF(MyRowHidden(ROW())=TRUE,0,L886-M886)</f>
        <v>242919.81899202275</v>
      </c>
      <c r="O886">
        <f>MAX(N$12:N886)</f>
        <v>308860.36201595445</v>
      </c>
      <c r="P886">
        <f>IF(O886&gt;O885,(O886-O885)*percentSavingsParticipation,0)</f>
        <v>0</v>
      </c>
      <c r="Q886">
        <f t="shared" si="69"/>
        <v>154430.18100797723</v>
      </c>
      <c r="R886">
        <f t="shared" si="70"/>
        <v>86590</v>
      </c>
    </row>
    <row r="887" spans="1:18" x14ac:dyDescent="0.25">
      <c r="A887" s="1"/>
      <c r="C887" s="1"/>
      <c r="D887" s="1">
        <v>42500</v>
      </c>
      <c r="E887" s="10">
        <v>53298.5</v>
      </c>
      <c r="F887" s="1">
        <v>42500</v>
      </c>
      <c r="G887">
        <v>-10512</v>
      </c>
      <c r="H887" s="1">
        <f t="shared" si="66"/>
        <v>42500</v>
      </c>
      <c r="I887">
        <f>IF(AND(MyRowHidden(ROW())=FALSE,MyRowHidden(ROW()-1)=TRUE),0,(E887-E886)*unitsOfDHp+I886)</f>
        <v>242735</v>
      </c>
      <c r="J887">
        <f>IF(AND(MyRowHidden(ROW())=FALSE,MyRowHidden(ROW()-1)=TRUE),0,(G887-G886)*unitsOfExo+J886)</f>
        <v>-151505</v>
      </c>
      <c r="K887" s="9">
        <f t="shared" si="67"/>
        <v>151505</v>
      </c>
      <c r="L887">
        <f t="shared" si="68"/>
        <v>-63200.181007977255</v>
      </c>
      <c r="M887">
        <f>IF(AND(MyRowHidden(ROW())=FALSE,MyRowHidden(ROW()-1)=TRUE),0,(G887-G886)*unitsFuturesCompare+M886)</f>
        <v>-303010</v>
      </c>
      <c r="N887">
        <f>IF(MyRowHidden(ROW())=TRUE,0,L887-M887)</f>
        <v>239809.81899202275</v>
      </c>
      <c r="O887">
        <f>MAX(N$12:N887)</f>
        <v>308860.36201595445</v>
      </c>
      <c r="P887">
        <f>IF(O887&gt;O886,(O887-O886)*percentSavingsParticipation,0)</f>
        <v>0</v>
      </c>
      <c r="Q887">
        <f t="shared" si="69"/>
        <v>154430.18100797723</v>
      </c>
      <c r="R887">
        <f t="shared" si="70"/>
        <v>91230</v>
      </c>
    </row>
    <row r="888" spans="1:18" x14ac:dyDescent="0.25">
      <c r="A888" s="1"/>
      <c r="C888" s="1"/>
      <c r="D888" s="1">
        <v>42501</v>
      </c>
      <c r="E888" s="10">
        <v>53461</v>
      </c>
      <c r="F888" s="1">
        <v>42501</v>
      </c>
      <c r="G888">
        <v>-10624.5</v>
      </c>
      <c r="H888" s="1">
        <f t="shared" si="66"/>
        <v>42501</v>
      </c>
      <c r="I888">
        <f>IF(AND(MyRowHidden(ROW())=FALSE,MyRowHidden(ROW()-1)=TRUE),0,(E888-E887)*unitsOfDHp+I887)</f>
        <v>244360</v>
      </c>
      <c r="J888">
        <f>IF(AND(MyRowHidden(ROW())=FALSE,MyRowHidden(ROW()-1)=TRUE),0,(G888-G887)*unitsOfExo+J887)</f>
        <v>-152630</v>
      </c>
      <c r="K888" s="9">
        <f t="shared" si="67"/>
        <v>152630</v>
      </c>
      <c r="L888">
        <f t="shared" si="68"/>
        <v>-62700.181007977255</v>
      </c>
      <c r="M888">
        <f>IF(AND(MyRowHidden(ROW())=FALSE,MyRowHidden(ROW()-1)=TRUE),0,(G888-G887)*unitsFuturesCompare+M887)</f>
        <v>-305260</v>
      </c>
      <c r="N888">
        <f>IF(MyRowHidden(ROW())=TRUE,0,L888-M888)</f>
        <v>242559.81899202275</v>
      </c>
      <c r="O888">
        <f>MAX(N$12:N888)</f>
        <v>308860.36201595445</v>
      </c>
      <c r="P888">
        <f>IF(O888&gt;O887,(O888-O887)*percentSavingsParticipation,0)</f>
        <v>0</v>
      </c>
      <c r="Q888">
        <f t="shared" si="69"/>
        <v>154430.18100797723</v>
      </c>
      <c r="R888">
        <f t="shared" si="70"/>
        <v>91730</v>
      </c>
    </row>
    <row r="889" spans="1:18" x14ac:dyDescent="0.25">
      <c r="A889" s="1"/>
      <c r="C889" s="1"/>
      <c r="D889" s="1">
        <v>42502</v>
      </c>
      <c r="E889" s="10">
        <v>53365</v>
      </c>
      <c r="F889" s="1">
        <v>42502</v>
      </c>
      <c r="G889">
        <v>-10062</v>
      </c>
      <c r="H889" s="1">
        <f t="shared" si="66"/>
        <v>42502</v>
      </c>
      <c r="I889">
        <f>IF(AND(MyRowHidden(ROW())=FALSE,MyRowHidden(ROW()-1)=TRUE),0,(E889-E888)*unitsOfDHp+I888)</f>
        <v>243400</v>
      </c>
      <c r="J889">
        <f>IF(AND(MyRowHidden(ROW())=FALSE,MyRowHidden(ROW()-1)=TRUE),0,(G889-G888)*unitsOfExo+J888)</f>
        <v>-147005</v>
      </c>
      <c r="K889" s="9">
        <f t="shared" si="67"/>
        <v>147005</v>
      </c>
      <c r="L889">
        <f t="shared" si="68"/>
        <v>-58035.181007977255</v>
      </c>
      <c r="M889">
        <f>IF(AND(MyRowHidden(ROW())=FALSE,MyRowHidden(ROW()-1)=TRUE),0,(G889-G888)*unitsFuturesCompare+M888)</f>
        <v>-294010</v>
      </c>
      <c r="N889">
        <f>IF(MyRowHidden(ROW())=TRUE,0,L889-M889)</f>
        <v>235974.81899202275</v>
      </c>
      <c r="O889">
        <f>MAX(N$12:N889)</f>
        <v>308860.36201595445</v>
      </c>
      <c r="P889">
        <f>IF(O889&gt;O888,(O889-O888)*percentSavingsParticipation,0)</f>
        <v>0</v>
      </c>
      <c r="Q889">
        <f t="shared" si="69"/>
        <v>154430.18100797723</v>
      </c>
      <c r="R889">
        <f t="shared" si="70"/>
        <v>96395</v>
      </c>
    </row>
    <row r="890" spans="1:18" x14ac:dyDescent="0.25">
      <c r="A890" s="1"/>
      <c r="C890" s="1"/>
      <c r="D890" s="1">
        <v>42503</v>
      </c>
      <c r="E890" s="10">
        <v>53591.5</v>
      </c>
      <c r="F890" s="1">
        <v>42503</v>
      </c>
      <c r="G890">
        <v>-9912</v>
      </c>
      <c r="H890" s="1">
        <f t="shared" si="66"/>
        <v>42503</v>
      </c>
      <c r="I890">
        <f>IF(AND(MyRowHidden(ROW())=FALSE,MyRowHidden(ROW()-1)=TRUE),0,(E890-E889)*unitsOfDHp+I889)</f>
        <v>245665</v>
      </c>
      <c r="J890">
        <f>IF(AND(MyRowHidden(ROW())=FALSE,MyRowHidden(ROW()-1)=TRUE),0,(G890-G889)*unitsOfExo+J889)</f>
        <v>-145505</v>
      </c>
      <c r="K890" s="9">
        <f t="shared" si="67"/>
        <v>145505</v>
      </c>
      <c r="L890">
        <f t="shared" si="68"/>
        <v>-54270.181007977255</v>
      </c>
      <c r="M890">
        <f>IF(AND(MyRowHidden(ROW())=FALSE,MyRowHidden(ROW()-1)=TRUE),0,(G890-G889)*unitsFuturesCompare+M889)</f>
        <v>-291010</v>
      </c>
      <c r="N890">
        <f>IF(MyRowHidden(ROW())=TRUE,0,L890-M890)</f>
        <v>236739.81899202275</v>
      </c>
      <c r="O890">
        <f>MAX(N$12:N890)</f>
        <v>308860.36201595445</v>
      </c>
      <c r="P890">
        <f>IF(O890&gt;O889,(O890-O889)*percentSavingsParticipation,0)</f>
        <v>0</v>
      </c>
      <c r="Q890">
        <f t="shared" si="69"/>
        <v>154430.18100797723</v>
      </c>
      <c r="R890">
        <f t="shared" si="70"/>
        <v>100160</v>
      </c>
    </row>
    <row r="891" spans="1:18" x14ac:dyDescent="0.25">
      <c r="A891" s="1"/>
      <c r="C891" s="1"/>
      <c r="D891" s="1">
        <v>42506</v>
      </c>
      <c r="E891" s="10">
        <v>53893</v>
      </c>
      <c r="F891" s="1">
        <v>42506</v>
      </c>
      <c r="G891">
        <v>-9824.5</v>
      </c>
      <c r="H891" s="1">
        <f t="shared" si="66"/>
        <v>42506</v>
      </c>
      <c r="I891">
        <f>IF(AND(MyRowHidden(ROW())=FALSE,MyRowHidden(ROW()-1)=TRUE),0,(E891-E890)*unitsOfDHp+I890)</f>
        <v>248680</v>
      </c>
      <c r="J891">
        <f>IF(AND(MyRowHidden(ROW())=FALSE,MyRowHidden(ROW()-1)=TRUE),0,(G891-G890)*unitsOfExo+J890)</f>
        <v>-144630</v>
      </c>
      <c r="K891" s="9">
        <f t="shared" si="67"/>
        <v>144630</v>
      </c>
      <c r="L891">
        <f t="shared" si="68"/>
        <v>-50380.181007977255</v>
      </c>
      <c r="M891">
        <f>IF(AND(MyRowHidden(ROW())=FALSE,MyRowHidden(ROW()-1)=TRUE),0,(G891-G890)*unitsFuturesCompare+M890)</f>
        <v>-289260</v>
      </c>
      <c r="N891">
        <f>IF(MyRowHidden(ROW())=TRUE,0,L891-M891)</f>
        <v>238879.81899202275</v>
      </c>
      <c r="O891">
        <f>MAX(N$12:N891)</f>
        <v>308860.36201595445</v>
      </c>
      <c r="P891">
        <f>IF(O891&gt;O890,(O891-O890)*percentSavingsParticipation,0)</f>
        <v>0</v>
      </c>
      <c r="Q891">
        <f t="shared" si="69"/>
        <v>154430.18100797723</v>
      </c>
      <c r="R891">
        <f t="shared" si="70"/>
        <v>104050</v>
      </c>
    </row>
    <row r="892" spans="1:18" x14ac:dyDescent="0.25">
      <c r="A892" s="1"/>
      <c r="C892" s="1"/>
      <c r="D892" s="1">
        <v>42507</v>
      </c>
      <c r="E892" s="10">
        <v>54243</v>
      </c>
      <c r="F892" s="1">
        <v>42507</v>
      </c>
      <c r="G892">
        <v>-9587</v>
      </c>
      <c r="H892" s="1">
        <f t="shared" si="66"/>
        <v>42507</v>
      </c>
      <c r="I892">
        <f>IF(AND(MyRowHidden(ROW())=FALSE,MyRowHidden(ROW()-1)=TRUE),0,(E892-E891)*unitsOfDHp+I891)</f>
        <v>252180</v>
      </c>
      <c r="J892">
        <f>IF(AND(MyRowHidden(ROW())=FALSE,MyRowHidden(ROW()-1)=TRUE),0,(G892-G891)*unitsOfExo+J891)</f>
        <v>-142255</v>
      </c>
      <c r="K892" s="9">
        <f t="shared" si="67"/>
        <v>142255</v>
      </c>
      <c r="L892">
        <f t="shared" si="68"/>
        <v>-44505.181007977255</v>
      </c>
      <c r="M892">
        <f>IF(AND(MyRowHidden(ROW())=FALSE,MyRowHidden(ROW()-1)=TRUE),0,(G892-G891)*unitsFuturesCompare+M891)</f>
        <v>-284510</v>
      </c>
      <c r="N892">
        <f>IF(MyRowHidden(ROW())=TRUE,0,L892-M892)</f>
        <v>240004.81899202275</v>
      </c>
      <c r="O892">
        <f>MAX(N$12:N892)</f>
        <v>308860.36201595445</v>
      </c>
      <c r="P892">
        <f>IF(O892&gt;O891,(O892-O891)*percentSavingsParticipation,0)</f>
        <v>0</v>
      </c>
      <c r="Q892">
        <f t="shared" si="69"/>
        <v>154430.18100797723</v>
      </c>
      <c r="R892">
        <f t="shared" si="70"/>
        <v>109925</v>
      </c>
    </row>
    <row r="893" spans="1:18" x14ac:dyDescent="0.25">
      <c r="A893" s="1"/>
      <c r="C893" s="1"/>
      <c r="D893" s="1">
        <v>42508</v>
      </c>
      <c r="E893" s="10">
        <v>54368</v>
      </c>
      <c r="F893" s="1">
        <v>42508</v>
      </c>
      <c r="G893">
        <v>-9462</v>
      </c>
      <c r="H893" s="1">
        <f t="shared" si="66"/>
        <v>42508</v>
      </c>
      <c r="I893">
        <f>IF(AND(MyRowHidden(ROW())=FALSE,MyRowHidden(ROW()-1)=TRUE),0,(E893-E892)*unitsOfDHp+I892)</f>
        <v>253430</v>
      </c>
      <c r="J893">
        <f>IF(AND(MyRowHidden(ROW())=FALSE,MyRowHidden(ROW()-1)=TRUE),0,(G893-G892)*unitsOfExo+J892)</f>
        <v>-141005</v>
      </c>
      <c r="K893" s="9">
        <f t="shared" si="67"/>
        <v>141005</v>
      </c>
      <c r="L893">
        <f t="shared" si="68"/>
        <v>-42005.181007977255</v>
      </c>
      <c r="M893">
        <f>IF(AND(MyRowHidden(ROW())=FALSE,MyRowHidden(ROW()-1)=TRUE),0,(G893-G892)*unitsFuturesCompare+M892)</f>
        <v>-282010</v>
      </c>
      <c r="N893">
        <f>IF(MyRowHidden(ROW())=TRUE,0,L893-M893)</f>
        <v>240004.81899202275</v>
      </c>
      <c r="O893">
        <f>MAX(N$12:N893)</f>
        <v>308860.36201595445</v>
      </c>
      <c r="P893">
        <f>IF(O893&gt;O892,(O893-O892)*percentSavingsParticipation,0)</f>
        <v>0</v>
      </c>
      <c r="Q893">
        <f t="shared" si="69"/>
        <v>154430.18100797723</v>
      </c>
      <c r="R893">
        <f t="shared" si="70"/>
        <v>112425</v>
      </c>
    </row>
    <row r="894" spans="1:18" x14ac:dyDescent="0.25">
      <c r="A894" s="1"/>
      <c r="C894" s="1"/>
      <c r="D894" s="1">
        <v>42509</v>
      </c>
      <c r="E894" s="10">
        <v>53588</v>
      </c>
      <c r="F894" s="1">
        <v>42509</v>
      </c>
      <c r="G894">
        <v>-9974.5</v>
      </c>
      <c r="H894" s="1">
        <f t="shared" si="66"/>
        <v>42509</v>
      </c>
      <c r="I894">
        <f>IF(AND(MyRowHidden(ROW())=FALSE,MyRowHidden(ROW()-1)=TRUE),0,(E894-E893)*unitsOfDHp+I893)</f>
        <v>245630</v>
      </c>
      <c r="J894">
        <f>IF(AND(MyRowHidden(ROW())=FALSE,MyRowHidden(ROW()-1)=TRUE),0,(G894-G893)*unitsOfExo+J893)</f>
        <v>-146130</v>
      </c>
      <c r="K894" s="9">
        <f t="shared" si="67"/>
        <v>146130</v>
      </c>
      <c r="L894">
        <f t="shared" si="68"/>
        <v>-54930.181007977255</v>
      </c>
      <c r="M894">
        <f>IF(AND(MyRowHidden(ROW())=FALSE,MyRowHidden(ROW()-1)=TRUE),0,(G894-G893)*unitsFuturesCompare+M893)</f>
        <v>-292260</v>
      </c>
      <c r="N894">
        <f>IF(MyRowHidden(ROW())=TRUE,0,L894-M894)</f>
        <v>237329.81899202275</v>
      </c>
      <c r="O894">
        <f>MAX(N$12:N894)</f>
        <v>308860.36201595445</v>
      </c>
      <c r="P894">
        <f>IF(O894&gt;O893,(O894-O893)*percentSavingsParticipation,0)</f>
        <v>0</v>
      </c>
      <c r="Q894">
        <f t="shared" si="69"/>
        <v>154430.18100797723</v>
      </c>
      <c r="R894">
        <f t="shared" si="70"/>
        <v>99500</v>
      </c>
    </row>
    <row r="895" spans="1:18" x14ac:dyDescent="0.25">
      <c r="A895" s="1"/>
      <c r="C895" s="1"/>
      <c r="D895" s="1">
        <v>42510</v>
      </c>
      <c r="E895" s="10">
        <v>53900.5</v>
      </c>
      <c r="F895" s="1">
        <v>42510</v>
      </c>
      <c r="G895">
        <v>-9787</v>
      </c>
      <c r="H895" s="1">
        <f t="shared" si="66"/>
        <v>42510</v>
      </c>
      <c r="I895">
        <f>IF(AND(MyRowHidden(ROW())=FALSE,MyRowHidden(ROW()-1)=TRUE),0,(E895-E894)*unitsOfDHp+I894)</f>
        <v>248755</v>
      </c>
      <c r="J895">
        <f>IF(AND(MyRowHidden(ROW())=FALSE,MyRowHidden(ROW()-1)=TRUE),0,(G895-G894)*unitsOfExo+J894)</f>
        <v>-144255</v>
      </c>
      <c r="K895" s="9">
        <f t="shared" si="67"/>
        <v>144255</v>
      </c>
      <c r="L895">
        <f t="shared" si="68"/>
        <v>-49930.181007977255</v>
      </c>
      <c r="M895">
        <f>IF(AND(MyRowHidden(ROW())=FALSE,MyRowHidden(ROW()-1)=TRUE),0,(G895-G894)*unitsFuturesCompare+M894)</f>
        <v>-288510</v>
      </c>
      <c r="N895">
        <f>IF(MyRowHidden(ROW())=TRUE,0,L895-M895)</f>
        <v>238579.81899202275</v>
      </c>
      <c r="O895">
        <f>MAX(N$12:N895)</f>
        <v>308860.36201595445</v>
      </c>
      <c r="P895">
        <f>IF(O895&gt;O894,(O895-O894)*percentSavingsParticipation,0)</f>
        <v>0</v>
      </c>
      <c r="Q895">
        <f t="shared" si="69"/>
        <v>154430.18100797723</v>
      </c>
      <c r="R895">
        <f t="shared" si="70"/>
        <v>104500</v>
      </c>
    </row>
    <row r="896" spans="1:18" x14ac:dyDescent="0.25">
      <c r="A896" s="1"/>
      <c r="D896" s="1">
        <v>42513</v>
      </c>
      <c r="E896" s="10">
        <v>54478.5</v>
      </c>
      <c r="F896" s="1">
        <v>42513</v>
      </c>
      <c r="G896">
        <v>-9574.5</v>
      </c>
      <c r="H896" s="1">
        <f t="shared" si="66"/>
        <v>42513</v>
      </c>
      <c r="I896">
        <f>IF(AND(MyRowHidden(ROW())=FALSE,MyRowHidden(ROW()-1)=TRUE),0,(E896-E895)*unitsOfDHp+I895)</f>
        <v>254535</v>
      </c>
      <c r="J896">
        <f>IF(AND(MyRowHidden(ROW())=FALSE,MyRowHidden(ROW()-1)=TRUE),0,(G896-G895)*unitsOfExo+J895)</f>
        <v>-142130</v>
      </c>
      <c r="K896" s="9">
        <f t="shared" si="67"/>
        <v>142130</v>
      </c>
      <c r="L896">
        <f t="shared" si="68"/>
        <v>-42025.181007977255</v>
      </c>
      <c r="M896">
        <f>IF(AND(MyRowHidden(ROW())=FALSE,MyRowHidden(ROW()-1)=TRUE),0,(G896-G895)*unitsFuturesCompare+M895)</f>
        <v>-284260</v>
      </c>
      <c r="N896">
        <f>IF(MyRowHidden(ROW())=TRUE,0,L896-M896)</f>
        <v>242234.81899202275</v>
      </c>
      <c r="O896">
        <f>MAX(N$12:N896)</f>
        <v>308860.36201595445</v>
      </c>
      <c r="P896">
        <f>IF(O896&gt;O895,(O896-O895)*percentSavingsParticipation,0)</f>
        <v>0</v>
      </c>
      <c r="Q896">
        <f t="shared" si="69"/>
        <v>154430.18100797723</v>
      </c>
      <c r="R896">
        <f t="shared" si="70"/>
        <v>112405</v>
      </c>
    </row>
    <row r="897" spans="1:18" x14ac:dyDescent="0.25">
      <c r="A897" s="1"/>
      <c r="D897" s="1">
        <v>42514</v>
      </c>
      <c r="E897" s="10">
        <v>55153.5</v>
      </c>
      <c r="F897" s="1">
        <v>42514</v>
      </c>
      <c r="G897">
        <v>-9412</v>
      </c>
      <c r="H897" s="1">
        <f t="shared" si="66"/>
        <v>42514</v>
      </c>
      <c r="I897">
        <f>IF(AND(MyRowHidden(ROW())=FALSE,MyRowHidden(ROW()-1)=TRUE),0,(E897-E896)*unitsOfDHp+I896)</f>
        <v>261285</v>
      </c>
      <c r="J897">
        <f>IF(AND(MyRowHidden(ROW())=FALSE,MyRowHidden(ROW()-1)=TRUE),0,(G897-G896)*unitsOfExo+J896)</f>
        <v>-140505</v>
      </c>
      <c r="K897" s="9">
        <f t="shared" si="67"/>
        <v>140505</v>
      </c>
      <c r="L897">
        <f t="shared" si="68"/>
        <v>-33650.181007977255</v>
      </c>
      <c r="M897">
        <f>IF(AND(MyRowHidden(ROW())=FALSE,MyRowHidden(ROW()-1)=TRUE),0,(G897-G896)*unitsFuturesCompare+M896)</f>
        <v>-281010</v>
      </c>
      <c r="N897">
        <f>IF(MyRowHidden(ROW())=TRUE,0,L897-M897)</f>
        <v>247359.81899202275</v>
      </c>
      <c r="O897">
        <f>MAX(N$12:N897)</f>
        <v>308860.36201595445</v>
      </c>
      <c r="P897">
        <f>IF(O897&gt;O896,(O897-O896)*percentSavingsParticipation,0)</f>
        <v>0</v>
      </c>
      <c r="Q897">
        <f t="shared" si="69"/>
        <v>154430.18100797723</v>
      </c>
      <c r="R897">
        <f t="shared" si="70"/>
        <v>120780</v>
      </c>
    </row>
    <row r="898" spans="1:18" x14ac:dyDescent="0.25">
      <c r="D898" s="1">
        <v>42515</v>
      </c>
      <c r="E898" s="10">
        <v>55903.5</v>
      </c>
      <c r="F898" s="1">
        <v>42515</v>
      </c>
      <c r="G898">
        <v>-9224.5</v>
      </c>
      <c r="H898" s="1">
        <f t="shared" si="66"/>
        <v>42515</v>
      </c>
      <c r="I898">
        <f>IF(AND(MyRowHidden(ROW())=FALSE,MyRowHidden(ROW()-1)=TRUE),0,(E898-E897)*unitsOfDHp+I897)</f>
        <v>268785</v>
      </c>
      <c r="J898">
        <f>IF(AND(MyRowHidden(ROW())=FALSE,MyRowHidden(ROW()-1)=TRUE),0,(G898-G897)*unitsOfExo+J897)</f>
        <v>-138630</v>
      </c>
      <c r="K898" s="9">
        <f t="shared" si="67"/>
        <v>138630</v>
      </c>
      <c r="L898">
        <f t="shared" si="68"/>
        <v>-24275.181007977255</v>
      </c>
      <c r="M898">
        <f>IF(AND(MyRowHidden(ROW())=FALSE,MyRowHidden(ROW()-1)=TRUE),0,(G898-G897)*unitsFuturesCompare+M897)</f>
        <v>-277260</v>
      </c>
      <c r="N898">
        <f>IF(MyRowHidden(ROW())=TRUE,0,L898-M898)</f>
        <v>252984.81899202275</v>
      </c>
      <c r="O898">
        <f>MAX(N$12:N898)</f>
        <v>308860.36201595445</v>
      </c>
      <c r="P898">
        <f>IF(O898&gt;O897,(O898-O897)*percentSavingsParticipation,0)</f>
        <v>0</v>
      </c>
      <c r="Q898">
        <f t="shared" si="69"/>
        <v>154430.18100797723</v>
      </c>
      <c r="R898">
        <f t="shared" si="70"/>
        <v>130155</v>
      </c>
    </row>
    <row r="899" spans="1:18" x14ac:dyDescent="0.25">
      <c r="D899" s="1">
        <v>42516</v>
      </c>
      <c r="E899" s="10">
        <v>56195</v>
      </c>
      <c r="F899" s="1">
        <v>42516</v>
      </c>
      <c r="G899">
        <v>-9037</v>
      </c>
      <c r="H899" s="1">
        <f t="shared" si="66"/>
        <v>42516</v>
      </c>
      <c r="I899">
        <f>IF(AND(MyRowHidden(ROW())=FALSE,MyRowHidden(ROW()-1)=TRUE),0,(E899-E898)*unitsOfDHp+I898)</f>
        <v>271700</v>
      </c>
      <c r="J899">
        <f>IF(AND(MyRowHidden(ROW())=FALSE,MyRowHidden(ROW()-1)=TRUE),0,(G899-G898)*unitsOfExo+J898)</f>
        <v>-136755</v>
      </c>
      <c r="K899" s="9">
        <f t="shared" si="67"/>
        <v>136755</v>
      </c>
      <c r="L899">
        <f t="shared" si="68"/>
        <v>-19485.181007977255</v>
      </c>
      <c r="M899">
        <f>IF(AND(MyRowHidden(ROW())=FALSE,MyRowHidden(ROW()-1)=TRUE),0,(G899-G898)*unitsFuturesCompare+M898)</f>
        <v>-273510</v>
      </c>
      <c r="N899">
        <f>IF(MyRowHidden(ROW())=TRUE,0,L899-M899)</f>
        <v>254024.81899202275</v>
      </c>
      <c r="O899">
        <f>MAX(N$12:N899)</f>
        <v>308860.36201595445</v>
      </c>
      <c r="P899">
        <f>IF(O899&gt;O898,(O899-O898)*percentSavingsParticipation,0)</f>
        <v>0</v>
      </c>
      <c r="Q899">
        <f t="shared" si="69"/>
        <v>154430.18100797723</v>
      </c>
      <c r="R899">
        <f t="shared" si="70"/>
        <v>134945</v>
      </c>
    </row>
    <row r="900" spans="1:18" x14ac:dyDescent="0.25">
      <c r="D900" s="1">
        <v>42517</v>
      </c>
      <c r="E900" s="10">
        <v>56170.5</v>
      </c>
      <c r="F900" s="1">
        <v>42517</v>
      </c>
      <c r="G900">
        <v>-8824.5</v>
      </c>
      <c r="H900" s="1">
        <f t="shared" si="66"/>
        <v>42517</v>
      </c>
      <c r="I900">
        <f>IF(AND(MyRowHidden(ROW())=FALSE,MyRowHidden(ROW()-1)=TRUE),0,(E900-E899)*unitsOfDHp+I899)</f>
        <v>271455</v>
      </c>
      <c r="J900">
        <f>IF(AND(MyRowHidden(ROW())=FALSE,MyRowHidden(ROW()-1)=TRUE),0,(G900-G899)*unitsOfExo+J899)</f>
        <v>-134630</v>
      </c>
      <c r="K900" s="9">
        <f t="shared" si="67"/>
        <v>134630</v>
      </c>
      <c r="L900">
        <f t="shared" si="68"/>
        <v>-17605.181007977255</v>
      </c>
      <c r="M900">
        <f>IF(AND(MyRowHidden(ROW())=FALSE,MyRowHidden(ROW()-1)=TRUE),0,(G900-G899)*unitsFuturesCompare+M899)</f>
        <v>-269260</v>
      </c>
      <c r="N900">
        <f>IF(MyRowHidden(ROW())=TRUE,0,L900-M900)</f>
        <v>251654.81899202275</v>
      </c>
      <c r="O900">
        <f>MAX(N$12:N900)</f>
        <v>308860.36201595445</v>
      </c>
      <c r="P900">
        <f>IF(O900&gt;O899,(O900-O899)*percentSavingsParticipation,0)</f>
        <v>0</v>
      </c>
      <c r="Q900">
        <f t="shared" si="69"/>
        <v>154430.18100797723</v>
      </c>
      <c r="R900">
        <f t="shared" si="70"/>
        <v>136825</v>
      </c>
    </row>
    <row r="901" spans="1:18" x14ac:dyDescent="0.25">
      <c r="D901" s="1">
        <v>42520</v>
      </c>
      <c r="E901" s="10">
        <v>56408</v>
      </c>
      <c r="F901" s="1">
        <v>42520</v>
      </c>
      <c r="G901">
        <v>-8749.5</v>
      </c>
      <c r="H901" s="1">
        <f t="shared" si="66"/>
        <v>42520</v>
      </c>
      <c r="I901">
        <f>IF(AND(MyRowHidden(ROW())=FALSE,MyRowHidden(ROW()-1)=TRUE),0,(E901-E900)*unitsOfDHp+I900)</f>
        <v>273830</v>
      </c>
      <c r="J901">
        <f>IF(AND(MyRowHidden(ROW())=FALSE,MyRowHidden(ROW()-1)=TRUE),0,(G901-G900)*unitsOfExo+J900)</f>
        <v>-133880</v>
      </c>
      <c r="K901" s="9">
        <f t="shared" si="67"/>
        <v>133880</v>
      </c>
      <c r="L901">
        <f t="shared" si="68"/>
        <v>-14480.181007977255</v>
      </c>
      <c r="M901">
        <f>IF(AND(MyRowHidden(ROW())=FALSE,MyRowHidden(ROW()-1)=TRUE),0,(G901-G900)*unitsFuturesCompare+M900)</f>
        <v>-267760</v>
      </c>
      <c r="N901">
        <f>IF(MyRowHidden(ROW())=TRUE,0,L901-M901)</f>
        <v>253279.81899202275</v>
      </c>
      <c r="O901">
        <f>MAX(N$12:N901)</f>
        <v>308860.36201595445</v>
      </c>
      <c r="P901">
        <f>IF(O901&gt;O900,(O901-O900)*percentSavingsParticipation,0)</f>
        <v>0</v>
      </c>
      <c r="Q901">
        <f t="shared" si="69"/>
        <v>154430.18100797723</v>
      </c>
      <c r="R901">
        <f t="shared" si="70"/>
        <v>139950</v>
      </c>
    </row>
    <row r="902" spans="1:18" x14ac:dyDescent="0.25">
      <c r="D902" s="1">
        <v>42521</v>
      </c>
      <c r="E902" s="10">
        <v>56135.5</v>
      </c>
      <c r="F902" s="1">
        <v>42521</v>
      </c>
      <c r="G902">
        <v>-9137</v>
      </c>
      <c r="H902" s="1">
        <f t="shared" si="66"/>
        <v>42521</v>
      </c>
      <c r="I902">
        <f>IF(AND(MyRowHidden(ROW())=FALSE,MyRowHidden(ROW()-1)=TRUE),0,(E902-E901)*unitsOfDHp+I901)</f>
        <v>271105</v>
      </c>
      <c r="J902">
        <f>IF(AND(MyRowHidden(ROW())=FALSE,MyRowHidden(ROW()-1)=TRUE),0,(G902-G901)*unitsOfExo+J901)</f>
        <v>-137755</v>
      </c>
      <c r="K902" s="9">
        <f t="shared" si="67"/>
        <v>137755</v>
      </c>
      <c r="L902">
        <f t="shared" si="68"/>
        <v>-21080.181007977255</v>
      </c>
      <c r="M902">
        <f>IF(AND(MyRowHidden(ROW())=FALSE,MyRowHidden(ROW()-1)=TRUE),0,(G902-G901)*unitsFuturesCompare+M901)</f>
        <v>-275510</v>
      </c>
      <c r="N902">
        <f>IF(MyRowHidden(ROW())=TRUE,0,L902-M902)</f>
        <v>254429.81899202275</v>
      </c>
      <c r="O902">
        <f>MAX(N$12:N902)</f>
        <v>308860.36201595445</v>
      </c>
      <c r="P902">
        <f>IF(O902&gt;O901,(O902-O901)*percentSavingsParticipation,0)</f>
        <v>0</v>
      </c>
      <c r="Q902">
        <f t="shared" si="69"/>
        <v>154430.18100797723</v>
      </c>
      <c r="R902">
        <f t="shared" si="70"/>
        <v>133350</v>
      </c>
    </row>
    <row r="903" spans="1:18" x14ac:dyDescent="0.25">
      <c r="D903" s="1">
        <v>42522</v>
      </c>
      <c r="E903" s="10">
        <v>56048</v>
      </c>
      <c r="F903" s="1">
        <v>42522</v>
      </c>
      <c r="G903">
        <v>-8799.5</v>
      </c>
      <c r="H903" s="1">
        <f t="shared" si="66"/>
        <v>42522</v>
      </c>
      <c r="I903">
        <f>IF(AND(MyRowHidden(ROW())=FALSE,MyRowHidden(ROW()-1)=TRUE),0,(E903-E902)*unitsOfDHp+I902)</f>
        <v>270230</v>
      </c>
      <c r="J903">
        <f>IF(AND(MyRowHidden(ROW())=FALSE,MyRowHidden(ROW()-1)=TRUE),0,(G903-G902)*unitsOfExo+J902)</f>
        <v>-134380</v>
      </c>
      <c r="K903" s="9">
        <f t="shared" si="67"/>
        <v>134380</v>
      </c>
      <c r="L903">
        <f t="shared" si="68"/>
        <v>-18580.181007977255</v>
      </c>
      <c r="M903">
        <f>IF(AND(MyRowHidden(ROW())=FALSE,MyRowHidden(ROW()-1)=TRUE),0,(G903-G902)*unitsFuturesCompare+M902)</f>
        <v>-268760</v>
      </c>
      <c r="N903">
        <f>IF(MyRowHidden(ROW())=TRUE,0,L903-M903)</f>
        <v>250179.81899202275</v>
      </c>
      <c r="O903">
        <f>MAX(N$12:N903)</f>
        <v>308860.36201595445</v>
      </c>
      <c r="P903">
        <f>IF(O903&gt;O902,(O903-O902)*percentSavingsParticipation,0)</f>
        <v>0</v>
      </c>
      <c r="Q903">
        <f t="shared" si="69"/>
        <v>154430.18100797723</v>
      </c>
      <c r="R903">
        <f t="shared" si="70"/>
        <v>135850</v>
      </c>
    </row>
    <row r="904" spans="1:18" x14ac:dyDescent="0.25">
      <c r="D904" s="1">
        <v>42523</v>
      </c>
      <c r="E904" s="10">
        <v>55835.5</v>
      </c>
      <c r="F904" s="1">
        <v>42523</v>
      </c>
      <c r="G904">
        <v>-8587</v>
      </c>
      <c r="H904" s="1">
        <f t="shared" si="66"/>
        <v>42523</v>
      </c>
      <c r="I904">
        <f>IF(AND(MyRowHidden(ROW())=FALSE,MyRowHidden(ROW()-1)=TRUE),0,(E904-E903)*unitsOfDHp+I903)</f>
        <v>268105</v>
      </c>
      <c r="J904">
        <f>IF(AND(MyRowHidden(ROW())=FALSE,MyRowHidden(ROW()-1)=TRUE),0,(G904-G903)*unitsOfExo+J903)</f>
        <v>-132255</v>
      </c>
      <c r="K904" s="9">
        <f t="shared" si="67"/>
        <v>132255</v>
      </c>
      <c r="L904">
        <f t="shared" si="68"/>
        <v>-18580.181007977255</v>
      </c>
      <c r="M904">
        <f>IF(AND(MyRowHidden(ROW())=FALSE,MyRowHidden(ROW()-1)=TRUE),0,(G904-G903)*unitsFuturesCompare+M903)</f>
        <v>-264510</v>
      </c>
      <c r="N904">
        <f>IF(MyRowHidden(ROW())=TRUE,0,L904-M904)</f>
        <v>245929.81899202275</v>
      </c>
      <c r="O904">
        <f>MAX(N$12:N904)</f>
        <v>308860.36201595445</v>
      </c>
      <c r="P904">
        <f>IF(O904&gt;O903,(O904-O903)*percentSavingsParticipation,0)</f>
        <v>0</v>
      </c>
      <c r="Q904">
        <f t="shared" si="69"/>
        <v>154430.18100797723</v>
      </c>
      <c r="R904">
        <f t="shared" si="70"/>
        <v>135850</v>
      </c>
    </row>
    <row r="905" spans="1:18" x14ac:dyDescent="0.25">
      <c r="D905" s="1">
        <v>42524</v>
      </c>
      <c r="E905" s="10">
        <v>56823</v>
      </c>
      <c r="F905" s="1">
        <v>42524</v>
      </c>
      <c r="G905">
        <v>-8549.5</v>
      </c>
      <c r="H905" s="1">
        <f t="shared" si="66"/>
        <v>42524</v>
      </c>
      <c r="I905">
        <f>IF(AND(MyRowHidden(ROW())=FALSE,MyRowHidden(ROW()-1)=TRUE),0,(E905-E904)*unitsOfDHp+I904)</f>
        <v>277980</v>
      </c>
      <c r="J905">
        <f>IF(AND(MyRowHidden(ROW())=FALSE,MyRowHidden(ROW()-1)=TRUE),0,(G905-G904)*unitsOfExo+J904)</f>
        <v>-131880</v>
      </c>
      <c r="K905" s="9">
        <f t="shared" si="67"/>
        <v>131880</v>
      </c>
      <c r="L905">
        <f t="shared" si="68"/>
        <v>-8330.1810079772549</v>
      </c>
      <c r="M905">
        <f>IF(AND(MyRowHidden(ROW())=FALSE,MyRowHidden(ROW()-1)=TRUE),0,(G905-G904)*unitsFuturesCompare+M904)</f>
        <v>-263760</v>
      </c>
      <c r="N905">
        <f>IF(MyRowHidden(ROW())=TRUE,0,L905-M905)</f>
        <v>255429.81899202275</v>
      </c>
      <c r="O905">
        <f>MAX(N$12:N905)</f>
        <v>308860.36201595445</v>
      </c>
      <c r="P905">
        <f>IF(O905&gt;O904,(O905-O904)*percentSavingsParticipation,0)</f>
        <v>0</v>
      </c>
      <c r="Q905">
        <f t="shared" si="69"/>
        <v>154430.18100797723</v>
      </c>
      <c r="R905">
        <f t="shared" si="70"/>
        <v>146100</v>
      </c>
    </row>
    <row r="906" spans="1:18" x14ac:dyDescent="0.25">
      <c r="D906" s="1">
        <v>42527</v>
      </c>
      <c r="E906" s="10">
        <v>55236</v>
      </c>
      <c r="F906" s="1">
        <v>42527</v>
      </c>
      <c r="G906">
        <v>-8062</v>
      </c>
      <c r="H906" s="1">
        <f t="shared" si="66"/>
        <v>42527</v>
      </c>
      <c r="I906">
        <f>IF(AND(MyRowHidden(ROW())=FALSE,MyRowHidden(ROW()-1)=TRUE),0,(E906-E905)*unitsOfDHp+I905)</f>
        <v>262110</v>
      </c>
      <c r="J906">
        <f>IF(AND(MyRowHidden(ROW())=FALSE,MyRowHidden(ROW()-1)=TRUE),0,(G906-G905)*unitsOfExo+J905)</f>
        <v>-127005</v>
      </c>
      <c r="K906" s="9">
        <f t="shared" si="67"/>
        <v>127005</v>
      </c>
      <c r="L906">
        <f t="shared" si="68"/>
        <v>-19325.181007977255</v>
      </c>
      <c r="M906">
        <f>IF(AND(MyRowHidden(ROW())=FALSE,MyRowHidden(ROW()-1)=TRUE),0,(G906-G905)*unitsFuturesCompare+M905)</f>
        <v>-254010</v>
      </c>
      <c r="N906">
        <f>IF(MyRowHidden(ROW())=TRUE,0,L906-M906)</f>
        <v>234684.81899202275</v>
      </c>
      <c r="O906">
        <f>MAX(N$12:N906)</f>
        <v>308860.36201595445</v>
      </c>
      <c r="P906">
        <f>IF(O906&gt;O905,(O906-O905)*percentSavingsParticipation,0)</f>
        <v>0</v>
      </c>
      <c r="Q906">
        <f t="shared" si="69"/>
        <v>154430.18100797723</v>
      </c>
      <c r="R906">
        <f t="shared" si="70"/>
        <v>135105</v>
      </c>
    </row>
    <row r="907" spans="1:18" x14ac:dyDescent="0.25">
      <c r="D907" s="1">
        <v>42528</v>
      </c>
      <c r="E907" s="10">
        <v>55086</v>
      </c>
      <c r="F907" s="1">
        <v>42528</v>
      </c>
      <c r="G907">
        <v>-8074.5</v>
      </c>
      <c r="H907" s="1">
        <f t="shared" si="66"/>
        <v>42528</v>
      </c>
      <c r="I907">
        <f>IF(AND(MyRowHidden(ROW())=FALSE,MyRowHidden(ROW()-1)=TRUE),0,(E907-E906)*unitsOfDHp+I906)</f>
        <v>260610</v>
      </c>
      <c r="J907">
        <f>IF(AND(MyRowHidden(ROW())=FALSE,MyRowHidden(ROW()-1)=TRUE),0,(G907-G906)*unitsOfExo+J906)</f>
        <v>-127130</v>
      </c>
      <c r="K907" s="9">
        <f t="shared" si="67"/>
        <v>127130</v>
      </c>
      <c r="L907">
        <f t="shared" si="68"/>
        <v>-20950.181007977255</v>
      </c>
      <c r="M907">
        <f>IF(AND(MyRowHidden(ROW())=FALSE,MyRowHidden(ROW()-1)=TRUE),0,(G907-G906)*unitsFuturesCompare+M906)</f>
        <v>-254260</v>
      </c>
      <c r="N907">
        <f>IF(MyRowHidden(ROW())=TRUE,0,L907-M907)</f>
        <v>233309.81899202275</v>
      </c>
      <c r="O907">
        <f>MAX(N$12:N907)</f>
        <v>308860.36201595445</v>
      </c>
      <c r="P907">
        <f>IF(O907&gt;O906,(O907-O906)*percentSavingsParticipation,0)</f>
        <v>0</v>
      </c>
      <c r="Q907">
        <f t="shared" si="69"/>
        <v>154430.18100797723</v>
      </c>
      <c r="R907">
        <f t="shared" si="70"/>
        <v>133480</v>
      </c>
    </row>
    <row r="908" spans="1:18" x14ac:dyDescent="0.25">
      <c r="D908" s="1">
        <v>42529</v>
      </c>
      <c r="E908" s="10">
        <v>54573.5</v>
      </c>
      <c r="F908" s="1">
        <v>42529</v>
      </c>
      <c r="G908">
        <v>-7799.5</v>
      </c>
      <c r="H908" s="1">
        <f t="shared" si="66"/>
        <v>42529</v>
      </c>
      <c r="I908">
        <f>IF(AND(MyRowHidden(ROW())=FALSE,MyRowHidden(ROW()-1)=TRUE),0,(E908-E907)*unitsOfDHp+I907)</f>
        <v>255485</v>
      </c>
      <c r="J908">
        <f>IF(AND(MyRowHidden(ROW())=FALSE,MyRowHidden(ROW()-1)=TRUE),0,(G908-G907)*unitsOfExo+J907)</f>
        <v>-124380</v>
      </c>
      <c r="K908" s="9">
        <f t="shared" si="67"/>
        <v>124380</v>
      </c>
      <c r="L908">
        <f t="shared" si="68"/>
        <v>-23325.181007977255</v>
      </c>
      <c r="M908">
        <f>IF(AND(MyRowHidden(ROW())=FALSE,MyRowHidden(ROW()-1)=TRUE),0,(G908-G907)*unitsFuturesCompare+M907)</f>
        <v>-248760</v>
      </c>
      <c r="N908">
        <f>IF(MyRowHidden(ROW())=TRUE,0,L908-M908)</f>
        <v>225434.81899202275</v>
      </c>
      <c r="O908">
        <f>MAX(N$12:N908)</f>
        <v>308860.36201595445</v>
      </c>
      <c r="P908">
        <f>IF(O908&gt;O907,(O908-O907)*percentSavingsParticipation,0)</f>
        <v>0</v>
      </c>
      <c r="Q908">
        <f t="shared" si="69"/>
        <v>154430.18100797723</v>
      </c>
      <c r="R908">
        <f t="shared" si="70"/>
        <v>131105</v>
      </c>
    </row>
    <row r="909" spans="1:18" x14ac:dyDescent="0.25">
      <c r="D909" s="1">
        <v>42530</v>
      </c>
      <c r="E909" s="10">
        <v>55448.5</v>
      </c>
      <c r="F909" s="1">
        <v>42530</v>
      </c>
      <c r="G909">
        <v>-8124.5</v>
      </c>
      <c r="H909" s="1">
        <f t="shared" ref="H909:H972" si="71">D909</f>
        <v>42530</v>
      </c>
      <c r="I909">
        <f>IF(AND(MyRowHidden(ROW())=FALSE,MyRowHidden(ROW()-1)=TRUE),0,(E909-E908)*unitsOfDHp+I908)</f>
        <v>264235</v>
      </c>
      <c r="J909">
        <f>IF(AND(MyRowHidden(ROW())=FALSE,MyRowHidden(ROW()-1)=TRUE),0,(G909-G908)*unitsOfExo+J908)</f>
        <v>-127630</v>
      </c>
      <c r="K909" s="9">
        <f t="shared" ref="K909:K972" si="72">-(J909-J908)+K908</f>
        <v>127630</v>
      </c>
      <c r="L909">
        <f t="shared" ref="L909:L972" si="73">I909-I908+J909-J908+L908-P908</f>
        <v>-17825.181007977255</v>
      </c>
      <c r="M909">
        <f>IF(AND(MyRowHidden(ROW())=FALSE,MyRowHidden(ROW()-1)=TRUE),0,(G909-G908)*unitsFuturesCompare+M908)</f>
        <v>-255260</v>
      </c>
      <c r="N909">
        <f>IF(MyRowHidden(ROW())=TRUE,0,L909-M909)</f>
        <v>237434.81899202275</v>
      </c>
      <c r="O909">
        <f>MAX(N$12:N909)</f>
        <v>308860.36201595445</v>
      </c>
      <c r="P909">
        <f>IF(O909&gt;O908,(O909-O908)*percentSavingsParticipation,0)</f>
        <v>0</v>
      </c>
      <c r="Q909">
        <f t="shared" ref="Q909:Q972" si="74">P909+Q908</f>
        <v>154430.18100797723</v>
      </c>
      <c r="R909">
        <f t="shared" ref="R909:R972" si="75">I909+J909</f>
        <v>136605</v>
      </c>
    </row>
    <row r="910" spans="1:18" x14ac:dyDescent="0.25">
      <c r="D910" s="1">
        <v>42531</v>
      </c>
      <c r="E910" s="10">
        <v>55823.5</v>
      </c>
      <c r="F910" s="1">
        <v>42531</v>
      </c>
      <c r="G910">
        <v>-8299.5</v>
      </c>
      <c r="H910" s="1">
        <f t="shared" si="71"/>
        <v>42531</v>
      </c>
      <c r="I910">
        <f>IF(AND(MyRowHidden(ROW())=FALSE,MyRowHidden(ROW()-1)=TRUE),0,(E910-E909)*unitsOfDHp+I909)</f>
        <v>267985</v>
      </c>
      <c r="J910">
        <f>IF(AND(MyRowHidden(ROW())=FALSE,MyRowHidden(ROW()-1)=TRUE),0,(G910-G909)*unitsOfExo+J909)</f>
        <v>-129380</v>
      </c>
      <c r="K910" s="9">
        <f t="shared" si="72"/>
        <v>129380</v>
      </c>
      <c r="L910">
        <f t="shared" si="73"/>
        <v>-15825.181007977255</v>
      </c>
      <c r="M910">
        <f>IF(AND(MyRowHidden(ROW())=FALSE,MyRowHidden(ROW()-1)=TRUE),0,(G910-G909)*unitsFuturesCompare+M909)</f>
        <v>-258760</v>
      </c>
      <c r="N910">
        <f>IF(MyRowHidden(ROW())=TRUE,0,L910-M910)</f>
        <v>242934.81899202275</v>
      </c>
      <c r="O910">
        <f>MAX(N$12:N910)</f>
        <v>308860.36201595445</v>
      </c>
      <c r="P910">
        <f>IF(O910&gt;O909,(O910-O909)*percentSavingsParticipation,0)</f>
        <v>0</v>
      </c>
      <c r="Q910">
        <f t="shared" si="74"/>
        <v>154430.18100797723</v>
      </c>
      <c r="R910">
        <f t="shared" si="75"/>
        <v>138605</v>
      </c>
    </row>
    <row r="911" spans="1:18" x14ac:dyDescent="0.25">
      <c r="D911" s="1">
        <v>42534</v>
      </c>
      <c r="E911" s="10">
        <v>55048.5</v>
      </c>
      <c r="F911" s="1">
        <v>42534</v>
      </c>
      <c r="G911">
        <v>-7962</v>
      </c>
      <c r="H911" s="1">
        <f t="shared" si="71"/>
        <v>42534</v>
      </c>
      <c r="I911">
        <f>IF(AND(MyRowHidden(ROW())=FALSE,MyRowHidden(ROW()-1)=TRUE),0,(E911-E910)*unitsOfDHp+I910)</f>
        <v>260235</v>
      </c>
      <c r="J911">
        <f>IF(AND(MyRowHidden(ROW())=FALSE,MyRowHidden(ROW()-1)=TRUE),0,(G911-G910)*unitsOfExo+J910)</f>
        <v>-126005</v>
      </c>
      <c r="K911" s="9">
        <f t="shared" si="72"/>
        <v>126005</v>
      </c>
      <c r="L911">
        <f t="shared" si="73"/>
        <v>-20200.181007977255</v>
      </c>
      <c r="M911">
        <f>IF(AND(MyRowHidden(ROW())=FALSE,MyRowHidden(ROW()-1)=TRUE),0,(G911-G910)*unitsFuturesCompare+M910)</f>
        <v>-252010</v>
      </c>
      <c r="N911">
        <f>IF(MyRowHidden(ROW())=TRUE,0,L911-M911)</f>
        <v>231809.81899202275</v>
      </c>
      <c r="O911">
        <f>MAX(N$12:N911)</f>
        <v>308860.36201595445</v>
      </c>
      <c r="P911">
        <f>IF(O911&gt;O910,(O911-O910)*percentSavingsParticipation,0)</f>
        <v>0</v>
      </c>
      <c r="Q911">
        <f t="shared" si="74"/>
        <v>154430.18100797723</v>
      </c>
      <c r="R911">
        <f t="shared" si="75"/>
        <v>134230</v>
      </c>
    </row>
    <row r="912" spans="1:18" x14ac:dyDescent="0.25">
      <c r="D912" s="1">
        <v>42535</v>
      </c>
      <c r="E912" s="10">
        <v>54423.5</v>
      </c>
      <c r="F912" s="1">
        <v>42535</v>
      </c>
      <c r="G912">
        <v>-7737</v>
      </c>
      <c r="H912" s="1">
        <f t="shared" si="71"/>
        <v>42535</v>
      </c>
      <c r="I912">
        <f>IF(AND(MyRowHidden(ROW())=FALSE,MyRowHidden(ROW()-1)=TRUE),0,(E912-E911)*unitsOfDHp+I911)</f>
        <v>253985</v>
      </c>
      <c r="J912">
        <f>IF(AND(MyRowHidden(ROW())=FALSE,MyRowHidden(ROW()-1)=TRUE),0,(G912-G911)*unitsOfExo+J911)</f>
        <v>-123755</v>
      </c>
      <c r="K912" s="9">
        <f t="shared" si="72"/>
        <v>123755</v>
      </c>
      <c r="L912">
        <f t="shared" si="73"/>
        <v>-24200.181007977255</v>
      </c>
      <c r="M912">
        <f>IF(AND(MyRowHidden(ROW())=FALSE,MyRowHidden(ROW()-1)=TRUE),0,(G912-G911)*unitsFuturesCompare+M911)</f>
        <v>-247510</v>
      </c>
      <c r="N912">
        <f>IF(MyRowHidden(ROW())=TRUE,0,L912-M912)</f>
        <v>223309.81899202275</v>
      </c>
      <c r="O912">
        <f>MAX(N$12:N912)</f>
        <v>308860.36201595445</v>
      </c>
      <c r="P912">
        <f>IF(O912&gt;O911,(O912-O911)*percentSavingsParticipation,0)</f>
        <v>0</v>
      </c>
      <c r="Q912">
        <f t="shared" si="74"/>
        <v>154430.18100797723</v>
      </c>
      <c r="R912">
        <f t="shared" si="75"/>
        <v>130230</v>
      </c>
    </row>
    <row r="913" spans="4:18" x14ac:dyDescent="0.25">
      <c r="D913" s="1">
        <v>42536</v>
      </c>
      <c r="E913" s="10">
        <v>54773.5</v>
      </c>
      <c r="F913" s="1">
        <v>42536</v>
      </c>
      <c r="G913">
        <v>-7874.5</v>
      </c>
      <c r="H913" s="1">
        <f t="shared" si="71"/>
        <v>42536</v>
      </c>
      <c r="I913">
        <f>IF(AND(MyRowHidden(ROW())=FALSE,MyRowHidden(ROW()-1)=TRUE),0,(E913-E912)*unitsOfDHp+I912)</f>
        <v>257485</v>
      </c>
      <c r="J913">
        <f>IF(AND(MyRowHidden(ROW())=FALSE,MyRowHidden(ROW()-1)=TRUE),0,(G913-G912)*unitsOfExo+J912)</f>
        <v>-125130</v>
      </c>
      <c r="K913" s="9">
        <f t="shared" si="72"/>
        <v>125130</v>
      </c>
      <c r="L913">
        <f t="shared" si="73"/>
        <v>-22075.181007977255</v>
      </c>
      <c r="M913">
        <f>IF(AND(MyRowHidden(ROW())=FALSE,MyRowHidden(ROW()-1)=TRUE),0,(G913-G912)*unitsFuturesCompare+M912)</f>
        <v>-250260</v>
      </c>
      <c r="N913">
        <f>IF(MyRowHidden(ROW())=TRUE,0,L913-M913)</f>
        <v>228184.81899202275</v>
      </c>
      <c r="O913">
        <f>MAX(N$12:N913)</f>
        <v>308860.36201595445</v>
      </c>
      <c r="P913">
        <f>IF(O913&gt;O912,(O913-O912)*percentSavingsParticipation,0)</f>
        <v>0</v>
      </c>
      <c r="Q913">
        <f t="shared" si="74"/>
        <v>154430.18100797723</v>
      </c>
      <c r="R913">
        <f t="shared" si="75"/>
        <v>132355</v>
      </c>
    </row>
    <row r="914" spans="4:18" x14ac:dyDescent="0.25">
      <c r="D914" s="1">
        <v>42537</v>
      </c>
      <c r="E914" s="10">
        <v>55573.5</v>
      </c>
      <c r="F914" s="1">
        <v>42537</v>
      </c>
      <c r="G914">
        <v>-8187</v>
      </c>
      <c r="H914" s="1">
        <f t="shared" si="71"/>
        <v>42537</v>
      </c>
      <c r="I914">
        <f>IF(AND(MyRowHidden(ROW())=FALSE,MyRowHidden(ROW()-1)=TRUE),0,(E914-E913)*unitsOfDHp+I913)</f>
        <v>265485</v>
      </c>
      <c r="J914">
        <f>IF(AND(MyRowHidden(ROW())=FALSE,MyRowHidden(ROW()-1)=TRUE),0,(G914-G913)*unitsOfExo+J913)</f>
        <v>-128255</v>
      </c>
      <c r="K914" s="9">
        <f t="shared" si="72"/>
        <v>128255</v>
      </c>
      <c r="L914">
        <f t="shared" si="73"/>
        <v>-17200.181007977255</v>
      </c>
      <c r="M914">
        <f>IF(AND(MyRowHidden(ROW())=FALSE,MyRowHidden(ROW()-1)=TRUE),0,(G914-G913)*unitsFuturesCompare+M913)</f>
        <v>-256510</v>
      </c>
      <c r="N914">
        <f>IF(MyRowHidden(ROW())=TRUE,0,L914-M914)</f>
        <v>239309.81899202275</v>
      </c>
      <c r="O914">
        <f>MAX(N$12:N914)</f>
        <v>308860.36201595445</v>
      </c>
      <c r="P914">
        <f>IF(O914&gt;O913,(O914-O913)*percentSavingsParticipation,0)</f>
        <v>0</v>
      </c>
      <c r="Q914">
        <f t="shared" si="74"/>
        <v>154430.18100797723</v>
      </c>
      <c r="R914">
        <f t="shared" si="75"/>
        <v>137230</v>
      </c>
    </row>
    <row r="915" spans="4:18" x14ac:dyDescent="0.25">
      <c r="D915" s="1">
        <v>42538</v>
      </c>
      <c r="E915" s="10">
        <v>54336</v>
      </c>
      <c r="F915" s="1">
        <v>42538</v>
      </c>
      <c r="G915">
        <v>-7712</v>
      </c>
      <c r="H915" s="1">
        <f t="shared" si="71"/>
        <v>42538</v>
      </c>
      <c r="I915">
        <f>IF(AND(MyRowHidden(ROW())=FALSE,MyRowHidden(ROW()-1)=TRUE),0,(E915-E914)*unitsOfDHp+I914)</f>
        <v>253110</v>
      </c>
      <c r="J915">
        <f>IF(AND(MyRowHidden(ROW())=FALSE,MyRowHidden(ROW()-1)=TRUE),0,(G915-G914)*unitsOfExo+J914)</f>
        <v>-123505</v>
      </c>
      <c r="K915" s="9">
        <f t="shared" si="72"/>
        <v>123505</v>
      </c>
      <c r="L915">
        <f t="shared" si="73"/>
        <v>-24825.181007977255</v>
      </c>
      <c r="M915">
        <f>IF(AND(MyRowHidden(ROW())=FALSE,MyRowHidden(ROW()-1)=TRUE),0,(G915-G914)*unitsFuturesCompare+M914)</f>
        <v>-247010</v>
      </c>
      <c r="N915">
        <f>IF(MyRowHidden(ROW())=TRUE,0,L915-M915)</f>
        <v>222184.81899202275</v>
      </c>
      <c r="O915">
        <f>MAX(N$12:N915)</f>
        <v>308860.36201595445</v>
      </c>
      <c r="P915">
        <f>IF(O915&gt;O914,(O915-O914)*percentSavingsParticipation,0)</f>
        <v>0</v>
      </c>
      <c r="Q915">
        <f t="shared" si="74"/>
        <v>154430.18100797723</v>
      </c>
      <c r="R915">
        <f t="shared" si="75"/>
        <v>129605</v>
      </c>
    </row>
    <row r="916" spans="4:18" x14ac:dyDescent="0.25">
      <c r="D916" s="1">
        <v>42541</v>
      </c>
      <c r="E916" s="10">
        <v>55823.5</v>
      </c>
      <c r="F916" s="1">
        <v>42541</v>
      </c>
      <c r="G916">
        <v>-8274.5</v>
      </c>
      <c r="H916" s="1">
        <f t="shared" si="71"/>
        <v>42541</v>
      </c>
      <c r="I916">
        <f>IF(AND(MyRowHidden(ROW())=FALSE,MyRowHidden(ROW()-1)=TRUE),0,(E916-E915)*unitsOfDHp+I915)</f>
        <v>267985</v>
      </c>
      <c r="J916">
        <f>IF(AND(MyRowHidden(ROW())=FALSE,MyRowHidden(ROW()-1)=TRUE),0,(G916-G915)*unitsOfExo+J915)</f>
        <v>-129130</v>
      </c>
      <c r="K916" s="9">
        <f t="shared" si="72"/>
        <v>129130</v>
      </c>
      <c r="L916">
        <f t="shared" si="73"/>
        <v>-15575.181007977255</v>
      </c>
      <c r="M916">
        <f>IF(AND(MyRowHidden(ROW())=FALSE,MyRowHidden(ROW()-1)=TRUE),0,(G916-G915)*unitsFuturesCompare+M915)</f>
        <v>-258260</v>
      </c>
      <c r="N916">
        <f>IF(MyRowHidden(ROW())=TRUE,0,L916-M916)</f>
        <v>242684.81899202275</v>
      </c>
      <c r="O916">
        <f>MAX(N$12:N916)</f>
        <v>308860.36201595445</v>
      </c>
      <c r="P916">
        <f>IF(O916&gt;O915,(O916-O915)*percentSavingsParticipation,0)</f>
        <v>0</v>
      </c>
      <c r="Q916">
        <f t="shared" si="74"/>
        <v>154430.18100797723</v>
      </c>
      <c r="R916">
        <f t="shared" si="75"/>
        <v>138855</v>
      </c>
    </row>
    <row r="917" spans="4:18" x14ac:dyDescent="0.25">
      <c r="D917" s="1">
        <v>42542</v>
      </c>
      <c r="E917" s="10">
        <v>58512</v>
      </c>
      <c r="F917" s="1">
        <v>42542</v>
      </c>
      <c r="G917">
        <v>-9549.5</v>
      </c>
      <c r="H917" s="1">
        <f t="shared" si="71"/>
        <v>42542</v>
      </c>
      <c r="I917">
        <f>IF(AND(MyRowHidden(ROW())=FALSE,MyRowHidden(ROW()-1)=TRUE),0,(E917-E916)*unitsOfDHp+I916)</f>
        <v>294870</v>
      </c>
      <c r="J917">
        <f>IF(AND(MyRowHidden(ROW())=FALSE,MyRowHidden(ROW()-1)=TRUE),0,(G917-G916)*unitsOfExo+J916)</f>
        <v>-141880</v>
      </c>
      <c r="K917" s="9">
        <f t="shared" si="72"/>
        <v>141880</v>
      </c>
      <c r="L917">
        <f t="shared" si="73"/>
        <v>-1440.1810079772549</v>
      </c>
      <c r="M917">
        <f>IF(AND(MyRowHidden(ROW())=FALSE,MyRowHidden(ROW()-1)=TRUE),0,(G917-G916)*unitsFuturesCompare+M916)</f>
        <v>-283760</v>
      </c>
      <c r="N917">
        <f>IF(MyRowHidden(ROW())=TRUE,0,L917-M917)</f>
        <v>282319.81899202277</v>
      </c>
      <c r="O917">
        <f>MAX(N$12:N917)</f>
        <v>308860.36201595445</v>
      </c>
      <c r="P917">
        <f>IF(O917&gt;O916,(O917-O916)*percentSavingsParticipation,0)</f>
        <v>0</v>
      </c>
      <c r="Q917">
        <f t="shared" si="74"/>
        <v>154430.18100797723</v>
      </c>
      <c r="R917">
        <f t="shared" si="75"/>
        <v>152990</v>
      </c>
    </row>
    <row r="918" spans="4:18" x14ac:dyDescent="0.25">
      <c r="D918" s="1">
        <v>42543</v>
      </c>
      <c r="E918" s="10">
        <v>58246.5</v>
      </c>
      <c r="F918" s="1">
        <v>42543</v>
      </c>
      <c r="G918">
        <v>-9562</v>
      </c>
      <c r="H918" s="1">
        <f t="shared" si="71"/>
        <v>42543</v>
      </c>
      <c r="I918">
        <f>IF(AND(MyRowHidden(ROW())=FALSE,MyRowHidden(ROW()-1)=TRUE),0,(E918-E917)*unitsOfDHp+I917)</f>
        <v>292215</v>
      </c>
      <c r="J918">
        <f>IF(AND(MyRowHidden(ROW())=FALSE,MyRowHidden(ROW()-1)=TRUE),0,(G918-G917)*unitsOfExo+J917)</f>
        <v>-142005</v>
      </c>
      <c r="K918" s="9">
        <f t="shared" si="72"/>
        <v>142005</v>
      </c>
      <c r="L918">
        <f t="shared" si="73"/>
        <v>-4220.1810079772549</v>
      </c>
      <c r="M918">
        <f>IF(AND(MyRowHidden(ROW())=FALSE,MyRowHidden(ROW()-1)=TRUE),0,(G918-G917)*unitsFuturesCompare+M917)</f>
        <v>-284010</v>
      </c>
      <c r="N918">
        <f>IF(MyRowHidden(ROW())=TRUE,0,L918-M918)</f>
        <v>279789.81899202277</v>
      </c>
      <c r="O918">
        <f>MAX(N$12:N918)</f>
        <v>308860.36201595445</v>
      </c>
      <c r="P918">
        <f>IF(O918&gt;O917,(O918-O917)*percentSavingsParticipation,0)</f>
        <v>0</v>
      </c>
      <c r="Q918">
        <f t="shared" si="74"/>
        <v>154430.18100797723</v>
      </c>
      <c r="R918">
        <f t="shared" si="75"/>
        <v>150210</v>
      </c>
    </row>
    <row r="919" spans="4:18" x14ac:dyDescent="0.25">
      <c r="D919" s="1">
        <v>42544</v>
      </c>
      <c r="E919" s="10">
        <v>58212</v>
      </c>
      <c r="F919" s="1">
        <v>42544</v>
      </c>
      <c r="G919">
        <v>-10037</v>
      </c>
      <c r="H919" s="1">
        <f t="shared" si="71"/>
        <v>42544</v>
      </c>
      <c r="I919">
        <f>IF(AND(MyRowHidden(ROW())=FALSE,MyRowHidden(ROW()-1)=TRUE),0,(E919-E918)*unitsOfDHp+I918)</f>
        <v>291870</v>
      </c>
      <c r="J919">
        <f>IF(AND(MyRowHidden(ROW())=FALSE,MyRowHidden(ROW()-1)=TRUE),0,(G919-G918)*unitsOfExo+J918)</f>
        <v>-146755</v>
      </c>
      <c r="K919" s="9">
        <f t="shared" si="72"/>
        <v>146755</v>
      </c>
      <c r="L919">
        <f t="shared" si="73"/>
        <v>-9315.1810079772549</v>
      </c>
      <c r="M919">
        <f>IF(AND(MyRowHidden(ROW())=FALSE,MyRowHidden(ROW()-1)=TRUE),0,(G919-G918)*unitsFuturesCompare+M918)</f>
        <v>-293510</v>
      </c>
      <c r="N919">
        <f>IF(MyRowHidden(ROW())=TRUE,0,L919-M919)</f>
        <v>284194.81899202277</v>
      </c>
      <c r="O919">
        <f>MAX(N$12:N919)</f>
        <v>308860.36201595445</v>
      </c>
      <c r="P919">
        <f>IF(O919&gt;O918,(O919-O918)*percentSavingsParticipation,0)</f>
        <v>0</v>
      </c>
      <c r="Q919">
        <f t="shared" si="74"/>
        <v>154430.18100797723</v>
      </c>
      <c r="R919">
        <f t="shared" si="75"/>
        <v>145115</v>
      </c>
    </row>
    <row r="920" spans="4:18" x14ac:dyDescent="0.25">
      <c r="D920" s="1">
        <v>42545</v>
      </c>
      <c r="E920" s="10">
        <v>57952</v>
      </c>
      <c r="F920" s="1">
        <v>42545</v>
      </c>
      <c r="G920">
        <v>-10349.5</v>
      </c>
      <c r="H920" s="1">
        <f t="shared" si="71"/>
        <v>42545</v>
      </c>
      <c r="I920">
        <f>IF(AND(MyRowHidden(ROW())=FALSE,MyRowHidden(ROW()-1)=TRUE),0,(E920-E919)*unitsOfDHp+I919)</f>
        <v>289270</v>
      </c>
      <c r="J920">
        <f>IF(AND(MyRowHidden(ROW())=FALSE,MyRowHidden(ROW()-1)=TRUE),0,(G920-G919)*unitsOfExo+J919)</f>
        <v>-149880</v>
      </c>
      <c r="K920" s="9">
        <f t="shared" si="72"/>
        <v>149880</v>
      </c>
      <c r="L920">
        <f t="shared" si="73"/>
        <v>-15040.181007977255</v>
      </c>
      <c r="M920">
        <f>IF(AND(MyRowHidden(ROW())=FALSE,MyRowHidden(ROW()-1)=TRUE),0,(G920-G919)*unitsFuturesCompare+M919)</f>
        <v>-299760</v>
      </c>
      <c r="N920">
        <f>IF(MyRowHidden(ROW())=TRUE,0,L920-M920)</f>
        <v>284719.81899202277</v>
      </c>
      <c r="O920">
        <f>MAX(N$12:N920)</f>
        <v>308860.36201595445</v>
      </c>
      <c r="P920">
        <f>IF(O920&gt;O919,(O920-O919)*percentSavingsParticipation,0)</f>
        <v>0</v>
      </c>
      <c r="Q920">
        <f t="shared" si="74"/>
        <v>154430.18100797723</v>
      </c>
      <c r="R920">
        <f t="shared" si="75"/>
        <v>139390</v>
      </c>
    </row>
    <row r="921" spans="4:18" x14ac:dyDescent="0.25">
      <c r="D921" s="1">
        <v>42548</v>
      </c>
      <c r="E921" s="10">
        <v>58139.5</v>
      </c>
      <c r="F921" s="1">
        <v>42548</v>
      </c>
      <c r="G921">
        <v>-10262</v>
      </c>
      <c r="H921" s="1">
        <f t="shared" si="71"/>
        <v>42548</v>
      </c>
      <c r="I921">
        <f>IF(AND(MyRowHidden(ROW())=FALSE,MyRowHidden(ROW()-1)=TRUE),0,(E921-E920)*unitsOfDHp+I920)</f>
        <v>291145</v>
      </c>
      <c r="J921">
        <f>IF(AND(MyRowHidden(ROW())=FALSE,MyRowHidden(ROW()-1)=TRUE),0,(G921-G920)*unitsOfExo+J920)</f>
        <v>-149005</v>
      </c>
      <c r="K921" s="9">
        <f t="shared" si="72"/>
        <v>149005</v>
      </c>
      <c r="L921">
        <f t="shared" si="73"/>
        <v>-12290.181007977255</v>
      </c>
      <c r="M921">
        <f>IF(AND(MyRowHidden(ROW())=FALSE,MyRowHidden(ROW()-1)=TRUE),0,(G921-G920)*unitsFuturesCompare+M920)</f>
        <v>-298010</v>
      </c>
      <c r="N921">
        <f>IF(MyRowHidden(ROW())=TRUE,0,L921-M921)</f>
        <v>285719.81899202277</v>
      </c>
      <c r="O921">
        <f>MAX(N$12:N921)</f>
        <v>308860.36201595445</v>
      </c>
      <c r="P921">
        <f>IF(O921&gt;O920,(O921-O920)*percentSavingsParticipation,0)</f>
        <v>0</v>
      </c>
      <c r="Q921">
        <f t="shared" si="74"/>
        <v>154430.18100797723</v>
      </c>
      <c r="R921">
        <f t="shared" si="75"/>
        <v>142140</v>
      </c>
    </row>
    <row r="922" spans="4:18" x14ac:dyDescent="0.25">
      <c r="D922" s="1">
        <v>42549</v>
      </c>
      <c r="E922" s="10">
        <v>58277</v>
      </c>
      <c r="F922" s="1">
        <v>42549</v>
      </c>
      <c r="G922">
        <v>-10212</v>
      </c>
      <c r="H922" s="1">
        <f t="shared" si="71"/>
        <v>42549</v>
      </c>
      <c r="I922">
        <f>IF(AND(MyRowHidden(ROW())=FALSE,MyRowHidden(ROW()-1)=TRUE),0,(E922-E921)*unitsOfDHp+I921)</f>
        <v>292520</v>
      </c>
      <c r="J922">
        <f>IF(AND(MyRowHidden(ROW())=FALSE,MyRowHidden(ROW()-1)=TRUE),0,(G922-G921)*unitsOfExo+J921)</f>
        <v>-148505</v>
      </c>
      <c r="K922" s="9">
        <f t="shared" si="72"/>
        <v>148505</v>
      </c>
      <c r="L922">
        <f t="shared" si="73"/>
        <v>-10415.181007977255</v>
      </c>
      <c r="M922">
        <f>IF(AND(MyRowHidden(ROW())=FALSE,MyRowHidden(ROW()-1)=TRUE),0,(G922-G921)*unitsFuturesCompare+M921)</f>
        <v>-297010</v>
      </c>
      <c r="N922">
        <f>IF(MyRowHidden(ROW())=TRUE,0,L922-M922)</f>
        <v>286594.81899202277</v>
      </c>
      <c r="O922">
        <f>MAX(N$12:N922)</f>
        <v>308860.36201595445</v>
      </c>
      <c r="P922">
        <f>IF(O922&gt;O921,(O922-O921)*percentSavingsParticipation,0)</f>
        <v>0</v>
      </c>
      <c r="Q922">
        <f t="shared" si="74"/>
        <v>154430.18100797723</v>
      </c>
      <c r="R922">
        <f t="shared" si="75"/>
        <v>144015</v>
      </c>
    </row>
    <row r="923" spans="4:18" x14ac:dyDescent="0.25">
      <c r="D923" s="1">
        <v>42550</v>
      </c>
      <c r="E923" s="10">
        <v>58092.5</v>
      </c>
      <c r="F923" s="1">
        <v>42550</v>
      </c>
      <c r="G923">
        <v>-10749.5</v>
      </c>
      <c r="H923" s="1">
        <f t="shared" si="71"/>
        <v>42550</v>
      </c>
      <c r="I923">
        <f>IF(AND(MyRowHidden(ROW())=FALSE,MyRowHidden(ROW()-1)=TRUE),0,(E923-E922)*unitsOfDHp+I922)</f>
        <v>290675</v>
      </c>
      <c r="J923">
        <f>IF(AND(MyRowHidden(ROW())=FALSE,MyRowHidden(ROW()-1)=TRUE),0,(G923-G922)*unitsOfExo+J922)</f>
        <v>-153880</v>
      </c>
      <c r="K923" s="9">
        <f t="shared" si="72"/>
        <v>153880</v>
      </c>
      <c r="L923">
        <f t="shared" si="73"/>
        <v>-17635.181007977255</v>
      </c>
      <c r="M923">
        <f>IF(AND(MyRowHidden(ROW())=FALSE,MyRowHidden(ROW()-1)=TRUE),0,(G923-G922)*unitsFuturesCompare+M922)</f>
        <v>-307760</v>
      </c>
      <c r="N923">
        <f>IF(MyRowHidden(ROW())=TRUE,0,L923-M923)</f>
        <v>290124.81899202277</v>
      </c>
      <c r="O923">
        <f>MAX(N$12:N923)</f>
        <v>308860.36201595445</v>
      </c>
      <c r="P923">
        <f>IF(O923&gt;O922,(O923-O922)*percentSavingsParticipation,0)</f>
        <v>0</v>
      </c>
      <c r="Q923">
        <f t="shared" si="74"/>
        <v>154430.18100797723</v>
      </c>
      <c r="R923">
        <f t="shared" si="75"/>
        <v>136795</v>
      </c>
    </row>
    <row r="924" spans="4:18" x14ac:dyDescent="0.25">
      <c r="D924" s="1">
        <v>42551</v>
      </c>
      <c r="E924" s="10">
        <v>58255</v>
      </c>
      <c r="F924" s="1">
        <v>42551</v>
      </c>
      <c r="G924">
        <v>-11299.5</v>
      </c>
      <c r="H924" s="1">
        <f t="shared" si="71"/>
        <v>42551</v>
      </c>
      <c r="I924">
        <f>IF(AND(MyRowHidden(ROW())=FALSE,MyRowHidden(ROW()-1)=TRUE),0,(E924-E923)*unitsOfDHp+I923)</f>
        <v>292300</v>
      </c>
      <c r="J924">
        <f>IF(AND(MyRowHidden(ROW())=FALSE,MyRowHidden(ROW()-1)=TRUE),0,(G924-G923)*unitsOfExo+J923)</f>
        <v>-159380</v>
      </c>
      <c r="K924" s="9">
        <f t="shared" si="72"/>
        <v>159380</v>
      </c>
      <c r="L924">
        <f t="shared" si="73"/>
        <v>-21510.181007977255</v>
      </c>
      <c r="M924">
        <f>IF(AND(MyRowHidden(ROW())=FALSE,MyRowHidden(ROW()-1)=TRUE),0,(G924-G923)*unitsFuturesCompare+M923)</f>
        <v>-318760</v>
      </c>
      <c r="N924">
        <f>IF(MyRowHidden(ROW())=TRUE,0,L924-M924)</f>
        <v>297249.81899202277</v>
      </c>
      <c r="O924">
        <f>MAX(N$12:N924)</f>
        <v>308860.36201595445</v>
      </c>
      <c r="P924">
        <f>IF(O924&gt;O923,(O924-O923)*percentSavingsParticipation,0)</f>
        <v>0</v>
      </c>
      <c r="Q924">
        <f t="shared" si="74"/>
        <v>154430.18100797723</v>
      </c>
      <c r="R924">
        <f t="shared" si="75"/>
        <v>132920</v>
      </c>
    </row>
    <row r="925" spans="4:18" x14ac:dyDescent="0.25">
      <c r="D925" s="1">
        <v>42552</v>
      </c>
      <c r="E925" s="10">
        <v>58468.5</v>
      </c>
      <c r="F925" s="1">
        <v>42552</v>
      </c>
      <c r="G925">
        <v>-11674</v>
      </c>
      <c r="H925" s="1">
        <f t="shared" si="71"/>
        <v>42552</v>
      </c>
      <c r="I925">
        <f>IF(AND(MyRowHidden(ROW())=FALSE,MyRowHidden(ROW()-1)=TRUE),0,(E925-E924)*unitsOfDHp+I924)</f>
        <v>294435</v>
      </c>
      <c r="J925">
        <f>IF(AND(MyRowHidden(ROW())=FALSE,MyRowHidden(ROW()-1)=TRUE),0,(G925-G924)*unitsOfExo+J924)</f>
        <v>-163125</v>
      </c>
      <c r="K925" s="9">
        <f t="shared" si="72"/>
        <v>163125</v>
      </c>
      <c r="L925">
        <f t="shared" si="73"/>
        <v>-23120.181007977255</v>
      </c>
      <c r="M925">
        <f>IF(AND(MyRowHidden(ROW())=FALSE,MyRowHidden(ROW()-1)=TRUE),0,(G925-G924)*unitsFuturesCompare+M924)</f>
        <v>-326250</v>
      </c>
      <c r="N925">
        <f>IF(MyRowHidden(ROW())=TRUE,0,L925-M925)</f>
        <v>303129.81899202277</v>
      </c>
      <c r="O925">
        <f>MAX(N$12:N925)</f>
        <v>308860.36201595445</v>
      </c>
      <c r="P925">
        <f>IF(O925&gt;O924,(O925-O924)*percentSavingsParticipation,0)</f>
        <v>0</v>
      </c>
      <c r="Q925">
        <f t="shared" si="74"/>
        <v>154430.18100797723</v>
      </c>
      <c r="R925">
        <f t="shared" si="75"/>
        <v>131310</v>
      </c>
    </row>
    <row r="926" spans="4:18" x14ac:dyDescent="0.25">
      <c r="D926" s="1">
        <v>42555</v>
      </c>
      <c r="E926" s="10">
        <v>58168.5</v>
      </c>
      <c r="F926" s="1">
        <v>42555</v>
      </c>
      <c r="G926">
        <v>-12099</v>
      </c>
      <c r="H926" s="1">
        <f t="shared" si="71"/>
        <v>42555</v>
      </c>
      <c r="I926">
        <f>IF(AND(MyRowHidden(ROW())=FALSE,MyRowHidden(ROW()-1)=TRUE),0,(E926-E925)*unitsOfDHp+I925)</f>
        <v>291435</v>
      </c>
      <c r="J926">
        <f>IF(AND(MyRowHidden(ROW())=FALSE,MyRowHidden(ROW()-1)=TRUE),0,(G926-G925)*unitsOfExo+J925)</f>
        <v>-167375</v>
      </c>
      <c r="K926" s="9">
        <f t="shared" si="72"/>
        <v>167375</v>
      </c>
      <c r="L926">
        <f t="shared" si="73"/>
        <v>-30370.181007977255</v>
      </c>
      <c r="M926">
        <f>IF(AND(MyRowHidden(ROW())=FALSE,MyRowHidden(ROW()-1)=TRUE),0,(G926-G925)*unitsFuturesCompare+M925)</f>
        <v>-334750</v>
      </c>
      <c r="N926">
        <f>IF(MyRowHidden(ROW())=TRUE,0,L926-M926)</f>
        <v>304379.81899202277</v>
      </c>
      <c r="O926">
        <f>MAX(N$12:N926)</f>
        <v>308860.36201595445</v>
      </c>
      <c r="P926">
        <f>IF(O926&gt;O925,(O926-O925)*percentSavingsParticipation,0)</f>
        <v>0</v>
      </c>
      <c r="Q926">
        <f t="shared" si="74"/>
        <v>154430.18100797723</v>
      </c>
      <c r="R926">
        <f t="shared" si="75"/>
        <v>124060</v>
      </c>
    </row>
    <row r="927" spans="4:18" x14ac:dyDescent="0.25">
      <c r="D927" s="1">
        <v>42556</v>
      </c>
      <c r="E927" s="10">
        <v>58056</v>
      </c>
      <c r="F927" s="1">
        <v>42556</v>
      </c>
      <c r="G927">
        <v>-12186.5</v>
      </c>
      <c r="H927" s="1">
        <f t="shared" si="71"/>
        <v>42556</v>
      </c>
      <c r="I927">
        <f>IF(AND(MyRowHidden(ROW())=FALSE,MyRowHidden(ROW()-1)=TRUE),0,(E927-E926)*unitsOfDHp+I926)</f>
        <v>290310</v>
      </c>
      <c r="J927">
        <f>IF(AND(MyRowHidden(ROW())=FALSE,MyRowHidden(ROW()-1)=TRUE),0,(G927-G926)*unitsOfExo+J926)</f>
        <v>-168250</v>
      </c>
      <c r="K927" s="9">
        <f t="shared" si="72"/>
        <v>168250</v>
      </c>
      <c r="L927">
        <f t="shared" si="73"/>
        <v>-32370.181007977255</v>
      </c>
      <c r="M927">
        <f>IF(AND(MyRowHidden(ROW())=FALSE,MyRowHidden(ROW()-1)=TRUE),0,(G927-G926)*unitsFuturesCompare+M926)</f>
        <v>-336500</v>
      </c>
      <c r="N927">
        <f>IF(MyRowHidden(ROW())=TRUE,0,L927-M927)</f>
        <v>304129.81899202277</v>
      </c>
      <c r="O927">
        <f>MAX(N$12:N927)</f>
        <v>308860.36201595445</v>
      </c>
      <c r="P927">
        <f>IF(O927&gt;O926,(O927-O926)*percentSavingsParticipation,0)</f>
        <v>0</v>
      </c>
      <c r="Q927">
        <f t="shared" si="74"/>
        <v>154430.18100797723</v>
      </c>
      <c r="R927">
        <f t="shared" si="75"/>
        <v>122060</v>
      </c>
    </row>
    <row r="928" spans="4:18" x14ac:dyDescent="0.25">
      <c r="D928" s="1">
        <v>42557</v>
      </c>
      <c r="E928" s="10">
        <v>57881</v>
      </c>
      <c r="F928" s="1">
        <v>42557</v>
      </c>
      <c r="G928">
        <v>-12486.5</v>
      </c>
      <c r="H928" s="1">
        <f t="shared" si="71"/>
        <v>42557</v>
      </c>
      <c r="I928">
        <f>IF(AND(MyRowHidden(ROW())=FALSE,MyRowHidden(ROW()-1)=TRUE),0,(E928-E927)*unitsOfDHp+I927)</f>
        <v>288560</v>
      </c>
      <c r="J928">
        <f>IF(AND(MyRowHidden(ROW())=FALSE,MyRowHidden(ROW()-1)=TRUE),0,(G928-G927)*unitsOfExo+J927)</f>
        <v>-171250</v>
      </c>
      <c r="K928" s="9">
        <f t="shared" si="72"/>
        <v>171250</v>
      </c>
      <c r="L928">
        <f t="shared" si="73"/>
        <v>-37120.181007977255</v>
      </c>
      <c r="M928">
        <f>IF(AND(MyRowHidden(ROW())=FALSE,MyRowHidden(ROW()-1)=TRUE),0,(G928-G927)*unitsFuturesCompare+M927)</f>
        <v>-342500</v>
      </c>
      <c r="N928">
        <f>IF(MyRowHidden(ROW())=TRUE,0,L928-M928)</f>
        <v>305379.81899202277</v>
      </c>
      <c r="O928">
        <f>MAX(N$12:N928)</f>
        <v>308860.36201595445</v>
      </c>
      <c r="P928">
        <f>IF(O928&gt;O927,(O928-O927)*percentSavingsParticipation,0)</f>
        <v>0</v>
      </c>
      <c r="Q928">
        <f t="shared" si="74"/>
        <v>154430.18100797723</v>
      </c>
      <c r="R928">
        <f t="shared" si="75"/>
        <v>117310</v>
      </c>
    </row>
    <row r="929" spans="4:18" x14ac:dyDescent="0.25">
      <c r="D929" s="1">
        <v>42558</v>
      </c>
      <c r="E929" s="10">
        <v>57534</v>
      </c>
      <c r="F929" s="1">
        <v>42558</v>
      </c>
      <c r="G929">
        <v>-12624</v>
      </c>
      <c r="H929" s="1">
        <f t="shared" si="71"/>
        <v>42558</v>
      </c>
      <c r="I929">
        <f>IF(AND(MyRowHidden(ROW())=FALSE,MyRowHidden(ROW()-1)=TRUE),0,(E929-E928)*unitsOfDHp+I928)</f>
        <v>285090</v>
      </c>
      <c r="J929">
        <f>IF(AND(MyRowHidden(ROW())=FALSE,MyRowHidden(ROW()-1)=TRUE),0,(G929-G928)*unitsOfExo+J928)</f>
        <v>-172625</v>
      </c>
      <c r="K929" s="9">
        <f t="shared" si="72"/>
        <v>172625</v>
      </c>
      <c r="L929">
        <f t="shared" si="73"/>
        <v>-41965.181007977255</v>
      </c>
      <c r="M929">
        <f>IF(AND(MyRowHidden(ROW())=FALSE,MyRowHidden(ROW()-1)=TRUE),0,(G929-G928)*unitsFuturesCompare+M928)</f>
        <v>-345250</v>
      </c>
      <c r="N929">
        <f>IF(MyRowHidden(ROW())=TRUE,0,L929-M929)</f>
        <v>303284.81899202277</v>
      </c>
      <c r="O929">
        <f>MAX(N$12:N929)</f>
        <v>308860.36201595445</v>
      </c>
      <c r="P929">
        <f>IF(O929&gt;O928,(O929-O928)*percentSavingsParticipation,0)</f>
        <v>0</v>
      </c>
      <c r="Q929">
        <f t="shared" si="74"/>
        <v>154430.18100797723</v>
      </c>
      <c r="R929">
        <f t="shared" si="75"/>
        <v>112465</v>
      </c>
    </row>
    <row r="930" spans="4:18" x14ac:dyDescent="0.25">
      <c r="D930" s="1">
        <v>42559</v>
      </c>
      <c r="E930" s="10">
        <v>58396.5</v>
      </c>
      <c r="F930" s="1">
        <v>42559</v>
      </c>
      <c r="G930">
        <v>-11999</v>
      </c>
      <c r="H930" s="1">
        <f t="shared" si="71"/>
        <v>42559</v>
      </c>
      <c r="I930">
        <f>IF(AND(MyRowHidden(ROW())=FALSE,MyRowHidden(ROW()-1)=TRUE),0,(E930-E929)*unitsOfDHp+I929)</f>
        <v>293715</v>
      </c>
      <c r="J930">
        <f>IF(AND(MyRowHidden(ROW())=FALSE,MyRowHidden(ROW()-1)=TRUE),0,(G930-G929)*unitsOfExo+J929)</f>
        <v>-166375</v>
      </c>
      <c r="K930" s="9">
        <f t="shared" si="72"/>
        <v>166375</v>
      </c>
      <c r="L930">
        <f t="shared" si="73"/>
        <v>-27090.181007977255</v>
      </c>
      <c r="M930">
        <f>IF(AND(MyRowHidden(ROW())=FALSE,MyRowHidden(ROW()-1)=TRUE),0,(G930-G929)*unitsFuturesCompare+M929)</f>
        <v>-332750</v>
      </c>
      <c r="N930">
        <f>IF(MyRowHidden(ROW())=TRUE,0,L930-M930)</f>
        <v>305659.81899202277</v>
      </c>
      <c r="O930">
        <f>MAX(N$12:N930)</f>
        <v>308860.36201595445</v>
      </c>
      <c r="P930">
        <f>IF(O930&gt;O929,(O930-O929)*percentSavingsParticipation,0)</f>
        <v>0</v>
      </c>
      <c r="Q930">
        <f t="shared" si="74"/>
        <v>154430.18100797723</v>
      </c>
      <c r="R930">
        <f t="shared" si="75"/>
        <v>127340</v>
      </c>
    </row>
    <row r="931" spans="4:18" x14ac:dyDescent="0.25">
      <c r="D931" s="1">
        <v>42562</v>
      </c>
      <c r="E931" s="10">
        <v>58046.5</v>
      </c>
      <c r="F931" s="1">
        <v>42562</v>
      </c>
      <c r="G931">
        <v>-12361.5</v>
      </c>
      <c r="H931" s="1">
        <f t="shared" si="71"/>
        <v>42562</v>
      </c>
      <c r="I931">
        <f>IF(AND(MyRowHidden(ROW())=FALSE,MyRowHidden(ROW()-1)=TRUE),0,(E931-E930)*unitsOfDHp+I930)</f>
        <v>290215</v>
      </c>
      <c r="J931">
        <f>IF(AND(MyRowHidden(ROW())=FALSE,MyRowHidden(ROW()-1)=TRUE),0,(G931-G930)*unitsOfExo+J930)</f>
        <v>-170000</v>
      </c>
      <c r="K931" s="9">
        <f t="shared" si="72"/>
        <v>170000</v>
      </c>
      <c r="L931">
        <f t="shared" si="73"/>
        <v>-34215.181007977255</v>
      </c>
      <c r="M931">
        <f>IF(AND(MyRowHidden(ROW())=FALSE,MyRowHidden(ROW()-1)=TRUE),0,(G931-G930)*unitsFuturesCompare+M930)</f>
        <v>-340000</v>
      </c>
      <c r="N931">
        <f>IF(MyRowHidden(ROW())=TRUE,0,L931-M931)</f>
        <v>305784.81899202277</v>
      </c>
      <c r="O931">
        <f>MAX(N$12:N931)</f>
        <v>308860.36201595445</v>
      </c>
      <c r="P931">
        <f>IF(O931&gt;O930,(O931-O930)*percentSavingsParticipation,0)</f>
        <v>0</v>
      </c>
      <c r="Q931">
        <f t="shared" si="74"/>
        <v>154430.18100797723</v>
      </c>
      <c r="R931">
        <f t="shared" si="75"/>
        <v>120215</v>
      </c>
    </row>
    <row r="932" spans="4:18" x14ac:dyDescent="0.25">
      <c r="D932" s="1">
        <v>42563</v>
      </c>
      <c r="E932" s="10">
        <v>58384</v>
      </c>
      <c r="F932" s="1">
        <v>42563</v>
      </c>
      <c r="G932">
        <v>-12074</v>
      </c>
      <c r="H932" s="1">
        <f t="shared" si="71"/>
        <v>42563</v>
      </c>
      <c r="I932">
        <f>IF(AND(MyRowHidden(ROW())=FALSE,MyRowHidden(ROW()-1)=TRUE),0,(E932-E931)*unitsOfDHp+I931)</f>
        <v>293590</v>
      </c>
      <c r="J932">
        <f>IF(AND(MyRowHidden(ROW())=FALSE,MyRowHidden(ROW()-1)=TRUE),0,(G932-G931)*unitsOfExo+J931)</f>
        <v>-167125</v>
      </c>
      <c r="K932" s="9">
        <f t="shared" si="72"/>
        <v>167125</v>
      </c>
      <c r="L932">
        <f t="shared" si="73"/>
        <v>-27965.181007977255</v>
      </c>
      <c r="M932">
        <f>IF(AND(MyRowHidden(ROW())=FALSE,MyRowHidden(ROW()-1)=TRUE),0,(G932-G931)*unitsFuturesCompare+M931)</f>
        <v>-334250</v>
      </c>
      <c r="N932">
        <f>IF(MyRowHidden(ROW())=TRUE,0,L932-M932)</f>
        <v>306284.81899202277</v>
      </c>
      <c r="O932">
        <f>MAX(N$12:N932)</f>
        <v>308860.36201595445</v>
      </c>
      <c r="P932">
        <f>IF(O932&gt;O931,(O932-O931)*percentSavingsParticipation,0)</f>
        <v>0</v>
      </c>
      <c r="Q932">
        <f t="shared" si="74"/>
        <v>154430.18100797723</v>
      </c>
      <c r="R932">
        <f t="shared" si="75"/>
        <v>126465</v>
      </c>
    </row>
    <row r="933" spans="4:18" x14ac:dyDescent="0.25">
      <c r="D933" s="1">
        <v>42564</v>
      </c>
      <c r="E933" s="10">
        <v>59146.5</v>
      </c>
      <c r="F933" s="1">
        <v>42564</v>
      </c>
      <c r="G933">
        <v>-11586.5</v>
      </c>
      <c r="H933" s="1">
        <f t="shared" si="71"/>
        <v>42564</v>
      </c>
      <c r="I933">
        <f>IF(AND(MyRowHidden(ROW())=FALSE,MyRowHidden(ROW()-1)=TRUE),0,(E933-E932)*unitsOfDHp+I932)</f>
        <v>301215</v>
      </c>
      <c r="J933">
        <f>IF(AND(MyRowHidden(ROW())=FALSE,MyRowHidden(ROW()-1)=TRUE),0,(G933-G932)*unitsOfExo+J932)</f>
        <v>-162250</v>
      </c>
      <c r="K933" s="9">
        <f t="shared" si="72"/>
        <v>162250</v>
      </c>
      <c r="L933">
        <f t="shared" si="73"/>
        <v>-15465.181007977255</v>
      </c>
      <c r="M933">
        <f>IF(AND(MyRowHidden(ROW())=FALSE,MyRowHidden(ROW()-1)=TRUE),0,(G933-G932)*unitsFuturesCompare+M932)</f>
        <v>-324500</v>
      </c>
      <c r="N933">
        <f>IF(MyRowHidden(ROW())=TRUE,0,L933-M933)</f>
        <v>309034.81899202277</v>
      </c>
      <c r="O933">
        <f>MAX(N$12:N933)</f>
        <v>309034.81899202277</v>
      </c>
      <c r="P933">
        <f>IF(O933&gt;O932,(O933-O932)*percentSavingsParticipation,0)</f>
        <v>87.228488034161273</v>
      </c>
      <c r="Q933">
        <f t="shared" si="74"/>
        <v>154517.40949601139</v>
      </c>
      <c r="R933">
        <f t="shared" si="75"/>
        <v>138965</v>
      </c>
    </row>
    <row r="934" spans="4:18" x14ac:dyDescent="0.25">
      <c r="D934" s="1">
        <v>42565</v>
      </c>
      <c r="E934" s="10">
        <v>58671.5</v>
      </c>
      <c r="F934" s="1">
        <v>42565</v>
      </c>
      <c r="G934">
        <v>-11774</v>
      </c>
      <c r="H934" s="1">
        <f t="shared" si="71"/>
        <v>42565</v>
      </c>
      <c r="I934">
        <f>IF(AND(MyRowHidden(ROW())=FALSE,MyRowHidden(ROW()-1)=TRUE),0,(E934-E933)*unitsOfDHp+I933)</f>
        <v>296465</v>
      </c>
      <c r="J934">
        <f>IF(AND(MyRowHidden(ROW())=FALSE,MyRowHidden(ROW()-1)=TRUE),0,(G934-G933)*unitsOfExo+J933)</f>
        <v>-164125</v>
      </c>
      <c r="K934" s="9">
        <f t="shared" si="72"/>
        <v>164125</v>
      </c>
      <c r="L934">
        <f t="shared" si="73"/>
        <v>-22177.409496011416</v>
      </c>
      <c r="M934">
        <f>IF(AND(MyRowHidden(ROW())=FALSE,MyRowHidden(ROW()-1)=TRUE),0,(G934-G933)*unitsFuturesCompare+M933)</f>
        <v>-328250</v>
      </c>
      <c r="N934">
        <f>IF(MyRowHidden(ROW())=TRUE,0,L934-M934)</f>
        <v>306072.59050398855</v>
      </c>
      <c r="O934">
        <f>MAX(N$12:N934)</f>
        <v>309034.81899202277</v>
      </c>
      <c r="P934">
        <f>IF(O934&gt;O933,(O934-O933)*percentSavingsParticipation,0)</f>
        <v>0</v>
      </c>
      <c r="Q934">
        <f t="shared" si="74"/>
        <v>154517.40949601139</v>
      </c>
      <c r="R934">
        <f t="shared" si="75"/>
        <v>132340</v>
      </c>
    </row>
    <row r="935" spans="4:18" x14ac:dyDescent="0.25">
      <c r="D935" s="1">
        <v>42566</v>
      </c>
      <c r="E935" s="10">
        <v>58296.5</v>
      </c>
      <c r="F935" s="1">
        <v>42566</v>
      </c>
      <c r="G935">
        <v>-12036.5</v>
      </c>
      <c r="H935" s="1">
        <f t="shared" si="71"/>
        <v>42566</v>
      </c>
      <c r="I935">
        <f>IF(AND(MyRowHidden(ROW())=FALSE,MyRowHidden(ROW()-1)=TRUE),0,(E935-E934)*unitsOfDHp+I934)</f>
        <v>292715</v>
      </c>
      <c r="J935">
        <f>IF(AND(MyRowHidden(ROW())=FALSE,MyRowHidden(ROW()-1)=TRUE),0,(G935-G934)*unitsOfExo+J934)</f>
        <v>-166750</v>
      </c>
      <c r="K935" s="9">
        <f t="shared" si="72"/>
        <v>166750</v>
      </c>
      <c r="L935">
        <f t="shared" si="73"/>
        <v>-28552.409496011416</v>
      </c>
      <c r="M935">
        <f>IF(AND(MyRowHidden(ROW())=FALSE,MyRowHidden(ROW()-1)=TRUE),0,(G935-G934)*unitsFuturesCompare+M934)</f>
        <v>-333500</v>
      </c>
      <c r="N935">
        <f>IF(MyRowHidden(ROW())=TRUE,0,L935-M935)</f>
        <v>304947.59050398855</v>
      </c>
      <c r="O935">
        <f>MAX(N$12:N935)</f>
        <v>309034.81899202277</v>
      </c>
      <c r="P935">
        <f>IF(O935&gt;O934,(O935-O934)*percentSavingsParticipation,0)</f>
        <v>0</v>
      </c>
      <c r="Q935">
        <f t="shared" si="74"/>
        <v>154517.40949601139</v>
      </c>
      <c r="R935">
        <f t="shared" si="75"/>
        <v>125965</v>
      </c>
    </row>
    <row r="936" spans="4:18" x14ac:dyDescent="0.25">
      <c r="D936" s="1">
        <v>42569</v>
      </c>
      <c r="E936" s="10">
        <v>58384</v>
      </c>
      <c r="F936" s="1">
        <v>42569</v>
      </c>
      <c r="G936">
        <v>-11924</v>
      </c>
      <c r="H936" s="1">
        <f t="shared" si="71"/>
        <v>42569</v>
      </c>
      <c r="I936">
        <f>IF(AND(MyRowHidden(ROW())=FALSE,MyRowHidden(ROW()-1)=TRUE),0,(E936-E935)*unitsOfDHp+I935)</f>
        <v>293590</v>
      </c>
      <c r="J936">
        <f>IF(AND(MyRowHidden(ROW())=FALSE,MyRowHidden(ROW()-1)=TRUE),0,(G936-G935)*unitsOfExo+J935)</f>
        <v>-165625</v>
      </c>
      <c r="K936" s="9">
        <f t="shared" si="72"/>
        <v>165625</v>
      </c>
      <c r="L936">
        <f t="shared" si="73"/>
        <v>-26552.409496011416</v>
      </c>
      <c r="M936">
        <f>IF(AND(MyRowHidden(ROW())=FALSE,MyRowHidden(ROW()-1)=TRUE),0,(G936-G935)*unitsFuturesCompare+M935)</f>
        <v>-331250</v>
      </c>
      <c r="N936">
        <f>IF(MyRowHidden(ROW())=TRUE,0,L936-M936)</f>
        <v>304697.59050398855</v>
      </c>
      <c r="O936">
        <f>MAX(N$12:N936)</f>
        <v>309034.81899202277</v>
      </c>
      <c r="P936">
        <f>IF(O936&gt;O935,(O936-O935)*percentSavingsParticipation,0)</f>
        <v>0</v>
      </c>
      <c r="Q936">
        <f t="shared" si="74"/>
        <v>154517.40949601139</v>
      </c>
      <c r="R936">
        <f t="shared" si="75"/>
        <v>127965</v>
      </c>
    </row>
    <row r="937" spans="4:18" x14ac:dyDescent="0.25">
      <c r="D937" s="1">
        <v>42570</v>
      </c>
      <c r="E937" s="10">
        <v>57809</v>
      </c>
      <c r="F937" s="1">
        <v>42570</v>
      </c>
      <c r="G937">
        <v>-12511.5</v>
      </c>
      <c r="H937" s="1">
        <f t="shared" si="71"/>
        <v>42570</v>
      </c>
      <c r="I937">
        <f>IF(AND(MyRowHidden(ROW())=FALSE,MyRowHidden(ROW()-1)=TRUE),0,(E937-E936)*unitsOfDHp+I936)</f>
        <v>287840</v>
      </c>
      <c r="J937">
        <f>IF(AND(MyRowHidden(ROW())=FALSE,MyRowHidden(ROW()-1)=TRUE),0,(G937-G936)*unitsOfExo+J936)</f>
        <v>-171500</v>
      </c>
      <c r="K937" s="9">
        <f t="shared" si="72"/>
        <v>171500</v>
      </c>
      <c r="L937">
        <f t="shared" si="73"/>
        <v>-38177.409496011416</v>
      </c>
      <c r="M937">
        <f>IF(AND(MyRowHidden(ROW())=FALSE,MyRowHidden(ROW()-1)=TRUE),0,(G937-G936)*unitsFuturesCompare+M936)</f>
        <v>-343000</v>
      </c>
      <c r="N937">
        <f>IF(MyRowHidden(ROW())=TRUE,0,L937-M937)</f>
        <v>304822.59050398855</v>
      </c>
      <c r="O937">
        <f>MAX(N$12:N937)</f>
        <v>309034.81899202277</v>
      </c>
      <c r="P937">
        <f>IF(O937&gt;O936,(O937-O936)*percentSavingsParticipation,0)</f>
        <v>0</v>
      </c>
      <c r="Q937">
        <f t="shared" si="74"/>
        <v>154517.40949601139</v>
      </c>
      <c r="R937">
        <f t="shared" si="75"/>
        <v>116340</v>
      </c>
    </row>
    <row r="938" spans="4:18" x14ac:dyDescent="0.25">
      <c r="D938" s="1">
        <v>42571</v>
      </c>
      <c r="E938" s="10">
        <v>57096.5</v>
      </c>
      <c r="F938" s="1">
        <v>42571</v>
      </c>
      <c r="G938">
        <v>-12911.5</v>
      </c>
      <c r="H938" s="1">
        <f t="shared" si="71"/>
        <v>42571</v>
      </c>
      <c r="I938">
        <f>IF(AND(MyRowHidden(ROW())=FALSE,MyRowHidden(ROW()-1)=TRUE),0,(E938-E937)*unitsOfDHp+I937)</f>
        <v>280715</v>
      </c>
      <c r="J938">
        <f>IF(AND(MyRowHidden(ROW())=FALSE,MyRowHidden(ROW()-1)=TRUE),0,(G938-G937)*unitsOfExo+J937)</f>
        <v>-175500</v>
      </c>
      <c r="K938" s="9">
        <f t="shared" si="72"/>
        <v>175500</v>
      </c>
      <c r="L938">
        <f t="shared" si="73"/>
        <v>-49302.409496011416</v>
      </c>
      <c r="M938">
        <f>IF(AND(MyRowHidden(ROW())=FALSE,MyRowHidden(ROW()-1)=TRUE),0,(G938-G937)*unitsFuturesCompare+M937)</f>
        <v>-351000</v>
      </c>
      <c r="N938">
        <f>IF(MyRowHidden(ROW())=TRUE,0,L938-M938)</f>
        <v>301697.59050398855</v>
      </c>
      <c r="O938">
        <f>MAX(N$12:N938)</f>
        <v>309034.81899202277</v>
      </c>
      <c r="P938">
        <f>IF(O938&gt;O937,(O938-O937)*percentSavingsParticipation,0)</f>
        <v>0</v>
      </c>
      <c r="Q938">
        <f t="shared" si="74"/>
        <v>154517.40949601139</v>
      </c>
      <c r="R938">
        <f t="shared" si="75"/>
        <v>105215</v>
      </c>
    </row>
    <row r="939" spans="4:18" x14ac:dyDescent="0.25">
      <c r="D939" s="1">
        <v>42572</v>
      </c>
      <c r="E939" s="10">
        <v>57109</v>
      </c>
      <c r="F939" s="1">
        <v>42572</v>
      </c>
      <c r="G939">
        <v>-12936.5</v>
      </c>
      <c r="H939" s="1">
        <f t="shared" si="71"/>
        <v>42572</v>
      </c>
      <c r="I939">
        <f>IF(AND(MyRowHidden(ROW())=FALSE,MyRowHidden(ROW()-1)=TRUE),0,(E939-E938)*unitsOfDHp+I938)</f>
        <v>280840</v>
      </c>
      <c r="J939">
        <f>IF(AND(MyRowHidden(ROW())=FALSE,MyRowHidden(ROW()-1)=TRUE),0,(G939-G938)*unitsOfExo+J938)</f>
        <v>-175750</v>
      </c>
      <c r="K939" s="9">
        <f t="shared" si="72"/>
        <v>175750</v>
      </c>
      <c r="L939">
        <f t="shared" si="73"/>
        <v>-49427.409496011416</v>
      </c>
      <c r="M939">
        <f>IF(AND(MyRowHidden(ROW())=FALSE,MyRowHidden(ROW()-1)=TRUE),0,(G939-G938)*unitsFuturesCompare+M938)</f>
        <v>-351500</v>
      </c>
      <c r="N939">
        <f>IF(MyRowHidden(ROW())=TRUE,0,L939-M939)</f>
        <v>302072.59050398855</v>
      </c>
      <c r="O939">
        <f>MAX(N$12:N939)</f>
        <v>309034.81899202277</v>
      </c>
      <c r="P939">
        <f>IF(O939&gt;O938,(O939-O938)*percentSavingsParticipation,0)</f>
        <v>0</v>
      </c>
      <c r="Q939">
        <f t="shared" si="74"/>
        <v>154517.40949601139</v>
      </c>
      <c r="R939">
        <f t="shared" si="75"/>
        <v>105090</v>
      </c>
    </row>
    <row r="940" spans="4:18" x14ac:dyDescent="0.25">
      <c r="D940" s="1">
        <v>42573</v>
      </c>
      <c r="E940" s="10">
        <v>57109</v>
      </c>
      <c r="F940" s="1">
        <v>42573</v>
      </c>
      <c r="G940">
        <v>-12924</v>
      </c>
      <c r="H940" s="1">
        <f t="shared" si="71"/>
        <v>42573</v>
      </c>
      <c r="I940">
        <f>IF(AND(MyRowHidden(ROW())=FALSE,MyRowHidden(ROW()-1)=TRUE),0,(E940-E939)*unitsOfDHp+I939)</f>
        <v>280840</v>
      </c>
      <c r="J940">
        <f>IF(AND(MyRowHidden(ROW())=FALSE,MyRowHidden(ROW()-1)=TRUE),0,(G940-G939)*unitsOfExo+J939)</f>
        <v>-175625</v>
      </c>
      <c r="K940" s="9">
        <f t="shared" si="72"/>
        <v>175625</v>
      </c>
      <c r="L940">
        <f t="shared" si="73"/>
        <v>-49302.409496011416</v>
      </c>
      <c r="M940">
        <f>IF(AND(MyRowHidden(ROW())=FALSE,MyRowHidden(ROW()-1)=TRUE),0,(G940-G939)*unitsFuturesCompare+M939)</f>
        <v>-351250</v>
      </c>
      <c r="N940">
        <f>IF(MyRowHidden(ROW())=TRUE,0,L940-M940)</f>
        <v>301947.59050398855</v>
      </c>
      <c r="O940">
        <f>MAX(N$12:N940)</f>
        <v>309034.81899202277</v>
      </c>
      <c r="P940">
        <f>IF(O940&gt;O939,(O940-O939)*percentSavingsParticipation,0)</f>
        <v>0</v>
      </c>
      <c r="Q940">
        <f t="shared" si="74"/>
        <v>154517.40949601139</v>
      </c>
      <c r="R940">
        <f t="shared" si="75"/>
        <v>105215</v>
      </c>
    </row>
    <row r="941" spans="4:18" x14ac:dyDescent="0.25">
      <c r="D941" s="1">
        <v>42576</v>
      </c>
      <c r="E941" s="10">
        <v>57096.5</v>
      </c>
      <c r="F941" s="1">
        <v>42576</v>
      </c>
      <c r="G941">
        <v>-12999</v>
      </c>
      <c r="H941" s="1">
        <f t="shared" si="71"/>
        <v>42576</v>
      </c>
      <c r="I941">
        <f>IF(AND(MyRowHidden(ROW())=FALSE,MyRowHidden(ROW()-1)=TRUE),0,(E941-E940)*unitsOfDHp+I940)</f>
        <v>280715</v>
      </c>
      <c r="J941">
        <f>IF(AND(MyRowHidden(ROW())=FALSE,MyRowHidden(ROW()-1)=TRUE),0,(G941-G940)*unitsOfExo+J940)</f>
        <v>-176375</v>
      </c>
      <c r="K941" s="9">
        <f t="shared" si="72"/>
        <v>176375</v>
      </c>
      <c r="L941">
        <f t="shared" si="73"/>
        <v>-50177.409496011416</v>
      </c>
      <c r="M941">
        <f>IF(AND(MyRowHidden(ROW())=FALSE,MyRowHidden(ROW()-1)=TRUE),0,(G941-G940)*unitsFuturesCompare+M940)</f>
        <v>-352750</v>
      </c>
      <c r="N941">
        <f>IF(MyRowHidden(ROW())=TRUE,0,L941-M941)</f>
        <v>302572.59050398855</v>
      </c>
      <c r="O941">
        <f>MAX(N$12:N941)</f>
        <v>309034.81899202277</v>
      </c>
      <c r="P941">
        <f>IF(O941&gt;O940,(O941-O940)*percentSavingsParticipation,0)</f>
        <v>0</v>
      </c>
      <c r="Q941">
        <f t="shared" si="74"/>
        <v>154517.40949601139</v>
      </c>
      <c r="R941">
        <f t="shared" si="75"/>
        <v>104340</v>
      </c>
    </row>
    <row r="942" spans="4:18" x14ac:dyDescent="0.25">
      <c r="D942" s="1">
        <v>42577</v>
      </c>
      <c r="E942" s="10">
        <v>57084</v>
      </c>
      <c r="F942" s="1">
        <v>42577</v>
      </c>
      <c r="G942">
        <v>-13111.5</v>
      </c>
      <c r="H942" s="1">
        <f t="shared" si="71"/>
        <v>42577</v>
      </c>
      <c r="I942">
        <f>IF(AND(MyRowHidden(ROW())=FALSE,MyRowHidden(ROW()-1)=TRUE),0,(E942-E941)*unitsOfDHp+I941)</f>
        <v>280590</v>
      </c>
      <c r="J942">
        <f>IF(AND(MyRowHidden(ROW())=FALSE,MyRowHidden(ROW()-1)=TRUE),0,(G942-G941)*unitsOfExo+J941)</f>
        <v>-177500</v>
      </c>
      <c r="K942" s="9">
        <f t="shared" si="72"/>
        <v>177500</v>
      </c>
      <c r="L942">
        <f t="shared" si="73"/>
        <v>-51427.409496011416</v>
      </c>
      <c r="M942">
        <f>IF(AND(MyRowHidden(ROW())=FALSE,MyRowHidden(ROW()-1)=TRUE),0,(G942-G941)*unitsFuturesCompare+M941)</f>
        <v>-355000</v>
      </c>
      <c r="N942">
        <f>IF(MyRowHidden(ROW())=TRUE,0,L942-M942)</f>
        <v>303572.59050398855</v>
      </c>
      <c r="O942">
        <f>MAX(N$12:N942)</f>
        <v>309034.81899202277</v>
      </c>
      <c r="P942">
        <f>IF(O942&gt;O941,(O942-O941)*percentSavingsParticipation,0)</f>
        <v>0</v>
      </c>
      <c r="Q942">
        <f t="shared" si="74"/>
        <v>154517.40949601139</v>
      </c>
      <c r="R942">
        <f t="shared" si="75"/>
        <v>103090</v>
      </c>
    </row>
    <row r="943" spans="4:18" x14ac:dyDescent="0.25">
      <c r="D943" s="1">
        <v>42578</v>
      </c>
      <c r="E943" s="10">
        <v>57084</v>
      </c>
      <c r="F943" s="1">
        <v>42578</v>
      </c>
      <c r="G943">
        <v>-12886.5</v>
      </c>
      <c r="H943" s="1">
        <f t="shared" si="71"/>
        <v>42578</v>
      </c>
      <c r="I943">
        <f>IF(AND(MyRowHidden(ROW())=FALSE,MyRowHidden(ROW()-1)=TRUE),0,(E943-E942)*unitsOfDHp+I942)</f>
        <v>280590</v>
      </c>
      <c r="J943">
        <f>IF(AND(MyRowHidden(ROW())=FALSE,MyRowHidden(ROW()-1)=TRUE),0,(G943-G942)*unitsOfExo+J942)</f>
        <v>-175250</v>
      </c>
      <c r="K943" s="9">
        <f t="shared" si="72"/>
        <v>175250</v>
      </c>
      <c r="L943">
        <f t="shared" si="73"/>
        <v>-49177.409496011416</v>
      </c>
      <c r="M943">
        <f>IF(AND(MyRowHidden(ROW())=FALSE,MyRowHidden(ROW()-1)=TRUE),0,(G943-G942)*unitsFuturesCompare+M942)</f>
        <v>-350500</v>
      </c>
      <c r="N943">
        <f>IF(MyRowHidden(ROW())=TRUE,0,L943-M943)</f>
        <v>301322.59050398855</v>
      </c>
      <c r="O943">
        <f>MAX(N$12:N943)</f>
        <v>309034.81899202277</v>
      </c>
      <c r="P943">
        <f>IF(O943&gt;O942,(O943-O942)*percentSavingsParticipation,0)</f>
        <v>0</v>
      </c>
      <c r="Q943">
        <f t="shared" si="74"/>
        <v>154517.40949601139</v>
      </c>
      <c r="R943">
        <f t="shared" si="75"/>
        <v>105340</v>
      </c>
    </row>
    <row r="944" spans="4:18" x14ac:dyDescent="0.25">
      <c r="D944" s="1">
        <v>42579</v>
      </c>
      <c r="E944" s="10">
        <v>57134</v>
      </c>
      <c r="F944" s="1">
        <v>42579</v>
      </c>
      <c r="G944">
        <v>-13199</v>
      </c>
      <c r="H944" s="1">
        <f t="shared" si="71"/>
        <v>42579</v>
      </c>
      <c r="I944">
        <f>IF(AND(MyRowHidden(ROW())=FALSE,MyRowHidden(ROW()-1)=TRUE),0,(E944-E943)*unitsOfDHp+I943)</f>
        <v>281090</v>
      </c>
      <c r="J944">
        <f>IF(AND(MyRowHidden(ROW())=FALSE,MyRowHidden(ROW()-1)=TRUE),0,(G944-G943)*unitsOfExo+J943)</f>
        <v>-178375</v>
      </c>
      <c r="K944" s="9">
        <f t="shared" si="72"/>
        <v>178375</v>
      </c>
      <c r="L944">
        <f t="shared" si="73"/>
        <v>-51802.409496011416</v>
      </c>
      <c r="M944">
        <f>IF(AND(MyRowHidden(ROW())=FALSE,MyRowHidden(ROW()-1)=TRUE),0,(G944-G943)*unitsFuturesCompare+M943)</f>
        <v>-356750</v>
      </c>
      <c r="N944">
        <f>IF(MyRowHidden(ROW())=TRUE,0,L944-M944)</f>
        <v>304947.59050398855</v>
      </c>
      <c r="O944">
        <f>MAX(N$12:N944)</f>
        <v>309034.81899202277</v>
      </c>
      <c r="P944">
        <f>IF(O944&gt;O943,(O944-O943)*percentSavingsParticipation,0)</f>
        <v>0</v>
      </c>
      <c r="Q944">
        <f t="shared" si="74"/>
        <v>154517.40949601139</v>
      </c>
      <c r="R944">
        <f t="shared" si="75"/>
        <v>102715</v>
      </c>
    </row>
    <row r="945" spans="4:18" x14ac:dyDescent="0.25">
      <c r="D945" s="1">
        <v>42580</v>
      </c>
      <c r="E945" s="10">
        <v>57096.5</v>
      </c>
      <c r="F945" s="1">
        <v>42580</v>
      </c>
      <c r="G945">
        <v>-13011.5</v>
      </c>
      <c r="H945" s="1">
        <f t="shared" si="71"/>
        <v>42580</v>
      </c>
      <c r="I945">
        <f>IF(AND(MyRowHidden(ROW())=FALSE,MyRowHidden(ROW()-1)=TRUE),0,(E945-E944)*unitsOfDHp+I944)</f>
        <v>280715</v>
      </c>
      <c r="J945">
        <f>IF(AND(MyRowHidden(ROW())=FALSE,MyRowHidden(ROW()-1)=TRUE),0,(G945-G944)*unitsOfExo+J944)</f>
        <v>-176500</v>
      </c>
      <c r="K945" s="9">
        <f t="shared" si="72"/>
        <v>176500</v>
      </c>
      <c r="L945">
        <f t="shared" si="73"/>
        <v>-50302.409496011416</v>
      </c>
      <c r="M945">
        <f>IF(AND(MyRowHidden(ROW())=FALSE,MyRowHidden(ROW()-1)=TRUE),0,(G945-G944)*unitsFuturesCompare+M944)</f>
        <v>-353000</v>
      </c>
      <c r="N945">
        <f>IF(MyRowHidden(ROW())=TRUE,0,L945-M945)</f>
        <v>302697.59050398855</v>
      </c>
      <c r="O945">
        <f>MAX(N$12:N945)</f>
        <v>309034.81899202277</v>
      </c>
      <c r="P945">
        <f>IF(O945&gt;O944,(O945-O944)*percentSavingsParticipation,0)</f>
        <v>0</v>
      </c>
      <c r="Q945">
        <f t="shared" si="74"/>
        <v>154517.40949601139</v>
      </c>
      <c r="R945">
        <f t="shared" si="75"/>
        <v>104215</v>
      </c>
    </row>
    <row r="946" spans="4:18" x14ac:dyDescent="0.25">
      <c r="D946" s="1">
        <v>42583</v>
      </c>
      <c r="E946" s="10">
        <v>57159</v>
      </c>
      <c r="F946" s="1">
        <v>42583</v>
      </c>
      <c r="G946">
        <v>-13274</v>
      </c>
      <c r="H946" s="1">
        <f t="shared" si="71"/>
        <v>42583</v>
      </c>
      <c r="I946">
        <f>IF(AND(MyRowHidden(ROW())=FALSE,MyRowHidden(ROW()-1)=TRUE),0,(E946-E945)*unitsOfDHp+I945)</f>
        <v>281340</v>
      </c>
      <c r="J946">
        <f>IF(AND(MyRowHidden(ROW())=FALSE,MyRowHidden(ROW()-1)=TRUE),0,(G946-G945)*unitsOfExo+J945)</f>
        <v>-179125</v>
      </c>
      <c r="K946" s="9">
        <f t="shared" si="72"/>
        <v>179125</v>
      </c>
      <c r="L946">
        <f t="shared" si="73"/>
        <v>-52302.409496011416</v>
      </c>
      <c r="M946">
        <f>IF(AND(MyRowHidden(ROW())=FALSE,MyRowHidden(ROW()-1)=TRUE),0,(G946-G945)*unitsFuturesCompare+M945)</f>
        <v>-358250</v>
      </c>
      <c r="N946">
        <f>IF(MyRowHidden(ROW())=TRUE,0,L946-M946)</f>
        <v>305947.59050398855</v>
      </c>
      <c r="O946">
        <f>MAX(N$12:N946)</f>
        <v>309034.81899202277</v>
      </c>
      <c r="P946">
        <f>IF(O946&gt;O945,(O946-O945)*percentSavingsParticipation,0)</f>
        <v>0</v>
      </c>
      <c r="Q946">
        <f t="shared" si="74"/>
        <v>154517.40949601139</v>
      </c>
      <c r="R946">
        <f t="shared" si="75"/>
        <v>102215</v>
      </c>
    </row>
    <row r="947" spans="4:18" x14ac:dyDescent="0.25">
      <c r="D947" s="1">
        <v>42584</v>
      </c>
      <c r="E947" s="10">
        <v>57134</v>
      </c>
      <c r="F947" s="1">
        <v>42584</v>
      </c>
      <c r="G947">
        <v>-13611.5</v>
      </c>
      <c r="H947" s="1">
        <f t="shared" si="71"/>
        <v>42584</v>
      </c>
      <c r="I947">
        <f>IF(AND(MyRowHidden(ROW())=FALSE,MyRowHidden(ROW()-1)=TRUE),0,(E947-E946)*unitsOfDHp+I946)</f>
        <v>281090</v>
      </c>
      <c r="J947">
        <f>IF(AND(MyRowHidden(ROW())=FALSE,MyRowHidden(ROW()-1)=TRUE),0,(G947-G946)*unitsOfExo+J946)</f>
        <v>-182500</v>
      </c>
      <c r="K947" s="9">
        <f t="shared" si="72"/>
        <v>182500</v>
      </c>
      <c r="L947">
        <f t="shared" si="73"/>
        <v>-55927.409496011416</v>
      </c>
      <c r="M947">
        <f>IF(AND(MyRowHidden(ROW())=FALSE,MyRowHidden(ROW()-1)=TRUE),0,(G947-G946)*unitsFuturesCompare+M946)</f>
        <v>-365000</v>
      </c>
      <c r="N947">
        <f>IF(MyRowHidden(ROW())=TRUE,0,L947-M947)</f>
        <v>309072.59050398855</v>
      </c>
      <c r="O947">
        <f>MAX(N$12:N947)</f>
        <v>309072.59050398855</v>
      </c>
      <c r="P947">
        <f>IF(O947&gt;O946,(O947-O946)*percentSavingsParticipation,0)</f>
        <v>18.885755982890259</v>
      </c>
      <c r="Q947">
        <f t="shared" si="74"/>
        <v>154536.29525199428</v>
      </c>
      <c r="R947">
        <f t="shared" si="75"/>
        <v>98590</v>
      </c>
    </row>
    <row r="948" spans="4:18" x14ac:dyDescent="0.25">
      <c r="D948" s="1">
        <v>42585</v>
      </c>
      <c r="E948" s="10">
        <v>57134</v>
      </c>
      <c r="F948" s="1">
        <v>42585</v>
      </c>
      <c r="G948">
        <v>-13436.5</v>
      </c>
      <c r="H948" s="1">
        <f t="shared" si="71"/>
        <v>42585</v>
      </c>
      <c r="I948">
        <f>IF(AND(MyRowHidden(ROW())=FALSE,MyRowHidden(ROW()-1)=TRUE),0,(E948-E947)*unitsOfDHp+I947)</f>
        <v>281090</v>
      </c>
      <c r="J948">
        <f>IF(AND(MyRowHidden(ROW())=FALSE,MyRowHidden(ROW()-1)=TRUE),0,(G948-G947)*unitsOfExo+J947)</f>
        <v>-180750</v>
      </c>
      <c r="K948" s="9">
        <f t="shared" si="72"/>
        <v>180750</v>
      </c>
      <c r="L948">
        <f t="shared" si="73"/>
        <v>-54196.295251994306</v>
      </c>
      <c r="M948">
        <f>IF(AND(MyRowHidden(ROW())=FALSE,MyRowHidden(ROW()-1)=TRUE),0,(G948-G947)*unitsFuturesCompare+M947)</f>
        <v>-361500</v>
      </c>
      <c r="N948">
        <f>IF(MyRowHidden(ROW())=TRUE,0,L948-M948)</f>
        <v>307303.70474800572</v>
      </c>
      <c r="O948">
        <f>MAX(N$12:N948)</f>
        <v>309072.59050398855</v>
      </c>
      <c r="P948">
        <f>IF(O948&gt;O947,(O948-O947)*percentSavingsParticipation,0)</f>
        <v>0</v>
      </c>
      <c r="Q948">
        <f t="shared" si="74"/>
        <v>154536.29525199428</v>
      </c>
      <c r="R948">
        <f t="shared" si="75"/>
        <v>100340</v>
      </c>
    </row>
    <row r="949" spans="4:18" x14ac:dyDescent="0.25">
      <c r="D949" s="1">
        <v>42586</v>
      </c>
      <c r="E949" s="10">
        <v>57171.5</v>
      </c>
      <c r="F949" s="1">
        <v>42586</v>
      </c>
      <c r="G949">
        <v>-13561.5</v>
      </c>
      <c r="H949" s="1">
        <f t="shared" si="71"/>
        <v>42586</v>
      </c>
      <c r="I949">
        <f>IF(AND(MyRowHidden(ROW())=FALSE,MyRowHidden(ROW()-1)=TRUE),0,(E949-E948)*unitsOfDHp+I948)</f>
        <v>281465</v>
      </c>
      <c r="J949">
        <f>IF(AND(MyRowHidden(ROW())=FALSE,MyRowHidden(ROW()-1)=TRUE),0,(G949-G948)*unitsOfExo+J948)</f>
        <v>-182000</v>
      </c>
      <c r="K949" s="9">
        <f t="shared" si="72"/>
        <v>182000</v>
      </c>
      <c r="L949">
        <f t="shared" si="73"/>
        <v>-55071.295251994306</v>
      </c>
      <c r="M949">
        <f>IF(AND(MyRowHidden(ROW())=FALSE,MyRowHidden(ROW()-1)=TRUE),0,(G949-G948)*unitsFuturesCompare+M948)</f>
        <v>-364000</v>
      </c>
      <c r="N949">
        <f>IF(MyRowHidden(ROW())=TRUE,0,L949-M949)</f>
        <v>308928.70474800572</v>
      </c>
      <c r="O949">
        <f>MAX(N$12:N949)</f>
        <v>309072.59050398855</v>
      </c>
      <c r="P949">
        <f>IF(O949&gt;O948,(O949-O948)*percentSavingsParticipation,0)</f>
        <v>0</v>
      </c>
      <c r="Q949">
        <f t="shared" si="74"/>
        <v>154536.29525199428</v>
      </c>
      <c r="R949">
        <f t="shared" si="75"/>
        <v>99465</v>
      </c>
    </row>
    <row r="950" spans="4:18" x14ac:dyDescent="0.25">
      <c r="D950" s="1">
        <v>42587</v>
      </c>
      <c r="E950" s="10">
        <v>57171.5</v>
      </c>
      <c r="F950" s="1">
        <v>42587</v>
      </c>
      <c r="G950">
        <v>-13549</v>
      </c>
      <c r="H950" s="1">
        <f t="shared" si="71"/>
        <v>42587</v>
      </c>
      <c r="I950">
        <f>IF(AND(MyRowHidden(ROW())=FALSE,MyRowHidden(ROW()-1)=TRUE),0,(E950-E949)*unitsOfDHp+I949)</f>
        <v>281465</v>
      </c>
      <c r="J950">
        <f>IF(AND(MyRowHidden(ROW())=FALSE,MyRowHidden(ROW()-1)=TRUE),0,(G950-G949)*unitsOfExo+J949)</f>
        <v>-181875</v>
      </c>
      <c r="K950" s="9">
        <f t="shared" si="72"/>
        <v>181875</v>
      </c>
      <c r="L950">
        <f t="shared" si="73"/>
        <v>-54946.295251994306</v>
      </c>
      <c r="M950">
        <f>IF(AND(MyRowHidden(ROW())=FALSE,MyRowHidden(ROW()-1)=TRUE),0,(G950-G949)*unitsFuturesCompare+M949)</f>
        <v>-363750</v>
      </c>
      <c r="N950">
        <f>IF(MyRowHidden(ROW())=TRUE,0,L950-M950)</f>
        <v>308803.70474800572</v>
      </c>
      <c r="O950">
        <f>MAX(N$12:N950)</f>
        <v>309072.59050398855</v>
      </c>
      <c r="P950">
        <f>IF(O950&gt;O949,(O950-O949)*percentSavingsParticipation,0)</f>
        <v>0</v>
      </c>
      <c r="Q950">
        <f t="shared" si="74"/>
        <v>154536.29525199428</v>
      </c>
      <c r="R950">
        <f t="shared" si="75"/>
        <v>99590</v>
      </c>
    </row>
    <row r="951" spans="4:18" x14ac:dyDescent="0.25">
      <c r="D951" s="1">
        <v>42590</v>
      </c>
      <c r="E951" s="10">
        <v>57159</v>
      </c>
      <c r="F951" s="1">
        <v>42590</v>
      </c>
      <c r="G951">
        <v>-13449</v>
      </c>
      <c r="H951" s="1">
        <f t="shared" si="71"/>
        <v>42590</v>
      </c>
      <c r="I951">
        <f>IF(AND(MyRowHidden(ROW())=FALSE,MyRowHidden(ROW()-1)=TRUE),0,(E951-E950)*unitsOfDHp+I950)</f>
        <v>281340</v>
      </c>
      <c r="J951">
        <f>IF(AND(MyRowHidden(ROW())=FALSE,MyRowHidden(ROW()-1)=TRUE),0,(G951-G950)*unitsOfExo+J950)</f>
        <v>-180875</v>
      </c>
      <c r="K951" s="9">
        <f t="shared" si="72"/>
        <v>180875</v>
      </c>
      <c r="L951">
        <f t="shared" si="73"/>
        <v>-54071.295251994306</v>
      </c>
      <c r="M951">
        <f>IF(AND(MyRowHidden(ROW())=FALSE,MyRowHidden(ROW()-1)=TRUE),0,(G951-G950)*unitsFuturesCompare+M950)</f>
        <v>-361750</v>
      </c>
      <c r="N951">
        <f>IF(MyRowHidden(ROW())=TRUE,0,L951-M951)</f>
        <v>307678.70474800572</v>
      </c>
      <c r="O951">
        <f>MAX(N$12:N951)</f>
        <v>309072.59050398855</v>
      </c>
      <c r="P951">
        <f>IF(O951&gt;O950,(O951-O950)*percentSavingsParticipation,0)</f>
        <v>0</v>
      </c>
      <c r="Q951">
        <f t="shared" si="74"/>
        <v>154536.29525199428</v>
      </c>
      <c r="R951">
        <f t="shared" si="75"/>
        <v>100465</v>
      </c>
    </row>
    <row r="952" spans="4:18" x14ac:dyDescent="0.25">
      <c r="D952" s="1">
        <v>42591</v>
      </c>
      <c r="E952" s="10">
        <v>57159</v>
      </c>
      <c r="F952" s="1">
        <v>42591</v>
      </c>
      <c r="G952">
        <v>-13474</v>
      </c>
      <c r="H952" s="1">
        <f t="shared" si="71"/>
        <v>42591</v>
      </c>
      <c r="I952">
        <f>IF(AND(MyRowHidden(ROW())=FALSE,MyRowHidden(ROW()-1)=TRUE),0,(E952-E951)*unitsOfDHp+I951)</f>
        <v>281340</v>
      </c>
      <c r="J952">
        <f>IF(AND(MyRowHidden(ROW())=FALSE,MyRowHidden(ROW()-1)=TRUE),0,(G952-G951)*unitsOfExo+J951)</f>
        <v>-181125</v>
      </c>
      <c r="K952" s="9">
        <f t="shared" si="72"/>
        <v>181125</v>
      </c>
      <c r="L952">
        <f t="shared" si="73"/>
        <v>-54321.295251994306</v>
      </c>
      <c r="M952">
        <f>IF(AND(MyRowHidden(ROW())=FALSE,MyRowHidden(ROW()-1)=TRUE),0,(G952-G951)*unitsFuturesCompare+M951)</f>
        <v>-362250</v>
      </c>
      <c r="N952">
        <f>IF(MyRowHidden(ROW())=TRUE,0,L952-M952)</f>
        <v>307928.70474800572</v>
      </c>
      <c r="O952">
        <f>MAX(N$12:N952)</f>
        <v>309072.59050398855</v>
      </c>
      <c r="P952">
        <f>IF(O952&gt;O951,(O952-O951)*percentSavingsParticipation,0)</f>
        <v>0</v>
      </c>
      <c r="Q952">
        <f t="shared" si="74"/>
        <v>154536.29525199428</v>
      </c>
      <c r="R952">
        <f t="shared" si="75"/>
        <v>100215</v>
      </c>
    </row>
    <row r="953" spans="4:18" x14ac:dyDescent="0.25">
      <c r="D953" s="1">
        <v>42592</v>
      </c>
      <c r="E953" s="10">
        <v>57159</v>
      </c>
      <c r="F953" s="1">
        <v>42592</v>
      </c>
      <c r="G953">
        <v>-13449</v>
      </c>
      <c r="H953" s="1">
        <f t="shared" si="71"/>
        <v>42592</v>
      </c>
      <c r="I953">
        <f>IF(AND(MyRowHidden(ROW())=FALSE,MyRowHidden(ROW()-1)=TRUE),0,(E953-E952)*unitsOfDHp+I952)</f>
        <v>281340</v>
      </c>
      <c r="J953">
        <f>IF(AND(MyRowHidden(ROW())=FALSE,MyRowHidden(ROW()-1)=TRUE),0,(G953-G952)*unitsOfExo+J952)</f>
        <v>-180875</v>
      </c>
      <c r="K953" s="9">
        <f t="shared" si="72"/>
        <v>180875</v>
      </c>
      <c r="L953">
        <f t="shared" si="73"/>
        <v>-54071.295251994306</v>
      </c>
      <c r="M953">
        <f>IF(AND(MyRowHidden(ROW())=FALSE,MyRowHidden(ROW()-1)=TRUE),0,(G953-G952)*unitsFuturesCompare+M952)</f>
        <v>-361750</v>
      </c>
      <c r="N953">
        <f>IF(MyRowHidden(ROW())=TRUE,0,L953-M953)</f>
        <v>307678.70474800572</v>
      </c>
      <c r="O953">
        <f>MAX(N$12:N953)</f>
        <v>309072.59050398855</v>
      </c>
      <c r="P953">
        <f>IF(O953&gt;O952,(O953-O952)*percentSavingsParticipation,0)</f>
        <v>0</v>
      </c>
      <c r="Q953">
        <f t="shared" si="74"/>
        <v>154536.29525199428</v>
      </c>
      <c r="R953">
        <f t="shared" si="75"/>
        <v>100465</v>
      </c>
    </row>
    <row r="954" spans="4:18" x14ac:dyDescent="0.25">
      <c r="D954" s="1">
        <v>42593</v>
      </c>
      <c r="E954" s="10">
        <v>57171.5</v>
      </c>
      <c r="F954" s="1">
        <v>42593</v>
      </c>
      <c r="G954">
        <v>-13611.5</v>
      </c>
      <c r="H954" s="1">
        <f t="shared" si="71"/>
        <v>42593</v>
      </c>
      <c r="I954">
        <f>IF(AND(MyRowHidden(ROW())=FALSE,MyRowHidden(ROW()-1)=TRUE),0,(E954-E953)*unitsOfDHp+I953)</f>
        <v>281465</v>
      </c>
      <c r="J954">
        <f>IF(AND(MyRowHidden(ROW())=FALSE,MyRowHidden(ROW()-1)=TRUE),0,(G954-G953)*unitsOfExo+J953)</f>
        <v>-182500</v>
      </c>
      <c r="K954" s="9">
        <f t="shared" si="72"/>
        <v>182500</v>
      </c>
      <c r="L954">
        <f t="shared" si="73"/>
        <v>-55571.295251994306</v>
      </c>
      <c r="M954">
        <f>IF(AND(MyRowHidden(ROW())=FALSE,MyRowHidden(ROW()-1)=TRUE),0,(G954-G953)*unitsFuturesCompare+M953)</f>
        <v>-365000</v>
      </c>
      <c r="N954">
        <f>IF(MyRowHidden(ROW())=TRUE,0,L954-M954)</f>
        <v>309428.70474800572</v>
      </c>
      <c r="O954">
        <f>MAX(N$12:N954)</f>
        <v>309428.70474800572</v>
      </c>
      <c r="P954">
        <f>IF(O954&gt;O953,(O954-O953)*percentSavingsParticipation,0)</f>
        <v>178.05712200858397</v>
      </c>
      <c r="Q954">
        <f t="shared" si="74"/>
        <v>154714.35237400286</v>
      </c>
      <c r="R954">
        <f t="shared" si="75"/>
        <v>98965</v>
      </c>
    </row>
    <row r="955" spans="4:18" x14ac:dyDescent="0.25">
      <c r="D955" s="1">
        <v>42594</v>
      </c>
      <c r="E955" s="10">
        <v>57084.5</v>
      </c>
      <c r="F955" s="1">
        <v>42594</v>
      </c>
      <c r="G955">
        <v>-13749</v>
      </c>
      <c r="H955" s="1">
        <f t="shared" si="71"/>
        <v>42594</v>
      </c>
      <c r="I955">
        <f>IF(AND(MyRowHidden(ROW())=FALSE,MyRowHidden(ROW()-1)=TRUE),0,(E955-E954)*unitsOfDHp+I954)</f>
        <v>280595</v>
      </c>
      <c r="J955">
        <f>IF(AND(MyRowHidden(ROW())=FALSE,MyRowHidden(ROW()-1)=TRUE),0,(G955-G954)*unitsOfExo+J954)</f>
        <v>-183875</v>
      </c>
      <c r="K955" s="9">
        <f t="shared" si="72"/>
        <v>183875</v>
      </c>
      <c r="L955">
        <f t="shared" si="73"/>
        <v>-57994.35237400289</v>
      </c>
      <c r="M955">
        <f>IF(AND(MyRowHidden(ROW())=FALSE,MyRowHidden(ROW()-1)=TRUE),0,(G955-G954)*unitsFuturesCompare+M954)</f>
        <v>-367750</v>
      </c>
      <c r="N955">
        <f>IF(MyRowHidden(ROW())=TRUE,0,L955-M955)</f>
        <v>309755.64762599708</v>
      </c>
      <c r="O955">
        <f>MAX(N$12:N955)</f>
        <v>309755.64762599708</v>
      </c>
      <c r="P955">
        <f>IF(O955&gt;O954,(O955-O954)*percentSavingsParticipation,0)</f>
        <v>163.47143899567891</v>
      </c>
      <c r="Q955">
        <f t="shared" si="74"/>
        <v>154877.82381299854</v>
      </c>
      <c r="R955">
        <f t="shared" si="75"/>
        <v>96720</v>
      </c>
    </row>
    <row r="956" spans="4:18" x14ac:dyDescent="0.25">
      <c r="D956" s="1">
        <v>42597</v>
      </c>
      <c r="E956" s="10">
        <v>56823.5</v>
      </c>
      <c r="F956" s="1">
        <v>42597</v>
      </c>
      <c r="G956">
        <v>-13324</v>
      </c>
      <c r="H956" s="1">
        <f t="shared" si="71"/>
        <v>42597</v>
      </c>
      <c r="I956">
        <f>IF(AND(MyRowHidden(ROW())=FALSE,MyRowHidden(ROW()-1)=TRUE),0,(E956-E955)*unitsOfDHp+I955)</f>
        <v>277985</v>
      </c>
      <c r="J956">
        <f>IF(AND(MyRowHidden(ROW())=FALSE,MyRowHidden(ROW()-1)=TRUE),0,(G956-G955)*unitsOfExo+J955)</f>
        <v>-179625</v>
      </c>
      <c r="K956" s="9">
        <f t="shared" si="72"/>
        <v>179625</v>
      </c>
      <c r="L956">
        <f t="shared" si="73"/>
        <v>-56517.823812998569</v>
      </c>
      <c r="M956">
        <f>IF(AND(MyRowHidden(ROW())=FALSE,MyRowHidden(ROW()-1)=TRUE),0,(G956-G955)*unitsFuturesCompare+M955)</f>
        <v>-359250</v>
      </c>
      <c r="N956">
        <f>IF(MyRowHidden(ROW())=TRUE,0,L956-M956)</f>
        <v>302732.1761870014</v>
      </c>
      <c r="O956">
        <f>MAX(N$12:N956)</f>
        <v>309755.64762599708</v>
      </c>
      <c r="P956">
        <f>IF(O956&gt;O955,(O956-O955)*percentSavingsParticipation,0)</f>
        <v>0</v>
      </c>
      <c r="Q956">
        <f t="shared" si="74"/>
        <v>154877.82381299854</v>
      </c>
      <c r="R956">
        <f t="shared" si="75"/>
        <v>98360</v>
      </c>
    </row>
    <row r="957" spans="4:18" x14ac:dyDescent="0.25">
      <c r="D957" s="1">
        <v>42598</v>
      </c>
      <c r="E957" s="10">
        <v>56823.5</v>
      </c>
      <c r="F957" s="1">
        <v>42598</v>
      </c>
      <c r="G957">
        <v>-13286.5</v>
      </c>
      <c r="H957" s="1">
        <f t="shared" si="71"/>
        <v>42598</v>
      </c>
      <c r="I957">
        <f>IF(AND(MyRowHidden(ROW())=FALSE,MyRowHidden(ROW()-1)=TRUE),0,(E957-E956)*unitsOfDHp+I956)</f>
        <v>277985</v>
      </c>
      <c r="J957">
        <f>IF(AND(MyRowHidden(ROW())=FALSE,MyRowHidden(ROW()-1)=TRUE),0,(G957-G956)*unitsOfExo+J956)</f>
        <v>-179250</v>
      </c>
      <c r="K957" s="9">
        <f t="shared" si="72"/>
        <v>179250</v>
      </c>
      <c r="L957">
        <f t="shared" si="73"/>
        <v>-56142.823812998569</v>
      </c>
      <c r="M957">
        <f>IF(AND(MyRowHidden(ROW())=FALSE,MyRowHidden(ROW()-1)=TRUE),0,(G957-G956)*unitsFuturesCompare+M956)</f>
        <v>-358500</v>
      </c>
      <c r="N957">
        <f>IF(MyRowHidden(ROW())=TRUE,0,L957-M957)</f>
        <v>302357.1761870014</v>
      </c>
      <c r="O957">
        <f>MAX(N$12:N957)</f>
        <v>309755.64762599708</v>
      </c>
      <c r="P957">
        <f>IF(O957&gt;O956,(O957-O956)*percentSavingsParticipation,0)</f>
        <v>0</v>
      </c>
      <c r="Q957">
        <f t="shared" si="74"/>
        <v>154877.82381299854</v>
      </c>
      <c r="R957">
        <f t="shared" si="75"/>
        <v>98735</v>
      </c>
    </row>
    <row r="958" spans="4:18" x14ac:dyDescent="0.25">
      <c r="D958" s="1">
        <v>42599</v>
      </c>
      <c r="E958" s="10">
        <v>56861</v>
      </c>
      <c r="F958" s="1">
        <v>42599</v>
      </c>
      <c r="G958">
        <v>-13261.5</v>
      </c>
      <c r="H958" s="1">
        <f t="shared" si="71"/>
        <v>42599</v>
      </c>
      <c r="I958">
        <f>IF(AND(MyRowHidden(ROW())=FALSE,MyRowHidden(ROW()-1)=TRUE),0,(E958-E957)*unitsOfDHp+I957)</f>
        <v>278360</v>
      </c>
      <c r="J958">
        <f>IF(AND(MyRowHidden(ROW())=FALSE,MyRowHidden(ROW()-1)=TRUE),0,(G958-G957)*unitsOfExo+J957)</f>
        <v>-179000</v>
      </c>
      <c r="K958" s="9">
        <f t="shared" si="72"/>
        <v>179000</v>
      </c>
      <c r="L958">
        <f t="shared" si="73"/>
        <v>-55517.823812998569</v>
      </c>
      <c r="M958">
        <f>IF(AND(MyRowHidden(ROW())=FALSE,MyRowHidden(ROW()-1)=TRUE),0,(G958-G957)*unitsFuturesCompare+M957)</f>
        <v>-358000</v>
      </c>
      <c r="N958">
        <f>IF(MyRowHidden(ROW())=TRUE,0,L958-M958)</f>
        <v>302482.1761870014</v>
      </c>
      <c r="O958">
        <f>MAX(N$12:N958)</f>
        <v>309755.64762599708</v>
      </c>
      <c r="P958">
        <f>IF(O958&gt;O957,(O958-O957)*percentSavingsParticipation,0)</f>
        <v>0</v>
      </c>
      <c r="Q958">
        <f t="shared" si="74"/>
        <v>154877.82381299854</v>
      </c>
      <c r="R958">
        <f t="shared" si="75"/>
        <v>99360</v>
      </c>
    </row>
    <row r="959" spans="4:18" x14ac:dyDescent="0.25">
      <c r="D959" s="1">
        <v>42600</v>
      </c>
      <c r="E959" s="10">
        <v>56973.5</v>
      </c>
      <c r="F959" s="1">
        <v>42600</v>
      </c>
      <c r="G959">
        <v>-13149</v>
      </c>
      <c r="H959" s="1">
        <f t="shared" si="71"/>
        <v>42600</v>
      </c>
      <c r="I959">
        <f>IF(AND(MyRowHidden(ROW())=FALSE,MyRowHidden(ROW()-1)=TRUE),0,(E959-E958)*unitsOfDHp+I958)</f>
        <v>279485</v>
      </c>
      <c r="J959">
        <f>IF(AND(MyRowHidden(ROW())=FALSE,MyRowHidden(ROW()-1)=TRUE),0,(G959-G958)*unitsOfExo+J958)</f>
        <v>-177875</v>
      </c>
      <c r="K959" s="9">
        <f t="shared" si="72"/>
        <v>177875</v>
      </c>
      <c r="L959">
        <f t="shared" si="73"/>
        <v>-53267.823812998569</v>
      </c>
      <c r="M959">
        <f>IF(AND(MyRowHidden(ROW())=FALSE,MyRowHidden(ROW()-1)=TRUE),0,(G959-G958)*unitsFuturesCompare+M958)</f>
        <v>-355750</v>
      </c>
      <c r="N959">
        <f>IF(MyRowHidden(ROW())=TRUE,0,L959-M959)</f>
        <v>302482.1761870014</v>
      </c>
      <c r="O959">
        <f>MAX(N$12:N959)</f>
        <v>309755.64762599708</v>
      </c>
      <c r="P959">
        <f>IF(O959&gt;O958,(O959-O958)*percentSavingsParticipation,0)</f>
        <v>0</v>
      </c>
      <c r="Q959">
        <f t="shared" si="74"/>
        <v>154877.82381299854</v>
      </c>
      <c r="R959">
        <f t="shared" si="75"/>
        <v>101610</v>
      </c>
    </row>
    <row r="960" spans="4:18" x14ac:dyDescent="0.25">
      <c r="D960" s="1">
        <v>42601</v>
      </c>
      <c r="E960" s="10">
        <v>57186</v>
      </c>
      <c r="F960" s="1">
        <v>42601</v>
      </c>
      <c r="G960">
        <v>-12961.5</v>
      </c>
      <c r="H960" s="1">
        <f t="shared" si="71"/>
        <v>42601</v>
      </c>
      <c r="I960">
        <f>IF(AND(MyRowHidden(ROW())=FALSE,MyRowHidden(ROW()-1)=TRUE),0,(E960-E959)*unitsOfDHp+I959)</f>
        <v>281610</v>
      </c>
      <c r="J960">
        <f>IF(AND(MyRowHidden(ROW())=FALSE,MyRowHidden(ROW()-1)=TRUE),0,(G960-G959)*unitsOfExo+J959)</f>
        <v>-176000</v>
      </c>
      <c r="K960" s="9">
        <f t="shared" si="72"/>
        <v>176000</v>
      </c>
      <c r="L960">
        <f t="shared" si="73"/>
        <v>-49267.823812998569</v>
      </c>
      <c r="M960">
        <f>IF(AND(MyRowHidden(ROW())=FALSE,MyRowHidden(ROW()-1)=TRUE),0,(G960-G959)*unitsFuturesCompare+M959)</f>
        <v>-352000</v>
      </c>
      <c r="N960">
        <f>IF(MyRowHidden(ROW())=TRUE,0,L960-M960)</f>
        <v>302732.1761870014</v>
      </c>
      <c r="O960">
        <f>MAX(N$12:N960)</f>
        <v>309755.64762599708</v>
      </c>
      <c r="P960">
        <f>IF(O960&gt;O959,(O960-O959)*percentSavingsParticipation,0)</f>
        <v>0</v>
      </c>
      <c r="Q960">
        <f t="shared" si="74"/>
        <v>154877.82381299854</v>
      </c>
      <c r="R960">
        <f t="shared" si="75"/>
        <v>105610</v>
      </c>
    </row>
    <row r="961" spans="4:18" x14ac:dyDescent="0.25">
      <c r="D961" s="1">
        <v>42604</v>
      </c>
      <c r="E961" s="10">
        <v>57086</v>
      </c>
      <c r="F961" s="1">
        <v>42604</v>
      </c>
      <c r="G961">
        <v>-13024</v>
      </c>
      <c r="H961" s="1">
        <f t="shared" si="71"/>
        <v>42604</v>
      </c>
      <c r="I961">
        <f>IF(AND(MyRowHidden(ROW())=FALSE,MyRowHidden(ROW()-1)=TRUE),0,(E961-E960)*unitsOfDHp+I960)</f>
        <v>280610</v>
      </c>
      <c r="J961">
        <f>IF(AND(MyRowHidden(ROW())=FALSE,MyRowHidden(ROW()-1)=TRUE),0,(G961-G960)*unitsOfExo+J960)</f>
        <v>-176625</v>
      </c>
      <c r="K961" s="9">
        <f t="shared" si="72"/>
        <v>176625</v>
      </c>
      <c r="L961">
        <f t="shared" si="73"/>
        <v>-50892.823812998569</v>
      </c>
      <c r="M961">
        <f>IF(AND(MyRowHidden(ROW())=FALSE,MyRowHidden(ROW()-1)=TRUE),0,(G961-G960)*unitsFuturesCompare+M960)</f>
        <v>-353250</v>
      </c>
      <c r="N961">
        <f>IF(MyRowHidden(ROW())=TRUE,0,L961-M961)</f>
        <v>302357.1761870014</v>
      </c>
      <c r="O961">
        <f>MAX(N$12:N961)</f>
        <v>309755.64762599708</v>
      </c>
      <c r="P961">
        <f>IF(O961&gt;O960,(O961-O960)*percentSavingsParticipation,0)</f>
        <v>0</v>
      </c>
      <c r="Q961">
        <f t="shared" si="74"/>
        <v>154877.82381299854</v>
      </c>
      <c r="R961">
        <f t="shared" si="75"/>
        <v>103985</v>
      </c>
    </row>
    <row r="962" spans="4:18" x14ac:dyDescent="0.25">
      <c r="D962" s="1">
        <v>42605</v>
      </c>
      <c r="E962" s="10">
        <v>56873.5</v>
      </c>
      <c r="F962" s="1">
        <v>42605</v>
      </c>
      <c r="G962">
        <v>-13224</v>
      </c>
      <c r="H962" s="1">
        <f t="shared" si="71"/>
        <v>42605</v>
      </c>
      <c r="I962">
        <f>IF(AND(MyRowHidden(ROW())=FALSE,MyRowHidden(ROW()-1)=TRUE),0,(E962-E961)*unitsOfDHp+I961)</f>
        <v>278485</v>
      </c>
      <c r="J962">
        <f>IF(AND(MyRowHidden(ROW())=FALSE,MyRowHidden(ROW()-1)=TRUE),0,(G962-G961)*unitsOfExo+J961)</f>
        <v>-178625</v>
      </c>
      <c r="K962" s="9">
        <f t="shared" si="72"/>
        <v>178625</v>
      </c>
      <c r="L962">
        <f t="shared" si="73"/>
        <v>-55017.823812998569</v>
      </c>
      <c r="M962">
        <f>IF(AND(MyRowHidden(ROW())=FALSE,MyRowHidden(ROW()-1)=TRUE),0,(G962-G961)*unitsFuturesCompare+M961)</f>
        <v>-357250</v>
      </c>
      <c r="N962">
        <f>IF(MyRowHidden(ROW())=TRUE,0,L962-M962)</f>
        <v>302232.1761870014</v>
      </c>
      <c r="O962">
        <f>MAX(N$12:N962)</f>
        <v>309755.64762599708</v>
      </c>
      <c r="P962">
        <f>IF(O962&gt;O961,(O962-O961)*percentSavingsParticipation,0)</f>
        <v>0</v>
      </c>
      <c r="Q962">
        <f t="shared" si="74"/>
        <v>154877.82381299854</v>
      </c>
      <c r="R962">
        <f t="shared" si="75"/>
        <v>99860</v>
      </c>
    </row>
    <row r="963" spans="4:18" x14ac:dyDescent="0.25">
      <c r="D963" s="1">
        <v>42606</v>
      </c>
      <c r="E963" s="10">
        <v>56713</v>
      </c>
      <c r="F963" s="1">
        <v>42606</v>
      </c>
      <c r="G963">
        <v>-13336.5</v>
      </c>
      <c r="H963" s="1">
        <f t="shared" si="71"/>
        <v>42606</v>
      </c>
      <c r="I963">
        <f>IF(AND(MyRowHidden(ROW())=FALSE,MyRowHidden(ROW()-1)=TRUE),0,(E963-E962)*unitsOfDHp+I962)</f>
        <v>276880</v>
      </c>
      <c r="J963">
        <f>IF(AND(MyRowHidden(ROW())=FALSE,MyRowHidden(ROW()-1)=TRUE),0,(G963-G962)*unitsOfExo+J962)</f>
        <v>-179750</v>
      </c>
      <c r="K963" s="9">
        <f t="shared" si="72"/>
        <v>179750</v>
      </c>
      <c r="L963">
        <f t="shared" si="73"/>
        <v>-57747.823812998569</v>
      </c>
      <c r="M963">
        <f>IF(AND(MyRowHidden(ROW())=FALSE,MyRowHidden(ROW()-1)=TRUE),0,(G963-G962)*unitsFuturesCompare+M962)</f>
        <v>-359500</v>
      </c>
      <c r="N963">
        <f>IF(MyRowHidden(ROW())=TRUE,0,L963-M963)</f>
        <v>301752.1761870014</v>
      </c>
      <c r="O963">
        <f>MAX(N$12:N963)</f>
        <v>309755.64762599708</v>
      </c>
      <c r="P963">
        <f>IF(O963&gt;O962,(O963-O962)*percentSavingsParticipation,0)</f>
        <v>0</v>
      </c>
      <c r="Q963">
        <f t="shared" si="74"/>
        <v>154877.82381299854</v>
      </c>
      <c r="R963">
        <f t="shared" si="75"/>
        <v>97130</v>
      </c>
    </row>
    <row r="964" spans="4:18" x14ac:dyDescent="0.25">
      <c r="D964" s="1">
        <v>42607</v>
      </c>
      <c r="E964" s="10">
        <v>56258</v>
      </c>
      <c r="F964" s="1">
        <v>42607</v>
      </c>
      <c r="G964">
        <v>-13536.5</v>
      </c>
      <c r="H964" s="1">
        <f t="shared" si="71"/>
        <v>42607</v>
      </c>
      <c r="I964">
        <f>IF(AND(MyRowHidden(ROW())=FALSE,MyRowHidden(ROW()-1)=TRUE),0,(E964-E963)*unitsOfDHp+I963)</f>
        <v>272330</v>
      </c>
      <c r="J964">
        <f>IF(AND(MyRowHidden(ROW())=FALSE,MyRowHidden(ROW()-1)=TRUE),0,(G964-G963)*unitsOfExo+J963)</f>
        <v>-181750</v>
      </c>
      <c r="K964" s="9">
        <f t="shared" si="72"/>
        <v>181750</v>
      </c>
      <c r="L964">
        <f t="shared" si="73"/>
        <v>-64297.823812998569</v>
      </c>
      <c r="M964">
        <f>IF(AND(MyRowHidden(ROW())=FALSE,MyRowHidden(ROW()-1)=TRUE),0,(G964-G963)*unitsFuturesCompare+M963)</f>
        <v>-363500</v>
      </c>
      <c r="N964">
        <f>IF(MyRowHidden(ROW())=TRUE,0,L964-M964)</f>
        <v>299202.1761870014</v>
      </c>
      <c r="O964">
        <f>MAX(N$12:N964)</f>
        <v>309755.64762599708</v>
      </c>
      <c r="P964">
        <f>IF(O964&gt;O963,(O964-O963)*percentSavingsParticipation,0)</f>
        <v>0</v>
      </c>
      <c r="Q964">
        <f t="shared" si="74"/>
        <v>154877.82381299854</v>
      </c>
      <c r="R964">
        <f t="shared" si="75"/>
        <v>90580</v>
      </c>
    </row>
    <row r="965" spans="4:18" x14ac:dyDescent="0.25">
      <c r="D965" s="1">
        <v>42608</v>
      </c>
      <c r="E965" s="10">
        <v>56702.75</v>
      </c>
      <c r="F965" s="1">
        <v>42608</v>
      </c>
      <c r="G965">
        <v>-13799</v>
      </c>
      <c r="H965" s="1">
        <f t="shared" si="71"/>
        <v>42608</v>
      </c>
      <c r="I965">
        <f>IF(AND(MyRowHidden(ROW())=FALSE,MyRowHidden(ROW()-1)=TRUE),0,(E965-E964)*unitsOfDHp+I964)</f>
        <v>276777.5</v>
      </c>
      <c r="J965">
        <f>IF(AND(MyRowHidden(ROW())=FALSE,MyRowHidden(ROW()-1)=TRUE),0,(G965-G964)*unitsOfExo+J964)</f>
        <v>-184375</v>
      </c>
      <c r="K965" s="9">
        <f t="shared" si="72"/>
        <v>184375</v>
      </c>
      <c r="L965">
        <f t="shared" si="73"/>
        <v>-62475.323812998569</v>
      </c>
      <c r="M965">
        <f>IF(AND(MyRowHidden(ROW())=FALSE,MyRowHidden(ROW()-1)=TRUE),0,(G965-G964)*unitsFuturesCompare+M964)</f>
        <v>-368750</v>
      </c>
      <c r="N965">
        <f>IF(MyRowHidden(ROW())=TRUE,0,L965-M965)</f>
        <v>306274.6761870014</v>
      </c>
      <c r="O965">
        <f>MAX(N$12:N965)</f>
        <v>309755.64762599708</v>
      </c>
      <c r="P965">
        <f>IF(O965&gt;O964,(O965-O964)*percentSavingsParticipation,0)</f>
        <v>0</v>
      </c>
      <c r="Q965">
        <f t="shared" si="74"/>
        <v>154877.82381299854</v>
      </c>
      <c r="R965">
        <f t="shared" si="75"/>
        <v>92402.5</v>
      </c>
    </row>
    <row r="966" spans="4:18" x14ac:dyDescent="0.25">
      <c r="D966" s="1">
        <v>42611</v>
      </c>
      <c r="E966" s="10">
        <v>57005.75</v>
      </c>
      <c r="F966" s="1">
        <v>42611</v>
      </c>
      <c r="G966">
        <v>-14124</v>
      </c>
      <c r="H966" s="1">
        <f t="shared" si="71"/>
        <v>42611</v>
      </c>
      <c r="I966">
        <f>IF(AND(MyRowHidden(ROW())=FALSE,MyRowHidden(ROW()-1)=TRUE),0,(E966-E965)*unitsOfDHp+I965)</f>
        <v>279807.5</v>
      </c>
      <c r="J966">
        <f>IF(AND(MyRowHidden(ROW())=FALSE,MyRowHidden(ROW()-1)=TRUE),0,(G966-G965)*unitsOfExo+J965)</f>
        <v>-187625</v>
      </c>
      <c r="K966" s="9">
        <f t="shared" si="72"/>
        <v>187625</v>
      </c>
      <c r="L966">
        <f t="shared" si="73"/>
        <v>-62695.323812998569</v>
      </c>
      <c r="M966">
        <f>IF(AND(MyRowHidden(ROW())=FALSE,MyRowHidden(ROW()-1)=TRUE),0,(G966-G965)*unitsFuturesCompare+M965)</f>
        <v>-375250</v>
      </c>
      <c r="N966">
        <f>IF(MyRowHidden(ROW())=TRUE,0,L966-M966)</f>
        <v>312554.6761870014</v>
      </c>
      <c r="O966">
        <f>MAX(N$12:N966)</f>
        <v>312554.6761870014</v>
      </c>
      <c r="P966">
        <f>IF(O966&gt;O965,(O966-O965)*percentSavingsParticipation,0)</f>
        <v>1399.5142805021605</v>
      </c>
      <c r="Q966">
        <f t="shared" si="74"/>
        <v>156277.3380935007</v>
      </c>
      <c r="R966">
        <f t="shared" si="75"/>
        <v>92182.5</v>
      </c>
    </row>
    <row r="967" spans="4:18" x14ac:dyDescent="0.25">
      <c r="D967" s="1">
        <v>42612</v>
      </c>
      <c r="E967" s="10">
        <v>56694.75</v>
      </c>
      <c r="F967" s="1">
        <v>42612</v>
      </c>
      <c r="G967">
        <v>-14274</v>
      </c>
      <c r="H967" s="1">
        <f t="shared" si="71"/>
        <v>42612</v>
      </c>
      <c r="I967">
        <f>IF(AND(MyRowHidden(ROW())=FALSE,MyRowHidden(ROW()-1)=TRUE),0,(E967-E966)*unitsOfDHp+I966)</f>
        <v>276697.5</v>
      </c>
      <c r="J967">
        <f>IF(AND(MyRowHidden(ROW())=FALSE,MyRowHidden(ROW()-1)=TRUE),0,(G967-G966)*unitsOfExo+J966)</f>
        <v>-189125</v>
      </c>
      <c r="K967" s="9">
        <f t="shared" si="72"/>
        <v>189125</v>
      </c>
      <c r="L967">
        <f t="shared" si="73"/>
        <v>-68704.83809350073</v>
      </c>
      <c r="M967">
        <f>IF(AND(MyRowHidden(ROW())=FALSE,MyRowHidden(ROW()-1)=TRUE),0,(G967-G966)*unitsFuturesCompare+M966)</f>
        <v>-378250</v>
      </c>
      <c r="N967">
        <f>IF(MyRowHidden(ROW())=TRUE,0,L967-M967)</f>
        <v>309545.1619064993</v>
      </c>
      <c r="O967">
        <f>MAX(N$12:N967)</f>
        <v>312554.6761870014</v>
      </c>
      <c r="P967">
        <f>IF(O967&gt;O966,(O967-O966)*percentSavingsParticipation,0)</f>
        <v>0</v>
      </c>
      <c r="Q967">
        <f t="shared" si="74"/>
        <v>156277.3380935007</v>
      </c>
      <c r="R967">
        <f t="shared" si="75"/>
        <v>87572.5</v>
      </c>
    </row>
    <row r="968" spans="4:18" x14ac:dyDescent="0.25">
      <c r="D968" s="1">
        <v>42613</v>
      </c>
      <c r="E968" s="10">
        <v>56544.75</v>
      </c>
      <c r="F968" s="1">
        <v>42613</v>
      </c>
      <c r="G968">
        <v>-14299</v>
      </c>
      <c r="H968" s="1">
        <f t="shared" si="71"/>
        <v>42613</v>
      </c>
      <c r="I968">
        <f>IF(AND(MyRowHidden(ROW())=FALSE,MyRowHidden(ROW()-1)=TRUE),0,(E968-E967)*unitsOfDHp+I967)</f>
        <v>275197.5</v>
      </c>
      <c r="J968">
        <f>IF(AND(MyRowHidden(ROW())=FALSE,MyRowHidden(ROW()-1)=TRUE),0,(G968-G967)*unitsOfExo+J967)</f>
        <v>-189375</v>
      </c>
      <c r="K968" s="9">
        <f t="shared" si="72"/>
        <v>189375</v>
      </c>
      <c r="L968">
        <f t="shared" si="73"/>
        <v>-70454.83809350073</v>
      </c>
      <c r="M968">
        <f>IF(AND(MyRowHidden(ROW())=FALSE,MyRowHidden(ROW()-1)=TRUE),0,(G968-G967)*unitsFuturesCompare+M967)</f>
        <v>-378750</v>
      </c>
      <c r="N968">
        <f>IF(MyRowHidden(ROW())=TRUE,0,L968-M968)</f>
        <v>308295.1619064993</v>
      </c>
      <c r="O968">
        <f>MAX(N$12:N968)</f>
        <v>312554.6761870014</v>
      </c>
      <c r="P968">
        <f>IF(O968&gt;O967,(O968-O967)*percentSavingsParticipation,0)</f>
        <v>0</v>
      </c>
      <c r="Q968">
        <f t="shared" si="74"/>
        <v>156277.3380935007</v>
      </c>
      <c r="R968">
        <f t="shared" si="75"/>
        <v>85822.5</v>
      </c>
    </row>
    <row r="969" spans="4:18" x14ac:dyDescent="0.25">
      <c r="D969" s="1">
        <v>42614</v>
      </c>
      <c r="E969" s="10">
        <v>56344.75</v>
      </c>
      <c r="F969" s="1">
        <v>42614</v>
      </c>
      <c r="G969">
        <v>-14036</v>
      </c>
      <c r="H969" s="1">
        <f t="shared" si="71"/>
        <v>42614</v>
      </c>
      <c r="I969">
        <f>IF(AND(MyRowHidden(ROW())=FALSE,MyRowHidden(ROW()-1)=TRUE),0,(E969-E968)*unitsOfDHp+I968)</f>
        <v>273197.5</v>
      </c>
      <c r="J969">
        <f>IF(AND(MyRowHidden(ROW())=FALSE,MyRowHidden(ROW()-1)=TRUE),0,(G969-G968)*unitsOfExo+J968)</f>
        <v>-186745</v>
      </c>
      <c r="K969" s="9">
        <f t="shared" si="72"/>
        <v>186745</v>
      </c>
      <c r="L969">
        <f t="shared" si="73"/>
        <v>-69824.83809350073</v>
      </c>
      <c r="M969">
        <f>IF(AND(MyRowHidden(ROW())=FALSE,MyRowHidden(ROW()-1)=TRUE),0,(G969-G968)*unitsFuturesCompare+M968)</f>
        <v>-373490</v>
      </c>
      <c r="N969">
        <f>IF(MyRowHidden(ROW())=TRUE,0,L969-M969)</f>
        <v>303665.1619064993</v>
      </c>
      <c r="O969">
        <f>MAX(N$12:N969)</f>
        <v>312554.6761870014</v>
      </c>
      <c r="P969">
        <f>IF(O969&gt;O968,(O969-O968)*percentSavingsParticipation,0)</f>
        <v>0</v>
      </c>
      <c r="Q969">
        <f t="shared" si="74"/>
        <v>156277.3380935007</v>
      </c>
      <c r="R969">
        <f t="shared" si="75"/>
        <v>86452.5</v>
      </c>
    </row>
    <row r="970" spans="4:18" x14ac:dyDescent="0.25">
      <c r="D970" s="1">
        <v>42615</v>
      </c>
      <c r="E970" s="10">
        <v>56269.75</v>
      </c>
      <c r="F970" s="1">
        <v>42615</v>
      </c>
      <c r="G970">
        <v>-13711</v>
      </c>
      <c r="H970" s="1">
        <f t="shared" si="71"/>
        <v>42615</v>
      </c>
      <c r="I970">
        <f>IF(AND(MyRowHidden(ROW())=FALSE,MyRowHidden(ROW()-1)=TRUE),0,(E970-E969)*unitsOfDHp+I969)</f>
        <v>272447.5</v>
      </c>
      <c r="J970">
        <f>IF(AND(MyRowHidden(ROW())=FALSE,MyRowHidden(ROW()-1)=TRUE),0,(G970-G969)*unitsOfExo+J969)</f>
        <v>-183495</v>
      </c>
      <c r="K970" s="9">
        <f t="shared" si="72"/>
        <v>183495</v>
      </c>
      <c r="L970">
        <f t="shared" si="73"/>
        <v>-67324.83809350073</v>
      </c>
      <c r="M970">
        <f>IF(AND(MyRowHidden(ROW())=FALSE,MyRowHidden(ROW()-1)=TRUE),0,(G970-G969)*unitsFuturesCompare+M969)</f>
        <v>-366990</v>
      </c>
      <c r="N970">
        <f>IF(MyRowHidden(ROW())=TRUE,0,L970-M970)</f>
        <v>299665.1619064993</v>
      </c>
      <c r="O970">
        <f>MAX(N$12:N970)</f>
        <v>312554.6761870014</v>
      </c>
      <c r="P970">
        <f>IF(O970&gt;O969,(O970-O969)*percentSavingsParticipation,0)</f>
        <v>0</v>
      </c>
      <c r="Q970">
        <f t="shared" si="74"/>
        <v>156277.3380935007</v>
      </c>
      <c r="R970">
        <f t="shared" si="75"/>
        <v>88952.5</v>
      </c>
    </row>
    <row r="971" spans="4:18" x14ac:dyDescent="0.25">
      <c r="D971" s="1">
        <v>42618</v>
      </c>
      <c r="E971" s="10">
        <v>56357.25</v>
      </c>
      <c r="F971" s="1">
        <v>42618</v>
      </c>
      <c r="G971">
        <v>-13711</v>
      </c>
      <c r="H971" s="1">
        <f t="shared" si="71"/>
        <v>42618</v>
      </c>
      <c r="I971">
        <f>IF(AND(MyRowHidden(ROW())=FALSE,MyRowHidden(ROW()-1)=TRUE),0,(E971-E970)*unitsOfDHp+I970)</f>
        <v>273322.5</v>
      </c>
      <c r="J971">
        <f>IF(AND(MyRowHidden(ROW())=FALSE,MyRowHidden(ROW()-1)=TRUE),0,(G971-G970)*unitsOfExo+J970)</f>
        <v>-183495</v>
      </c>
      <c r="K971" s="9">
        <f t="shared" si="72"/>
        <v>183495</v>
      </c>
      <c r="L971">
        <f t="shared" si="73"/>
        <v>-66449.83809350073</v>
      </c>
      <c r="M971">
        <f>IF(AND(MyRowHidden(ROW())=FALSE,MyRowHidden(ROW()-1)=TRUE),0,(G971-G970)*unitsFuturesCompare+M970)</f>
        <v>-366990</v>
      </c>
      <c r="N971">
        <f>IF(MyRowHidden(ROW())=TRUE,0,L971-M971)</f>
        <v>300540.1619064993</v>
      </c>
      <c r="O971">
        <f>MAX(N$12:N971)</f>
        <v>312554.6761870014</v>
      </c>
      <c r="P971">
        <f>IF(O971&gt;O970,(O971-O970)*percentSavingsParticipation,0)</f>
        <v>0</v>
      </c>
      <c r="Q971">
        <f t="shared" si="74"/>
        <v>156277.3380935007</v>
      </c>
      <c r="R971">
        <f t="shared" si="75"/>
        <v>89827.5</v>
      </c>
    </row>
    <row r="972" spans="4:18" x14ac:dyDescent="0.25">
      <c r="D972" s="1">
        <v>42619</v>
      </c>
      <c r="E972" s="10">
        <v>56269.75</v>
      </c>
      <c r="F972" s="1">
        <v>42619</v>
      </c>
      <c r="G972">
        <v>-13773.5</v>
      </c>
      <c r="H972" s="1">
        <f t="shared" si="71"/>
        <v>42619</v>
      </c>
      <c r="I972">
        <f>IF(AND(MyRowHidden(ROW())=FALSE,MyRowHidden(ROW()-1)=TRUE),0,(E972-E971)*unitsOfDHp+I971)</f>
        <v>272447.5</v>
      </c>
      <c r="J972">
        <f>IF(AND(MyRowHidden(ROW())=FALSE,MyRowHidden(ROW()-1)=TRUE),0,(G972-G971)*unitsOfExo+J971)</f>
        <v>-184120</v>
      </c>
      <c r="K972" s="9">
        <f t="shared" si="72"/>
        <v>184120</v>
      </c>
      <c r="L972">
        <f t="shared" si="73"/>
        <v>-67949.83809350073</v>
      </c>
      <c r="M972">
        <f>IF(AND(MyRowHidden(ROW())=FALSE,MyRowHidden(ROW()-1)=TRUE),0,(G972-G971)*unitsFuturesCompare+M971)</f>
        <v>-368240</v>
      </c>
      <c r="N972">
        <f>IF(MyRowHidden(ROW())=TRUE,0,L972-M972)</f>
        <v>300290.1619064993</v>
      </c>
      <c r="O972">
        <f>MAX(N$12:N972)</f>
        <v>312554.6761870014</v>
      </c>
      <c r="P972">
        <f>IF(O972&gt;O971,(O972-O971)*percentSavingsParticipation,0)</f>
        <v>0</v>
      </c>
      <c r="Q972">
        <f t="shared" si="74"/>
        <v>156277.3380935007</v>
      </c>
      <c r="R972">
        <f t="shared" si="75"/>
        <v>88327.5</v>
      </c>
    </row>
    <row r="973" spans="4:18" x14ac:dyDescent="0.25">
      <c r="D973" s="1">
        <v>42620</v>
      </c>
      <c r="E973" s="10">
        <v>56382.25</v>
      </c>
      <c r="F973" s="1">
        <v>42620</v>
      </c>
      <c r="G973">
        <v>-13536</v>
      </c>
      <c r="H973" s="1">
        <f t="shared" ref="H973:H982" si="76">D973</f>
        <v>42620</v>
      </c>
      <c r="I973">
        <f>IF(AND(MyRowHidden(ROW())=FALSE,MyRowHidden(ROW()-1)=TRUE),0,(E973-E972)*unitsOfDHp+I972)</f>
        <v>273572.5</v>
      </c>
      <c r="J973">
        <f>IF(AND(MyRowHidden(ROW())=FALSE,MyRowHidden(ROW()-1)=TRUE),0,(G973-G972)*unitsOfExo+J972)</f>
        <v>-181745</v>
      </c>
      <c r="K973" s="9">
        <f t="shared" ref="K973:K1036" si="77">-(J973-J972)+K972</f>
        <v>181745</v>
      </c>
      <c r="L973">
        <f t="shared" ref="L973:L982" si="78">I973-I972+J973-J972+L972-P972</f>
        <v>-64449.83809350073</v>
      </c>
      <c r="M973">
        <f>IF(AND(MyRowHidden(ROW())=FALSE,MyRowHidden(ROW()-1)=TRUE),0,(G973-G972)*unitsFuturesCompare+M972)</f>
        <v>-363490</v>
      </c>
      <c r="N973">
        <f>IF(MyRowHidden(ROW())=TRUE,0,L973-M973)</f>
        <v>299040.1619064993</v>
      </c>
      <c r="O973">
        <f>MAX(N$12:N973)</f>
        <v>312554.6761870014</v>
      </c>
      <c r="P973">
        <f>IF(O973&gt;O972,(O973-O972)*percentSavingsParticipation,0)</f>
        <v>0</v>
      </c>
      <c r="Q973">
        <f t="shared" ref="Q973:Q1036" si="79">P973+Q972</f>
        <v>156277.3380935007</v>
      </c>
      <c r="R973">
        <f t="shared" ref="R973:R982" si="80">I973+J973</f>
        <v>91827.5</v>
      </c>
    </row>
    <row r="974" spans="4:18" x14ac:dyDescent="0.25">
      <c r="D974" s="1">
        <v>42621</v>
      </c>
      <c r="E974" s="10">
        <v>56408.75</v>
      </c>
      <c r="F974" s="1">
        <v>42621</v>
      </c>
      <c r="G974">
        <v>-13223.5</v>
      </c>
      <c r="H974" s="1">
        <f t="shared" si="76"/>
        <v>42621</v>
      </c>
      <c r="I974">
        <f>IF(AND(MyRowHidden(ROW())=FALSE,MyRowHidden(ROW()-1)=TRUE),0,(E974-E973)*unitsOfDHp+I973)</f>
        <v>273837.5</v>
      </c>
      <c r="J974">
        <f>IF(AND(MyRowHidden(ROW())=FALSE,MyRowHidden(ROW()-1)=TRUE),0,(G974-G973)*unitsOfExo+J973)</f>
        <v>-178620</v>
      </c>
      <c r="K974" s="9">
        <f t="shared" si="77"/>
        <v>178620</v>
      </c>
      <c r="L974">
        <f t="shared" si="78"/>
        <v>-61059.83809350073</v>
      </c>
      <c r="M974">
        <f>IF(AND(MyRowHidden(ROW())=FALSE,MyRowHidden(ROW()-1)=TRUE),0,(G974-G973)*unitsFuturesCompare+M973)</f>
        <v>-357240</v>
      </c>
      <c r="N974">
        <f>IF(MyRowHidden(ROW())=TRUE,0,L974-M974)</f>
        <v>296180.1619064993</v>
      </c>
      <c r="O974">
        <f>MAX(N$12:N974)</f>
        <v>312554.6761870014</v>
      </c>
      <c r="P974">
        <f>IF(O974&gt;O973,(O974-O973)*percentSavingsParticipation,0)</f>
        <v>0</v>
      </c>
      <c r="Q974">
        <f t="shared" si="79"/>
        <v>156277.3380935007</v>
      </c>
      <c r="R974">
        <f t="shared" si="80"/>
        <v>95217.5</v>
      </c>
    </row>
    <row r="975" spans="4:18" x14ac:dyDescent="0.25">
      <c r="D975" s="1">
        <v>42622</v>
      </c>
      <c r="E975" s="10">
        <v>56383.75</v>
      </c>
      <c r="F975" s="1">
        <v>42622</v>
      </c>
      <c r="G975">
        <v>-13061</v>
      </c>
      <c r="H975" s="1">
        <f t="shared" si="76"/>
        <v>42622</v>
      </c>
      <c r="I975">
        <f>IF(AND(MyRowHidden(ROW())=FALSE,MyRowHidden(ROW()-1)=TRUE),0,(E975-E974)*unitsOfDHp+I974)</f>
        <v>273587.5</v>
      </c>
      <c r="J975">
        <f>IF(AND(MyRowHidden(ROW())=FALSE,MyRowHidden(ROW()-1)=TRUE),0,(G975-G974)*unitsOfExo+J974)</f>
        <v>-176995</v>
      </c>
      <c r="K975" s="9">
        <f t="shared" si="77"/>
        <v>176995</v>
      </c>
      <c r="L975">
        <f t="shared" si="78"/>
        <v>-59684.83809350073</v>
      </c>
      <c r="M975">
        <f>IF(AND(MyRowHidden(ROW())=FALSE,MyRowHidden(ROW()-1)=TRUE),0,(G975-G974)*unitsFuturesCompare+M974)</f>
        <v>-353990</v>
      </c>
      <c r="N975">
        <f>IF(MyRowHidden(ROW())=TRUE,0,L975-M975)</f>
        <v>294305.1619064993</v>
      </c>
      <c r="O975">
        <f>MAX(N$12:N975)</f>
        <v>312554.6761870014</v>
      </c>
      <c r="P975">
        <f>IF(O975&gt;O974,(O975-O974)*percentSavingsParticipation,0)</f>
        <v>0</v>
      </c>
      <c r="Q975">
        <f t="shared" si="79"/>
        <v>156277.3380935007</v>
      </c>
      <c r="R975">
        <f t="shared" si="80"/>
        <v>96592.5</v>
      </c>
    </row>
    <row r="976" spans="4:18" x14ac:dyDescent="0.25">
      <c r="D976" s="1">
        <v>42625</v>
      </c>
      <c r="E976" s="10">
        <v>56296.25</v>
      </c>
      <c r="F976" s="1">
        <v>42625</v>
      </c>
      <c r="G976">
        <v>-13148.5</v>
      </c>
      <c r="H976" s="1">
        <f t="shared" si="76"/>
        <v>42625</v>
      </c>
      <c r="I976">
        <f>IF(AND(MyRowHidden(ROW())=FALSE,MyRowHidden(ROW()-1)=TRUE),0,(E976-E975)*unitsOfDHp+I975)</f>
        <v>272712.5</v>
      </c>
      <c r="J976">
        <f>IF(AND(MyRowHidden(ROW())=FALSE,MyRowHidden(ROW()-1)=TRUE),0,(G976-G975)*unitsOfExo+J975)</f>
        <v>-177870</v>
      </c>
      <c r="K976" s="9">
        <f t="shared" si="77"/>
        <v>177870</v>
      </c>
      <c r="L976">
        <f t="shared" si="78"/>
        <v>-61434.83809350073</v>
      </c>
      <c r="M976">
        <f>IF(AND(MyRowHidden(ROW())=FALSE,MyRowHidden(ROW()-1)=TRUE),0,(G976-G975)*unitsFuturesCompare+M975)</f>
        <v>-355740</v>
      </c>
      <c r="N976">
        <f>IF(MyRowHidden(ROW())=TRUE,0,L976-M976)</f>
        <v>294305.1619064993</v>
      </c>
      <c r="O976">
        <f>MAX(N$12:N976)</f>
        <v>312554.6761870014</v>
      </c>
      <c r="P976">
        <f>IF(O976&gt;O975,(O976-O975)*percentSavingsParticipation,0)</f>
        <v>0</v>
      </c>
      <c r="Q976">
        <f t="shared" si="79"/>
        <v>156277.3380935007</v>
      </c>
      <c r="R976">
        <f t="shared" si="80"/>
        <v>94842.5</v>
      </c>
    </row>
    <row r="977" spans="4:18" x14ac:dyDescent="0.25">
      <c r="D977" s="1">
        <v>42626</v>
      </c>
      <c r="E977" s="10">
        <v>56662.75</v>
      </c>
      <c r="F977" s="1">
        <v>42626</v>
      </c>
      <c r="G977">
        <v>-13623.5</v>
      </c>
      <c r="H977" s="1">
        <f t="shared" si="76"/>
        <v>42626</v>
      </c>
      <c r="I977">
        <f>IF(AND(MyRowHidden(ROW())=FALSE,MyRowHidden(ROW()-1)=TRUE),0,(E977-E976)*unitsOfDHp+I976)</f>
        <v>276377.5</v>
      </c>
      <c r="J977">
        <f>IF(AND(MyRowHidden(ROW())=FALSE,MyRowHidden(ROW()-1)=TRUE),0,(G977-G976)*unitsOfExo+J976)</f>
        <v>-182620</v>
      </c>
      <c r="K977" s="9">
        <f t="shared" si="77"/>
        <v>182620</v>
      </c>
      <c r="L977">
        <f t="shared" si="78"/>
        <v>-62519.83809350073</v>
      </c>
      <c r="M977">
        <f>IF(AND(MyRowHidden(ROW())=FALSE,MyRowHidden(ROW()-1)=TRUE),0,(G977-G976)*unitsFuturesCompare+M976)</f>
        <v>-365240</v>
      </c>
      <c r="N977">
        <f>IF(MyRowHidden(ROW())=TRUE,0,L977-M977)</f>
        <v>302720.1619064993</v>
      </c>
      <c r="O977">
        <f>MAX(N$12:N977)</f>
        <v>312554.6761870014</v>
      </c>
      <c r="P977">
        <f>IF(O977&gt;O976,(O977-O976)*percentSavingsParticipation,0)</f>
        <v>0</v>
      </c>
      <c r="Q977">
        <f t="shared" si="79"/>
        <v>156277.3380935007</v>
      </c>
      <c r="R977">
        <f t="shared" si="80"/>
        <v>93757.5</v>
      </c>
    </row>
    <row r="978" spans="4:18" x14ac:dyDescent="0.25">
      <c r="D978" s="1">
        <v>42627</v>
      </c>
      <c r="E978" s="10">
        <v>56500.25</v>
      </c>
      <c r="F978" s="1">
        <v>42627</v>
      </c>
      <c r="G978">
        <v>-13598.5</v>
      </c>
      <c r="H978" s="1">
        <f t="shared" si="76"/>
        <v>42627</v>
      </c>
      <c r="I978">
        <f>IF(AND(MyRowHidden(ROW())=FALSE,MyRowHidden(ROW()-1)=TRUE),0,(E978-E977)*unitsOfDHp+I977)</f>
        <v>274752.5</v>
      </c>
      <c r="J978">
        <f>IF(AND(MyRowHidden(ROW())=FALSE,MyRowHidden(ROW()-1)=TRUE),0,(G978-G977)*unitsOfExo+J977)</f>
        <v>-182370</v>
      </c>
      <c r="K978" s="9">
        <f t="shared" si="77"/>
        <v>182370</v>
      </c>
      <c r="L978">
        <f t="shared" si="78"/>
        <v>-63894.83809350073</v>
      </c>
      <c r="M978">
        <f>IF(AND(MyRowHidden(ROW())=FALSE,MyRowHidden(ROW()-1)=TRUE),0,(G978-G977)*unitsFuturesCompare+M977)</f>
        <v>-364740</v>
      </c>
      <c r="N978">
        <f>IF(MyRowHidden(ROW())=TRUE,0,L978-M978)</f>
        <v>300845.1619064993</v>
      </c>
      <c r="O978">
        <f>MAX(N$12:N978)</f>
        <v>312554.6761870014</v>
      </c>
      <c r="P978">
        <f>IF(O978&gt;O977,(O978-O977)*percentSavingsParticipation,0)</f>
        <v>0</v>
      </c>
      <c r="Q978">
        <f t="shared" si="79"/>
        <v>156277.3380935007</v>
      </c>
      <c r="R978">
        <f t="shared" si="80"/>
        <v>92382.5</v>
      </c>
    </row>
    <row r="979" spans="4:18" x14ac:dyDescent="0.25">
      <c r="D979" s="1">
        <v>42628</v>
      </c>
      <c r="E979" s="10">
        <v>56503.25</v>
      </c>
      <c r="F979" s="1">
        <v>42628</v>
      </c>
      <c r="G979">
        <v>-13686</v>
      </c>
      <c r="H979" s="1">
        <f t="shared" si="76"/>
        <v>42628</v>
      </c>
      <c r="I979">
        <f>IF(AND(MyRowHidden(ROW())=FALSE,MyRowHidden(ROW()-1)=TRUE),0,(E979-E978)*unitsOfDHp+I978)</f>
        <v>274782.5</v>
      </c>
      <c r="J979">
        <f>IF(AND(MyRowHidden(ROW())=FALSE,MyRowHidden(ROW()-1)=TRUE),0,(G979-G978)*unitsOfExo+J978)</f>
        <v>-183245</v>
      </c>
      <c r="K979" s="9">
        <f t="shared" si="77"/>
        <v>183245</v>
      </c>
      <c r="L979">
        <f t="shared" si="78"/>
        <v>-64739.83809350073</v>
      </c>
      <c r="M979">
        <f>IF(AND(MyRowHidden(ROW())=FALSE,MyRowHidden(ROW()-1)=TRUE),0,(G979-G978)*unitsFuturesCompare+M978)</f>
        <v>-366490</v>
      </c>
      <c r="N979">
        <f>IF(MyRowHidden(ROW())=TRUE,0,L979-M979)</f>
        <v>301750.1619064993</v>
      </c>
      <c r="O979">
        <f>MAX(N$12:N979)</f>
        <v>312554.6761870014</v>
      </c>
      <c r="P979">
        <f>IF(O979&gt;O978,(O979-O978)*percentSavingsParticipation,0)</f>
        <v>0</v>
      </c>
      <c r="Q979">
        <f t="shared" si="79"/>
        <v>156277.3380935007</v>
      </c>
      <c r="R979">
        <f t="shared" si="80"/>
        <v>91537.5</v>
      </c>
    </row>
    <row r="980" spans="4:18" x14ac:dyDescent="0.25">
      <c r="D980" s="1">
        <v>42629</v>
      </c>
      <c r="E980" s="10">
        <v>57004.75</v>
      </c>
      <c r="F980" s="1">
        <v>42629</v>
      </c>
      <c r="G980">
        <v>-13286</v>
      </c>
      <c r="H980" s="1">
        <f t="shared" si="76"/>
        <v>42629</v>
      </c>
      <c r="I980">
        <f>IF(AND(MyRowHidden(ROW())=FALSE,MyRowHidden(ROW()-1)=TRUE),0,(E980-E979)*unitsOfDHp+I979)</f>
        <v>279797.5</v>
      </c>
      <c r="J980">
        <f>IF(AND(MyRowHidden(ROW())=FALSE,MyRowHidden(ROW()-1)=TRUE),0,(G980-G979)*unitsOfExo+J979)</f>
        <v>-179245</v>
      </c>
      <c r="K980" s="9">
        <f t="shared" si="77"/>
        <v>179245</v>
      </c>
      <c r="L980">
        <f t="shared" si="78"/>
        <v>-55724.83809350073</v>
      </c>
      <c r="M980">
        <f>IF(AND(MyRowHidden(ROW())=FALSE,MyRowHidden(ROW()-1)=TRUE),0,(G980-G979)*unitsFuturesCompare+M979)</f>
        <v>-358490</v>
      </c>
      <c r="N980">
        <f>IF(MyRowHidden(ROW())=TRUE,0,L980-M980)</f>
        <v>302765.1619064993</v>
      </c>
      <c r="O980">
        <f>MAX(N$12:N980)</f>
        <v>312554.6761870014</v>
      </c>
      <c r="P980">
        <f>IF(O980&gt;O979,(O980-O979)*percentSavingsParticipation,0)</f>
        <v>0</v>
      </c>
      <c r="Q980">
        <f t="shared" si="79"/>
        <v>156277.3380935007</v>
      </c>
      <c r="R980">
        <f t="shared" si="80"/>
        <v>100552.5</v>
      </c>
    </row>
    <row r="981" spans="4:18" x14ac:dyDescent="0.25">
      <c r="D981" s="1">
        <v>42632</v>
      </c>
      <c r="E981" s="10">
        <v>56942.25</v>
      </c>
      <c r="F981" s="1">
        <v>42632</v>
      </c>
      <c r="G981">
        <v>-13398.5</v>
      </c>
      <c r="H981" s="1">
        <f t="shared" si="76"/>
        <v>42632</v>
      </c>
      <c r="I981">
        <f>IF(AND(MyRowHidden(ROW())=FALSE,MyRowHidden(ROW()-1)=TRUE),0,(E981-E980)*unitsOfDHp+I980)</f>
        <v>279172.5</v>
      </c>
      <c r="J981">
        <f>IF(AND(MyRowHidden(ROW())=FALSE,MyRowHidden(ROW()-1)=TRUE),0,(G981-G980)*unitsOfExo+J980)</f>
        <v>-180370</v>
      </c>
      <c r="K981" s="9">
        <f t="shared" si="77"/>
        <v>180370</v>
      </c>
      <c r="L981">
        <f t="shared" si="78"/>
        <v>-57474.83809350073</v>
      </c>
      <c r="M981">
        <f>IF(AND(MyRowHidden(ROW())=FALSE,MyRowHidden(ROW()-1)=TRUE),0,(G981-G980)*unitsFuturesCompare+M980)</f>
        <v>-360740</v>
      </c>
      <c r="N981">
        <f>IF(MyRowHidden(ROW())=TRUE,0,L981-M981)</f>
        <v>303265.1619064993</v>
      </c>
      <c r="O981">
        <f>MAX(N$12:N981)</f>
        <v>312554.6761870014</v>
      </c>
      <c r="P981">
        <f>IF(O981&gt;O980,(O981-O980)*percentSavingsParticipation,0)</f>
        <v>0</v>
      </c>
      <c r="Q981">
        <f t="shared" si="79"/>
        <v>156277.3380935007</v>
      </c>
      <c r="R981">
        <f t="shared" si="80"/>
        <v>98802.5</v>
      </c>
    </row>
    <row r="982" spans="4:18" x14ac:dyDescent="0.25">
      <c r="D982" s="1">
        <v>42633</v>
      </c>
      <c r="E982" s="10">
        <v>57430.75</v>
      </c>
      <c r="F982" s="1">
        <v>42633</v>
      </c>
      <c r="G982">
        <v>-13123.5</v>
      </c>
      <c r="H982" s="1">
        <f t="shared" si="76"/>
        <v>42633</v>
      </c>
      <c r="I982">
        <f>IF(AND(MyRowHidden(ROW())=FALSE,MyRowHidden(ROW()-1)=TRUE),0,(E982-E981)*unitsOfDHp+I981)</f>
        <v>284057.5</v>
      </c>
      <c r="J982">
        <f>IF(AND(MyRowHidden(ROW())=FALSE,MyRowHidden(ROW()-1)=TRUE),0,(G982-G981)*unitsOfExo+J981)</f>
        <v>-177620</v>
      </c>
      <c r="K982" s="9">
        <f t="shared" si="77"/>
        <v>177620</v>
      </c>
      <c r="L982">
        <f t="shared" si="78"/>
        <v>-49839.83809350073</v>
      </c>
      <c r="M982">
        <f>IF(AND(MyRowHidden(ROW())=FALSE,MyRowHidden(ROW()-1)=TRUE),0,(G982-G981)*unitsFuturesCompare+M981)</f>
        <v>-355240</v>
      </c>
      <c r="N982">
        <f>IF(MyRowHidden(ROW())=TRUE,0,L982-M982)</f>
        <v>305400.1619064993</v>
      </c>
      <c r="O982">
        <f>MAX(N$12:N982)</f>
        <v>312554.6761870014</v>
      </c>
      <c r="P982">
        <f>IF(O982&gt;O981,(O982-O981)*percentSavingsParticipation,0)</f>
        <v>0</v>
      </c>
      <c r="Q982">
        <f t="shared" si="79"/>
        <v>156277.3380935007</v>
      </c>
      <c r="R982">
        <f t="shared" si="80"/>
        <v>106437.5</v>
      </c>
    </row>
  </sheetData>
  <autoFilter ref="H11:L982"/>
  <dataValidations count="2">
    <dataValidation type="list" showInputMessage="1" showErrorMessage="1" sqref="B2">
      <formula1>OutrightName</formula1>
    </dataValidation>
    <dataValidation type="list" showInputMessage="1" showErrorMessage="1" sqref="B3">
      <formula1>DHPnames</formula1>
    </dataValidation>
  </dataValidation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028" r:id="rId3" name="refreshDataButton">
          <controlPr defaultSize="0" autoLine="0" r:id="rId4">
            <anchor moveWithCells="1">
              <from>
                <xdr:col>0</xdr:col>
                <xdr:colOff>57150</xdr:colOff>
                <xdr:row>0</xdr:row>
                <xdr:rowOff>57150</xdr:rowOff>
              </from>
              <to>
                <xdr:col>0</xdr:col>
                <xdr:colOff>1171575</xdr:colOff>
                <xdr:row>0</xdr:row>
                <xdr:rowOff>342900</xdr:rowOff>
              </to>
            </anchor>
          </controlPr>
        </control>
      </mc:Choice>
      <mc:Fallback>
        <control shapeId="1028" r:id="rId3" name="refreshDataButton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D19"/>
  <sheetViews>
    <sheetView workbookViewId="0"/>
  </sheetViews>
  <sheetFormatPr defaultRowHeight="15" x14ac:dyDescent="0.25"/>
  <cols>
    <col min="1" max="1" width="16" bestFit="1" customWidth="1"/>
    <col min="3" max="3" width="11.875" bestFit="1" customWidth="1"/>
  </cols>
  <sheetData>
    <row r="1" spans="1:4" x14ac:dyDescent="0.25">
      <c r="A1" t="s">
        <v>8</v>
      </c>
      <c r="B1" t="s">
        <v>15</v>
      </c>
      <c r="C1" t="s">
        <v>20</v>
      </c>
      <c r="D1" t="s">
        <v>21</v>
      </c>
    </row>
    <row r="2" spans="1:4" x14ac:dyDescent="0.25">
      <c r="A2" t="s">
        <v>25</v>
      </c>
      <c r="B2">
        <v>229</v>
      </c>
      <c r="C2" t="s">
        <v>16</v>
      </c>
      <c r="D2">
        <v>444</v>
      </c>
    </row>
    <row r="3" spans="1:4" x14ac:dyDescent="0.25">
      <c r="A3" t="s">
        <v>24</v>
      </c>
      <c r="B3">
        <v>228</v>
      </c>
      <c r="C3" t="s">
        <v>17</v>
      </c>
      <c r="D3">
        <v>630</v>
      </c>
    </row>
    <row r="4" spans="1:4" x14ac:dyDescent="0.25">
      <c r="A4" t="s">
        <v>23</v>
      </c>
      <c r="B4">
        <v>227</v>
      </c>
      <c r="C4" t="s">
        <v>28</v>
      </c>
      <c r="D4">
        <v>567</v>
      </c>
    </row>
    <row r="5" spans="1:4" x14ac:dyDescent="0.25">
      <c r="A5" t="s">
        <v>9</v>
      </c>
      <c r="B5">
        <v>226</v>
      </c>
      <c r="C5" t="s">
        <v>18</v>
      </c>
      <c r="D5">
        <v>451</v>
      </c>
    </row>
    <row r="6" spans="1:4" x14ac:dyDescent="0.25">
      <c r="A6" t="s">
        <v>10</v>
      </c>
      <c r="B6">
        <v>225</v>
      </c>
      <c r="C6" t="s">
        <v>33</v>
      </c>
      <c r="D6">
        <v>432</v>
      </c>
    </row>
    <row r="7" spans="1:4" x14ac:dyDescent="0.25">
      <c r="A7" t="s">
        <v>11</v>
      </c>
      <c r="B7">
        <v>224</v>
      </c>
      <c r="C7" t="s">
        <v>37</v>
      </c>
      <c r="D7">
        <v>478</v>
      </c>
    </row>
    <row r="8" spans="1:4" x14ac:dyDescent="0.25">
      <c r="A8" t="s">
        <v>12</v>
      </c>
      <c r="B8">
        <v>223</v>
      </c>
      <c r="C8" t="s">
        <v>38</v>
      </c>
      <c r="D8">
        <v>456</v>
      </c>
    </row>
    <row r="9" spans="1:4" x14ac:dyDescent="0.25">
      <c r="A9" t="s">
        <v>29</v>
      </c>
      <c r="B9">
        <v>181</v>
      </c>
      <c r="C9" t="s">
        <v>40</v>
      </c>
      <c r="D9">
        <v>634</v>
      </c>
    </row>
    <row r="10" spans="1:4" x14ac:dyDescent="0.25">
      <c r="A10" t="s">
        <v>30</v>
      </c>
      <c r="B10">
        <v>185</v>
      </c>
      <c r="C10" t="s">
        <v>41</v>
      </c>
      <c r="D10">
        <v>437</v>
      </c>
    </row>
    <row r="11" spans="1:4" x14ac:dyDescent="0.25">
      <c r="A11" t="s">
        <v>31</v>
      </c>
      <c r="B11">
        <v>178</v>
      </c>
      <c r="C11" t="s">
        <v>42</v>
      </c>
      <c r="D11">
        <v>450</v>
      </c>
    </row>
    <row r="12" spans="1:4" x14ac:dyDescent="0.25">
      <c r="A12" t="s">
        <v>32</v>
      </c>
      <c r="B12">
        <v>180</v>
      </c>
      <c r="C12" t="s">
        <v>34</v>
      </c>
      <c r="D12">
        <v>429</v>
      </c>
    </row>
    <row r="13" spans="1:4" x14ac:dyDescent="0.25">
      <c r="A13" t="s">
        <v>35</v>
      </c>
      <c r="B13">
        <v>175</v>
      </c>
      <c r="C13" t="s">
        <v>19</v>
      </c>
      <c r="D13">
        <v>525</v>
      </c>
    </row>
    <row r="14" spans="1:4" x14ac:dyDescent="0.25">
      <c r="A14" t="s">
        <v>36</v>
      </c>
      <c r="B14">
        <v>209</v>
      </c>
    </row>
    <row r="15" spans="1:4" x14ac:dyDescent="0.25">
      <c r="A15" t="s">
        <v>39</v>
      </c>
      <c r="B15">
        <v>219</v>
      </c>
    </row>
    <row r="16" spans="1:4" x14ac:dyDescent="0.25">
      <c r="A16" t="s">
        <v>41</v>
      </c>
      <c r="B16">
        <v>177</v>
      </c>
    </row>
    <row r="17" spans="1:2" x14ac:dyDescent="0.25">
      <c r="A17" t="s">
        <v>42</v>
      </c>
      <c r="B17">
        <v>176</v>
      </c>
    </row>
    <row r="18" spans="1:2" x14ac:dyDescent="0.25">
      <c r="A18" t="s">
        <v>13</v>
      </c>
      <c r="B18">
        <v>222</v>
      </c>
    </row>
    <row r="19" spans="1:2" x14ac:dyDescent="0.25">
      <c r="A19" t="s">
        <v>14</v>
      </c>
      <c r="B19">
        <v>221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6" baseType="variant">
      <vt:variant>
        <vt:lpstr>Worksheets</vt:lpstr>
      </vt:variant>
      <vt:variant>
        <vt:i4>2</vt:i4>
      </vt:variant>
      <vt:variant>
        <vt:lpstr>Charts</vt:lpstr>
      </vt:variant>
      <vt:variant>
        <vt:i4>4</vt:i4>
      </vt:variant>
      <vt:variant>
        <vt:lpstr>Named Ranges</vt:lpstr>
      </vt:variant>
      <vt:variant>
        <vt:i4>18</vt:i4>
      </vt:variant>
    </vt:vector>
  </HeadingPairs>
  <TitlesOfParts>
    <vt:vector size="24" baseType="lpstr">
      <vt:lpstr>Data</vt:lpstr>
      <vt:lpstr>selectionData</vt:lpstr>
      <vt:lpstr>Long Futures</vt:lpstr>
      <vt:lpstr>Long and Short Futures</vt:lpstr>
      <vt:lpstr>DHP</vt:lpstr>
      <vt:lpstr>DHP and Futures</vt:lpstr>
      <vt:lpstr>CampaignId</vt:lpstr>
      <vt:lpstr>DHP</vt:lpstr>
      <vt:lpstr>dhpName</vt:lpstr>
      <vt:lpstr>DHPnames</vt:lpstr>
      <vt:lpstr>DHPnumbers</vt:lpstr>
      <vt:lpstr>ExoId</vt:lpstr>
      <vt:lpstr>minRowCount</vt:lpstr>
      <vt:lpstr>Outright</vt:lpstr>
      <vt:lpstr>OutrightName</vt:lpstr>
      <vt:lpstr>OutrightNumber</vt:lpstr>
      <vt:lpstr>percentSavingsParticipation</vt:lpstr>
      <vt:lpstr>profitParticipation</vt:lpstr>
      <vt:lpstr>StartDate</vt:lpstr>
      <vt:lpstr>startingDHPDollars</vt:lpstr>
      <vt:lpstr>underlyingName</vt:lpstr>
      <vt:lpstr>unitsFuturesCompare</vt:lpstr>
      <vt:lpstr>unitsOfDHp</vt:lpstr>
      <vt:lpstr>unitsOfExo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Stephen Pickering</dc:creator>
  <cp:lastModifiedBy>Stephen Pickering</cp:lastModifiedBy>
  <dcterms:created xsi:type="dcterms:W3CDTF">2016-06-03T22:24:52Z</dcterms:created>
  <dcterms:modified xsi:type="dcterms:W3CDTF">2016-09-21T22:50:14Z</dcterms:modified>
</cp:coreProperties>
</file>