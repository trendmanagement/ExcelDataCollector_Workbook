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xcelDataCollector_Workbook\"/>
    </mc:Choice>
  </mc:AlternateContent>
  <bookViews>
    <workbookView xWindow="0" yWindow="0" windowWidth="28800" windowHeight="13530" tabRatio="658" activeTab="4"/>
  </bookViews>
  <sheets>
    <sheet name="Long Futures" sheetId="4" r:id="rId1"/>
    <sheet name="Long and Short Futures" sheetId="10" r:id="rId2"/>
    <sheet name="DHP" sheetId="9" r:id="rId3"/>
    <sheet name="DHP and Futures" sheetId="7" r:id="rId4"/>
    <sheet name="Data" sheetId="1" r:id="rId5"/>
    <sheet name="selectionData" sheetId="8" r:id="rId6"/>
  </sheets>
  <functionGroups builtInGroupCount="18"/>
  <definedNames>
    <definedName name="_xlnm._FilterDatabase" localSheetId="4" hidden="1">Data!$H$11:$L$913</definedName>
    <definedName name="CampaignId">Data!$B$4</definedName>
    <definedName name="dateRange">OFFSET(Data!$H$12,0,0,minRowCount,1)</definedName>
    <definedName name="DHP">selectionData!$A$2:$B$19</definedName>
    <definedName name="dhpLongFuturesExoRange">OFFSET(Data!$L$12,0,0,minRowCount,1)</definedName>
    <definedName name="dhpName">Data!$B$3</definedName>
    <definedName name="DHPnames">selectionData!$A$2:$A$19</definedName>
    <definedName name="DHPnumbers">selectionData!$B$2:$B$19</definedName>
    <definedName name="dhpRange">OFFSET(Data!$I$12,0,0,minRowCount,1)</definedName>
    <definedName name="ExoId">Data!$B$5</definedName>
    <definedName name="longExoRange">OFFSET(Data!$J$12,0,0,minRowCount,1)</definedName>
    <definedName name="minRowCount">Data!$G$11</definedName>
    <definedName name="Outright">selectionData!$C$2:$D$13</definedName>
    <definedName name="OutrightName">selectionData!$C$2:$C$13</definedName>
    <definedName name="OutrightNumber">selectionData!$D$2:$D$13</definedName>
    <definedName name="profitParticipation">Data!$B$10</definedName>
    <definedName name="shortExoRange">OFFSET(Data!$K$12,0,0,minRowCount,1)</definedName>
    <definedName name="StartDate">Data!$B$6</definedName>
    <definedName name="startingDHPDollars">Data!$B$7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J13" i="1"/>
  <c r="J14" i="1"/>
  <c r="J15" i="1"/>
  <c r="I13" i="1"/>
  <c r="I14" i="1"/>
  <c r="I15" i="1"/>
  <c r="J16" i="1"/>
  <c r="I16" i="1"/>
  <c r="J17" i="1"/>
  <c r="I17" i="1"/>
  <c r="J18" i="1"/>
  <c r="I18" i="1"/>
  <c r="J19" i="1"/>
  <c r="I19" i="1"/>
  <c r="J20" i="1"/>
  <c r="I20" i="1"/>
  <c r="J21" i="1"/>
  <c r="I21" i="1"/>
  <c r="J22" i="1"/>
  <c r="I22" i="1"/>
  <c r="J23" i="1"/>
  <c r="I23" i="1"/>
  <c r="J24" i="1"/>
  <c r="I24" i="1"/>
  <c r="J25" i="1"/>
  <c r="I25" i="1"/>
  <c r="J26" i="1"/>
  <c r="I26" i="1"/>
  <c r="J27" i="1"/>
  <c r="I27" i="1"/>
  <c r="J28" i="1"/>
  <c r="I28" i="1"/>
  <c r="J29" i="1"/>
  <c r="I29" i="1"/>
  <c r="J30" i="1"/>
  <c r="I30" i="1"/>
  <c r="J31" i="1"/>
  <c r="I31" i="1"/>
  <c r="J32" i="1"/>
  <c r="I32" i="1"/>
  <c r="J33" i="1"/>
  <c r="I33" i="1"/>
  <c r="J34" i="1"/>
  <c r="I34" i="1"/>
  <c r="J35" i="1"/>
  <c r="I35" i="1"/>
  <c r="J36" i="1"/>
  <c r="I36" i="1"/>
  <c r="J37" i="1"/>
  <c r="I37" i="1"/>
  <c r="J38" i="1"/>
  <c r="I38" i="1"/>
  <c r="J39" i="1"/>
  <c r="I39" i="1"/>
  <c r="J40" i="1"/>
  <c r="I40" i="1"/>
  <c r="J41" i="1"/>
  <c r="I41" i="1"/>
  <c r="J42" i="1"/>
  <c r="I42" i="1"/>
  <c r="J43" i="1"/>
  <c r="I43" i="1"/>
  <c r="J44" i="1"/>
  <c r="I44" i="1"/>
  <c r="J45" i="1"/>
  <c r="I45" i="1"/>
  <c r="J46" i="1"/>
  <c r="I46" i="1"/>
  <c r="J47" i="1"/>
  <c r="I47" i="1"/>
  <c r="J48" i="1"/>
  <c r="I48" i="1"/>
  <c r="J49" i="1"/>
  <c r="I49" i="1"/>
  <c r="J50" i="1"/>
  <c r="I50" i="1"/>
  <c r="J51" i="1"/>
  <c r="I51" i="1"/>
  <c r="J52" i="1"/>
  <c r="I52" i="1"/>
  <c r="J53" i="1"/>
  <c r="I53" i="1"/>
  <c r="J54" i="1"/>
  <c r="I54" i="1"/>
  <c r="J55" i="1"/>
  <c r="I55" i="1"/>
  <c r="J56" i="1"/>
  <c r="I56" i="1"/>
  <c r="J57" i="1"/>
  <c r="I57" i="1"/>
  <c r="J58" i="1"/>
  <c r="I58" i="1"/>
  <c r="J59" i="1"/>
  <c r="I59" i="1"/>
  <c r="J60" i="1"/>
  <c r="I60" i="1"/>
  <c r="J61" i="1"/>
  <c r="I61" i="1"/>
  <c r="J62" i="1"/>
  <c r="I62" i="1"/>
  <c r="J63" i="1"/>
  <c r="I63" i="1"/>
  <c r="J64" i="1"/>
  <c r="I64" i="1"/>
  <c r="J65" i="1"/>
  <c r="I65" i="1"/>
  <c r="J66" i="1"/>
  <c r="I66" i="1"/>
  <c r="J67" i="1"/>
  <c r="I67" i="1"/>
  <c r="J68" i="1"/>
  <c r="I68" i="1"/>
  <c r="J69" i="1"/>
  <c r="I69" i="1"/>
  <c r="J70" i="1"/>
  <c r="I70" i="1"/>
  <c r="J71" i="1"/>
  <c r="I71" i="1"/>
  <c r="J72" i="1"/>
  <c r="I72" i="1"/>
  <c r="J73" i="1"/>
  <c r="I73" i="1"/>
  <c r="J74" i="1"/>
  <c r="I74" i="1"/>
  <c r="J75" i="1"/>
  <c r="I75" i="1"/>
  <c r="J76" i="1"/>
  <c r="I76" i="1"/>
  <c r="J77" i="1"/>
  <c r="I77" i="1"/>
  <c r="J78" i="1"/>
  <c r="I78" i="1"/>
  <c r="J79" i="1"/>
  <c r="I79" i="1"/>
  <c r="J80" i="1"/>
  <c r="I80" i="1"/>
  <c r="J81" i="1"/>
  <c r="I81" i="1"/>
  <c r="J82" i="1"/>
  <c r="I82" i="1"/>
  <c r="J83" i="1"/>
  <c r="I83" i="1"/>
  <c r="J84" i="1"/>
  <c r="I84" i="1"/>
  <c r="J85" i="1"/>
  <c r="I85" i="1"/>
  <c r="J86" i="1"/>
  <c r="I86" i="1"/>
  <c r="J87" i="1"/>
  <c r="I87" i="1"/>
  <c r="J88" i="1"/>
  <c r="I88" i="1"/>
  <c r="J89" i="1"/>
  <c r="I89" i="1"/>
  <c r="J90" i="1"/>
  <c r="I90" i="1"/>
  <c r="J91" i="1"/>
  <c r="I91" i="1"/>
  <c r="J92" i="1"/>
  <c r="I92" i="1"/>
  <c r="J93" i="1"/>
  <c r="I93" i="1"/>
  <c r="J94" i="1"/>
  <c r="I94" i="1"/>
  <c r="J95" i="1"/>
  <c r="I95" i="1"/>
  <c r="J96" i="1"/>
  <c r="I96" i="1"/>
  <c r="J97" i="1"/>
  <c r="I97" i="1"/>
  <c r="J98" i="1"/>
  <c r="I98" i="1"/>
  <c r="J99" i="1"/>
  <c r="I99" i="1"/>
  <c r="J100" i="1"/>
  <c r="I100" i="1"/>
  <c r="J101" i="1"/>
  <c r="I101" i="1"/>
  <c r="J102" i="1"/>
  <c r="I102" i="1"/>
  <c r="J103" i="1"/>
  <c r="I103" i="1"/>
  <c r="J104" i="1"/>
  <c r="I104" i="1"/>
  <c r="J105" i="1"/>
  <c r="I105" i="1"/>
  <c r="J106" i="1"/>
  <c r="I106" i="1"/>
  <c r="J107" i="1"/>
  <c r="I107" i="1"/>
  <c r="J108" i="1"/>
  <c r="I108" i="1"/>
  <c r="J109" i="1"/>
  <c r="I109" i="1"/>
  <c r="J110" i="1"/>
  <c r="I110" i="1"/>
  <c r="J111" i="1"/>
  <c r="I111" i="1"/>
  <c r="J112" i="1"/>
  <c r="I112" i="1"/>
  <c r="J113" i="1"/>
  <c r="I113" i="1"/>
  <c r="J114" i="1"/>
  <c r="I114" i="1"/>
  <c r="J115" i="1"/>
  <c r="I115" i="1"/>
  <c r="J116" i="1"/>
  <c r="I116" i="1"/>
  <c r="J117" i="1"/>
  <c r="I117" i="1"/>
  <c r="J118" i="1"/>
  <c r="I118" i="1"/>
  <c r="J119" i="1"/>
  <c r="I119" i="1"/>
  <c r="J120" i="1"/>
  <c r="I120" i="1"/>
  <c r="J121" i="1"/>
  <c r="I121" i="1"/>
  <c r="J122" i="1"/>
  <c r="I122" i="1"/>
  <c r="J123" i="1"/>
  <c r="I123" i="1"/>
  <c r="J124" i="1"/>
  <c r="I124" i="1"/>
  <c r="J125" i="1"/>
  <c r="I125" i="1"/>
  <c r="J126" i="1"/>
  <c r="I126" i="1"/>
  <c r="J127" i="1"/>
  <c r="I127" i="1"/>
  <c r="J128" i="1"/>
  <c r="I128" i="1"/>
  <c r="J129" i="1"/>
  <c r="I129" i="1"/>
  <c r="J130" i="1"/>
  <c r="I130" i="1"/>
  <c r="J131" i="1"/>
  <c r="I131" i="1"/>
  <c r="J132" i="1"/>
  <c r="I132" i="1"/>
  <c r="J133" i="1"/>
  <c r="I133" i="1"/>
  <c r="J134" i="1"/>
  <c r="I134" i="1"/>
  <c r="J135" i="1"/>
  <c r="I135" i="1"/>
  <c r="J136" i="1"/>
  <c r="I136" i="1"/>
  <c r="J137" i="1"/>
  <c r="I137" i="1"/>
  <c r="J138" i="1"/>
  <c r="I138" i="1"/>
  <c r="J139" i="1"/>
  <c r="I139" i="1"/>
  <c r="J140" i="1"/>
  <c r="I140" i="1"/>
  <c r="J141" i="1"/>
  <c r="I141" i="1"/>
  <c r="J142" i="1"/>
  <c r="I142" i="1"/>
  <c r="J143" i="1"/>
  <c r="I143" i="1"/>
  <c r="J144" i="1"/>
  <c r="I144" i="1"/>
  <c r="J145" i="1"/>
  <c r="I145" i="1"/>
  <c r="J146" i="1"/>
  <c r="I146" i="1"/>
  <c r="J147" i="1"/>
  <c r="I147" i="1"/>
  <c r="J148" i="1"/>
  <c r="I148" i="1"/>
  <c r="J149" i="1"/>
  <c r="I149" i="1"/>
  <c r="J150" i="1"/>
  <c r="I150" i="1"/>
  <c r="J151" i="1"/>
  <c r="I151" i="1"/>
  <c r="J152" i="1"/>
  <c r="I152" i="1"/>
  <c r="J153" i="1"/>
  <c r="I153" i="1"/>
  <c r="J154" i="1"/>
  <c r="I154" i="1"/>
  <c r="J155" i="1"/>
  <c r="I155" i="1"/>
  <c r="J156" i="1"/>
  <c r="I156" i="1"/>
  <c r="J157" i="1"/>
  <c r="I157" i="1"/>
  <c r="J158" i="1"/>
  <c r="I158" i="1"/>
  <c r="J159" i="1"/>
  <c r="I159" i="1"/>
  <c r="J160" i="1"/>
  <c r="I160" i="1"/>
  <c r="J161" i="1"/>
  <c r="I161" i="1"/>
  <c r="J162" i="1"/>
  <c r="I162" i="1"/>
  <c r="J163" i="1"/>
  <c r="I163" i="1"/>
  <c r="J164" i="1"/>
  <c r="I164" i="1"/>
  <c r="J165" i="1"/>
  <c r="I165" i="1"/>
  <c r="J166" i="1"/>
  <c r="I166" i="1"/>
  <c r="J167" i="1"/>
  <c r="I167" i="1"/>
  <c r="J168" i="1"/>
  <c r="I168" i="1"/>
  <c r="J169" i="1"/>
  <c r="I169" i="1"/>
  <c r="J170" i="1"/>
  <c r="I170" i="1"/>
  <c r="J171" i="1"/>
  <c r="I171" i="1"/>
  <c r="J172" i="1"/>
  <c r="I172" i="1"/>
  <c r="J173" i="1"/>
  <c r="I173" i="1"/>
  <c r="J174" i="1"/>
  <c r="I174" i="1"/>
  <c r="J175" i="1"/>
  <c r="I175" i="1"/>
  <c r="J176" i="1"/>
  <c r="I176" i="1"/>
  <c r="J177" i="1"/>
  <c r="I177" i="1"/>
  <c r="J178" i="1"/>
  <c r="I178" i="1"/>
  <c r="J179" i="1"/>
  <c r="I179" i="1"/>
  <c r="J180" i="1"/>
  <c r="I180" i="1"/>
  <c r="J181" i="1"/>
  <c r="I181" i="1"/>
  <c r="J182" i="1"/>
  <c r="I182" i="1"/>
  <c r="J183" i="1"/>
  <c r="I183" i="1"/>
  <c r="J184" i="1"/>
  <c r="I184" i="1"/>
  <c r="J185" i="1"/>
  <c r="I185" i="1"/>
  <c r="J186" i="1"/>
  <c r="I186" i="1"/>
  <c r="J187" i="1"/>
  <c r="I187" i="1"/>
  <c r="J188" i="1"/>
  <c r="I188" i="1"/>
  <c r="J189" i="1"/>
  <c r="I189" i="1"/>
  <c r="J190" i="1"/>
  <c r="I190" i="1"/>
  <c r="J191" i="1"/>
  <c r="I191" i="1"/>
  <c r="J192" i="1"/>
  <c r="I192" i="1"/>
  <c r="J193" i="1"/>
  <c r="I193" i="1"/>
  <c r="J194" i="1"/>
  <c r="I194" i="1"/>
  <c r="J195" i="1"/>
  <c r="I195" i="1"/>
  <c r="J196" i="1"/>
  <c r="I196" i="1"/>
  <c r="J197" i="1"/>
  <c r="I197" i="1"/>
  <c r="J198" i="1"/>
  <c r="I198" i="1"/>
  <c r="J199" i="1"/>
  <c r="I199" i="1"/>
  <c r="J200" i="1"/>
  <c r="I200" i="1"/>
  <c r="J201" i="1"/>
  <c r="I201" i="1"/>
  <c r="J202" i="1"/>
  <c r="I202" i="1"/>
  <c r="J203" i="1"/>
  <c r="I203" i="1"/>
  <c r="J204" i="1"/>
  <c r="I204" i="1"/>
  <c r="J205" i="1"/>
  <c r="I205" i="1"/>
  <c r="J206" i="1"/>
  <c r="I206" i="1"/>
  <c r="J207" i="1"/>
  <c r="I207" i="1"/>
  <c r="J208" i="1"/>
  <c r="I208" i="1"/>
  <c r="J209" i="1"/>
  <c r="I209" i="1"/>
  <c r="J210" i="1"/>
  <c r="I210" i="1"/>
  <c r="J211" i="1"/>
  <c r="I211" i="1"/>
  <c r="J212" i="1"/>
  <c r="I212" i="1"/>
  <c r="J213" i="1"/>
  <c r="I213" i="1"/>
  <c r="J214" i="1"/>
  <c r="I214" i="1"/>
  <c r="J215" i="1"/>
  <c r="I215" i="1"/>
  <c r="J216" i="1"/>
  <c r="I216" i="1"/>
  <c r="J217" i="1"/>
  <c r="I217" i="1"/>
  <c r="J218" i="1"/>
  <c r="I218" i="1"/>
  <c r="J219" i="1"/>
  <c r="I219" i="1"/>
  <c r="J220" i="1"/>
  <c r="I220" i="1"/>
  <c r="J221" i="1"/>
  <c r="I221" i="1"/>
  <c r="J222" i="1"/>
  <c r="I222" i="1"/>
  <c r="J223" i="1"/>
  <c r="I223" i="1"/>
  <c r="J224" i="1"/>
  <c r="I224" i="1"/>
  <c r="J225" i="1"/>
  <c r="I225" i="1"/>
  <c r="J226" i="1"/>
  <c r="I226" i="1"/>
  <c r="J227" i="1"/>
  <c r="I227" i="1"/>
  <c r="J228" i="1"/>
  <c r="I228" i="1"/>
  <c r="J229" i="1"/>
  <c r="I229" i="1"/>
  <c r="J230" i="1"/>
  <c r="I230" i="1"/>
  <c r="J231" i="1"/>
  <c r="I231" i="1"/>
  <c r="J232" i="1"/>
  <c r="I232" i="1"/>
  <c r="J233" i="1"/>
  <c r="I233" i="1"/>
  <c r="J234" i="1"/>
  <c r="I234" i="1"/>
  <c r="J235" i="1"/>
  <c r="I235" i="1"/>
  <c r="J236" i="1"/>
  <c r="I236" i="1"/>
  <c r="J237" i="1"/>
  <c r="I237" i="1"/>
  <c r="J238" i="1"/>
  <c r="I238" i="1"/>
  <c r="J239" i="1"/>
  <c r="I239" i="1"/>
  <c r="J240" i="1"/>
  <c r="I240" i="1"/>
  <c r="J241" i="1"/>
  <c r="I241" i="1"/>
  <c r="J242" i="1"/>
  <c r="I242" i="1"/>
  <c r="J243" i="1"/>
  <c r="I243" i="1"/>
  <c r="J244" i="1"/>
  <c r="I244" i="1"/>
  <c r="J245" i="1"/>
  <c r="I245" i="1"/>
  <c r="J246" i="1"/>
  <c r="I246" i="1"/>
  <c r="J247" i="1"/>
  <c r="I247" i="1"/>
  <c r="J248" i="1"/>
  <c r="I248" i="1"/>
  <c r="J249" i="1"/>
  <c r="I249" i="1"/>
  <c r="J250" i="1"/>
  <c r="I250" i="1"/>
  <c r="J251" i="1"/>
  <c r="I251" i="1"/>
  <c r="J252" i="1"/>
  <c r="I252" i="1"/>
  <c r="J253" i="1"/>
  <c r="I253" i="1"/>
  <c r="J254" i="1"/>
  <c r="I254" i="1"/>
  <c r="J255" i="1"/>
  <c r="I255" i="1"/>
  <c r="J256" i="1"/>
  <c r="I256" i="1"/>
  <c r="J257" i="1"/>
  <c r="I257" i="1"/>
  <c r="J258" i="1"/>
  <c r="I258" i="1"/>
  <c r="J259" i="1"/>
  <c r="I259" i="1"/>
  <c r="J260" i="1"/>
  <c r="I260" i="1"/>
  <c r="J261" i="1"/>
  <c r="I261" i="1"/>
  <c r="J262" i="1"/>
  <c r="I262" i="1"/>
  <c r="J263" i="1"/>
  <c r="I263" i="1"/>
  <c r="J264" i="1"/>
  <c r="I264" i="1"/>
  <c r="J265" i="1"/>
  <c r="I265" i="1"/>
  <c r="J266" i="1"/>
  <c r="I266" i="1"/>
  <c r="J267" i="1"/>
  <c r="I267" i="1"/>
  <c r="J268" i="1"/>
  <c r="I268" i="1"/>
  <c r="J269" i="1"/>
  <c r="I269" i="1"/>
  <c r="J270" i="1"/>
  <c r="I270" i="1"/>
  <c r="J271" i="1"/>
  <c r="I271" i="1"/>
  <c r="J272" i="1"/>
  <c r="I272" i="1"/>
  <c r="J273" i="1"/>
  <c r="I273" i="1"/>
  <c r="J274" i="1"/>
  <c r="I274" i="1"/>
  <c r="J275" i="1"/>
  <c r="I275" i="1"/>
  <c r="J276" i="1"/>
  <c r="I276" i="1"/>
  <c r="J277" i="1"/>
  <c r="I277" i="1"/>
  <c r="J278" i="1"/>
  <c r="I278" i="1"/>
  <c r="J279" i="1"/>
  <c r="I279" i="1"/>
  <c r="J280" i="1"/>
  <c r="I280" i="1"/>
  <c r="J281" i="1"/>
  <c r="I281" i="1"/>
  <c r="J282" i="1"/>
  <c r="I282" i="1"/>
  <c r="J283" i="1"/>
  <c r="I283" i="1"/>
  <c r="J284" i="1"/>
  <c r="I284" i="1"/>
  <c r="J285" i="1"/>
  <c r="I285" i="1"/>
  <c r="J286" i="1"/>
  <c r="I286" i="1"/>
  <c r="J287" i="1"/>
  <c r="I287" i="1"/>
  <c r="J288" i="1"/>
  <c r="I288" i="1"/>
  <c r="J289" i="1"/>
  <c r="I289" i="1"/>
  <c r="J290" i="1"/>
  <c r="I290" i="1"/>
  <c r="J291" i="1"/>
  <c r="I291" i="1"/>
  <c r="J292" i="1"/>
  <c r="I292" i="1"/>
  <c r="J293" i="1"/>
  <c r="I293" i="1"/>
  <c r="J294" i="1"/>
  <c r="I294" i="1"/>
  <c r="J295" i="1"/>
  <c r="I295" i="1"/>
  <c r="J296" i="1"/>
  <c r="I296" i="1"/>
  <c r="J297" i="1"/>
  <c r="I297" i="1"/>
  <c r="J298" i="1"/>
  <c r="I298" i="1"/>
  <c r="J299" i="1"/>
  <c r="I299" i="1"/>
  <c r="J300" i="1"/>
  <c r="I300" i="1"/>
  <c r="J301" i="1"/>
  <c r="I301" i="1"/>
  <c r="J302" i="1"/>
  <c r="I302" i="1"/>
  <c r="J303" i="1"/>
  <c r="I303" i="1"/>
  <c r="J304" i="1"/>
  <c r="I304" i="1"/>
  <c r="J305" i="1"/>
  <c r="I305" i="1"/>
  <c r="J306" i="1"/>
  <c r="I306" i="1"/>
  <c r="J307" i="1"/>
  <c r="I307" i="1"/>
  <c r="J308" i="1"/>
  <c r="I308" i="1"/>
  <c r="J309" i="1"/>
  <c r="I309" i="1"/>
  <c r="J310" i="1"/>
  <c r="I310" i="1"/>
  <c r="J311" i="1"/>
  <c r="I311" i="1"/>
  <c r="J312" i="1"/>
  <c r="I312" i="1"/>
  <c r="J313" i="1"/>
  <c r="I313" i="1"/>
  <c r="J314" i="1"/>
  <c r="I314" i="1"/>
  <c r="J315" i="1"/>
  <c r="I315" i="1"/>
  <c r="J316" i="1"/>
  <c r="I316" i="1"/>
  <c r="J317" i="1"/>
  <c r="I317" i="1"/>
  <c r="J318" i="1"/>
  <c r="I318" i="1"/>
  <c r="J319" i="1"/>
  <c r="I319" i="1"/>
  <c r="J320" i="1"/>
  <c r="I320" i="1"/>
  <c r="J321" i="1"/>
  <c r="I321" i="1"/>
  <c r="J322" i="1"/>
  <c r="I322" i="1"/>
  <c r="J323" i="1"/>
  <c r="I323" i="1"/>
  <c r="J324" i="1"/>
  <c r="I324" i="1"/>
  <c r="J325" i="1"/>
  <c r="I325" i="1"/>
  <c r="J326" i="1"/>
  <c r="I326" i="1"/>
  <c r="J327" i="1"/>
  <c r="I327" i="1"/>
  <c r="J328" i="1"/>
  <c r="I328" i="1"/>
  <c r="J329" i="1"/>
  <c r="I329" i="1"/>
  <c r="J330" i="1"/>
  <c r="I330" i="1"/>
  <c r="J331" i="1"/>
  <c r="I331" i="1"/>
  <c r="J332" i="1"/>
  <c r="I332" i="1"/>
  <c r="J333" i="1"/>
  <c r="I333" i="1"/>
  <c r="J334" i="1"/>
  <c r="I334" i="1"/>
  <c r="J335" i="1"/>
  <c r="I335" i="1"/>
  <c r="J336" i="1"/>
  <c r="I336" i="1"/>
  <c r="J337" i="1"/>
  <c r="I337" i="1"/>
  <c r="J338" i="1"/>
  <c r="I338" i="1"/>
  <c r="J339" i="1"/>
  <c r="I339" i="1"/>
  <c r="J340" i="1"/>
  <c r="I340" i="1"/>
  <c r="J341" i="1"/>
  <c r="I341" i="1"/>
  <c r="J342" i="1"/>
  <c r="I342" i="1"/>
  <c r="J343" i="1"/>
  <c r="I343" i="1"/>
  <c r="J344" i="1"/>
  <c r="I344" i="1"/>
  <c r="J345" i="1"/>
  <c r="I345" i="1"/>
  <c r="J346" i="1"/>
  <c r="I346" i="1"/>
  <c r="J347" i="1"/>
  <c r="I347" i="1"/>
  <c r="J348" i="1"/>
  <c r="I348" i="1"/>
  <c r="J349" i="1"/>
  <c r="I349" i="1"/>
  <c r="J350" i="1"/>
  <c r="I350" i="1"/>
  <c r="J351" i="1"/>
  <c r="I351" i="1"/>
  <c r="J352" i="1"/>
  <c r="I352" i="1"/>
  <c r="J353" i="1"/>
  <c r="I353" i="1"/>
  <c r="J354" i="1"/>
  <c r="I354" i="1"/>
  <c r="J355" i="1"/>
  <c r="I355" i="1"/>
  <c r="J356" i="1"/>
  <c r="I356" i="1"/>
  <c r="J357" i="1"/>
  <c r="I357" i="1"/>
  <c r="J358" i="1"/>
  <c r="I358" i="1"/>
  <c r="J359" i="1"/>
  <c r="I359" i="1"/>
  <c r="J360" i="1"/>
  <c r="I360" i="1"/>
  <c r="J361" i="1"/>
  <c r="I361" i="1"/>
  <c r="J362" i="1"/>
  <c r="I362" i="1"/>
  <c r="J363" i="1"/>
  <c r="I363" i="1"/>
  <c r="J364" i="1"/>
  <c r="I364" i="1"/>
  <c r="J365" i="1"/>
  <c r="I365" i="1"/>
  <c r="J366" i="1"/>
  <c r="I366" i="1"/>
  <c r="J367" i="1"/>
  <c r="I367" i="1"/>
  <c r="J368" i="1"/>
  <c r="I368" i="1"/>
  <c r="J369" i="1"/>
  <c r="I369" i="1"/>
  <c r="J370" i="1"/>
  <c r="I370" i="1"/>
  <c r="J371" i="1"/>
  <c r="I371" i="1"/>
  <c r="J372" i="1"/>
  <c r="I372" i="1"/>
  <c r="J373" i="1"/>
  <c r="I373" i="1"/>
  <c r="J374" i="1"/>
  <c r="I374" i="1"/>
  <c r="J375" i="1"/>
  <c r="I375" i="1"/>
  <c r="J376" i="1"/>
  <c r="I376" i="1"/>
  <c r="J377" i="1"/>
  <c r="I377" i="1"/>
  <c r="J378" i="1"/>
  <c r="I378" i="1"/>
  <c r="J379" i="1"/>
  <c r="I379" i="1"/>
  <c r="J380" i="1"/>
  <c r="I380" i="1"/>
  <c r="J381" i="1"/>
  <c r="I381" i="1"/>
  <c r="J382" i="1"/>
  <c r="I382" i="1"/>
  <c r="J383" i="1"/>
  <c r="I383" i="1"/>
  <c r="J384" i="1"/>
  <c r="I384" i="1"/>
  <c r="J385" i="1"/>
  <c r="I385" i="1"/>
  <c r="J386" i="1"/>
  <c r="I386" i="1"/>
  <c r="J387" i="1"/>
  <c r="I387" i="1"/>
  <c r="J388" i="1"/>
  <c r="I388" i="1"/>
  <c r="J389" i="1"/>
  <c r="I389" i="1"/>
  <c r="J390" i="1"/>
  <c r="I390" i="1"/>
  <c r="J391" i="1"/>
  <c r="I391" i="1"/>
  <c r="J392" i="1"/>
  <c r="I392" i="1"/>
  <c r="J393" i="1"/>
  <c r="I393" i="1"/>
  <c r="J394" i="1"/>
  <c r="I394" i="1"/>
  <c r="J395" i="1"/>
  <c r="I395" i="1"/>
  <c r="J396" i="1"/>
  <c r="I396" i="1"/>
  <c r="J397" i="1"/>
  <c r="I397" i="1"/>
  <c r="J398" i="1"/>
  <c r="I398" i="1"/>
  <c r="J399" i="1"/>
  <c r="I399" i="1"/>
  <c r="J400" i="1"/>
  <c r="I400" i="1"/>
  <c r="J401" i="1"/>
  <c r="I401" i="1"/>
  <c r="J402" i="1"/>
  <c r="I402" i="1"/>
  <c r="J403" i="1"/>
  <c r="I403" i="1"/>
  <c r="J404" i="1"/>
  <c r="I404" i="1"/>
  <c r="J405" i="1"/>
  <c r="I405" i="1"/>
  <c r="J406" i="1"/>
  <c r="I406" i="1"/>
  <c r="J407" i="1"/>
  <c r="I407" i="1"/>
  <c r="J408" i="1"/>
  <c r="I408" i="1"/>
  <c r="J409" i="1"/>
  <c r="I409" i="1"/>
  <c r="J410" i="1"/>
  <c r="I410" i="1"/>
  <c r="J411" i="1"/>
  <c r="I411" i="1"/>
  <c r="J412" i="1"/>
  <c r="I412" i="1"/>
  <c r="J413" i="1"/>
  <c r="I413" i="1"/>
  <c r="J414" i="1"/>
  <c r="I414" i="1"/>
  <c r="J415" i="1"/>
  <c r="I415" i="1"/>
  <c r="J416" i="1"/>
  <c r="I416" i="1"/>
  <c r="J417" i="1"/>
  <c r="I417" i="1"/>
  <c r="J418" i="1"/>
  <c r="I418" i="1"/>
  <c r="J419" i="1"/>
  <c r="I419" i="1"/>
  <c r="J420" i="1"/>
  <c r="I420" i="1"/>
  <c r="J421" i="1"/>
  <c r="I421" i="1"/>
  <c r="J422" i="1"/>
  <c r="I422" i="1"/>
  <c r="J423" i="1"/>
  <c r="I423" i="1"/>
  <c r="J424" i="1"/>
  <c r="I424" i="1"/>
  <c r="J425" i="1"/>
  <c r="I425" i="1"/>
  <c r="J426" i="1"/>
  <c r="I426" i="1"/>
  <c r="J427" i="1"/>
  <c r="I427" i="1"/>
  <c r="J428" i="1"/>
  <c r="I428" i="1"/>
  <c r="J429" i="1"/>
  <c r="I429" i="1"/>
  <c r="J430" i="1"/>
  <c r="I430" i="1"/>
  <c r="J431" i="1"/>
  <c r="I431" i="1"/>
  <c r="J432" i="1"/>
  <c r="I432" i="1"/>
  <c r="J433" i="1"/>
  <c r="I433" i="1"/>
  <c r="J434" i="1"/>
  <c r="I434" i="1"/>
  <c r="J435" i="1"/>
  <c r="I435" i="1"/>
  <c r="J436" i="1"/>
  <c r="I436" i="1"/>
  <c r="J437" i="1"/>
  <c r="I437" i="1"/>
  <c r="J438" i="1"/>
  <c r="I438" i="1"/>
  <c r="J439" i="1"/>
  <c r="I439" i="1"/>
  <c r="J440" i="1"/>
  <c r="I440" i="1"/>
  <c r="J441" i="1"/>
  <c r="I441" i="1"/>
  <c r="J442" i="1"/>
  <c r="I442" i="1"/>
  <c r="J443" i="1"/>
  <c r="I443" i="1"/>
  <c r="J444" i="1"/>
  <c r="I444" i="1"/>
  <c r="J445" i="1"/>
  <c r="I445" i="1"/>
  <c r="J446" i="1"/>
  <c r="I446" i="1"/>
  <c r="J447" i="1"/>
  <c r="I447" i="1"/>
  <c r="J448" i="1"/>
  <c r="I448" i="1"/>
  <c r="J449" i="1"/>
  <c r="I449" i="1"/>
  <c r="J450" i="1"/>
  <c r="I450" i="1"/>
  <c r="J451" i="1"/>
  <c r="I451" i="1"/>
  <c r="J452" i="1"/>
  <c r="I452" i="1"/>
  <c r="J453" i="1"/>
  <c r="I453" i="1"/>
  <c r="J454" i="1"/>
  <c r="I454" i="1"/>
  <c r="J455" i="1"/>
  <c r="I455" i="1"/>
  <c r="J456" i="1"/>
  <c r="I456" i="1"/>
  <c r="J457" i="1"/>
  <c r="I457" i="1"/>
  <c r="J458" i="1"/>
  <c r="I458" i="1"/>
  <c r="J459" i="1"/>
  <c r="I459" i="1"/>
  <c r="J460" i="1"/>
  <c r="I460" i="1"/>
  <c r="J461" i="1"/>
  <c r="I461" i="1"/>
  <c r="J462" i="1"/>
  <c r="I462" i="1"/>
  <c r="J463" i="1"/>
  <c r="I463" i="1"/>
  <c r="J464" i="1"/>
  <c r="I464" i="1"/>
  <c r="J465" i="1"/>
  <c r="I465" i="1"/>
  <c r="J466" i="1"/>
  <c r="I466" i="1"/>
  <c r="J467" i="1"/>
  <c r="I467" i="1"/>
  <c r="J468" i="1"/>
  <c r="I468" i="1"/>
  <c r="J469" i="1"/>
  <c r="I469" i="1"/>
  <c r="J470" i="1"/>
  <c r="I470" i="1"/>
  <c r="J471" i="1"/>
  <c r="I471" i="1"/>
  <c r="J472" i="1"/>
  <c r="I472" i="1"/>
  <c r="J473" i="1"/>
  <c r="I473" i="1"/>
  <c r="J474" i="1"/>
  <c r="I474" i="1"/>
  <c r="J475" i="1"/>
  <c r="I475" i="1"/>
  <c r="J476" i="1"/>
  <c r="I476" i="1"/>
  <c r="J477" i="1"/>
  <c r="I477" i="1"/>
  <c r="J478" i="1"/>
  <c r="I478" i="1"/>
  <c r="J479" i="1"/>
  <c r="I479" i="1"/>
  <c r="J480" i="1"/>
  <c r="I480" i="1"/>
  <c r="J481" i="1"/>
  <c r="I481" i="1"/>
  <c r="J482" i="1"/>
  <c r="I482" i="1"/>
  <c r="J483" i="1"/>
  <c r="I483" i="1"/>
  <c r="J484" i="1"/>
  <c r="I484" i="1"/>
  <c r="J485" i="1"/>
  <c r="I485" i="1"/>
  <c r="J486" i="1"/>
  <c r="I486" i="1"/>
  <c r="J487" i="1"/>
  <c r="I487" i="1"/>
  <c r="J488" i="1"/>
  <c r="I488" i="1"/>
  <c r="J489" i="1"/>
  <c r="I489" i="1"/>
  <c r="J490" i="1"/>
  <c r="I490" i="1"/>
  <c r="J491" i="1"/>
  <c r="I491" i="1"/>
  <c r="J492" i="1"/>
  <c r="I492" i="1"/>
  <c r="J493" i="1"/>
  <c r="I493" i="1"/>
  <c r="J494" i="1"/>
  <c r="I494" i="1"/>
  <c r="J495" i="1"/>
  <c r="I495" i="1"/>
  <c r="J496" i="1"/>
  <c r="I496" i="1"/>
  <c r="J497" i="1"/>
  <c r="I497" i="1"/>
  <c r="J498" i="1"/>
  <c r="I498" i="1"/>
  <c r="J499" i="1"/>
  <c r="I499" i="1"/>
  <c r="J500" i="1"/>
  <c r="I500" i="1"/>
  <c r="J501" i="1"/>
  <c r="I501" i="1"/>
  <c r="J502" i="1"/>
  <c r="I502" i="1"/>
  <c r="J503" i="1"/>
  <c r="I503" i="1"/>
  <c r="J504" i="1"/>
  <c r="I504" i="1"/>
  <c r="J505" i="1"/>
  <c r="I505" i="1"/>
  <c r="J506" i="1"/>
  <c r="I506" i="1"/>
  <c r="J507" i="1"/>
  <c r="I507" i="1"/>
  <c r="J508" i="1"/>
  <c r="I508" i="1"/>
  <c r="J509" i="1"/>
  <c r="I509" i="1"/>
  <c r="J510" i="1"/>
  <c r="I510" i="1"/>
  <c r="J511" i="1"/>
  <c r="I511" i="1"/>
  <c r="J512" i="1"/>
  <c r="I512" i="1"/>
  <c r="J513" i="1"/>
  <c r="I513" i="1"/>
  <c r="J514" i="1"/>
  <c r="I514" i="1"/>
  <c r="J515" i="1"/>
  <c r="I515" i="1"/>
  <c r="J516" i="1"/>
  <c r="I516" i="1"/>
  <c r="J517" i="1"/>
  <c r="I517" i="1"/>
  <c r="J518" i="1"/>
  <c r="I518" i="1"/>
  <c r="J519" i="1"/>
  <c r="I519" i="1"/>
  <c r="J520" i="1"/>
  <c r="I520" i="1"/>
  <c r="J521" i="1"/>
  <c r="I521" i="1"/>
  <c r="J522" i="1"/>
  <c r="I522" i="1"/>
  <c r="J523" i="1"/>
  <c r="I523" i="1"/>
  <c r="J524" i="1"/>
  <c r="I524" i="1"/>
  <c r="J525" i="1"/>
  <c r="I525" i="1"/>
  <c r="J526" i="1"/>
  <c r="I526" i="1"/>
  <c r="J527" i="1"/>
  <c r="I527" i="1"/>
  <c r="J528" i="1"/>
  <c r="I528" i="1"/>
  <c r="J529" i="1"/>
  <c r="I529" i="1"/>
  <c r="J530" i="1"/>
  <c r="I530" i="1"/>
  <c r="J531" i="1"/>
  <c r="I531" i="1"/>
  <c r="J532" i="1"/>
  <c r="I532" i="1"/>
  <c r="J533" i="1"/>
  <c r="I533" i="1"/>
  <c r="J534" i="1"/>
  <c r="I534" i="1"/>
  <c r="J535" i="1"/>
  <c r="I535" i="1"/>
  <c r="J536" i="1"/>
  <c r="I536" i="1"/>
  <c r="J537" i="1"/>
  <c r="I537" i="1"/>
  <c r="J538" i="1"/>
  <c r="I538" i="1"/>
  <c r="J539" i="1"/>
  <c r="I539" i="1"/>
  <c r="J540" i="1"/>
  <c r="I540" i="1"/>
  <c r="J541" i="1"/>
  <c r="I541" i="1"/>
  <c r="J542" i="1"/>
  <c r="I542" i="1"/>
  <c r="J543" i="1"/>
  <c r="I543" i="1"/>
  <c r="J544" i="1"/>
  <c r="I544" i="1"/>
  <c r="J545" i="1"/>
  <c r="I545" i="1"/>
  <c r="J546" i="1"/>
  <c r="I546" i="1"/>
  <c r="J547" i="1"/>
  <c r="I547" i="1"/>
  <c r="J548" i="1"/>
  <c r="I548" i="1"/>
  <c r="J549" i="1"/>
  <c r="I549" i="1"/>
  <c r="J550" i="1"/>
  <c r="I550" i="1"/>
  <c r="J551" i="1"/>
  <c r="I551" i="1"/>
  <c r="J552" i="1"/>
  <c r="I552" i="1"/>
  <c r="J553" i="1"/>
  <c r="I553" i="1"/>
  <c r="J554" i="1"/>
  <c r="I554" i="1"/>
  <c r="J555" i="1"/>
  <c r="I555" i="1"/>
  <c r="J556" i="1"/>
  <c r="I556" i="1"/>
  <c r="J557" i="1"/>
  <c r="I557" i="1"/>
  <c r="J558" i="1"/>
  <c r="I558" i="1"/>
  <c r="J559" i="1"/>
  <c r="I559" i="1"/>
  <c r="J560" i="1"/>
  <c r="I560" i="1"/>
  <c r="J561" i="1"/>
  <c r="I561" i="1"/>
  <c r="J562" i="1"/>
  <c r="I562" i="1"/>
  <c r="J563" i="1"/>
  <c r="I563" i="1"/>
  <c r="J564" i="1"/>
  <c r="I564" i="1"/>
  <c r="J565" i="1"/>
  <c r="I565" i="1"/>
  <c r="J566" i="1"/>
  <c r="I566" i="1"/>
  <c r="J567" i="1"/>
  <c r="I567" i="1"/>
  <c r="J568" i="1"/>
  <c r="I568" i="1"/>
  <c r="J569" i="1"/>
  <c r="I569" i="1"/>
  <c r="J570" i="1"/>
  <c r="I570" i="1"/>
  <c r="J571" i="1"/>
  <c r="I571" i="1"/>
  <c r="J572" i="1"/>
  <c r="I572" i="1"/>
  <c r="J573" i="1"/>
  <c r="I573" i="1"/>
  <c r="J574" i="1"/>
  <c r="I574" i="1"/>
  <c r="J575" i="1"/>
  <c r="I575" i="1"/>
  <c r="J576" i="1"/>
  <c r="I576" i="1"/>
  <c r="J577" i="1"/>
  <c r="I577" i="1"/>
  <c r="J578" i="1"/>
  <c r="I578" i="1"/>
  <c r="J579" i="1"/>
  <c r="I579" i="1"/>
  <c r="J580" i="1"/>
  <c r="I580" i="1"/>
  <c r="J581" i="1"/>
  <c r="I581" i="1"/>
  <c r="J582" i="1"/>
  <c r="I582" i="1"/>
  <c r="J583" i="1"/>
  <c r="I583" i="1"/>
  <c r="J584" i="1"/>
  <c r="I584" i="1"/>
  <c r="J585" i="1"/>
  <c r="I585" i="1"/>
  <c r="J586" i="1"/>
  <c r="I586" i="1"/>
  <c r="J587" i="1"/>
  <c r="I587" i="1"/>
  <c r="J588" i="1"/>
  <c r="I588" i="1"/>
  <c r="J589" i="1"/>
  <c r="I589" i="1"/>
  <c r="J590" i="1"/>
  <c r="I590" i="1"/>
  <c r="J591" i="1"/>
  <c r="I591" i="1"/>
  <c r="J592" i="1"/>
  <c r="I592" i="1"/>
  <c r="J593" i="1"/>
  <c r="I593" i="1"/>
  <c r="J594" i="1"/>
  <c r="I594" i="1"/>
  <c r="J595" i="1"/>
  <c r="I595" i="1"/>
  <c r="J596" i="1"/>
  <c r="I596" i="1"/>
  <c r="J597" i="1"/>
  <c r="I597" i="1"/>
  <c r="J598" i="1"/>
  <c r="I598" i="1"/>
  <c r="J599" i="1"/>
  <c r="I599" i="1"/>
  <c r="J600" i="1"/>
  <c r="I600" i="1"/>
  <c r="J601" i="1"/>
  <c r="I601" i="1"/>
  <c r="J602" i="1"/>
  <c r="I602" i="1"/>
  <c r="J603" i="1"/>
  <c r="I603" i="1"/>
  <c r="J604" i="1"/>
  <c r="I604" i="1"/>
  <c r="J605" i="1"/>
  <c r="I605" i="1"/>
  <c r="J606" i="1"/>
  <c r="I606" i="1"/>
  <c r="J607" i="1"/>
  <c r="I607" i="1"/>
  <c r="J608" i="1"/>
  <c r="I608" i="1"/>
  <c r="J609" i="1"/>
  <c r="I609" i="1"/>
  <c r="J610" i="1"/>
  <c r="I610" i="1"/>
  <c r="J611" i="1"/>
  <c r="I611" i="1"/>
  <c r="J612" i="1"/>
  <c r="I612" i="1"/>
  <c r="J613" i="1"/>
  <c r="I613" i="1"/>
  <c r="J614" i="1"/>
  <c r="I614" i="1"/>
  <c r="J615" i="1"/>
  <c r="I615" i="1"/>
  <c r="J616" i="1"/>
  <c r="I616" i="1"/>
  <c r="J617" i="1"/>
  <c r="I617" i="1"/>
  <c r="J618" i="1"/>
  <c r="I618" i="1"/>
  <c r="J619" i="1"/>
  <c r="I619" i="1"/>
  <c r="J620" i="1"/>
  <c r="I620" i="1"/>
  <c r="J621" i="1"/>
  <c r="I621" i="1"/>
  <c r="J622" i="1"/>
  <c r="I622" i="1"/>
  <c r="J623" i="1"/>
  <c r="I623" i="1"/>
  <c r="J624" i="1"/>
  <c r="I624" i="1"/>
  <c r="J625" i="1"/>
  <c r="I625" i="1"/>
  <c r="J626" i="1"/>
  <c r="I626" i="1"/>
  <c r="J627" i="1"/>
  <c r="I627" i="1"/>
  <c r="J628" i="1"/>
  <c r="I628" i="1"/>
  <c r="J629" i="1"/>
  <c r="I629" i="1"/>
  <c r="J630" i="1"/>
  <c r="I630" i="1"/>
  <c r="J631" i="1"/>
  <c r="I631" i="1"/>
  <c r="J632" i="1"/>
  <c r="I632" i="1"/>
  <c r="J633" i="1"/>
  <c r="I633" i="1"/>
  <c r="J634" i="1"/>
  <c r="I634" i="1"/>
  <c r="J635" i="1"/>
  <c r="I635" i="1"/>
  <c r="J636" i="1"/>
  <c r="I636" i="1"/>
  <c r="J637" i="1"/>
  <c r="I637" i="1"/>
  <c r="J638" i="1"/>
  <c r="I638" i="1"/>
  <c r="J639" i="1"/>
  <c r="I639" i="1"/>
  <c r="J640" i="1"/>
  <c r="I640" i="1"/>
  <c r="J641" i="1"/>
  <c r="I641" i="1"/>
  <c r="J642" i="1"/>
  <c r="I642" i="1"/>
  <c r="J643" i="1"/>
  <c r="I643" i="1"/>
  <c r="J644" i="1"/>
  <c r="I644" i="1"/>
  <c r="J645" i="1"/>
  <c r="I645" i="1"/>
  <c r="J646" i="1"/>
  <c r="I646" i="1"/>
  <c r="J647" i="1"/>
  <c r="I647" i="1"/>
  <c r="J648" i="1"/>
  <c r="I648" i="1"/>
  <c r="J649" i="1"/>
  <c r="I649" i="1"/>
  <c r="J650" i="1"/>
  <c r="I650" i="1"/>
  <c r="J651" i="1"/>
  <c r="I651" i="1"/>
  <c r="J652" i="1"/>
  <c r="I652" i="1"/>
  <c r="J653" i="1"/>
  <c r="I653" i="1"/>
  <c r="J654" i="1"/>
  <c r="I654" i="1"/>
  <c r="J655" i="1"/>
  <c r="I655" i="1"/>
  <c r="J656" i="1"/>
  <c r="I656" i="1"/>
  <c r="J657" i="1"/>
  <c r="I657" i="1"/>
  <c r="J658" i="1"/>
  <c r="I658" i="1"/>
  <c r="J659" i="1"/>
  <c r="I659" i="1"/>
  <c r="J660" i="1"/>
  <c r="I660" i="1"/>
  <c r="J661" i="1"/>
  <c r="I661" i="1"/>
  <c r="J662" i="1"/>
  <c r="I662" i="1"/>
  <c r="J663" i="1"/>
  <c r="I663" i="1"/>
  <c r="J664" i="1"/>
  <c r="I664" i="1"/>
  <c r="J665" i="1"/>
  <c r="I665" i="1"/>
  <c r="J666" i="1"/>
  <c r="I666" i="1"/>
  <c r="J667" i="1"/>
  <c r="I667" i="1"/>
  <c r="J668" i="1"/>
  <c r="I668" i="1"/>
  <c r="J669" i="1"/>
  <c r="I669" i="1"/>
  <c r="J670" i="1"/>
  <c r="I670" i="1"/>
  <c r="J671" i="1"/>
  <c r="I671" i="1"/>
  <c r="J672" i="1"/>
  <c r="I672" i="1"/>
  <c r="J673" i="1"/>
  <c r="I673" i="1"/>
  <c r="J674" i="1"/>
  <c r="I674" i="1"/>
  <c r="J675" i="1"/>
  <c r="I675" i="1"/>
  <c r="J676" i="1"/>
  <c r="I676" i="1"/>
  <c r="J677" i="1"/>
  <c r="I677" i="1"/>
  <c r="J678" i="1"/>
  <c r="I678" i="1"/>
  <c r="J679" i="1"/>
  <c r="I679" i="1"/>
  <c r="J680" i="1"/>
  <c r="I680" i="1"/>
  <c r="J681" i="1"/>
  <c r="I681" i="1"/>
  <c r="J682" i="1"/>
  <c r="I682" i="1"/>
  <c r="J683" i="1"/>
  <c r="I683" i="1"/>
  <c r="J684" i="1"/>
  <c r="I684" i="1"/>
  <c r="J685" i="1"/>
  <c r="I685" i="1"/>
  <c r="J686" i="1"/>
  <c r="I686" i="1"/>
  <c r="J687" i="1"/>
  <c r="I687" i="1"/>
  <c r="J688" i="1"/>
  <c r="I688" i="1"/>
  <c r="J689" i="1"/>
  <c r="I689" i="1"/>
  <c r="J690" i="1"/>
  <c r="I690" i="1"/>
  <c r="J691" i="1"/>
  <c r="I691" i="1"/>
  <c r="J692" i="1"/>
  <c r="I692" i="1"/>
  <c r="J693" i="1"/>
  <c r="I693" i="1"/>
  <c r="J694" i="1"/>
  <c r="I694" i="1"/>
  <c r="J695" i="1"/>
  <c r="I695" i="1"/>
  <c r="J696" i="1"/>
  <c r="I696" i="1"/>
  <c r="J697" i="1"/>
  <c r="I697" i="1"/>
  <c r="J698" i="1"/>
  <c r="I698" i="1"/>
  <c r="J699" i="1"/>
  <c r="I699" i="1"/>
  <c r="J700" i="1"/>
  <c r="I700" i="1"/>
  <c r="J701" i="1"/>
  <c r="I701" i="1"/>
  <c r="J702" i="1"/>
  <c r="I702" i="1"/>
  <c r="J703" i="1"/>
  <c r="I703" i="1"/>
  <c r="J704" i="1"/>
  <c r="I704" i="1"/>
  <c r="J705" i="1"/>
  <c r="I705" i="1"/>
  <c r="J706" i="1"/>
  <c r="I706" i="1"/>
  <c r="J707" i="1"/>
  <c r="I707" i="1"/>
  <c r="J708" i="1"/>
  <c r="I708" i="1"/>
  <c r="J709" i="1"/>
  <c r="I709" i="1"/>
  <c r="J710" i="1"/>
  <c r="I710" i="1"/>
  <c r="J711" i="1"/>
  <c r="I711" i="1"/>
  <c r="J712" i="1"/>
  <c r="I712" i="1"/>
  <c r="J713" i="1"/>
  <c r="I713" i="1"/>
  <c r="J714" i="1"/>
  <c r="I714" i="1"/>
  <c r="J715" i="1"/>
  <c r="I715" i="1"/>
  <c r="J716" i="1"/>
  <c r="I716" i="1"/>
  <c r="J717" i="1"/>
  <c r="I717" i="1"/>
  <c r="J718" i="1"/>
  <c r="I718" i="1"/>
  <c r="J719" i="1"/>
  <c r="I719" i="1"/>
  <c r="J720" i="1"/>
  <c r="I720" i="1"/>
  <c r="J721" i="1"/>
  <c r="I721" i="1"/>
  <c r="J722" i="1"/>
  <c r="I722" i="1"/>
  <c r="J723" i="1"/>
  <c r="I723" i="1"/>
  <c r="J724" i="1"/>
  <c r="I724" i="1"/>
  <c r="J725" i="1"/>
  <c r="I725" i="1"/>
  <c r="J726" i="1"/>
  <c r="I726" i="1"/>
  <c r="J727" i="1"/>
  <c r="I727" i="1"/>
  <c r="J728" i="1"/>
  <c r="I728" i="1"/>
  <c r="J729" i="1"/>
  <c r="I729" i="1"/>
  <c r="J730" i="1"/>
  <c r="I730" i="1"/>
  <c r="J731" i="1"/>
  <c r="I731" i="1"/>
  <c r="J732" i="1"/>
  <c r="I732" i="1"/>
  <c r="J733" i="1"/>
  <c r="I733" i="1"/>
  <c r="J734" i="1"/>
  <c r="I734" i="1"/>
  <c r="J735" i="1"/>
  <c r="I735" i="1"/>
  <c r="J736" i="1"/>
  <c r="I736" i="1"/>
  <c r="J737" i="1"/>
  <c r="I737" i="1"/>
  <c r="J738" i="1"/>
  <c r="I738" i="1"/>
  <c r="J739" i="1"/>
  <c r="I739" i="1"/>
  <c r="J740" i="1"/>
  <c r="I740" i="1"/>
  <c r="J741" i="1"/>
  <c r="I741" i="1"/>
  <c r="J742" i="1"/>
  <c r="I742" i="1"/>
  <c r="J743" i="1"/>
  <c r="I743" i="1"/>
  <c r="J744" i="1"/>
  <c r="I744" i="1"/>
  <c r="J745" i="1"/>
  <c r="I745" i="1"/>
  <c r="J746" i="1"/>
  <c r="I746" i="1"/>
  <c r="J747" i="1"/>
  <c r="I747" i="1"/>
  <c r="J748" i="1"/>
  <c r="I748" i="1"/>
  <c r="J749" i="1"/>
  <c r="I749" i="1"/>
  <c r="J750" i="1"/>
  <c r="I750" i="1"/>
  <c r="J751" i="1"/>
  <c r="I751" i="1"/>
  <c r="J752" i="1"/>
  <c r="I752" i="1"/>
  <c r="J753" i="1"/>
  <c r="I753" i="1"/>
  <c r="J754" i="1"/>
  <c r="I754" i="1"/>
  <c r="J755" i="1"/>
  <c r="I755" i="1"/>
  <c r="J756" i="1"/>
  <c r="I756" i="1"/>
  <c r="J757" i="1"/>
  <c r="I757" i="1"/>
  <c r="J758" i="1"/>
  <c r="I758" i="1"/>
  <c r="J759" i="1"/>
  <c r="I759" i="1"/>
  <c r="J760" i="1"/>
  <c r="I760" i="1"/>
  <c r="J761" i="1"/>
  <c r="I761" i="1"/>
  <c r="J762" i="1"/>
  <c r="I762" i="1"/>
  <c r="J763" i="1"/>
  <c r="I763" i="1"/>
  <c r="J764" i="1"/>
  <c r="I764" i="1"/>
  <c r="J765" i="1"/>
  <c r="I765" i="1"/>
  <c r="J766" i="1"/>
  <c r="I766" i="1"/>
  <c r="J767" i="1"/>
  <c r="I767" i="1"/>
  <c r="J768" i="1"/>
  <c r="I768" i="1"/>
  <c r="J769" i="1"/>
  <c r="I769" i="1"/>
  <c r="J770" i="1"/>
  <c r="I770" i="1"/>
  <c r="J771" i="1"/>
  <c r="I771" i="1"/>
  <c r="J772" i="1"/>
  <c r="I772" i="1"/>
  <c r="J773" i="1"/>
  <c r="I773" i="1"/>
  <c r="J774" i="1"/>
  <c r="I774" i="1"/>
  <c r="J775" i="1"/>
  <c r="I775" i="1"/>
  <c r="J776" i="1"/>
  <c r="I776" i="1"/>
  <c r="J777" i="1"/>
  <c r="I777" i="1"/>
  <c r="J778" i="1"/>
  <c r="I778" i="1"/>
  <c r="J779" i="1"/>
  <c r="I779" i="1"/>
  <c r="J780" i="1"/>
  <c r="I780" i="1"/>
  <c r="J781" i="1"/>
  <c r="I781" i="1"/>
  <c r="J782" i="1"/>
  <c r="I782" i="1"/>
  <c r="J783" i="1"/>
  <c r="I783" i="1"/>
  <c r="J784" i="1"/>
  <c r="I784" i="1"/>
  <c r="J785" i="1"/>
  <c r="I785" i="1"/>
  <c r="J786" i="1"/>
  <c r="I786" i="1"/>
  <c r="J787" i="1"/>
  <c r="I787" i="1"/>
  <c r="J788" i="1"/>
  <c r="I788" i="1"/>
  <c r="J789" i="1"/>
  <c r="I789" i="1"/>
  <c r="J790" i="1"/>
  <c r="I790" i="1"/>
  <c r="J791" i="1"/>
  <c r="I791" i="1"/>
  <c r="J792" i="1"/>
  <c r="I792" i="1"/>
  <c r="J793" i="1"/>
  <c r="I793" i="1"/>
  <c r="J794" i="1"/>
  <c r="I794" i="1"/>
  <c r="J795" i="1"/>
  <c r="I795" i="1"/>
  <c r="J796" i="1"/>
  <c r="I796" i="1"/>
  <c r="J797" i="1"/>
  <c r="I797" i="1"/>
  <c r="J798" i="1"/>
  <c r="I798" i="1"/>
  <c r="J799" i="1"/>
  <c r="I799" i="1"/>
  <c r="J800" i="1"/>
  <c r="I800" i="1"/>
  <c r="J801" i="1"/>
  <c r="I801" i="1"/>
  <c r="J802" i="1"/>
  <c r="I802" i="1"/>
  <c r="J803" i="1"/>
  <c r="I803" i="1"/>
  <c r="J804" i="1"/>
  <c r="I804" i="1"/>
  <c r="J805" i="1"/>
  <c r="I805" i="1"/>
  <c r="J806" i="1"/>
  <c r="I806" i="1"/>
  <c r="J807" i="1"/>
  <c r="I807" i="1"/>
  <c r="J808" i="1"/>
  <c r="I808" i="1"/>
  <c r="J809" i="1"/>
  <c r="I809" i="1"/>
  <c r="J810" i="1"/>
  <c r="I810" i="1"/>
  <c r="J811" i="1"/>
  <c r="I811" i="1"/>
  <c r="J812" i="1"/>
  <c r="I812" i="1"/>
  <c r="J813" i="1"/>
  <c r="I813" i="1"/>
  <c r="J814" i="1"/>
  <c r="I814" i="1"/>
  <c r="J815" i="1"/>
  <c r="I815" i="1"/>
  <c r="J816" i="1"/>
  <c r="I816" i="1"/>
  <c r="J817" i="1"/>
  <c r="I817" i="1"/>
  <c r="J818" i="1"/>
  <c r="I818" i="1"/>
  <c r="J819" i="1"/>
  <c r="I819" i="1"/>
  <c r="J820" i="1"/>
  <c r="I820" i="1"/>
  <c r="J821" i="1"/>
  <c r="I821" i="1"/>
  <c r="J822" i="1"/>
  <c r="I822" i="1"/>
  <c r="J823" i="1"/>
  <c r="I823" i="1"/>
  <c r="J824" i="1"/>
  <c r="I824" i="1"/>
  <c r="J825" i="1"/>
  <c r="I825" i="1"/>
  <c r="J826" i="1"/>
  <c r="I826" i="1"/>
  <c r="J827" i="1"/>
  <c r="I827" i="1"/>
  <c r="J828" i="1"/>
  <c r="I828" i="1"/>
  <c r="J829" i="1"/>
  <c r="I829" i="1"/>
  <c r="J830" i="1"/>
  <c r="I830" i="1"/>
  <c r="J831" i="1"/>
  <c r="I831" i="1"/>
  <c r="J832" i="1"/>
  <c r="I832" i="1"/>
  <c r="J833" i="1"/>
  <c r="I833" i="1"/>
  <c r="J834" i="1"/>
  <c r="I834" i="1"/>
  <c r="J835" i="1"/>
  <c r="I835" i="1"/>
  <c r="J836" i="1"/>
  <c r="I836" i="1"/>
  <c r="J837" i="1"/>
  <c r="I837" i="1"/>
  <c r="J838" i="1"/>
  <c r="I838" i="1"/>
  <c r="J839" i="1"/>
  <c r="I839" i="1"/>
  <c r="J840" i="1"/>
  <c r="I840" i="1"/>
  <c r="J841" i="1"/>
  <c r="I841" i="1"/>
  <c r="J842" i="1"/>
  <c r="I842" i="1"/>
  <c r="J843" i="1"/>
  <c r="I843" i="1"/>
  <c r="J844" i="1"/>
  <c r="I844" i="1"/>
  <c r="J845" i="1"/>
  <c r="I845" i="1"/>
  <c r="J846" i="1"/>
  <c r="I846" i="1"/>
  <c r="J847" i="1"/>
  <c r="I847" i="1"/>
  <c r="J848" i="1"/>
  <c r="I848" i="1"/>
  <c r="J849" i="1"/>
  <c r="I849" i="1"/>
  <c r="J850" i="1"/>
  <c r="I850" i="1"/>
  <c r="J851" i="1"/>
  <c r="I851" i="1"/>
  <c r="J852" i="1"/>
  <c r="I852" i="1"/>
  <c r="J853" i="1"/>
  <c r="I853" i="1"/>
  <c r="J854" i="1"/>
  <c r="I854" i="1"/>
  <c r="J855" i="1"/>
  <c r="I855" i="1"/>
  <c r="J856" i="1"/>
  <c r="I856" i="1"/>
  <c r="J857" i="1"/>
  <c r="I857" i="1"/>
  <c r="J858" i="1"/>
  <c r="I858" i="1"/>
  <c r="J859" i="1"/>
  <c r="I859" i="1"/>
  <c r="J860" i="1"/>
  <c r="I860" i="1"/>
  <c r="J861" i="1"/>
  <c r="I861" i="1"/>
  <c r="J862" i="1"/>
  <c r="I862" i="1"/>
  <c r="J863" i="1"/>
  <c r="I863" i="1"/>
  <c r="J864" i="1"/>
  <c r="I864" i="1"/>
  <c r="J865" i="1"/>
  <c r="I865" i="1"/>
  <c r="J866" i="1"/>
  <c r="I866" i="1"/>
  <c r="J867" i="1"/>
  <c r="I867" i="1"/>
  <c r="J868" i="1"/>
  <c r="I868" i="1"/>
  <c r="J869" i="1"/>
  <c r="I869" i="1"/>
  <c r="J870" i="1"/>
  <c r="I870" i="1"/>
  <c r="J871" i="1"/>
  <c r="I871" i="1"/>
  <c r="J872" i="1"/>
  <c r="I872" i="1"/>
  <c r="J873" i="1"/>
  <c r="I873" i="1"/>
  <c r="J874" i="1"/>
  <c r="I874" i="1"/>
  <c r="J875" i="1"/>
  <c r="I875" i="1"/>
  <c r="J876" i="1"/>
  <c r="I876" i="1"/>
  <c r="J877" i="1"/>
  <c r="I877" i="1"/>
  <c r="J878" i="1"/>
  <c r="I878" i="1"/>
  <c r="J879" i="1"/>
  <c r="I879" i="1"/>
  <c r="J880" i="1"/>
  <c r="I880" i="1"/>
  <c r="J881" i="1"/>
  <c r="I881" i="1"/>
  <c r="J882" i="1"/>
  <c r="I882" i="1"/>
  <c r="J883" i="1"/>
  <c r="I883" i="1"/>
  <c r="J884" i="1"/>
  <c r="I884" i="1"/>
  <c r="J885" i="1"/>
  <c r="I885" i="1"/>
  <c r="J886" i="1"/>
  <c r="I886" i="1"/>
  <c r="J887" i="1"/>
  <c r="I887" i="1"/>
  <c r="J888" i="1"/>
  <c r="I888" i="1"/>
  <c r="J889" i="1"/>
  <c r="I889" i="1"/>
  <c r="J890" i="1"/>
  <c r="I890" i="1"/>
  <c r="J891" i="1"/>
  <c r="I891" i="1"/>
  <c r="J892" i="1"/>
  <c r="I892" i="1"/>
  <c r="J893" i="1"/>
  <c r="I893" i="1"/>
  <c r="J894" i="1"/>
  <c r="I894" i="1"/>
  <c r="J895" i="1"/>
  <c r="I895" i="1"/>
  <c r="J896" i="1"/>
  <c r="I896" i="1"/>
  <c r="J897" i="1"/>
  <c r="I897" i="1"/>
  <c r="J898" i="1"/>
  <c r="I898" i="1"/>
  <c r="J899" i="1"/>
  <c r="I899" i="1"/>
  <c r="J900" i="1"/>
  <c r="I900" i="1"/>
  <c r="J901" i="1"/>
  <c r="I901" i="1"/>
  <c r="J902" i="1"/>
  <c r="I902" i="1"/>
  <c r="J903" i="1"/>
  <c r="I903" i="1"/>
  <c r="J904" i="1"/>
  <c r="I904" i="1"/>
  <c r="J905" i="1"/>
  <c r="I905" i="1"/>
  <c r="J906" i="1"/>
  <c r="I906" i="1"/>
  <c r="J907" i="1"/>
  <c r="I907" i="1"/>
  <c r="J908" i="1"/>
  <c r="I908" i="1"/>
  <c r="J909" i="1"/>
  <c r="I909" i="1"/>
  <c r="J910" i="1"/>
  <c r="I910" i="1"/>
  <c r="J911" i="1"/>
  <c r="I911" i="1"/>
  <c r="J912" i="1"/>
  <c r="I912" i="1"/>
  <c r="J913" i="1"/>
  <c r="I913" i="1"/>
  <c r="J914" i="1"/>
  <c r="I914" i="1"/>
  <c r="J915" i="1"/>
  <c r="I915" i="1"/>
  <c r="J916" i="1"/>
  <c r="I916" i="1"/>
  <c r="J917" i="1"/>
  <c r="I917" i="1"/>
  <c r="J918" i="1"/>
  <c r="I918" i="1"/>
  <c r="J919" i="1"/>
  <c r="I919" i="1"/>
  <c r="J920" i="1"/>
  <c r="I920" i="1"/>
  <c r="J921" i="1"/>
  <c r="I921" i="1"/>
  <c r="J922" i="1"/>
  <c r="I922" i="1"/>
  <c r="J923" i="1"/>
  <c r="I923" i="1"/>
  <c r="J924" i="1"/>
  <c r="I924" i="1"/>
  <c r="J925" i="1"/>
  <c r="I925" i="1"/>
  <c r="J926" i="1"/>
  <c r="I926" i="1"/>
  <c r="J927" i="1"/>
  <c r="I927" i="1"/>
  <c r="J928" i="1"/>
  <c r="I928" i="1"/>
  <c r="J929" i="1"/>
  <c r="I929" i="1"/>
  <c r="J930" i="1"/>
  <c r="I930" i="1"/>
  <c r="J931" i="1"/>
  <c r="I931" i="1"/>
  <c r="J932" i="1"/>
  <c r="I932" i="1"/>
  <c r="J933" i="1"/>
  <c r="I933" i="1"/>
  <c r="J934" i="1"/>
  <c r="I934" i="1"/>
  <c r="J935" i="1"/>
  <c r="I935" i="1"/>
  <c r="J936" i="1"/>
  <c r="I936" i="1"/>
  <c r="J937" i="1"/>
  <c r="I937" i="1"/>
  <c r="J938" i="1"/>
  <c r="I938" i="1"/>
  <c r="J939" i="1"/>
  <c r="I939" i="1"/>
  <c r="J940" i="1"/>
  <c r="I940" i="1"/>
  <c r="J941" i="1"/>
  <c r="I941" i="1"/>
  <c r="J942" i="1"/>
  <c r="I942" i="1"/>
  <c r="J943" i="1"/>
  <c r="I943" i="1"/>
  <c r="J944" i="1"/>
  <c r="I944" i="1"/>
  <c r="J945" i="1"/>
  <c r="I945" i="1"/>
  <c r="J946" i="1"/>
  <c r="I946" i="1"/>
  <c r="J947" i="1"/>
  <c r="I947" i="1"/>
  <c r="J948" i="1"/>
  <c r="I948" i="1"/>
  <c r="J949" i="1"/>
  <c r="I949" i="1"/>
  <c r="J950" i="1"/>
  <c r="I950" i="1"/>
  <c r="J951" i="1"/>
  <c r="I951" i="1"/>
  <c r="J952" i="1"/>
  <c r="I952" i="1"/>
  <c r="J953" i="1"/>
  <c r="I953" i="1"/>
  <c r="J954" i="1"/>
  <c r="I954" i="1"/>
  <c r="J955" i="1"/>
  <c r="I955" i="1"/>
  <c r="J956" i="1"/>
  <c r="I956" i="1"/>
  <c r="J957" i="1"/>
  <c r="I957" i="1"/>
  <c r="J958" i="1"/>
  <c r="I958" i="1"/>
  <c r="J959" i="1"/>
  <c r="I959" i="1"/>
  <c r="J960" i="1"/>
  <c r="I960" i="1"/>
  <c r="J961" i="1"/>
  <c r="I961" i="1"/>
  <c r="J962" i="1"/>
  <c r="I962" i="1"/>
  <c r="L962" i="1" l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K13" i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K767" i="1" s="1"/>
  <c r="K768" i="1" s="1"/>
  <c r="K769" i="1" s="1"/>
  <c r="K770" i="1" s="1"/>
  <c r="K771" i="1" s="1"/>
  <c r="K772" i="1" s="1"/>
  <c r="K773" i="1" s="1"/>
  <c r="K774" i="1" s="1"/>
  <c r="K775" i="1" s="1"/>
  <c r="K776" i="1" s="1"/>
  <c r="K777" i="1" s="1"/>
  <c r="K778" i="1" s="1"/>
  <c r="K779" i="1" s="1"/>
  <c r="K780" i="1" s="1"/>
  <c r="K781" i="1" s="1"/>
  <c r="K782" i="1" s="1"/>
  <c r="K783" i="1" s="1"/>
  <c r="K784" i="1" s="1"/>
  <c r="K785" i="1" s="1"/>
  <c r="K786" i="1" s="1"/>
  <c r="K787" i="1" s="1"/>
  <c r="K788" i="1" s="1"/>
  <c r="K789" i="1" s="1"/>
  <c r="K790" i="1" s="1"/>
  <c r="K791" i="1" s="1"/>
  <c r="K792" i="1" s="1"/>
  <c r="K793" i="1" s="1"/>
  <c r="K794" i="1" s="1"/>
  <c r="K795" i="1" s="1"/>
  <c r="K796" i="1" s="1"/>
  <c r="K797" i="1" s="1"/>
  <c r="K798" i="1" s="1"/>
  <c r="K799" i="1" s="1"/>
  <c r="K800" i="1" s="1"/>
  <c r="K801" i="1" s="1"/>
  <c r="K802" i="1" s="1"/>
  <c r="K803" i="1" s="1"/>
  <c r="K804" i="1" s="1"/>
  <c r="K805" i="1" s="1"/>
  <c r="K806" i="1" s="1"/>
  <c r="K807" i="1" s="1"/>
  <c r="K808" i="1" s="1"/>
  <c r="K809" i="1" s="1"/>
  <c r="K810" i="1" s="1"/>
  <c r="K811" i="1" s="1"/>
  <c r="K812" i="1" s="1"/>
  <c r="K813" i="1" s="1"/>
  <c r="K814" i="1" s="1"/>
  <c r="K815" i="1" s="1"/>
  <c r="K816" i="1" s="1"/>
  <c r="K817" i="1" s="1"/>
  <c r="K818" i="1" s="1"/>
  <c r="K819" i="1" s="1"/>
  <c r="K820" i="1" s="1"/>
  <c r="K821" i="1" s="1"/>
  <c r="K822" i="1" s="1"/>
  <c r="K823" i="1" s="1"/>
  <c r="K824" i="1" s="1"/>
  <c r="K825" i="1" s="1"/>
  <c r="K826" i="1" s="1"/>
  <c r="K827" i="1" s="1"/>
  <c r="K828" i="1" s="1"/>
  <c r="K829" i="1" s="1"/>
  <c r="K830" i="1" s="1"/>
  <c r="K831" i="1" s="1"/>
  <c r="K832" i="1" s="1"/>
  <c r="K833" i="1" s="1"/>
  <c r="K834" i="1" s="1"/>
  <c r="K835" i="1" s="1"/>
  <c r="K836" i="1" s="1"/>
  <c r="K837" i="1" s="1"/>
  <c r="K838" i="1" s="1"/>
  <c r="K839" i="1" s="1"/>
  <c r="K840" i="1" s="1"/>
  <c r="K841" i="1" s="1"/>
  <c r="K842" i="1" s="1"/>
  <c r="K843" i="1" s="1"/>
  <c r="K844" i="1" s="1"/>
  <c r="K845" i="1" s="1"/>
  <c r="K846" i="1" s="1"/>
  <c r="K847" i="1" s="1"/>
  <c r="K848" i="1" s="1"/>
  <c r="K849" i="1" s="1"/>
  <c r="K850" i="1" s="1"/>
  <c r="K851" i="1" s="1"/>
  <c r="K852" i="1" s="1"/>
  <c r="K853" i="1" s="1"/>
  <c r="K854" i="1" s="1"/>
  <c r="K855" i="1" s="1"/>
  <c r="K856" i="1" s="1"/>
  <c r="K857" i="1" s="1"/>
  <c r="K858" i="1" s="1"/>
  <c r="K859" i="1" s="1"/>
  <c r="K860" i="1" s="1"/>
  <c r="K861" i="1" s="1"/>
  <c r="K862" i="1" s="1"/>
  <c r="K863" i="1" s="1"/>
  <c r="K864" i="1" s="1"/>
  <c r="K865" i="1" s="1"/>
  <c r="K866" i="1" s="1"/>
  <c r="K867" i="1" s="1"/>
  <c r="K868" i="1" s="1"/>
  <c r="K869" i="1" s="1"/>
  <c r="K870" i="1" s="1"/>
  <c r="K871" i="1" s="1"/>
  <c r="K872" i="1" s="1"/>
  <c r="K873" i="1" s="1"/>
  <c r="K874" i="1" s="1"/>
  <c r="K875" i="1" s="1"/>
  <c r="K876" i="1" s="1"/>
  <c r="K877" i="1" s="1"/>
  <c r="K878" i="1" s="1"/>
  <c r="K879" i="1" s="1"/>
  <c r="K880" i="1" s="1"/>
  <c r="K881" i="1" s="1"/>
  <c r="K882" i="1" s="1"/>
  <c r="K883" i="1" s="1"/>
  <c r="K884" i="1" s="1"/>
  <c r="K885" i="1" s="1"/>
  <c r="K886" i="1" s="1"/>
  <c r="K887" i="1" s="1"/>
  <c r="K888" i="1" s="1"/>
  <c r="K889" i="1" s="1"/>
  <c r="K890" i="1" s="1"/>
  <c r="K891" i="1" s="1"/>
  <c r="K892" i="1" s="1"/>
  <c r="K893" i="1" s="1"/>
  <c r="K894" i="1" s="1"/>
  <c r="K895" i="1" s="1"/>
  <c r="K896" i="1" s="1"/>
  <c r="K897" i="1" s="1"/>
  <c r="K898" i="1" s="1"/>
  <c r="K899" i="1" s="1"/>
  <c r="K900" i="1" s="1"/>
  <c r="K901" i="1" s="1"/>
  <c r="K902" i="1" s="1"/>
  <c r="K903" i="1" s="1"/>
  <c r="K904" i="1" s="1"/>
  <c r="K905" i="1" s="1"/>
  <c r="K906" i="1" s="1"/>
  <c r="K907" i="1" s="1"/>
  <c r="K908" i="1" s="1"/>
  <c r="K909" i="1" s="1"/>
  <c r="K910" i="1" s="1"/>
  <c r="K911" i="1" s="1"/>
  <c r="K912" i="1" s="1"/>
  <c r="K913" i="1" s="1"/>
  <c r="K914" i="1" s="1"/>
  <c r="K915" i="1" s="1"/>
  <c r="K916" i="1" s="1"/>
  <c r="K917" i="1" s="1"/>
  <c r="K918" i="1" s="1"/>
  <c r="K919" i="1" s="1"/>
  <c r="K920" i="1" s="1"/>
  <c r="K921" i="1" s="1"/>
  <c r="K922" i="1" s="1"/>
  <c r="K923" i="1" s="1"/>
  <c r="K924" i="1" s="1"/>
  <c r="K925" i="1" s="1"/>
  <c r="K926" i="1" s="1"/>
  <c r="K927" i="1" s="1"/>
  <c r="K928" i="1" s="1"/>
  <c r="K929" i="1" s="1"/>
  <c r="K930" i="1" s="1"/>
  <c r="K931" i="1" s="1"/>
  <c r="K932" i="1" s="1"/>
  <c r="K933" i="1" s="1"/>
  <c r="K934" i="1" s="1"/>
  <c r="K935" i="1" s="1"/>
  <c r="K936" i="1" s="1"/>
  <c r="K937" i="1" s="1"/>
  <c r="K938" i="1" s="1"/>
  <c r="K939" i="1" s="1"/>
  <c r="K940" i="1" s="1"/>
  <c r="K941" i="1" s="1"/>
  <c r="K942" i="1" s="1"/>
  <c r="K943" i="1" s="1"/>
  <c r="K944" i="1" s="1"/>
  <c r="K945" i="1" s="1"/>
  <c r="K946" i="1" s="1"/>
  <c r="K947" i="1" s="1"/>
  <c r="K948" i="1" s="1"/>
  <c r="K949" i="1" s="1"/>
  <c r="K950" i="1" s="1"/>
  <c r="K951" i="1" s="1"/>
  <c r="K952" i="1" s="1"/>
  <c r="K953" i="1" s="1"/>
  <c r="K954" i="1" s="1"/>
  <c r="K955" i="1" s="1"/>
  <c r="K956" i="1" s="1"/>
  <c r="K957" i="1" s="1"/>
  <c r="K958" i="1" s="1"/>
  <c r="K959" i="1" s="1"/>
  <c r="K960" i="1" s="1"/>
  <c r="K961" i="1" s="1"/>
  <c r="K962" i="1" s="1"/>
  <c r="I11" i="1"/>
  <c r="B5" i="1" l="1"/>
  <c r="B4" i="1"/>
  <c r="I12" i="1" l="1"/>
  <c r="A15" i="1" l="1"/>
  <c r="B17" i="1"/>
  <c r="A17" i="1" s="1"/>
  <c r="A19" i="1" s="1"/>
  <c r="A18" i="1"/>
  <c r="A22" i="1" l="1"/>
  <c r="A23" i="1" s="1"/>
  <c r="K11" i="1" l="1"/>
  <c r="J11" i="1"/>
  <c r="H12" i="1" l="1"/>
  <c r="K12" i="1"/>
  <c r="J12" i="1"/>
  <c r="L12" i="1" l="1"/>
</calcChain>
</file>

<file path=xl/sharedStrings.xml><?xml version="1.0" encoding="utf-8"?>
<sst xmlns="http://schemas.openxmlformats.org/spreadsheetml/2006/main" count="53" uniqueCount="45">
  <si>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</si>
  <si>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</si>
  <si>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</si>
  <si>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</si>
  <si>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</si>
  <si>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</si>
  <si>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</si>
  <si>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</si>
  <si>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</si>
  <si>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</si>
  <si>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</si>
  <si>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</si>
  <si>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</si>
  <si>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</si>
  <si>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</si>
  <si>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</si>
  <si>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</si>
  <si>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</si>
  <si>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</si>
  <si>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</si>
  <si>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</si>
  <si>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</si>
  <si>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</si>
  <si>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</si>
  <si>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</si>
  <si>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</si>
  <si>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</si>
  <si>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</si>
  <si>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</si>
  <si>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</si>
  <si>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</si>
  <si>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</si>
  <si>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</si>
  <si>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</si>
  <si>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</si>
  <si>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</si>
  <si>
    <t>Euro DHP</t>
  </si>
  <si>
    <t>Canadian Dollar DHP</t>
  </si>
  <si>
    <t>Canadian Dollar</t>
  </si>
  <si>
    <t>EuroFX</t>
  </si>
  <si>
    <t>Resin DHP</t>
  </si>
  <si>
    <t>Polypropylene</t>
  </si>
  <si>
    <t>filled with a decimal</t>
  </si>
  <si>
    <t>Cattle</t>
  </si>
  <si>
    <t>Hogs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</si>
</sst>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3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2.xml"/><Relationship Id="rId11" Type="http://schemas.microsoft.com/office/2006/relationships/vbaProject" Target="vbaProject.bin"/><Relationship Id="rId5" Type="http://schemas.openxmlformats.org/officeDocument/2006/relationships/worksheet" Target="worksheets/sheet1.xml"/><Relationship Id="rId10" Type="http://schemas.openxmlformats.org/officeDocument/2006/relationships/calcChain" Target="calcChain.xml"/><Relationship Id="rId4" Type="http://schemas.openxmlformats.org/officeDocument/2006/relationships/chartsheet" Target="chart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Hogs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5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51"/>
                <c:pt idx="0">
                  <c:v>0</c:v>
                </c:pt>
                <c:pt idx="1">
                  <c:v>-700</c:v>
                </c:pt>
                <c:pt idx="2">
                  <c:v>2500</c:v>
                </c:pt>
                <c:pt idx="3">
                  <c:v>1400</c:v>
                </c:pt>
                <c:pt idx="4">
                  <c:v>2500</c:v>
                </c:pt>
                <c:pt idx="5">
                  <c:v>1100</c:v>
                </c:pt>
                <c:pt idx="6">
                  <c:v>-5500</c:v>
                </c:pt>
                <c:pt idx="7">
                  <c:v>-5900</c:v>
                </c:pt>
                <c:pt idx="8">
                  <c:v>-6500</c:v>
                </c:pt>
                <c:pt idx="9">
                  <c:v>-2900</c:v>
                </c:pt>
                <c:pt idx="10">
                  <c:v>-2700</c:v>
                </c:pt>
                <c:pt idx="11">
                  <c:v>-2400</c:v>
                </c:pt>
                <c:pt idx="12">
                  <c:v>-700</c:v>
                </c:pt>
                <c:pt idx="13">
                  <c:v>-2100</c:v>
                </c:pt>
                <c:pt idx="14">
                  <c:v>-1500</c:v>
                </c:pt>
                <c:pt idx="15">
                  <c:v>-1300</c:v>
                </c:pt>
                <c:pt idx="16">
                  <c:v>-400</c:v>
                </c:pt>
                <c:pt idx="17">
                  <c:v>5400</c:v>
                </c:pt>
                <c:pt idx="18">
                  <c:v>4800</c:v>
                </c:pt>
                <c:pt idx="19">
                  <c:v>5500</c:v>
                </c:pt>
                <c:pt idx="20">
                  <c:v>4700</c:v>
                </c:pt>
                <c:pt idx="21">
                  <c:v>5200</c:v>
                </c:pt>
                <c:pt idx="22">
                  <c:v>6900</c:v>
                </c:pt>
                <c:pt idx="23">
                  <c:v>6880</c:v>
                </c:pt>
                <c:pt idx="24">
                  <c:v>6480</c:v>
                </c:pt>
                <c:pt idx="25">
                  <c:v>8980</c:v>
                </c:pt>
                <c:pt idx="26">
                  <c:v>5380</c:v>
                </c:pt>
                <c:pt idx="27">
                  <c:v>4380</c:v>
                </c:pt>
                <c:pt idx="28">
                  <c:v>3280</c:v>
                </c:pt>
                <c:pt idx="29">
                  <c:v>2580</c:v>
                </c:pt>
                <c:pt idx="30">
                  <c:v>4780</c:v>
                </c:pt>
                <c:pt idx="31">
                  <c:v>5780</c:v>
                </c:pt>
                <c:pt idx="32">
                  <c:v>6980</c:v>
                </c:pt>
                <c:pt idx="33">
                  <c:v>6480</c:v>
                </c:pt>
                <c:pt idx="34">
                  <c:v>6880</c:v>
                </c:pt>
                <c:pt idx="35">
                  <c:v>2580</c:v>
                </c:pt>
                <c:pt idx="36">
                  <c:v>-420</c:v>
                </c:pt>
                <c:pt idx="37">
                  <c:v>580</c:v>
                </c:pt>
                <c:pt idx="38">
                  <c:v>-1720</c:v>
                </c:pt>
                <c:pt idx="39">
                  <c:v>-1720</c:v>
                </c:pt>
                <c:pt idx="40">
                  <c:v>-2820</c:v>
                </c:pt>
                <c:pt idx="41">
                  <c:v>-4620</c:v>
                </c:pt>
                <c:pt idx="42">
                  <c:v>-5520</c:v>
                </c:pt>
                <c:pt idx="43">
                  <c:v>-4920</c:v>
                </c:pt>
                <c:pt idx="44">
                  <c:v>-6920</c:v>
                </c:pt>
                <c:pt idx="45">
                  <c:v>-11520</c:v>
                </c:pt>
                <c:pt idx="46">
                  <c:v>-13820</c:v>
                </c:pt>
                <c:pt idx="47">
                  <c:v>-1720</c:v>
                </c:pt>
                <c:pt idx="48">
                  <c:v>-2420</c:v>
                </c:pt>
                <c:pt idx="49">
                  <c:v>-5420</c:v>
                </c:pt>
                <c:pt idx="50">
                  <c:v>-3620</c:v>
                </c:pt>
                <c:pt idx="51">
                  <c:v>-7120</c:v>
                </c:pt>
                <c:pt idx="52">
                  <c:v>-6920</c:v>
                </c:pt>
                <c:pt idx="53">
                  <c:v>-11320</c:v>
                </c:pt>
                <c:pt idx="54">
                  <c:v>-11820</c:v>
                </c:pt>
                <c:pt idx="55">
                  <c:v>-16620</c:v>
                </c:pt>
                <c:pt idx="56">
                  <c:v>-19020</c:v>
                </c:pt>
                <c:pt idx="57">
                  <c:v>-16720</c:v>
                </c:pt>
                <c:pt idx="58">
                  <c:v>-17320</c:v>
                </c:pt>
                <c:pt idx="59">
                  <c:v>-16620</c:v>
                </c:pt>
                <c:pt idx="60">
                  <c:v>-11520</c:v>
                </c:pt>
                <c:pt idx="61">
                  <c:v>-9920</c:v>
                </c:pt>
                <c:pt idx="62">
                  <c:v>-7620</c:v>
                </c:pt>
                <c:pt idx="63">
                  <c:v>-7820</c:v>
                </c:pt>
                <c:pt idx="64">
                  <c:v>-5040</c:v>
                </c:pt>
                <c:pt idx="65">
                  <c:v>-5840</c:v>
                </c:pt>
                <c:pt idx="66">
                  <c:v>-4240</c:v>
                </c:pt>
                <c:pt idx="67">
                  <c:v>-1540</c:v>
                </c:pt>
                <c:pt idx="68">
                  <c:v>-9440</c:v>
                </c:pt>
                <c:pt idx="69">
                  <c:v>-6440</c:v>
                </c:pt>
                <c:pt idx="70">
                  <c:v>-6540</c:v>
                </c:pt>
                <c:pt idx="71">
                  <c:v>-5240</c:v>
                </c:pt>
                <c:pt idx="72">
                  <c:v>-3540</c:v>
                </c:pt>
                <c:pt idx="73">
                  <c:v>-1040</c:v>
                </c:pt>
                <c:pt idx="74">
                  <c:v>-4540</c:v>
                </c:pt>
                <c:pt idx="75">
                  <c:v>-2740</c:v>
                </c:pt>
                <c:pt idx="76">
                  <c:v>2260</c:v>
                </c:pt>
                <c:pt idx="77">
                  <c:v>3860</c:v>
                </c:pt>
                <c:pt idx="78">
                  <c:v>2260</c:v>
                </c:pt>
                <c:pt idx="79">
                  <c:v>-840</c:v>
                </c:pt>
                <c:pt idx="80">
                  <c:v>-40</c:v>
                </c:pt>
                <c:pt idx="81">
                  <c:v>5060</c:v>
                </c:pt>
                <c:pt idx="82">
                  <c:v>7960</c:v>
                </c:pt>
                <c:pt idx="83">
                  <c:v>10960</c:v>
                </c:pt>
                <c:pt idx="84">
                  <c:v>9560</c:v>
                </c:pt>
                <c:pt idx="85">
                  <c:v>11060</c:v>
                </c:pt>
                <c:pt idx="86">
                  <c:v>12760</c:v>
                </c:pt>
                <c:pt idx="87">
                  <c:v>12960</c:v>
                </c:pt>
                <c:pt idx="88">
                  <c:v>11360</c:v>
                </c:pt>
                <c:pt idx="89">
                  <c:v>6960</c:v>
                </c:pt>
                <c:pt idx="90">
                  <c:v>8160</c:v>
                </c:pt>
                <c:pt idx="91">
                  <c:v>8060</c:v>
                </c:pt>
                <c:pt idx="92">
                  <c:v>4460</c:v>
                </c:pt>
                <c:pt idx="93">
                  <c:v>2660</c:v>
                </c:pt>
                <c:pt idx="94">
                  <c:v>4260</c:v>
                </c:pt>
                <c:pt idx="95">
                  <c:v>12260</c:v>
                </c:pt>
                <c:pt idx="96">
                  <c:v>8760</c:v>
                </c:pt>
                <c:pt idx="97">
                  <c:v>12760</c:v>
                </c:pt>
                <c:pt idx="98">
                  <c:v>6960</c:v>
                </c:pt>
                <c:pt idx="99">
                  <c:v>9960</c:v>
                </c:pt>
                <c:pt idx="100">
                  <c:v>12560</c:v>
                </c:pt>
                <c:pt idx="101">
                  <c:v>19360</c:v>
                </c:pt>
                <c:pt idx="102">
                  <c:v>17760</c:v>
                </c:pt>
                <c:pt idx="103">
                  <c:v>20560</c:v>
                </c:pt>
                <c:pt idx="104">
                  <c:v>21160</c:v>
                </c:pt>
                <c:pt idx="105">
                  <c:v>20360</c:v>
                </c:pt>
                <c:pt idx="106">
                  <c:v>20760</c:v>
                </c:pt>
                <c:pt idx="107">
                  <c:v>22460</c:v>
                </c:pt>
                <c:pt idx="108">
                  <c:v>23060</c:v>
                </c:pt>
                <c:pt idx="109">
                  <c:v>24040</c:v>
                </c:pt>
                <c:pt idx="110">
                  <c:v>26940</c:v>
                </c:pt>
                <c:pt idx="111">
                  <c:v>27440</c:v>
                </c:pt>
                <c:pt idx="112">
                  <c:v>31040</c:v>
                </c:pt>
                <c:pt idx="113">
                  <c:v>33540</c:v>
                </c:pt>
                <c:pt idx="114">
                  <c:v>39140</c:v>
                </c:pt>
                <c:pt idx="115">
                  <c:v>42540</c:v>
                </c:pt>
                <c:pt idx="116">
                  <c:v>45440</c:v>
                </c:pt>
                <c:pt idx="117">
                  <c:v>48040</c:v>
                </c:pt>
                <c:pt idx="118">
                  <c:v>50240</c:v>
                </c:pt>
                <c:pt idx="119">
                  <c:v>49640</c:v>
                </c:pt>
                <c:pt idx="120">
                  <c:v>54340</c:v>
                </c:pt>
                <c:pt idx="121">
                  <c:v>57340</c:v>
                </c:pt>
                <c:pt idx="122">
                  <c:v>58840</c:v>
                </c:pt>
                <c:pt idx="123">
                  <c:v>56640</c:v>
                </c:pt>
                <c:pt idx="124">
                  <c:v>61540</c:v>
                </c:pt>
                <c:pt idx="125">
                  <c:v>59340</c:v>
                </c:pt>
                <c:pt idx="126">
                  <c:v>57540</c:v>
                </c:pt>
                <c:pt idx="127">
                  <c:v>64340</c:v>
                </c:pt>
                <c:pt idx="128">
                  <c:v>61840</c:v>
                </c:pt>
                <c:pt idx="129">
                  <c:v>61720</c:v>
                </c:pt>
                <c:pt idx="130">
                  <c:v>61320</c:v>
                </c:pt>
                <c:pt idx="131">
                  <c:v>64420</c:v>
                </c:pt>
                <c:pt idx="132">
                  <c:v>65920</c:v>
                </c:pt>
                <c:pt idx="133">
                  <c:v>66720</c:v>
                </c:pt>
                <c:pt idx="134">
                  <c:v>63120</c:v>
                </c:pt>
                <c:pt idx="135">
                  <c:v>62120</c:v>
                </c:pt>
                <c:pt idx="136">
                  <c:v>65120</c:v>
                </c:pt>
                <c:pt idx="137">
                  <c:v>66920</c:v>
                </c:pt>
                <c:pt idx="138">
                  <c:v>66520</c:v>
                </c:pt>
                <c:pt idx="139">
                  <c:v>67120</c:v>
                </c:pt>
                <c:pt idx="140">
                  <c:v>69720</c:v>
                </c:pt>
                <c:pt idx="141">
                  <c:v>68720</c:v>
                </c:pt>
                <c:pt idx="142">
                  <c:v>71120</c:v>
                </c:pt>
                <c:pt idx="143">
                  <c:v>69920</c:v>
                </c:pt>
                <c:pt idx="144">
                  <c:v>72220</c:v>
                </c:pt>
                <c:pt idx="145">
                  <c:v>79820</c:v>
                </c:pt>
                <c:pt idx="146">
                  <c:v>79020</c:v>
                </c:pt>
                <c:pt idx="147">
                  <c:v>78720</c:v>
                </c:pt>
                <c:pt idx="148">
                  <c:v>75620</c:v>
                </c:pt>
                <c:pt idx="149">
                  <c:v>76420</c:v>
                </c:pt>
                <c:pt idx="150">
                  <c:v>72120</c:v>
                </c:pt>
                <c:pt idx="151">
                  <c:v>75620</c:v>
                </c:pt>
                <c:pt idx="152">
                  <c:v>78000</c:v>
                </c:pt>
                <c:pt idx="153">
                  <c:v>81400</c:v>
                </c:pt>
                <c:pt idx="154">
                  <c:v>85500</c:v>
                </c:pt>
                <c:pt idx="155">
                  <c:v>87200</c:v>
                </c:pt>
                <c:pt idx="156">
                  <c:v>86200</c:v>
                </c:pt>
                <c:pt idx="157">
                  <c:v>87700</c:v>
                </c:pt>
                <c:pt idx="158">
                  <c:v>86400</c:v>
                </c:pt>
                <c:pt idx="159">
                  <c:v>89500</c:v>
                </c:pt>
                <c:pt idx="160">
                  <c:v>91500</c:v>
                </c:pt>
                <c:pt idx="161">
                  <c:v>94300</c:v>
                </c:pt>
                <c:pt idx="162">
                  <c:v>89400</c:v>
                </c:pt>
                <c:pt idx="163">
                  <c:v>89500</c:v>
                </c:pt>
                <c:pt idx="164">
                  <c:v>86700</c:v>
                </c:pt>
                <c:pt idx="165">
                  <c:v>89100</c:v>
                </c:pt>
                <c:pt idx="166">
                  <c:v>85000</c:v>
                </c:pt>
                <c:pt idx="167">
                  <c:v>80200</c:v>
                </c:pt>
                <c:pt idx="168">
                  <c:v>82100</c:v>
                </c:pt>
                <c:pt idx="169">
                  <c:v>85300</c:v>
                </c:pt>
                <c:pt idx="170">
                  <c:v>88600</c:v>
                </c:pt>
                <c:pt idx="171">
                  <c:v>86300</c:v>
                </c:pt>
                <c:pt idx="172">
                  <c:v>90600</c:v>
                </c:pt>
                <c:pt idx="173">
                  <c:v>93200</c:v>
                </c:pt>
                <c:pt idx="174">
                  <c:v>91600</c:v>
                </c:pt>
                <c:pt idx="175">
                  <c:v>93200</c:v>
                </c:pt>
                <c:pt idx="176">
                  <c:v>99100</c:v>
                </c:pt>
                <c:pt idx="177">
                  <c:v>99100</c:v>
                </c:pt>
                <c:pt idx="178">
                  <c:v>105800</c:v>
                </c:pt>
                <c:pt idx="179">
                  <c:v>105800</c:v>
                </c:pt>
                <c:pt idx="180">
                  <c:v>104600</c:v>
                </c:pt>
                <c:pt idx="181">
                  <c:v>103600</c:v>
                </c:pt>
                <c:pt idx="182">
                  <c:v>104500</c:v>
                </c:pt>
                <c:pt idx="183">
                  <c:v>104200</c:v>
                </c:pt>
                <c:pt idx="184">
                  <c:v>110200</c:v>
                </c:pt>
                <c:pt idx="185">
                  <c:v>105800</c:v>
                </c:pt>
                <c:pt idx="186">
                  <c:v>107900</c:v>
                </c:pt>
                <c:pt idx="187">
                  <c:v>107300</c:v>
                </c:pt>
                <c:pt idx="188">
                  <c:v>101700</c:v>
                </c:pt>
                <c:pt idx="189">
                  <c:v>102400</c:v>
                </c:pt>
                <c:pt idx="190">
                  <c:v>114000</c:v>
                </c:pt>
                <c:pt idx="191">
                  <c:v>115800</c:v>
                </c:pt>
                <c:pt idx="192">
                  <c:v>112900</c:v>
                </c:pt>
                <c:pt idx="193">
                  <c:v>113700</c:v>
                </c:pt>
                <c:pt idx="194">
                  <c:v>110000</c:v>
                </c:pt>
                <c:pt idx="195">
                  <c:v>105580</c:v>
                </c:pt>
                <c:pt idx="196">
                  <c:v>104780</c:v>
                </c:pt>
                <c:pt idx="197">
                  <c:v>106180</c:v>
                </c:pt>
                <c:pt idx="198">
                  <c:v>108880</c:v>
                </c:pt>
                <c:pt idx="199">
                  <c:v>108580</c:v>
                </c:pt>
                <c:pt idx="200">
                  <c:v>106980</c:v>
                </c:pt>
                <c:pt idx="201">
                  <c:v>100680</c:v>
                </c:pt>
                <c:pt idx="202">
                  <c:v>102680</c:v>
                </c:pt>
                <c:pt idx="203">
                  <c:v>104280</c:v>
                </c:pt>
                <c:pt idx="204">
                  <c:v>104480</c:v>
                </c:pt>
                <c:pt idx="205">
                  <c:v>110080</c:v>
                </c:pt>
                <c:pt idx="206">
                  <c:v>114480</c:v>
                </c:pt>
                <c:pt idx="207">
                  <c:v>113980</c:v>
                </c:pt>
                <c:pt idx="208">
                  <c:v>110080</c:v>
                </c:pt>
                <c:pt idx="209">
                  <c:v>109480</c:v>
                </c:pt>
                <c:pt idx="210">
                  <c:v>113680</c:v>
                </c:pt>
                <c:pt idx="211">
                  <c:v>111980</c:v>
                </c:pt>
                <c:pt idx="212">
                  <c:v>117680</c:v>
                </c:pt>
                <c:pt idx="213">
                  <c:v>120880</c:v>
                </c:pt>
                <c:pt idx="214">
                  <c:v>127080</c:v>
                </c:pt>
                <c:pt idx="215">
                  <c:v>125080</c:v>
                </c:pt>
                <c:pt idx="216">
                  <c:v>120080</c:v>
                </c:pt>
                <c:pt idx="217">
                  <c:v>116080</c:v>
                </c:pt>
                <c:pt idx="218">
                  <c:v>113380</c:v>
                </c:pt>
                <c:pt idx="219">
                  <c:v>113480</c:v>
                </c:pt>
                <c:pt idx="220">
                  <c:v>112480</c:v>
                </c:pt>
                <c:pt idx="221">
                  <c:v>109680</c:v>
                </c:pt>
                <c:pt idx="222">
                  <c:v>109880</c:v>
                </c:pt>
                <c:pt idx="223">
                  <c:v>111780</c:v>
                </c:pt>
                <c:pt idx="224">
                  <c:v>111080</c:v>
                </c:pt>
                <c:pt idx="225">
                  <c:v>107680</c:v>
                </c:pt>
                <c:pt idx="226">
                  <c:v>104280</c:v>
                </c:pt>
                <c:pt idx="227">
                  <c:v>101680</c:v>
                </c:pt>
                <c:pt idx="228">
                  <c:v>103280</c:v>
                </c:pt>
                <c:pt idx="229">
                  <c:v>101880</c:v>
                </c:pt>
                <c:pt idx="230">
                  <c:v>101280</c:v>
                </c:pt>
                <c:pt idx="231">
                  <c:v>103280</c:v>
                </c:pt>
                <c:pt idx="232">
                  <c:v>103780</c:v>
                </c:pt>
                <c:pt idx="233">
                  <c:v>101680</c:v>
                </c:pt>
                <c:pt idx="234">
                  <c:v>101080</c:v>
                </c:pt>
                <c:pt idx="235">
                  <c:v>101480</c:v>
                </c:pt>
                <c:pt idx="236">
                  <c:v>103280</c:v>
                </c:pt>
                <c:pt idx="237">
                  <c:v>101580</c:v>
                </c:pt>
                <c:pt idx="238">
                  <c:v>101280</c:v>
                </c:pt>
                <c:pt idx="239">
                  <c:v>103260</c:v>
                </c:pt>
                <c:pt idx="240">
                  <c:v>98260</c:v>
                </c:pt>
                <c:pt idx="241">
                  <c:v>94660</c:v>
                </c:pt>
                <c:pt idx="242">
                  <c:v>89460</c:v>
                </c:pt>
                <c:pt idx="243">
                  <c:v>87060</c:v>
                </c:pt>
                <c:pt idx="244">
                  <c:v>85460</c:v>
                </c:pt>
                <c:pt idx="245">
                  <c:v>82560</c:v>
                </c:pt>
                <c:pt idx="246">
                  <c:v>82560</c:v>
                </c:pt>
                <c:pt idx="247">
                  <c:v>84160</c:v>
                </c:pt>
                <c:pt idx="248">
                  <c:v>84060</c:v>
                </c:pt>
                <c:pt idx="249">
                  <c:v>81960</c:v>
                </c:pt>
                <c:pt idx="250">
                  <c:v>77760</c:v>
                </c:pt>
                <c:pt idx="251">
                  <c:v>80960</c:v>
                </c:pt>
                <c:pt idx="252">
                  <c:v>80760</c:v>
                </c:pt>
                <c:pt idx="253">
                  <c:v>79860</c:v>
                </c:pt>
                <c:pt idx="254">
                  <c:v>80560</c:v>
                </c:pt>
                <c:pt idx="255">
                  <c:v>77060</c:v>
                </c:pt>
                <c:pt idx="256">
                  <c:v>78360</c:v>
                </c:pt>
                <c:pt idx="257">
                  <c:v>76760</c:v>
                </c:pt>
                <c:pt idx="258">
                  <c:v>78360</c:v>
                </c:pt>
                <c:pt idx="259">
                  <c:v>76560</c:v>
                </c:pt>
                <c:pt idx="260">
                  <c:v>77360</c:v>
                </c:pt>
                <c:pt idx="261">
                  <c:v>81360</c:v>
                </c:pt>
                <c:pt idx="262">
                  <c:v>83160</c:v>
                </c:pt>
                <c:pt idx="263">
                  <c:v>82160</c:v>
                </c:pt>
                <c:pt idx="264">
                  <c:v>81660</c:v>
                </c:pt>
                <c:pt idx="265">
                  <c:v>76460</c:v>
                </c:pt>
                <c:pt idx="266">
                  <c:v>77660</c:v>
                </c:pt>
                <c:pt idx="267">
                  <c:v>76360</c:v>
                </c:pt>
                <c:pt idx="268">
                  <c:v>78760</c:v>
                </c:pt>
                <c:pt idx="269">
                  <c:v>76660</c:v>
                </c:pt>
                <c:pt idx="270">
                  <c:v>79360</c:v>
                </c:pt>
                <c:pt idx="271">
                  <c:v>83060</c:v>
                </c:pt>
                <c:pt idx="272">
                  <c:v>82960</c:v>
                </c:pt>
                <c:pt idx="273">
                  <c:v>80460</c:v>
                </c:pt>
                <c:pt idx="274">
                  <c:v>79060</c:v>
                </c:pt>
                <c:pt idx="275">
                  <c:v>78860</c:v>
                </c:pt>
                <c:pt idx="276">
                  <c:v>77560</c:v>
                </c:pt>
                <c:pt idx="277">
                  <c:v>77360</c:v>
                </c:pt>
                <c:pt idx="278">
                  <c:v>81760</c:v>
                </c:pt>
                <c:pt idx="279">
                  <c:v>78160</c:v>
                </c:pt>
                <c:pt idx="280">
                  <c:v>76260</c:v>
                </c:pt>
                <c:pt idx="281">
                  <c:v>80760</c:v>
                </c:pt>
                <c:pt idx="282">
                  <c:v>80060</c:v>
                </c:pt>
                <c:pt idx="283">
                  <c:v>79360</c:v>
                </c:pt>
                <c:pt idx="284">
                  <c:v>74540</c:v>
                </c:pt>
                <c:pt idx="285">
                  <c:v>75940</c:v>
                </c:pt>
                <c:pt idx="286">
                  <c:v>80840</c:v>
                </c:pt>
                <c:pt idx="287">
                  <c:v>81140</c:v>
                </c:pt>
                <c:pt idx="288">
                  <c:v>81640</c:v>
                </c:pt>
                <c:pt idx="289">
                  <c:v>80740</c:v>
                </c:pt>
                <c:pt idx="290">
                  <c:v>79640</c:v>
                </c:pt>
                <c:pt idx="291">
                  <c:v>80640</c:v>
                </c:pt>
                <c:pt idx="292">
                  <c:v>80140</c:v>
                </c:pt>
                <c:pt idx="293">
                  <c:v>81140</c:v>
                </c:pt>
                <c:pt idx="294">
                  <c:v>84340</c:v>
                </c:pt>
                <c:pt idx="295">
                  <c:v>85840</c:v>
                </c:pt>
                <c:pt idx="296">
                  <c:v>85840</c:v>
                </c:pt>
                <c:pt idx="297">
                  <c:v>87440</c:v>
                </c:pt>
                <c:pt idx="298">
                  <c:v>93740</c:v>
                </c:pt>
                <c:pt idx="299">
                  <c:v>93940</c:v>
                </c:pt>
                <c:pt idx="300">
                  <c:v>98140</c:v>
                </c:pt>
                <c:pt idx="301">
                  <c:v>101940</c:v>
                </c:pt>
                <c:pt idx="302">
                  <c:v>112240</c:v>
                </c:pt>
                <c:pt idx="303">
                  <c:v>124040</c:v>
                </c:pt>
                <c:pt idx="304">
                  <c:v>129340</c:v>
                </c:pt>
                <c:pt idx="305">
                  <c:v>143340</c:v>
                </c:pt>
                <c:pt idx="306">
                  <c:v>138040</c:v>
                </c:pt>
                <c:pt idx="307">
                  <c:v>146340</c:v>
                </c:pt>
                <c:pt idx="308">
                  <c:v>148040</c:v>
                </c:pt>
                <c:pt idx="309">
                  <c:v>160240</c:v>
                </c:pt>
                <c:pt idx="310">
                  <c:v>163840</c:v>
                </c:pt>
                <c:pt idx="311">
                  <c:v>160540</c:v>
                </c:pt>
                <c:pt idx="312">
                  <c:v>171940</c:v>
                </c:pt>
                <c:pt idx="313">
                  <c:v>174540</c:v>
                </c:pt>
                <c:pt idx="314">
                  <c:v>183340</c:v>
                </c:pt>
                <c:pt idx="315">
                  <c:v>190240</c:v>
                </c:pt>
                <c:pt idx="316">
                  <c:v>194040</c:v>
                </c:pt>
                <c:pt idx="317">
                  <c:v>197940</c:v>
                </c:pt>
                <c:pt idx="318">
                  <c:v>198040</c:v>
                </c:pt>
                <c:pt idx="319">
                  <c:v>195940</c:v>
                </c:pt>
                <c:pt idx="320">
                  <c:v>183240</c:v>
                </c:pt>
                <c:pt idx="321">
                  <c:v>188440</c:v>
                </c:pt>
                <c:pt idx="322">
                  <c:v>198540</c:v>
                </c:pt>
                <c:pt idx="323">
                  <c:v>197840</c:v>
                </c:pt>
                <c:pt idx="324">
                  <c:v>200140</c:v>
                </c:pt>
                <c:pt idx="325">
                  <c:v>207420</c:v>
                </c:pt>
                <c:pt idx="326">
                  <c:v>204620</c:v>
                </c:pt>
                <c:pt idx="327">
                  <c:v>199520</c:v>
                </c:pt>
                <c:pt idx="328">
                  <c:v>188320</c:v>
                </c:pt>
                <c:pt idx="329">
                  <c:v>197420</c:v>
                </c:pt>
                <c:pt idx="330">
                  <c:v>189620</c:v>
                </c:pt>
                <c:pt idx="331">
                  <c:v>197120</c:v>
                </c:pt>
                <c:pt idx="332">
                  <c:v>196820</c:v>
                </c:pt>
                <c:pt idx="333">
                  <c:v>195820</c:v>
                </c:pt>
                <c:pt idx="334">
                  <c:v>195120</c:v>
                </c:pt>
                <c:pt idx="335">
                  <c:v>195820</c:v>
                </c:pt>
                <c:pt idx="336">
                  <c:v>201220</c:v>
                </c:pt>
                <c:pt idx="337">
                  <c:v>205520</c:v>
                </c:pt>
                <c:pt idx="338">
                  <c:v>202620</c:v>
                </c:pt>
                <c:pt idx="339">
                  <c:v>195320</c:v>
                </c:pt>
                <c:pt idx="340">
                  <c:v>198120</c:v>
                </c:pt>
                <c:pt idx="341">
                  <c:v>209620</c:v>
                </c:pt>
                <c:pt idx="342">
                  <c:v>207920</c:v>
                </c:pt>
                <c:pt idx="343">
                  <c:v>201920</c:v>
                </c:pt>
                <c:pt idx="344">
                  <c:v>203120</c:v>
                </c:pt>
                <c:pt idx="345">
                  <c:v>206620</c:v>
                </c:pt>
                <c:pt idx="346">
                  <c:v>197120</c:v>
                </c:pt>
                <c:pt idx="347">
                  <c:v>195620</c:v>
                </c:pt>
                <c:pt idx="348">
                  <c:v>194620</c:v>
                </c:pt>
                <c:pt idx="349">
                  <c:v>193320</c:v>
                </c:pt>
                <c:pt idx="350">
                  <c:v>197420</c:v>
                </c:pt>
                <c:pt idx="351">
                  <c:v>189920</c:v>
                </c:pt>
                <c:pt idx="352">
                  <c:v>185320</c:v>
                </c:pt>
                <c:pt idx="353">
                  <c:v>185520</c:v>
                </c:pt>
                <c:pt idx="354">
                  <c:v>180920</c:v>
                </c:pt>
                <c:pt idx="355">
                  <c:v>183220</c:v>
                </c:pt>
                <c:pt idx="356">
                  <c:v>182820</c:v>
                </c:pt>
                <c:pt idx="357">
                  <c:v>182320</c:v>
                </c:pt>
                <c:pt idx="358">
                  <c:v>179620</c:v>
                </c:pt>
                <c:pt idx="359">
                  <c:v>182620</c:v>
                </c:pt>
                <c:pt idx="360">
                  <c:v>179420</c:v>
                </c:pt>
                <c:pt idx="361">
                  <c:v>184220</c:v>
                </c:pt>
                <c:pt idx="362">
                  <c:v>175320</c:v>
                </c:pt>
                <c:pt idx="363">
                  <c:v>171220</c:v>
                </c:pt>
                <c:pt idx="364">
                  <c:v>173020</c:v>
                </c:pt>
                <c:pt idx="365">
                  <c:v>169820</c:v>
                </c:pt>
                <c:pt idx="366">
                  <c:v>162520</c:v>
                </c:pt>
                <c:pt idx="367">
                  <c:v>159920</c:v>
                </c:pt>
                <c:pt idx="368">
                  <c:v>157620</c:v>
                </c:pt>
                <c:pt idx="369">
                  <c:v>157000</c:v>
                </c:pt>
                <c:pt idx="370">
                  <c:v>158500</c:v>
                </c:pt>
                <c:pt idx="371">
                  <c:v>154100</c:v>
                </c:pt>
                <c:pt idx="372">
                  <c:v>157500</c:v>
                </c:pt>
                <c:pt idx="373">
                  <c:v>163400</c:v>
                </c:pt>
                <c:pt idx="374">
                  <c:v>161100</c:v>
                </c:pt>
                <c:pt idx="375">
                  <c:v>165600</c:v>
                </c:pt>
                <c:pt idx="376">
                  <c:v>167500</c:v>
                </c:pt>
                <c:pt idx="377">
                  <c:v>168100</c:v>
                </c:pt>
                <c:pt idx="378">
                  <c:v>167800</c:v>
                </c:pt>
                <c:pt idx="379">
                  <c:v>157000</c:v>
                </c:pt>
                <c:pt idx="380">
                  <c:v>159300</c:v>
                </c:pt>
                <c:pt idx="381">
                  <c:v>161500</c:v>
                </c:pt>
                <c:pt idx="382">
                  <c:v>171500</c:v>
                </c:pt>
                <c:pt idx="383">
                  <c:v>172300</c:v>
                </c:pt>
                <c:pt idx="384">
                  <c:v>173000</c:v>
                </c:pt>
                <c:pt idx="385">
                  <c:v>180800</c:v>
                </c:pt>
                <c:pt idx="386">
                  <c:v>178400</c:v>
                </c:pt>
                <c:pt idx="387">
                  <c:v>180100</c:v>
                </c:pt>
                <c:pt idx="388">
                  <c:v>183900</c:v>
                </c:pt>
                <c:pt idx="389">
                  <c:v>190100</c:v>
                </c:pt>
                <c:pt idx="390">
                  <c:v>182980</c:v>
                </c:pt>
                <c:pt idx="391">
                  <c:v>182280</c:v>
                </c:pt>
                <c:pt idx="392">
                  <c:v>187380</c:v>
                </c:pt>
                <c:pt idx="393">
                  <c:v>187980</c:v>
                </c:pt>
                <c:pt idx="394">
                  <c:v>187480</c:v>
                </c:pt>
                <c:pt idx="395">
                  <c:v>188480</c:v>
                </c:pt>
                <c:pt idx="396">
                  <c:v>193580</c:v>
                </c:pt>
                <c:pt idx="397">
                  <c:v>192080</c:v>
                </c:pt>
                <c:pt idx="398">
                  <c:v>191280</c:v>
                </c:pt>
                <c:pt idx="399">
                  <c:v>193580</c:v>
                </c:pt>
                <c:pt idx="400">
                  <c:v>195980</c:v>
                </c:pt>
                <c:pt idx="401">
                  <c:v>195780</c:v>
                </c:pt>
                <c:pt idx="402">
                  <c:v>187480</c:v>
                </c:pt>
                <c:pt idx="403">
                  <c:v>181180</c:v>
                </c:pt>
                <c:pt idx="404">
                  <c:v>173380</c:v>
                </c:pt>
                <c:pt idx="405">
                  <c:v>182780</c:v>
                </c:pt>
                <c:pt idx="406">
                  <c:v>171080</c:v>
                </c:pt>
                <c:pt idx="407">
                  <c:v>164080</c:v>
                </c:pt>
                <c:pt idx="408">
                  <c:v>168180</c:v>
                </c:pt>
                <c:pt idx="409">
                  <c:v>167480</c:v>
                </c:pt>
                <c:pt idx="410">
                  <c:v>158980</c:v>
                </c:pt>
                <c:pt idx="411">
                  <c:v>147480</c:v>
                </c:pt>
                <c:pt idx="412">
                  <c:v>145780</c:v>
                </c:pt>
                <c:pt idx="413">
                  <c:v>144360</c:v>
                </c:pt>
                <c:pt idx="414">
                  <c:v>140960</c:v>
                </c:pt>
                <c:pt idx="415">
                  <c:v>135360</c:v>
                </c:pt>
                <c:pt idx="416">
                  <c:v>137460</c:v>
                </c:pt>
                <c:pt idx="417">
                  <c:v>132960</c:v>
                </c:pt>
                <c:pt idx="418">
                  <c:v>130960</c:v>
                </c:pt>
                <c:pt idx="419">
                  <c:v>129460</c:v>
                </c:pt>
                <c:pt idx="420">
                  <c:v>129060</c:v>
                </c:pt>
                <c:pt idx="421">
                  <c:v>132860</c:v>
                </c:pt>
                <c:pt idx="422">
                  <c:v>131760</c:v>
                </c:pt>
                <c:pt idx="423">
                  <c:v>132160</c:v>
                </c:pt>
                <c:pt idx="424">
                  <c:v>132460</c:v>
                </c:pt>
                <c:pt idx="425">
                  <c:v>130360</c:v>
                </c:pt>
                <c:pt idx="426">
                  <c:v>121160</c:v>
                </c:pt>
                <c:pt idx="427">
                  <c:v>127560</c:v>
                </c:pt>
                <c:pt idx="428">
                  <c:v>123160</c:v>
                </c:pt>
                <c:pt idx="429">
                  <c:v>125460</c:v>
                </c:pt>
                <c:pt idx="430">
                  <c:v>131660</c:v>
                </c:pt>
                <c:pt idx="431">
                  <c:v>135360</c:v>
                </c:pt>
                <c:pt idx="432">
                  <c:v>133760</c:v>
                </c:pt>
                <c:pt idx="433">
                  <c:v>143960</c:v>
                </c:pt>
                <c:pt idx="434">
                  <c:v>151660</c:v>
                </c:pt>
                <c:pt idx="435">
                  <c:v>151460</c:v>
                </c:pt>
                <c:pt idx="436">
                  <c:v>155260</c:v>
                </c:pt>
                <c:pt idx="437">
                  <c:v>162260</c:v>
                </c:pt>
                <c:pt idx="438">
                  <c:v>174560</c:v>
                </c:pt>
                <c:pt idx="439">
                  <c:v>165660</c:v>
                </c:pt>
                <c:pt idx="440">
                  <c:v>173460</c:v>
                </c:pt>
                <c:pt idx="441">
                  <c:v>180260</c:v>
                </c:pt>
                <c:pt idx="442">
                  <c:v>176860</c:v>
                </c:pt>
                <c:pt idx="443">
                  <c:v>176960</c:v>
                </c:pt>
                <c:pt idx="444">
                  <c:v>175460</c:v>
                </c:pt>
                <c:pt idx="445">
                  <c:v>180260</c:v>
                </c:pt>
                <c:pt idx="446">
                  <c:v>175660</c:v>
                </c:pt>
                <c:pt idx="447">
                  <c:v>163260</c:v>
                </c:pt>
                <c:pt idx="448">
                  <c:v>175660</c:v>
                </c:pt>
                <c:pt idx="449">
                  <c:v>181160</c:v>
                </c:pt>
                <c:pt idx="450">
                  <c:v>182760</c:v>
                </c:pt>
                <c:pt idx="451">
                  <c:v>181960</c:v>
                </c:pt>
                <c:pt idx="452">
                  <c:v>173860</c:v>
                </c:pt>
                <c:pt idx="453">
                  <c:v>177860</c:v>
                </c:pt>
                <c:pt idx="454">
                  <c:v>181260</c:v>
                </c:pt>
                <c:pt idx="455">
                  <c:v>181660</c:v>
                </c:pt>
                <c:pt idx="456">
                  <c:v>181640</c:v>
                </c:pt>
                <c:pt idx="457">
                  <c:v>179140</c:v>
                </c:pt>
                <c:pt idx="458">
                  <c:v>174340</c:v>
                </c:pt>
                <c:pt idx="459">
                  <c:v>180540</c:v>
                </c:pt>
                <c:pt idx="460">
                  <c:v>181840</c:v>
                </c:pt>
                <c:pt idx="461">
                  <c:v>185040</c:v>
                </c:pt>
                <c:pt idx="462">
                  <c:v>189840</c:v>
                </c:pt>
                <c:pt idx="463">
                  <c:v>189440</c:v>
                </c:pt>
                <c:pt idx="464">
                  <c:v>188540</c:v>
                </c:pt>
                <c:pt idx="465">
                  <c:v>189940</c:v>
                </c:pt>
                <c:pt idx="466">
                  <c:v>177740</c:v>
                </c:pt>
                <c:pt idx="467">
                  <c:v>171440</c:v>
                </c:pt>
                <c:pt idx="468">
                  <c:v>173340</c:v>
                </c:pt>
                <c:pt idx="469">
                  <c:v>167940</c:v>
                </c:pt>
                <c:pt idx="470">
                  <c:v>163340</c:v>
                </c:pt>
                <c:pt idx="471">
                  <c:v>170540</c:v>
                </c:pt>
                <c:pt idx="472">
                  <c:v>164340</c:v>
                </c:pt>
                <c:pt idx="473">
                  <c:v>168240</c:v>
                </c:pt>
                <c:pt idx="474">
                  <c:v>166640</c:v>
                </c:pt>
                <c:pt idx="475">
                  <c:v>170240</c:v>
                </c:pt>
                <c:pt idx="476">
                  <c:v>163040</c:v>
                </c:pt>
                <c:pt idx="477">
                  <c:v>157940</c:v>
                </c:pt>
                <c:pt idx="478">
                  <c:v>162140</c:v>
                </c:pt>
                <c:pt idx="479">
                  <c:v>165340</c:v>
                </c:pt>
                <c:pt idx="480">
                  <c:v>163140</c:v>
                </c:pt>
                <c:pt idx="481">
                  <c:v>157740</c:v>
                </c:pt>
                <c:pt idx="482">
                  <c:v>159340</c:v>
                </c:pt>
                <c:pt idx="483">
                  <c:v>167240</c:v>
                </c:pt>
                <c:pt idx="484">
                  <c:v>169840</c:v>
                </c:pt>
                <c:pt idx="485">
                  <c:v>169440</c:v>
                </c:pt>
                <c:pt idx="486">
                  <c:v>173640</c:v>
                </c:pt>
                <c:pt idx="487">
                  <c:v>176540</c:v>
                </c:pt>
                <c:pt idx="488">
                  <c:v>181940</c:v>
                </c:pt>
                <c:pt idx="489">
                  <c:v>180940</c:v>
                </c:pt>
                <c:pt idx="490">
                  <c:v>177840</c:v>
                </c:pt>
                <c:pt idx="491">
                  <c:v>177340</c:v>
                </c:pt>
                <c:pt idx="492">
                  <c:v>173840</c:v>
                </c:pt>
                <c:pt idx="493">
                  <c:v>172540</c:v>
                </c:pt>
                <c:pt idx="494">
                  <c:v>174640</c:v>
                </c:pt>
                <c:pt idx="495">
                  <c:v>173040</c:v>
                </c:pt>
                <c:pt idx="496">
                  <c:v>174140</c:v>
                </c:pt>
                <c:pt idx="497">
                  <c:v>174540</c:v>
                </c:pt>
                <c:pt idx="498">
                  <c:v>168940</c:v>
                </c:pt>
                <c:pt idx="499">
                  <c:v>170620</c:v>
                </c:pt>
                <c:pt idx="500">
                  <c:v>167620</c:v>
                </c:pt>
                <c:pt idx="501">
                  <c:v>164120</c:v>
                </c:pt>
                <c:pt idx="502">
                  <c:v>161120</c:v>
                </c:pt>
                <c:pt idx="503">
                  <c:v>157320</c:v>
                </c:pt>
                <c:pt idx="504">
                  <c:v>157020</c:v>
                </c:pt>
                <c:pt idx="505">
                  <c:v>157020</c:v>
                </c:pt>
                <c:pt idx="506">
                  <c:v>159420</c:v>
                </c:pt>
                <c:pt idx="507">
                  <c:v>159620</c:v>
                </c:pt>
                <c:pt idx="508">
                  <c:v>159820</c:v>
                </c:pt>
                <c:pt idx="509">
                  <c:v>158820</c:v>
                </c:pt>
                <c:pt idx="510">
                  <c:v>153620</c:v>
                </c:pt>
                <c:pt idx="511">
                  <c:v>148020</c:v>
                </c:pt>
                <c:pt idx="512">
                  <c:v>153820</c:v>
                </c:pt>
                <c:pt idx="513">
                  <c:v>151920</c:v>
                </c:pt>
                <c:pt idx="514">
                  <c:v>148320</c:v>
                </c:pt>
                <c:pt idx="515">
                  <c:v>152820</c:v>
                </c:pt>
                <c:pt idx="516">
                  <c:v>151020</c:v>
                </c:pt>
                <c:pt idx="517">
                  <c:v>152520</c:v>
                </c:pt>
                <c:pt idx="518">
                  <c:v>149520</c:v>
                </c:pt>
                <c:pt idx="519">
                  <c:v>153320</c:v>
                </c:pt>
                <c:pt idx="520">
                  <c:v>150820</c:v>
                </c:pt>
                <c:pt idx="521">
                  <c:v>151920</c:v>
                </c:pt>
                <c:pt idx="522">
                  <c:v>150520</c:v>
                </c:pt>
                <c:pt idx="523">
                  <c:v>151620</c:v>
                </c:pt>
                <c:pt idx="524">
                  <c:v>145220</c:v>
                </c:pt>
                <c:pt idx="525">
                  <c:v>140020</c:v>
                </c:pt>
                <c:pt idx="526">
                  <c:v>143020</c:v>
                </c:pt>
                <c:pt idx="527">
                  <c:v>138020</c:v>
                </c:pt>
                <c:pt idx="528">
                  <c:v>139820</c:v>
                </c:pt>
                <c:pt idx="529">
                  <c:v>132720</c:v>
                </c:pt>
                <c:pt idx="530">
                  <c:v>127320</c:v>
                </c:pt>
                <c:pt idx="531">
                  <c:v>131020</c:v>
                </c:pt>
                <c:pt idx="532">
                  <c:v>129220</c:v>
                </c:pt>
                <c:pt idx="533">
                  <c:v>123420</c:v>
                </c:pt>
                <c:pt idx="534">
                  <c:v>122420</c:v>
                </c:pt>
                <c:pt idx="535">
                  <c:v>113220</c:v>
                </c:pt>
                <c:pt idx="536">
                  <c:v>114620</c:v>
                </c:pt>
                <c:pt idx="537">
                  <c:v>110520</c:v>
                </c:pt>
                <c:pt idx="538">
                  <c:v>101920</c:v>
                </c:pt>
                <c:pt idx="539">
                  <c:v>110920</c:v>
                </c:pt>
                <c:pt idx="540">
                  <c:v>107420</c:v>
                </c:pt>
                <c:pt idx="541">
                  <c:v>113320</c:v>
                </c:pt>
                <c:pt idx="542">
                  <c:v>100220</c:v>
                </c:pt>
                <c:pt idx="543">
                  <c:v>97620</c:v>
                </c:pt>
                <c:pt idx="544">
                  <c:v>92100</c:v>
                </c:pt>
                <c:pt idx="545">
                  <c:v>94300</c:v>
                </c:pt>
                <c:pt idx="546">
                  <c:v>86500</c:v>
                </c:pt>
                <c:pt idx="547">
                  <c:v>80000</c:v>
                </c:pt>
                <c:pt idx="548">
                  <c:v>82200</c:v>
                </c:pt>
                <c:pt idx="549">
                  <c:v>72900</c:v>
                </c:pt>
                <c:pt idx="550">
                  <c:v>74500</c:v>
                </c:pt>
                <c:pt idx="551">
                  <c:v>71500</c:v>
                </c:pt>
                <c:pt idx="552">
                  <c:v>73400</c:v>
                </c:pt>
                <c:pt idx="553">
                  <c:v>74000</c:v>
                </c:pt>
                <c:pt idx="554">
                  <c:v>74500</c:v>
                </c:pt>
                <c:pt idx="555">
                  <c:v>66600</c:v>
                </c:pt>
                <c:pt idx="556">
                  <c:v>66200</c:v>
                </c:pt>
                <c:pt idx="557">
                  <c:v>77300</c:v>
                </c:pt>
                <c:pt idx="558">
                  <c:v>80500</c:v>
                </c:pt>
                <c:pt idx="559">
                  <c:v>84600</c:v>
                </c:pt>
                <c:pt idx="560">
                  <c:v>83600</c:v>
                </c:pt>
                <c:pt idx="561">
                  <c:v>86700</c:v>
                </c:pt>
                <c:pt idx="562">
                  <c:v>79600</c:v>
                </c:pt>
                <c:pt idx="563">
                  <c:v>81900</c:v>
                </c:pt>
                <c:pt idx="564">
                  <c:v>79500</c:v>
                </c:pt>
                <c:pt idx="565">
                  <c:v>73500</c:v>
                </c:pt>
                <c:pt idx="566">
                  <c:v>82800</c:v>
                </c:pt>
                <c:pt idx="567">
                  <c:v>78000</c:v>
                </c:pt>
                <c:pt idx="568">
                  <c:v>74500</c:v>
                </c:pt>
                <c:pt idx="569">
                  <c:v>74300</c:v>
                </c:pt>
                <c:pt idx="570">
                  <c:v>73000</c:v>
                </c:pt>
                <c:pt idx="571">
                  <c:v>66800</c:v>
                </c:pt>
                <c:pt idx="572">
                  <c:v>58400</c:v>
                </c:pt>
                <c:pt idx="573">
                  <c:v>58600</c:v>
                </c:pt>
                <c:pt idx="574">
                  <c:v>57500</c:v>
                </c:pt>
                <c:pt idx="575">
                  <c:v>58100</c:v>
                </c:pt>
                <c:pt idx="576">
                  <c:v>52300</c:v>
                </c:pt>
                <c:pt idx="577">
                  <c:v>42100</c:v>
                </c:pt>
                <c:pt idx="578">
                  <c:v>43300</c:v>
                </c:pt>
                <c:pt idx="579">
                  <c:v>47700</c:v>
                </c:pt>
                <c:pt idx="580">
                  <c:v>45100</c:v>
                </c:pt>
                <c:pt idx="581">
                  <c:v>48200</c:v>
                </c:pt>
                <c:pt idx="582">
                  <c:v>54300</c:v>
                </c:pt>
                <c:pt idx="583">
                  <c:v>54200</c:v>
                </c:pt>
                <c:pt idx="584">
                  <c:v>56000</c:v>
                </c:pt>
                <c:pt idx="585">
                  <c:v>58000</c:v>
                </c:pt>
                <c:pt idx="586">
                  <c:v>60680</c:v>
                </c:pt>
                <c:pt idx="587">
                  <c:v>61980</c:v>
                </c:pt>
                <c:pt idx="588">
                  <c:v>63080</c:v>
                </c:pt>
                <c:pt idx="589">
                  <c:v>63180</c:v>
                </c:pt>
                <c:pt idx="590">
                  <c:v>60780</c:v>
                </c:pt>
                <c:pt idx="591">
                  <c:v>60680</c:v>
                </c:pt>
                <c:pt idx="592">
                  <c:v>59680</c:v>
                </c:pt>
                <c:pt idx="593">
                  <c:v>60280</c:v>
                </c:pt>
                <c:pt idx="594">
                  <c:v>62780</c:v>
                </c:pt>
                <c:pt idx="595">
                  <c:v>62480</c:v>
                </c:pt>
                <c:pt idx="596">
                  <c:v>61580</c:v>
                </c:pt>
                <c:pt idx="597">
                  <c:v>63580</c:v>
                </c:pt>
                <c:pt idx="598">
                  <c:v>62780</c:v>
                </c:pt>
                <c:pt idx="599">
                  <c:v>60580</c:v>
                </c:pt>
                <c:pt idx="600">
                  <c:v>70080</c:v>
                </c:pt>
                <c:pt idx="601">
                  <c:v>63180</c:v>
                </c:pt>
                <c:pt idx="602">
                  <c:v>73080</c:v>
                </c:pt>
                <c:pt idx="603">
                  <c:v>76080</c:v>
                </c:pt>
                <c:pt idx="604">
                  <c:v>77880</c:v>
                </c:pt>
                <c:pt idx="605">
                  <c:v>78880</c:v>
                </c:pt>
                <c:pt idx="606">
                  <c:v>83580</c:v>
                </c:pt>
                <c:pt idx="607">
                  <c:v>85080</c:v>
                </c:pt>
                <c:pt idx="608">
                  <c:v>84080</c:v>
                </c:pt>
                <c:pt idx="609">
                  <c:v>86780</c:v>
                </c:pt>
                <c:pt idx="610">
                  <c:v>91080</c:v>
                </c:pt>
                <c:pt idx="611">
                  <c:v>95180</c:v>
                </c:pt>
                <c:pt idx="612">
                  <c:v>93280</c:v>
                </c:pt>
                <c:pt idx="613">
                  <c:v>97980</c:v>
                </c:pt>
                <c:pt idx="614">
                  <c:v>95680</c:v>
                </c:pt>
                <c:pt idx="615">
                  <c:v>98980</c:v>
                </c:pt>
                <c:pt idx="616">
                  <c:v>98880</c:v>
                </c:pt>
                <c:pt idx="617">
                  <c:v>94980</c:v>
                </c:pt>
                <c:pt idx="618">
                  <c:v>92480</c:v>
                </c:pt>
                <c:pt idx="619">
                  <c:v>87680</c:v>
                </c:pt>
                <c:pt idx="620">
                  <c:v>88080</c:v>
                </c:pt>
                <c:pt idx="621">
                  <c:v>88680</c:v>
                </c:pt>
                <c:pt idx="622">
                  <c:v>95180</c:v>
                </c:pt>
                <c:pt idx="623">
                  <c:v>93680</c:v>
                </c:pt>
                <c:pt idx="624">
                  <c:v>91880</c:v>
                </c:pt>
                <c:pt idx="625">
                  <c:v>92080</c:v>
                </c:pt>
                <c:pt idx="626">
                  <c:v>94380</c:v>
                </c:pt>
                <c:pt idx="627">
                  <c:v>97080</c:v>
                </c:pt>
                <c:pt idx="628">
                  <c:v>92280</c:v>
                </c:pt>
                <c:pt idx="629">
                  <c:v>96760</c:v>
                </c:pt>
                <c:pt idx="630">
                  <c:v>95760</c:v>
                </c:pt>
                <c:pt idx="631">
                  <c:v>93660</c:v>
                </c:pt>
                <c:pt idx="632">
                  <c:v>88260</c:v>
                </c:pt>
                <c:pt idx="633">
                  <c:v>87460</c:v>
                </c:pt>
                <c:pt idx="634">
                  <c:v>86060</c:v>
                </c:pt>
                <c:pt idx="635">
                  <c:v>83860</c:v>
                </c:pt>
                <c:pt idx="636">
                  <c:v>84160</c:v>
                </c:pt>
                <c:pt idx="637">
                  <c:v>84660</c:v>
                </c:pt>
                <c:pt idx="638">
                  <c:v>84960</c:v>
                </c:pt>
                <c:pt idx="639">
                  <c:v>79760</c:v>
                </c:pt>
                <c:pt idx="640">
                  <c:v>80060</c:v>
                </c:pt>
                <c:pt idx="641">
                  <c:v>82760</c:v>
                </c:pt>
                <c:pt idx="642">
                  <c:v>83160</c:v>
                </c:pt>
                <c:pt idx="643">
                  <c:v>76260</c:v>
                </c:pt>
                <c:pt idx="644">
                  <c:v>68760</c:v>
                </c:pt>
                <c:pt idx="645">
                  <c:v>69160</c:v>
                </c:pt>
                <c:pt idx="646">
                  <c:v>70760</c:v>
                </c:pt>
                <c:pt idx="647">
                  <c:v>69860</c:v>
                </c:pt>
                <c:pt idx="648">
                  <c:v>72060</c:v>
                </c:pt>
                <c:pt idx="649">
                  <c:v>67860</c:v>
                </c:pt>
                <c:pt idx="650">
                  <c:v>78360</c:v>
                </c:pt>
                <c:pt idx="651">
                  <c:v>80640</c:v>
                </c:pt>
                <c:pt idx="652">
                  <c:v>87640</c:v>
                </c:pt>
                <c:pt idx="653">
                  <c:v>86340</c:v>
                </c:pt>
                <c:pt idx="654">
                  <c:v>87140</c:v>
                </c:pt>
                <c:pt idx="655">
                  <c:v>88240</c:v>
                </c:pt>
                <c:pt idx="656">
                  <c:v>90140</c:v>
                </c:pt>
                <c:pt idx="657">
                  <c:v>87640</c:v>
                </c:pt>
                <c:pt idx="658">
                  <c:v>87340</c:v>
                </c:pt>
                <c:pt idx="659">
                  <c:v>87740</c:v>
                </c:pt>
                <c:pt idx="660">
                  <c:v>91240</c:v>
                </c:pt>
                <c:pt idx="661">
                  <c:v>93240</c:v>
                </c:pt>
                <c:pt idx="662">
                  <c:v>94740</c:v>
                </c:pt>
                <c:pt idx="663">
                  <c:v>94840</c:v>
                </c:pt>
                <c:pt idx="664">
                  <c:v>92140</c:v>
                </c:pt>
                <c:pt idx="665">
                  <c:v>94040</c:v>
                </c:pt>
                <c:pt idx="666">
                  <c:v>105340</c:v>
                </c:pt>
                <c:pt idx="667">
                  <c:v>105340</c:v>
                </c:pt>
                <c:pt idx="668">
                  <c:v>103040</c:v>
                </c:pt>
                <c:pt idx="669">
                  <c:v>101340</c:v>
                </c:pt>
                <c:pt idx="670">
                  <c:v>107140</c:v>
                </c:pt>
                <c:pt idx="671">
                  <c:v>111440</c:v>
                </c:pt>
                <c:pt idx="672">
                  <c:v>111640</c:v>
                </c:pt>
                <c:pt idx="673">
                  <c:v>105640</c:v>
                </c:pt>
                <c:pt idx="674">
                  <c:v>109820</c:v>
                </c:pt>
                <c:pt idx="675">
                  <c:v>116220</c:v>
                </c:pt>
                <c:pt idx="676">
                  <c:v>113320</c:v>
                </c:pt>
                <c:pt idx="677">
                  <c:v>104820</c:v>
                </c:pt>
                <c:pt idx="678">
                  <c:v>101920</c:v>
                </c:pt>
                <c:pt idx="679">
                  <c:v>99720</c:v>
                </c:pt>
                <c:pt idx="680">
                  <c:v>99720</c:v>
                </c:pt>
                <c:pt idx="681">
                  <c:v>102320</c:v>
                </c:pt>
                <c:pt idx="682">
                  <c:v>106620</c:v>
                </c:pt>
                <c:pt idx="683">
                  <c:v>106820</c:v>
                </c:pt>
                <c:pt idx="684">
                  <c:v>109720</c:v>
                </c:pt>
                <c:pt idx="685">
                  <c:v>108220</c:v>
                </c:pt>
                <c:pt idx="686">
                  <c:v>108620</c:v>
                </c:pt>
                <c:pt idx="687">
                  <c:v>104620</c:v>
                </c:pt>
                <c:pt idx="688">
                  <c:v>97820</c:v>
                </c:pt>
                <c:pt idx="689">
                  <c:v>107720</c:v>
                </c:pt>
                <c:pt idx="690">
                  <c:v>113820</c:v>
                </c:pt>
                <c:pt idx="691">
                  <c:v>111720</c:v>
                </c:pt>
                <c:pt idx="692">
                  <c:v>111720</c:v>
                </c:pt>
                <c:pt idx="693">
                  <c:v>109920</c:v>
                </c:pt>
                <c:pt idx="694">
                  <c:v>115620</c:v>
                </c:pt>
                <c:pt idx="695">
                  <c:v>116520</c:v>
                </c:pt>
                <c:pt idx="696">
                  <c:v>123120</c:v>
                </c:pt>
                <c:pt idx="697">
                  <c:v>122620</c:v>
                </c:pt>
                <c:pt idx="698">
                  <c:v>120620</c:v>
                </c:pt>
                <c:pt idx="699">
                  <c:v>121520</c:v>
                </c:pt>
                <c:pt idx="700">
                  <c:v>119820</c:v>
                </c:pt>
                <c:pt idx="701">
                  <c:v>120220</c:v>
                </c:pt>
                <c:pt idx="702">
                  <c:v>119220</c:v>
                </c:pt>
                <c:pt idx="703">
                  <c:v>114620</c:v>
                </c:pt>
                <c:pt idx="704">
                  <c:v>112420</c:v>
                </c:pt>
                <c:pt idx="705">
                  <c:v>122320</c:v>
                </c:pt>
                <c:pt idx="706">
                  <c:v>117620</c:v>
                </c:pt>
                <c:pt idx="707">
                  <c:v>128620</c:v>
                </c:pt>
                <c:pt idx="708">
                  <c:v>127520</c:v>
                </c:pt>
                <c:pt idx="709">
                  <c:v>131320</c:v>
                </c:pt>
                <c:pt idx="710">
                  <c:v>128020</c:v>
                </c:pt>
                <c:pt idx="711">
                  <c:v>126420</c:v>
                </c:pt>
                <c:pt idx="712">
                  <c:v>130520</c:v>
                </c:pt>
                <c:pt idx="713">
                  <c:v>131220</c:v>
                </c:pt>
                <c:pt idx="714">
                  <c:v>129320</c:v>
                </c:pt>
                <c:pt idx="715">
                  <c:v>137020</c:v>
                </c:pt>
                <c:pt idx="716">
                  <c:v>139420</c:v>
                </c:pt>
                <c:pt idx="717">
                  <c:v>134900</c:v>
                </c:pt>
                <c:pt idx="718">
                  <c:v>137900</c:v>
                </c:pt>
                <c:pt idx="719">
                  <c:v>135400</c:v>
                </c:pt>
                <c:pt idx="720">
                  <c:v>139200</c:v>
                </c:pt>
                <c:pt idx="721">
                  <c:v>140400</c:v>
                </c:pt>
                <c:pt idx="722">
                  <c:v>140600</c:v>
                </c:pt>
                <c:pt idx="723">
                  <c:v>140200</c:v>
                </c:pt>
                <c:pt idx="724">
                  <c:v>141400</c:v>
                </c:pt>
                <c:pt idx="725">
                  <c:v>143500</c:v>
                </c:pt>
                <c:pt idx="726">
                  <c:v>144700</c:v>
                </c:pt>
                <c:pt idx="727">
                  <c:v>145200</c:v>
                </c:pt>
                <c:pt idx="728">
                  <c:v>140900</c:v>
                </c:pt>
                <c:pt idx="729">
                  <c:v>143400</c:v>
                </c:pt>
                <c:pt idx="730">
                  <c:v>150400</c:v>
                </c:pt>
                <c:pt idx="731">
                  <c:v>146300</c:v>
                </c:pt>
                <c:pt idx="732">
                  <c:v>145300</c:v>
                </c:pt>
                <c:pt idx="733">
                  <c:v>132000</c:v>
                </c:pt>
                <c:pt idx="734">
                  <c:v>132800</c:v>
                </c:pt>
                <c:pt idx="735">
                  <c:v>122700</c:v>
                </c:pt>
                <c:pt idx="736">
                  <c:v>123300</c:v>
                </c:pt>
                <c:pt idx="737">
                  <c:v>115800</c:v>
                </c:pt>
                <c:pt idx="738">
                  <c:v>115600</c:v>
                </c:pt>
                <c:pt idx="739">
                  <c:v>110000</c:v>
                </c:pt>
                <c:pt idx="740">
                  <c:v>110400</c:v>
                </c:pt>
                <c:pt idx="741">
                  <c:v>107900</c:v>
                </c:pt>
                <c:pt idx="742">
                  <c:v>99500</c:v>
                </c:pt>
                <c:pt idx="743">
                  <c:v>98600</c:v>
                </c:pt>
                <c:pt idx="744">
                  <c:v>93500</c:v>
                </c:pt>
                <c:pt idx="745">
                  <c:v>91900</c:v>
                </c:pt>
                <c:pt idx="746">
                  <c:v>102300</c:v>
                </c:pt>
                <c:pt idx="747">
                  <c:v>105300</c:v>
                </c:pt>
                <c:pt idx="748">
                  <c:v>97300</c:v>
                </c:pt>
                <c:pt idx="749">
                  <c:v>85200</c:v>
                </c:pt>
                <c:pt idx="750">
                  <c:v>94400</c:v>
                </c:pt>
                <c:pt idx="751">
                  <c:v>95400</c:v>
                </c:pt>
                <c:pt idx="752">
                  <c:v>98900</c:v>
                </c:pt>
                <c:pt idx="753">
                  <c:v>105300</c:v>
                </c:pt>
                <c:pt idx="754">
                  <c:v>108800</c:v>
                </c:pt>
                <c:pt idx="755">
                  <c:v>108300</c:v>
                </c:pt>
                <c:pt idx="756">
                  <c:v>110900</c:v>
                </c:pt>
                <c:pt idx="757">
                  <c:v>112000</c:v>
                </c:pt>
                <c:pt idx="758">
                  <c:v>113600</c:v>
                </c:pt>
                <c:pt idx="759">
                  <c:v>112100</c:v>
                </c:pt>
                <c:pt idx="760">
                  <c:v>116780</c:v>
                </c:pt>
                <c:pt idx="761">
                  <c:v>116080</c:v>
                </c:pt>
                <c:pt idx="762">
                  <c:v>112880</c:v>
                </c:pt>
                <c:pt idx="763">
                  <c:v>105980</c:v>
                </c:pt>
                <c:pt idx="764">
                  <c:v>101580</c:v>
                </c:pt>
                <c:pt idx="765">
                  <c:v>101680</c:v>
                </c:pt>
                <c:pt idx="766">
                  <c:v>103680</c:v>
                </c:pt>
                <c:pt idx="767">
                  <c:v>103080</c:v>
                </c:pt>
                <c:pt idx="768">
                  <c:v>101980</c:v>
                </c:pt>
                <c:pt idx="769">
                  <c:v>100080</c:v>
                </c:pt>
                <c:pt idx="770">
                  <c:v>96880</c:v>
                </c:pt>
                <c:pt idx="771">
                  <c:v>91280</c:v>
                </c:pt>
                <c:pt idx="772">
                  <c:v>82180</c:v>
                </c:pt>
                <c:pt idx="773">
                  <c:v>85780</c:v>
                </c:pt>
                <c:pt idx="774">
                  <c:v>84980</c:v>
                </c:pt>
                <c:pt idx="775">
                  <c:v>87280</c:v>
                </c:pt>
                <c:pt idx="776">
                  <c:v>90480</c:v>
                </c:pt>
                <c:pt idx="777">
                  <c:v>93580</c:v>
                </c:pt>
                <c:pt idx="778">
                  <c:v>93180</c:v>
                </c:pt>
                <c:pt idx="779">
                  <c:v>96280</c:v>
                </c:pt>
                <c:pt idx="780">
                  <c:v>94680</c:v>
                </c:pt>
                <c:pt idx="781">
                  <c:v>97580</c:v>
                </c:pt>
                <c:pt idx="782">
                  <c:v>97880</c:v>
                </c:pt>
                <c:pt idx="783">
                  <c:v>97480</c:v>
                </c:pt>
                <c:pt idx="784">
                  <c:v>95480</c:v>
                </c:pt>
                <c:pt idx="785">
                  <c:v>103880</c:v>
                </c:pt>
                <c:pt idx="786">
                  <c:v>102080</c:v>
                </c:pt>
                <c:pt idx="787">
                  <c:v>97980</c:v>
                </c:pt>
                <c:pt idx="788">
                  <c:v>99680</c:v>
                </c:pt>
                <c:pt idx="789">
                  <c:v>96080</c:v>
                </c:pt>
                <c:pt idx="790">
                  <c:v>104780</c:v>
                </c:pt>
                <c:pt idx="791">
                  <c:v>105180</c:v>
                </c:pt>
                <c:pt idx="792">
                  <c:v>108080</c:v>
                </c:pt>
                <c:pt idx="793">
                  <c:v>105380</c:v>
                </c:pt>
                <c:pt idx="794">
                  <c:v>109280</c:v>
                </c:pt>
                <c:pt idx="795">
                  <c:v>110480</c:v>
                </c:pt>
                <c:pt idx="796">
                  <c:v>109580</c:v>
                </c:pt>
                <c:pt idx="797">
                  <c:v>114080</c:v>
                </c:pt>
                <c:pt idx="798">
                  <c:v>111380</c:v>
                </c:pt>
                <c:pt idx="799">
                  <c:v>111880</c:v>
                </c:pt>
                <c:pt idx="800">
                  <c:v>115280</c:v>
                </c:pt>
                <c:pt idx="801">
                  <c:v>120280</c:v>
                </c:pt>
                <c:pt idx="802">
                  <c:v>119580</c:v>
                </c:pt>
                <c:pt idx="803">
                  <c:v>121980</c:v>
                </c:pt>
                <c:pt idx="804">
                  <c:v>120460</c:v>
                </c:pt>
                <c:pt idx="805">
                  <c:v>115860</c:v>
                </c:pt>
                <c:pt idx="806">
                  <c:v>117060</c:v>
                </c:pt>
                <c:pt idx="807">
                  <c:v>119760</c:v>
                </c:pt>
                <c:pt idx="808">
                  <c:v>119060</c:v>
                </c:pt>
                <c:pt idx="809">
                  <c:v>119060</c:v>
                </c:pt>
                <c:pt idx="810">
                  <c:v>119060</c:v>
                </c:pt>
                <c:pt idx="811">
                  <c:v>119660</c:v>
                </c:pt>
                <c:pt idx="812">
                  <c:v>121260</c:v>
                </c:pt>
                <c:pt idx="813">
                  <c:v>122660</c:v>
                </c:pt>
                <c:pt idx="814">
                  <c:v>123460</c:v>
                </c:pt>
                <c:pt idx="815">
                  <c:v>123060</c:v>
                </c:pt>
                <c:pt idx="816">
                  <c:v>123860</c:v>
                </c:pt>
                <c:pt idx="817">
                  <c:v>125460</c:v>
                </c:pt>
                <c:pt idx="818">
                  <c:v>117060</c:v>
                </c:pt>
                <c:pt idx="819">
                  <c:v>118660</c:v>
                </c:pt>
                <c:pt idx="820">
                  <c:v>120460</c:v>
                </c:pt>
                <c:pt idx="821">
                  <c:v>126060</c:v>
                </c:pt>
                <c:pt idx="822">
                  <c:v>126560</c:v>
                </c:pt>
                <c:pt idx="823">
                  <c:v>124960</c:v>
                </c:pt>
                <c:pt idx="824">
                  <c:v>120660</c:v>
                </c:pt>
                <c:pt idx="825">
                  <c:v>122160</c:v>
                </c:pt>
                <c:pt idx="826">
                  <c:v>122360</c:v>
                </c:pt>
                <c:pt idx="827">
                  <c:v>121960</c:v>
                </c:pt>
                <c:pt idx="828">
                  <c:v>125260</c:v>
                </c:pt>
                <c:pt idx="829">
                  <c:v>121260</c:v>
                </c:pt>
                <c:pt idx="830">
                  <c:v>120360</c:v>
                </c:pt>
                <c:pt idx="831">
                  <c:v>127960</c:v>
                </c:pt>
                <c:pt idx="832">
                  <c:v>130760</c:v>
                </c:pt>
                <c:pt idx="833">
                  <c:v>129360</c:v>
                </c:pt>
                <c:pt idx="834">
                  <c:v>123560</c:v>
                </c:pt>
                <c:pt idx="835">
                  <c:v>124560</c:v>
                </c:pt>
                <c:pt idx="836">
                  <c:v>127360</c:v>
                </c:pt>
                <c:pt idx="837">
                  <c:v>125560</c:v>
                </c:pt>
                <c:pt idx="838">
                  <c:v>126560</c:v>
                </c:pt>
                <c:pt idx="839">
                  <c:v>119260</c:v>
                </c:pt>
                <c:pt idx="840">
                  <c:v>121060</c:v>
                </c:pt>
                <c:pt idx="841">
                  <c:v>120260</c:v>
                </c:pt>
                <c:pt idx="842">
                  <c:v>119360</c:v>
                </c:pt>
                <c:pt idx="843">
                  <c:v>120560</c:v>
                </c:pt>
                <c:pt idx="844">
                  <c:v>122160</c:v>
                </c:pt>
                <c:pt idx="845">
                  <c:v>121860</c:v>
                </c:pt>
                <c:pt idx="846">
                  <c:v>118360</c:v>
                </c:pt>
                <c:pt idx="847">
                  <c:v>114660</c:v>
                </c:pt>
                <c:pt idx="848">
                  <c:v>112540</c:v>
                </c:pt>
                <c:pt idx="849">
                  <c:v>112640</c:v>
                </c:pt>
                <c:pt idx="850">
                  <c:v>111240</c:v>
                </c:pt>
                <c:pt idx="851">
                  <c:v>111440</c:v>
                </c:pt>
                <c:pt idx="852">
                  <c:v>110240</c:v>
                </c:pt>
                <c:pt idx="853">
                  <c:v>108940</c:v>
                </c:pt>
                <c:pt idx="854">
                  <c:v>107040</c:v>
                </c:pt>
                <c:pt idx="855">
                  <c:v>108240</c:v>
                </c:pt>
                <c:pt idx="856">
                  <c:v>107440</c:v>
                </c:pt>
                <c:pt idx="857">
                  <c:v>108640</c:v>
                </c:pt>
                <c:pt idx="858">
                  <c:v>110840</c:v>
                </c:pt>
                <c:pt idx="859">
                  <c:v>111440</c:v>
                </c:pt>
                <c:pt idx="860">
                  <c:v>114240</c:v>
                </c:pt>
                <c:pt idx="861">
                  <c:v>119540</c:v>
                </c:pt>
                <c:pt idx="862">
                  <c:v>119040</c:v>
                </c:pt>
                <c:pt idx="863">
                  <c:v>117640</c:v>
                </c:pt>
                <c:pt idx="864">
                  <c:v>113740</c:v>
                </c:pt>
                <c:pt idx="865">
                  <c:v>112740</c:v>
                </c:pt>
                <c:pt idx="866">
                  <c:v>118240</c:v>
                </c:pt>
                <c:pt idx="867">
                  <c:v>123040</c:v>
                </c:pt>
                <c:pt idx="868">
                  <c:v>127340</c:v>
                </c:pt>
                <c:pt idx="869">
                  <c:v>131440</c:v>
                </c:pt>
                <c:pt idx="870">
                  <c:v>131840</c:v>
                </c:pt>
                <c:pt idx="871">
                  <c:v>127940</c:v>
                </c:pt>
                <c:pt idx="872">
                  <c:v>130240</c:v>
                </c:pt>
                <c:pt idx="873">
                  <c:v>125340</c:v>
                </c:pt>
                <c:pt idx="874">
                  <c:v>121440</c:v>
                </c:pt>
                <c:pt idx="875">
                  <c:v>123640</c:v>
                </c:pt>
                <c:pt idx="876">
                  <c:v>131240</c:v>
                </c:pt>
                <c:pt idx="877">
                  <c:v>133940</c:v>
                </c:pt>
                <c:pt idx="878">
                  <c:v>127240</c:v>
                </c:pt>
                <c:pt idx="879">
                  <c:v>132040</c:v>
                </c:pt>
                <c:pt idx="880">
                  <c:v>131140</c:v>
                </c:pt>
                <c:pt idx="881">
                  <c:v>125840</c:v>
                </c:pt>
                <c:pt idx="882">
                  <c:v>123940</c:v>
                </c:pt>
                <c:pt idx="883">
                  <c:v>120740</c:v>
                </c:pt>
                <c:pt idx="884">
                  <c:v>116940</c:v>
                </c:pt>
                <c:pt idx="885">
                  <c:v>118140</c:v>
                </c:pt>
                <c:pt idx="886">
                  <c:v>121540</c:v>
                </c:pt>
                <c:pt idx="887">
                  <c:v>121240</c:v>
                </c:pt>
                <c:pt idx="888">
                  <c:v>121540</c:v>
                </c:pt>
                <c:pt idx="889">
                  <c:v>123240</c:v>
                </c:pt>
                <c:pt idx="890">
                  <c:v>123640</c:v>
                </c:pt>
                <c:pt idx="891">
                  <c:v>125020</c:v>
                </c:pt>
                <c:pt idx="892">
                  <c:v>127620</c:v>
                </c:pt>
                <c:pt idx="893">
                  <c:v>128420</c:v>
                </c:pt>
                <c:pt idx="894">
                  <c:v>130320</c:v>
                </c:pt>
                <c:pt idx="895">
                  <c:v>128720</c:v>
                </c:pt>
                <c:pt idx="896">
                  <c:v>128820</c:v>
                </c:pt>
                <c:pt idx="897">
                  <c:v>131420</c:v>
                </c:pt>
                <c:pt idx="898">
                  <c:v>129120</c:v>
                </c:pt>
                <c:pt idx="899">
                  <c:v>127820</c:v>
                </c:pt>
                <c:pt idx="900">
                  <c:v>127320</c:v>
                </c:pt>
                <c:pt idx="901">
                  <c:v>128420</c:v>
                </c:pt>
                <c:pt idx="902">
                  <c:v>126520</c:v>
                </c:pt>
                <c:pt idx="903">
                  <c:v>122320</c:v>
                </c:pt>
                <c:pt idx="904">
                  <c:v>123120</c:v>
                </c:pt>
                <c:pt idx="905">
                  <c:v>122320</c:v>
                </c:pt>
                <c:pt idx="906">
                  <c:v>116220</c:v>
                </c:pt>
                <c:pt idx="907">
                  <c:v>113820</c:v>
                </c:pt>
                <c:pt idx="908">
                  <c:v>113720</c:v>
                </c:pt>
                <c:pt idx="909">
                  <c:v>110120</c:v>
                </c:pt>
                <c:pt idx="910">
                  <c:v>110720</c:v>
                </c:pt>
                <c:pt idx="911">
                  <c:v>109420</c:v>
                </c:pt>
                <c:pt idx="912">
                  <c:v>108620</c:v>
                </c:pt>
                <c:pt idx="913">
                  <c:v>105900</c:v>
                </c:pt>
                <c:pt idx="914">
                  <c:v>109300</c:v>
                </c:pt>
                <c:pt idx="915">
                  <c:v>106100</c:v>
                </c:pt>
                <c:pt idx="916">
                  <c:v>104200</c:v>
                </c:pt>
                <c:pt idx="917">
                  <c:v>101100</c:v>
                </c:pt>
                <c:pt idx="918">
                  <c:v>98800</c:v>
                </c:pt>
                <c:pt idx="919">
                  <c:v>96400</c:v>
                </c:pt>
                <c:pt idx="920">
                  <c:v>97700</c:v>
                </c:pt>
                <c:pt idx="921">
                  <c:v>98000</c:v>
                </c:pt>
                <c:pt idx="922">
                  <c:v>98700</c:v>
                </c:pt>
                <c:pt idx="923">
                  <c:v>97300</c:v>
                </c:pt>
                <c:pt idx="924">
                  <c:v>97500</c:v>
                </c:pt>
                <c:pt idx="925">
                  <c:v>95400</c:v>
                </c:pt>
                <c:pt idx="926">
                  <c:v>91900</c:v>
                </c:pt>
                <c:pt idx="927">
                  <c:v>83400</c:v>
                </c:pt>
                <c:pt idx="928">
                  <c:v>85900</c:v>
                </c:pt>
                <c:pt idx="929">
                  <c:v>87300</c:v>
                </c:pt>
                <c:pt idx="930">
                  <c:v>83400</c:v>
                </c:pt>
                <c:pt idx="931">
                  <c:v>73900</c:v>
                </c:pt>
                <c:pt idx="932">
                  <c:v>64200</c:v>
                </c:pt>
                <c:pt idx="933">
                  <c:v>61100</c:v>
                </c:pt>
                <c:pt idx="934">
                  <c:v>60980</c:v>
                </c:pt>
                <c:pt idx="935">
                  <c:v>60780</c:v>
                </c:pt>
                <c:pt idx="936">
                  <c:v>60180</c:v>
                </c:pt>
                <c:pt idx="937">
                  <c:v>56080</c:v>
                </c:pt>
                <c:pt idx="938">
                  <c:v>55180</c:v>
                </c:pt>
                <c:pt idx="939">
                  <c:v>53380</c:v>
                </c:pt>
                <c:pt idx="940">
                  <c:v>53280</c:v>
                </c:pt>
                <c:pt idx="941">
                  <c:v>54280</c:v>
                </c:pt>
                <c:pt idx="942">
                  <c:v>54080</c:v>
                </c:pt>
                <c:pt idx="943">
                  <c:v>53680</c:v>
                </c:pt>
                <c:pt idx="944">
                  <c:v>62680</c:v>
                </c:pt>
                <c:pt idx="945">
                  <c:v>56480</c:v>
                </c:pt>
                <c:pt idx="946">
                  <c:v>57880</c:v>
                </c:pt>
                <c:pt idx="947">
                  <c:v>56480</c:v>
                </c:pt>
                <c:pt idx="948">
                  <c:v>63980</c:v>
                </c:pt>
                <c:pt idx="949">
                  <c:v>59980</c:v>
                </c:pt>
                <c:pt idx="950">
                  <c:v>57380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Hogs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5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51"/>
                <c:pt idx="0">
                  <c:v>0</c:v>
                </c:pt>
                <c:pt idx="1">
                  <c:v>-700</c:v>
                </c:pt>
                <c:pt idx="2">
                  <c:v>2500</c:v>
                </c:pt>
                <c:pt idx="3">
                  <c:v>1400</c:v>
                </c:pt>
                <c:pt idx="4">
                  <c:v>2500</c:v>
                </c:pt>
                <c:pt idx="5">
                  <c:v>1100</c:v>
                </c:pt>
                <c:pt idx="6">
                  <c:v>-5500</c:v>
                </c:pt>
                <c:pt idx="7">
                  <c:v>-5900</c:v>
                </c:pt>
                <c:pt idx="8">
                  <c:v>-6500</c:v>
                </c:pt>
                <c:pt idx="9">
                  <c:v>-2900</c:v>
                </c:pt>
                <c:pt idx="10">
                  <c:v>-2700</c:v>
                </c:pt>
                <c:pt idx="11">
                  <c:v>-2400</c:v>
                </c:pt>
                <c:pt idx="12">
                  <c:v>-700</c:v>
                </c:pt>
                <c:pt idx="13">
                  <c:v>-2100</c:v>
                </c:pt>
                <c:pt idx="14">
                  <c:v>-1500</c:v>
                </c:pt>
                <c:pt idx="15">
                  <c:v>-1300</c:v>
                </c:pt>
                <c:pt idx="16">
                  <c:v>-400</c:v>
                </c:pt>
                <c:pt idx="17">
                  <c:v>5400</c:v>
                </c:pt>
                <c:pt idx="18">
                  <c:v>4800</c:v>
                </c:pt>
                <c:pt idx="19">
                  <c:v>5500</c:v>
                </c:pt>
                <c:pt idx="20">
                  <c:v>4700</c:v>
                </c:pt>
                <c:pt idx="21">
                  <c:v>5200</c:v>
                </c:pt>
                <c:pt idx="22">
                  <c:v>6900</c:v>
                </c:pt>
                <c:pt idx="23">
                  <c:v>6880</c:v>
                </c:pt>
                <c:pt idx="24">
                  <c:v>6480</c:v>
                </c:pt>
                <c:pt idx="25">
                  <c:v>8980</c:v>
                </c:pt>
                <c:pt idx="26">
                  <c:v>5380</c:v>
                </c:pt>
                <c:pt idx="27">
                  <c:v>4380</c:v>
                </c:pt>
                <c:pt idx="28">
                  <c:v>3280</c:v>
                </c:pt>
                <c:pt idx="29">
                  <c:v>2580</c:v>
                </c:pt>
                <c:pt idx="30">
                  <c:v>4780</c:v>
                </c:pt>
                <c:pt idx="31">
                  <c:v>5780</c:v>
                </c:pt>
                <c:pt idx="32">
                  <c:v>6980</c:v>
                </c:pt>
                <c:pt idx="33">
                  <c:v>6480</c:v>
                </c:pt>
                <c:pt idx="34">
                  <c:v>6880</c:v>
                </c:pt>
                <c:pt idx="35">
                  <c:v>2580</c:v>
                </c:pt>
                <c:pt idx="36">
                  <c:v>-420</c:v>
                </c:pt>
                <c:pt idx="37">
                  <c:v>580</c:v>
                </c:pt>
                <c:pt idx="38">
                  <c:v>-1720</c:v>
                </c:pt>
                <c:pt idx="39">
                  <c:v>-1720</c:v>
                </c:pt>
                <c:pt idx="40">
                  <c:v>-2820</c:v>
                </c:pt>
                <c:pt idx="41">
                  <c:v>-4620</c:v>
                </c:pt>
                <c:pt idx="42">
                  <c:v>-5520</c:v>
                </c:pt>
                <c:pt idx="43">
                  <c:v>-4920</c:v>
                </c:pt>
                <c:pt idx="44">
                  <c:v>-6920</c:v>
                </c:pt>
                <c:pt idx="45">
                  <c:v>-11520</c:v>
                </c:pt>
                <c:pt idx="46">
                  <c:v>-13820</c:v>
                </c:pt>
                <c:pt idx="47">
                  <c:v>-1720</c:v>
                </c:pt>
                <c:pt idx="48">
                  <c:v>-2420</c:v>
                </c:pt>
                <c:pt idx="49">
                  <c:v>-5420</c:v>
                </c:pt>
                <c:pt idx="50">
                  <c:v>-3620</c:v>
                </c:pt>
                <c:pt idx="51">
                  <c:v>-7120</c:v>
                </c:pt>
                <c:pt idx="52">
                  <c:v>-6920</c:v>
                </c:pt>
                <c:pt idx="53">
                  <c:v>-11320</c:v>
                </c:pt>
                <c:pt idx="54">
                  <c:v>-11820</c:v>
                </c:pt>
                <c:pt idx="55">
                  <c:v>-16620</c:v>
                </c:pt>
                <c:pt idx="56">
                  <c:v>-19020</c:v>
                </c:pt>
                <c:pt idx="57">
                  <c:v>-16720</c:v>
                </c:pt>
                <c:pt idx="58">
                  <c:v>-17320</c:v>
                </c:pt>
                <c:pt idx="59">
                  <c:v>-16620</c:v>
                </c:pt>
                <c:pt idx="60">
                  <c:v>-11520</c:v>
                </c:pt>
                <c:pt idx="61">
                  <c:v>-9920</c:v>
                </c:pt>
                <c:pt idx="62">
                  <c:v>-7620</c:v>
                </c:pt>
                <c:pt idx="63">
                  <c:v>-7820</c:v>
                </c:pt>
                <c:pt idx="64">
                  <c:v>-5040</c:v>
                </c:pt>
                <c:pt idx="65">
                  <c:v>-5840</c:v>
                </c:pt>
                <c:pt idx="66">
                  <c:v>-4240</c:v>
                </c:pt>
                <c:pt idx="67">
                  <c:v>-1540</c:v>
                </c:pt>
                <c:pt idx="68">
                  <c:v>-9440</c:v>
                </c:pt>
                <c:pt idx="69">
                  <c:v>-6440</c:v>
                </c:pt>
                <c:pt idx="70">
                  <c:v>-6540</c:v>
                </c:pt>
                <c:pt idx="71">
                  <c:v>-5240</c:v>
                </c:pt>
                <c:pt idx="72">
                  <c:v>-3540</c:v>
                </c:pt>
                <c:pt idx="73">
                  <c:v>-1040</c:v>
                </c:pt>
                <c:pt idx="74">
                  <c:v>-4540</c:v>
                </c:pt>
                <c:pt idx="75">
                  <c:v>-2740</c:v>
                </c:pt>
                <c:pt idx="76">
                  <c:v>2260</c:v>
                </c:pt>
                <c:pt idx="77">
                  <c:v>3860</c:v>
                </c:pt>
                <c:pt idx="78">
                  <c:v>2260</c:v>
                </c:pt>
                <c:pt idx="79">
                  <c:v>-840</c:v>
                </c:pt>
                <c:pt idx="80">
                  <c:v>-40</c:v>
                </c:pt>
                <c:pt idx="81">
                  <c:v>5060</c:v>
                </c:pt>
                <c:pt idx="82">
                  <c:v>7960</c:v>
                </c:pt>
                <c:pt idx="83">
                  <c:v>10960</c:v>
                </c:pt>
                <c:pt idx="84">
                  <c:v>9560</c:v>
                </c:pt>
                <c:pt idx="85">
                  <c:v>11060</c:v>
                </c:pt>
                <c:pt idx="86">
                  <c:v>12760</c:v>
                </c:pt>
                <c:pt idx="87">
                  <c:v>12960</c:v>
                </c:pt>
                <c:pt idx="88">
                  <c:v>11360</c:v>
                </c:pt>
                <c:pt idx="89">
                  <c:v>6960</c:v>
                </c:pt>
                <c:pt idx="90">
                  <c:v>8160</c:v>
                </c:pt>
                <c:pt idx="91">
                  <c:v>8060</c:v>
                </c:pt>
                <c:pt idx="92">
                  <c:v>4460</c:v>
                </c:pt>
                <c:pt idx="93">
                  <c:v>2660</c:v>
                </c:pt>
                <c:pt idx="94">
                  <c:v>4260</c:v>
                </c:pt>
                <c:pt idx="95">
                  <c:v>12260</c:v>
                </c:pt>
                <c:pt idx="96">
                  <c:v>8760</c:v>
                </c:pt>
                <c:pt idx="97">
                  <c:v>12760</c:v>
                </c:pt>
                <c:pt idx="98">
                  <c:v>6960</c:v>
                </c:pt>
                <c:pt idx="99">
                  <c:v>9960</c:v>
                </c:pt>
                <c:pt idx="100">
                  <c:v>12560</c:v>
                </c:pt>
                <c:pt idx="101">
                  <c:v>19360</c:v>
                </c:pt>
                <c:pt idx="102">
                  <c:v>17760</c:v>
                </c:pt>
                <c:pt idx="103">
                  <c:v>20560</c:v>
                </c:pt>
                <c:pt idx="104">
                  <c:v>21160</c:v>
                </c:pt>
                <c:pt idx="105">
                  <c:v>20360</c:v>
                </c:pt>
                <c:pt idx="106">
                  <c:v>20760</c:v>
                </c:pt>
                <c:pt idx="107">
                  <c:v>22460</c:v>
                </c:pt>
                <c:pt idx="108">
                  <c:v>23060</c:v>
                </c:pt>
                <c:pt idx="109">
                  <c:v>24040</c:v>
                </c:pt>
                <c:pt idx="110">
                  <c:v>26940</c:v>
                </c:pt>
                <c:pt idx="111">
                  <c:v>27440</c:v>
                </c:pt>
                <c:pt idx="112">
                  <c:v>31040</c:v>
                </c:pt>
                <c:pt idx="113">
                  <c:v>33540</c:v>
                </c:pt>
                <c:pt idx="114">
                  <c:v>39140</c:v>
                </c:pt>
                <c:pt idx="115">
                  <c:v>42540</c:v>
                </c:pt>
                <c:pt idx="116">
                  <c:v>45440</c:v>
                </c:pt>
                <c:pt idx="117">
                  <c:v>48040</c:v>
                </c:pt>
                <c:pt idx="118">
                  <c:v>50240</c:v>
                </c:pt>
                <c:pt idx="119">
                  <c:v>49640</c:v>
                </c:pt>
                <c:pt idx="120">
                  <c:v>54340</c:v>
                </c:pt>
                <c:pt idx="121">
                  <c:v>57340</c:v>
                </c:pt>
                <c:pt idx="122">
                  <c:v>58840</c:v>
                </c:pt>
                <c:pt idx="123">
                  <c:v>56640</c:v>
                </c:pt>
                <c:pt idx="124">
                  <c:v>61540</c:v>
                </c:pt>
                <c:pt idx="125">
                  <c:v>59340</c:v>
                </c:pt>
                <c:pt idx="126">
                  <c:v>57540</c:v>
                </c:pt>
                <c:pt idx="127">
                  <c:v>64340</c:v>
                </c:pt>
                <c:pt idx="128">
                  <c:v>61840</c:v>
                </c:pt>
                <c:pt idx="129">
                  <c:v>61720</c:v>
                </c:pt>
                <c:pt idx="130">
                  <c:v>61320</c:v>
                </c:pt>
                <c:pt idx="131">
                  <c:v>64420</c:v>
                </c:pt>
                <c:pt idx="132">
                  <c:v>65920</c:v>
                </c:pt>
                <c:pt idx="133">
                  <c:v>66720</c:v>
                </c:pt>
                <c:pt idx="134">
                  <c:v>63120</c:v>
                </c:pt>
                <c:pt idx="135">
                  <c:v>62120</c:v>
                </c:pt>
                <c:pt idx="136">
                  <c:v>65120</c:v>
                </c:pt>
                <c:pt idx="137">
                  <c:v>66920</c:v>
                </c:pt>
                <c:pt idx="138">
                  <c:v>66520</c:v>
                </c:pt>
                <c:pt idx="139">
                  <c:v>67120</c:v>
                </c:pt>
                <c:pt idx="140">
                  <c:v>69720</c:v>
                </c:pt>
                <c:pt idx="141">
                  <c:v>68720</c:v>
                </c:pt>
                <c:pt idx="142">
                  <c:v>71120</c:v>
                </c:pt>
                <c:pt idx="143">
                  <c:v>69920</c:v>
                </c:pt>
                <c:pt idx="144">
                  <c:v>72220</c:v>
                </c:pt>
                <c:pt idx="145">
                  <c:v>79820</c:v>
                </c:pt>
                <c:pt idx="146">
                  <c:v>79020</c:v>
                </c:pt>
                <c:pt idx="147">
                  <c:v>78720</c:v>
                </c:pt>
                <c:pt idx="148">
                  <c:v>75620</c:v>
                </c:pt>
                <c:pt idx="149">
                  <c:v>76420</c:v>
                </c:pt>
                <c:pt idx="150">
                  <c:v>72120</c:v>
                </c:pt>
                <c:pt idx="151">
                  <c:v>75620</c:v>
                </c:pt>
                <c:pt idx="152">
                  <c:v>78000</c:v>
                </c:pt>
                <c:pt idx="153">
                  <c:v>81400</c:v>
                </c:pt>
                <c:pt idx="154">
                  <c:v>85500</c:v>
                </c:pt>
                <c:pt idx="155">
                  <c:v>87200</c:v>
                </c:pt>
                <c:pt idx="156">
                  <c:v>86200</c:v>
                </c:pt>
                <c:pt idx="157">
                  <c:v>87700</c:v>
                </c:pt>
                <c:pt idx="158">
                  <c:v>86400</c:v>
                </c:pt>
                <c:pt idx="159">
                  <c:v>89500</c:v>
                </c:pt>
                <c:pt idx="160">
                  <c:v>91500</c:v>
                </c:pt>
                <c:pt idx="161">
                  <c:v>94300</c:v>
                </c:pt>
                <c:pt idx="162">
                  <c:v>89400</c:v>
                </c:pt>
                <c:pt idx="163">
                  <c:v>89500</c:v>
                </c:pt>
                <c:pt idx="164">
                  <c:v>86700</c:v>
                </c:pt>
                <c:pt idx="165">
                  <c:v>89100</c:v>
                </c:pt>
                <c:pt idx="166">
                  <c:v>85000</c:v>
                </c:pt>
                <c:pt idx="167">
                  <c:v>80200</c:v>
                </c:pt>
                <c:pt idx="168">
                  <c:v>82100</c:v>
                </c:pt>
                <c:pt idx="169">
                  <c:v>85300</c:v>
                </c:pt>
                <c:pt idx="170">
                  <c:v>88600</c:v>
                </c:pt>
                <c:pt idx="171">
                  <c:v>86300</c:v>
                </c:pt>
                <c:pt idx="172">
                  <c:v>90600</c:v>
                </c:pt>
                <c:pt idx="173">
                  <c:v>93200</c:v>
                </c:pt>
                <c:pt idx="174">
                  <c:v>91600</c:v>
                </c:pt>
                <c:pt idx="175">
                  <c:v>93200</c:v>
                </c:pt>
                <c:pt idx="176">
                  <c:v>99100</c:v>
                </c:pt>
                <c:pt idx="177">
                  <c:v>99100</c:v>
                </c:pt>
                <c:pt idx="178">
                  <c:v>105800</c:v>
                </c:pt>
                <c:pt idx="179">
                  <c:v>105800</c:v>
                </c:pt>
                <c:pt idx="180">
                  <c:v>104600</c:v>
                </c:pt>
                <c:pt idx="181">
                  <c:v>103600</c:v>
                </c:pt>
                <c:pt idx="182">
                  <c:v>104500</c:v>
                </c:pt>
                <c:pt idx="183">
                  <c:v>104200</c:v>
                </c:pt>
                <c:pt idx="184">
                  <c:v>110200</c:v>
                </c:pt>
                <c:pt idx="185">
                  <c:v>105800</c:v>
                </c:pt>
                <c:pt idx="186">
                  <c:v>107900</c:v>
                </c:pt>
                <c:pt idx="187">
                  <c:v>107300</c:v>
                </c:pt>
                <c:pt idx="188">
                  <c:v>101700</c:v>
                </c:pt>
                <c:pt idx="189">
                  <c:v>102400</c:v>
                </c:pt>
                <c:pt idx="190">
                  <c:v>114000</c:v>
                </c:pt>
                <c:pt idx="191">
                  <c:v>115800</c:v>
                </c:pt>
                <c:pt idx="192">
                  <c:v>112900</c:v>
                </c:pt>
                <c:pt idx="193">
                  <c:v>113700</c:v>
                </c:pt>
                <c:pt idx="194">
                  <c:v>110000</c:v>
                </c:pt>
                <c:pt idx="195">
                  <c:v>105580</c:v>
                </c:pt>
                <c:pt idx="196">
                  <c:v>104780</c:v>
                </c:pt>
                <c:pt idx="197">
                  <c:v>106180</c:v>
                </c:pt>
                <c:pt idx="198">
                  <c:v>108880</c:v>
                </c:pt>
                <c:pt idx="199">
                  <c:v>108580</c:v>
                </c:pt>
                <c:pt idx="200">
                  <c:v>106980</c:v>
                </c:pt>
                <c:pt idx="201">
                  <c:v>100680</c:v>
                </c:pt>
                <c:pt idx="202">
                  <c:v>102680</c:v>
                </c:pt>
                <c:pt idx="203">
                  <c:v>104280</c:v>
                </c:pt>
                <c:pt idx="204">
                  <c:v>104480</c:v>
                </c:pt>
                <c:pt idx="205">
                  <c:v>110080</c:v>
                </c:pt>
                <c:pt idx="206">
                  <c:v>114480</c:v>
                </c:pt>
                <c:pt idx="207">
                  <c:v>113980</c:v>
                </c:pt>
                <c:pt idx="208">
                  <c:v>110080</c:v>
                </c:pt>
                <c:pt idx="209">
                  <c:v>109480</c:v>
                </c:pt>
                <c:pt idx="210">
                  <c:v>113680</c:v>
                </c:pt>
                <c:pt idx="211">
                  <c:v>111980</c:v>
                </c:pt>
                <c:pt idx="212">
                  <c:v>117680</c:v>
                </c:pt>
                <c:pt idx="213">
                  <c:v>120880</c:v>
                </c:pt>
                <c:pt idx="214">
                  <c:v>127080</c:v>
                </c:pt>
                <c:pt idx="215">
                  <c:v>125080</c:v>
                </c:pt>
                <c:pt idx="216">
                  <c:v>120080</c:v>
                </c:pt>
                <c:pt idx="217">
                  <c:v>116080</c:v>
                </c:pt>
                <c:pt idx="218">
                  <c:v>113380</c:v>
                </c:pt>
                <c:pt idx="219">
                  <c:v>113480</c:v>
                </c:pt>
                <c:pt idx="220">
                  <c:v>112480</c:v>
                </c:pt>
                <c:pt idx="221">
                  <c:v>109680</c:v>
                </c:pt>
                <c:pt idx="222">
                  <c:v>109880</c:v>
                </c:pt>
                <c:pt idx="223">
                  <c:v>111780</c:v>
                </c:pt>
                <c:pt idx="224">
                  <c:v>111080</c:v>
                </c:pt>
                <c:pt idx="225">
                  <c:v>107680</c:v>
                </c:pt>
                <c:pt idx="226">
                  <c:v>104280</c:v>
                </c:pt>
                <c:pt idx="227">
                  <c:v>101680</c:v>
                </c:pt>
                <c:pt idx="228">
                  <c:v>103280</c:v>
                </c:pt>
                <c:pt idx="229">
                  <c:v>101880</c:v>
                </c:pt>
                <c:pt idx="230">
                  <c:v>101280</c:v>
                </c:pt>
                <c:pt idx="231">
                  <c:v>103280</c:v>
                </c:pt>
                <c:pt idx="232">
                  <c:v>103780</c:v>
                </c:pt>
                <c:pt idx="233">
                  <c:v>101680</c:v>
                </c:pt>
                <c:pt idx="234">
                  <c:v>101080</c:v>
                </c:pt>
                <c:pt idx="235">
                  <c:v>101480</c:v>
                </c:pt>
                <c:pt idx="236">
                  <c:v>103280</c:v>
                </c:pt>
                <c:pt idx="237">
                  <c:v>101580</c:v>
                </c:pt>
                <c:pt idx="238">
                  <c:v>101280</c:v>
                </c:pt>
                <c:pt idx="239">
                  <c:v>103260</c:v>
                </c:pt>
                <c:pt idx="240">
                  <c:v>98260</c:v>
                </c:pt>
                <c:pt idx="241">
                  <c:v>94660</c:v>
                </c:pt>
                <c:pt idx="242">
                  <c:v>89460</c:v>
                </c:pt>
                <c:pt idx="243">
                  <c:v>87060</c:v>
                </c:pt>
                <c:pt idx="244">
                  <c:v>85460</c:v>
                </c:pt>
                <c:pt idx="245">
                  <c:v>82560</c:v>
                </c:pt>
                <c:pt idx="246">
                  <c:v>82560</c:v>
                </c:pt>
                <c:pt idx="247">
                  <c:v>84160</c:v>
                </c:pt>
                <c:pt idx="248">
                  <c:v>84060</c:v>
                </c:pt>
                <c:pt idx="249">
                  <c:v>81960</c:v>
                </c:pt>
                <c:pt idx="250">
                  <c:v>77760</c:v>
                </c:pt>
                <c:pt idx="251">
                  <c:v>80960</c:v>
                </c:pt>
                <c:pt idx="252">
                  <c:v>80760</c:v>
                </c:pt>
                <c:pt idx="253">
                  <c:v>79860</c:v>
                </c:pt>
                <c:pt idx="254">
                  <c:v>80560</c:v>
                </c:pt>
                <c:pt idx="255">
                  <c:v>77060</c:v>
                </c:pt>
                <c:pt idx="256">
                  <c:v>78360</c:v>
                </c:pt>
                <c:pt idx="257">
                  <c:v>76760</c:v>
                </c:pt>
                <c:pt idx="258">
                  <c:v>78360</c:v>
                </c:pt>
                <c:pt idx="259">
                  <c:v>76560</c:v>
                </c:pt>
                <c:pt idx="260">
                  <c:v>77360</c:v>
                </c:pt>
                <c:pt idx="261">
                  <c:v>81360</c:v>
                </c:pt>
                <c:pt idx="262">
                  <c:v>83160</c:v>
                </c:pt>
                <c:pt idx="263">
                  <c:v>82160</c:v>
                </c:pt>
                <c:pt idx="264">
                  <c:v>81660</c:v>
                </c:pt>
                <c:pt idx="265">
                  <c:v>76460</c:v>
                </c:pt>
                <c:pt idx="266">
                  <c:v>77660</c:v>
                </c:pt>
                <c:pt idx="267">
                  <c:v>76360</c:v>
                </c:pt>
                <c:pt idx="268">
                  <c:v>78760</c:v>
                </c:pt>
                <c:pt idx="269">
                  <c:v>76660</c:v>
                </c:pt>
                <c:pt idx="270">
                  <c:v>79360</c:v>
                </c:pt>
                <c:pt idx="271">
                  <c:v>83060</c:v>
                </c:pt>
                <c:pt idx="272">
                  <c:v>82960</c:v>
                </c:pt>
                <c:pt idx="273">
                  <c:v>80460</c:v>
                </c:pt>
                <c:pt idx="274">
                  <c:v>79060</c:v>
                </c:pt>
                <c:pt idx="275">
                  <c:v>78860</c:v>
                </c:pt>
                <c:pt idx="276">
                  <c:v>77560</c:v>
                </c:pt>
                <c:pt idx="277">
                  <c:v>77360</c:v>
                </c:pt>
                <c:pt idx="278">
                  <c:v>81760</c:v>
                </c:pt>
                <c:pt idx="279">
                  <c:v>78160</c:v>
                </c:pt>
                <c:pt idx="280">
                  <c:v>76260</c:v>
                </c:pt>
                <c:pt idx="281">
                  <c:v>80760</c:v>
                </c:pt>
                <c:pt idx="282">
                  <c:v>80060</c:v>
                </c:pt>
                <c:pt idx="283">
                  <c:v>79360</c:v>
                </c:pt>
                <c:pt idx="284">
                  <c:v>74540</c:v>
                </c:pt>
                <c:pt idx="285">
                  <c:v>75940</c:v>
                </c:pt>
                <c:pt idx="286">
                  <c:v>80840</c:v>
                </c:pt>
                <c:pt idx="287">
                  <c:v>81140</c:v>
                </c:pt>
                <c:pt idx="288">
                  <c:v>81640</c:v>
                </c:pt>
                <c:pt idx="289">
                  <c:v>80740</c:v>
                </c:pt>
                <c:pt idx="290">
                  <c:v>79640</c:v>
                </c:pt>
                <c:pt idx="291">
                  <c:v>80640</c:v>
                </c:pt>
                <c:pt idx="292">
                  <c:v>80140</c:v>
                </c:pt>
                <c:pt idx="293">
                  <c:v>81140</c:v>
                </c:pt>
                <c:pt idx="294">
                  <c:v>84340</c:v>
                </c:pt>
                <c:pt idx="295">
                  <c:v>85840</c:v>
                </c:pt>
                <c:pt idx="296">
                  <c:v>85840</c:v>
                </c:pt>
                <c:pt idx="297">
                  <c:v>87440</c:v>
                </c:pt>
                <c:pt idx="298">
                  <c:v>93740</c:v>
                </c:pt>
                <c:pt idx="299">
                  <c:v>93940</c:v>
                </c:pt>
                <c:pt idx="300">
                  <c:v>98140</c:v>
                </c:pt>
                <c:pt idx="301">
                  <c:v>101940</c:v>
                </c:pt>
                <c:pt idx="302">
                  <c:v>112240</c:v>
                </c:pt>
                <c:pt idx="303">
                  <c:v>124040</c:v>
                </c:pt>
                <c:pt idx="304">
                  <c:v>129340</c:v>
                </c:pt>
                <c:pt idx="305">
                  <c:v>143340</c:v>
                </c:pt>
                <c:pt idx="306">
                  <c:v>138040</c:v>
                </c:pt>
                <c:pt idx="307">
                  <c:v>146340</c:v>
                </c:pt>
                <c:pt idx="308">
                  <c:v>148040</c:v>
                </c:pt>
                <c:pt idx="309">
                  <c:v>160240</c:v>
                </c:pt>
                <c:pt idx="310">
                  <c:v>163840</c:v>
                </c:pt>
                <c:pt idx="311">
                  <c:v>160540</c:v>
                </c:pt>
                <c:pt idx="312">
                  <c:v>171940</c:v>
                </c:pt>
                <c:pt idx="313">
                  <c:v>174540</c:v>
                </c:pt>
                <c:pt idx="314">
                  <c:v>183340</c:v>
                </c:pt>
                <c:pt idx="315">
                  <c:v>190240</c:v>
                </c:pt>
                <c:pt idx="316">
                  <c:v>194040</c:v>
                </c:pt>
                <c:pt idx="317">
                  <c:v>197940</c:v>
                </c:pt>
                <c:pt idx="318">
                  <c:v>198040</c:v>
                </c:pt>
                <c:pt idx="319">
                  <c:v>195940</c:v>
                </c:pt>
                <c:pt idx="320">
                  <c:v>183240</c:v>
                </c:pt>
                <c:pt idx="321">
                  <c:v>188440</c:v>
                </c:pt>
                <c:pt idx="322">
                  <c:v>198540</c:v>
                </c:pt>
                <c:pt idx="323">
                  <c:v>197840</c:v>
                </c:pt>
                <c:pt idx="324">
                  <c:v>200140</c:v>
                </c:pt>
                <c:pt idx="325">
                  <c:v>207420</c:v>
                </c:pt>
                <c:pt idx="326">
                  <c:v>204620</c:v>
                </c:pt>
                <c:pt idx="327">
                  <c:v>199520</c:v>
                </c:pt>
                <c:pt idx="328">
                  <c:v>188320</c:v>
                </c:pt>
                <c:pt idx="329">
                  <c:v>197420</c:v>
                </c:pt>
                <c:pt idx="330">
                  <c:v>189620</c:v>
                </c:pt>
                <c:pt idx="331">
                  <c:v>197120</c:v>
                </c:pt>
                <c:pt idx="332">
                  <c:v>196820</c:v>
                </c:pt>
                <c:pt idx="333">
                  <c:v>195820</c:v>
                </c:pt>
                <c:pt idx="334">
                  <c:v>195120</c:v>
                </c:pt>
                <c:pt idx="335">
                  <c:v>195820</c:v>
                </c:pt>
                <c:pt idx="336">
                  <c:v>201220</c:v>
                </c:pt>
                <c:pt idx="337">
                  <c:v>205520</c:v>
                </c:pt>
                <c:pt idx="338">
                  <c:v>202620</c:v>
                </c:pt>
                <c:pt idx="339">
                  <c:v>195320</c:v>
                </c:pt>
                <c:pt idx="340">
                  <c:v>198120</c:v>
                </c:pt>
                <c:pt idx="341">
                  <c:v>209620</c:v>
                </c:pt>
                <c:pt idx="342">
                  <c:v>207920</c:v>
                </c:pt>
                <c:pt idx="343">
                  <c:v>201920</c:v>
                </c:pt>
                <c:pt idx="344">
                  <c:v>203120</c:v>
                </c:pt>
                <c:pt idx="345">
                  <c:v>206620</c:v>
                </c:pt>
                <c:pt idx="346">
                  <c:v>197120</c:v>
                </c:pt>
                <c:pt idx="347">
                  <c:v>195620</c:v>
                </c:pt>
                <c:pt idx="348">
                  <c:v>194620</c:v>
                </c:pt>
                <c:pt idx="349">
                  <c:v>193320</c:v>
                </c:pt>
                <c:pt idx="350">
                  <c:v>197420</c:v>
                </c:pt>
                <c:pt idx="351">
                  <c:v>189920</c:v>
                </c:pt>
                <c:pt idx="352">
                  <c:v>185320</c:v>
                </c:pt>
                <c:pt idx="353">
                  <c:v>185520</c:v>
                </c:pt>
                <c:pt idx="354">
                  <c:v>180920</c:v>
                </c:pt>
                <c:pt idx="355">
                  <c:v>183220</c:v>
                </c:pt>
                <c:pt idx="356">
                  <c:v>182820</c:v>
                </c:pt>
                <c:pt idx="357">
                  <c:v>182320</c:v>
                </c:pt>
                <c:pt idx="358">
                  <c:v>179620</c:v>
                </c:pt>
                <c:pt idx="359">
                  <c:v>182620</c:v>
                </c:pt>
                <c:pt idx="360">
                  <c:v>179420</c:v>
                </c:pt>
                <c:pt idx="361">
                  <c:v>184220</c:v>
                </c:pt>
                <c:pt idx="362">
                  <c:v>175320</c:v>
                </c:pt>
                <c:pt idx="363">
                  <c:v>171220</c:v>
                </c:pt>
                <c:pt idx="364">
                  <c:v>173020</c:v>
                </c:pt>
                <c:pt idx="365">
                  <c:v>169820</c:v>
                </c:pt>
                <c:pt idx="366">
                  <c:v>162520</c:v>
                </c:pt>
                <c:pt idx="367">
                  <c:v>159920</c:v>
                </c:pt>
                <c:pt idx="368">
                  <c:v>157620</c:v>
                </c:pt>
                <c:pt idx="369">
                  <c:v>157000</c:v>
                </c:pt>
                <c:pt idx="370">
                  <c:v>158500</c:v>
                </c:pt>
                <c:pt idx="371">
                  <c:v>154100</c:v>
                </c:pt>
                <c:pt idx="372">
                  <c:v>157500</c:v>
                </c:pt>
                <c:pt idx="373">
                  <c:v>163400</c:v>
                </c:pt>
                <c:pt idx="374">
                  <c:v>161100</c:v>
                </c:pt>
                <c:pt idx="375">
                  <c:v>165600</c:v>
                </c:pt>
                <c:pt idx="376">
                  <c:v>167500</c:v>
                </c:pt>
                <c:pt idx="377">
                  <c:v>168100</c:v>
                </c:pt>
                <c:pt idx="378">
                  <c:v>167800</c:v>
                </c:pt>
                <c:pt idx="379">
                  <c:v>157000</c:v>
                </c:pt>
                <c:pt idx="380">
                  <c:v>159300</c:v>
                </c:pt>
                <c:pt idx="381">
                  <c:v>161500</c:v>
                </c:pt>
                <c:pt idx="382">
                  <c:v>171500</c:v>
                </c:pt>
                <c:pt idx="383">
                  <c:v>172300</c:v>
                </c:pt>
                <c:pt idx="384">
                  <c:v>173000</c:v>
                </c:pt>
                <c:pt idx="385">
                  <c:v>180800</c:v>
                </c:pt>
                <c:pt idx="386">
                  <c:v>178400</c:v>
                </c:pt>
                <c:pt idx="387">
                  <c:v>180100</c:v>
                </c:pt>
                <c:pt idx="388">
                  <c:v>183900</c:v>
                </c:pt>
                <c:pt idx="389">
                  <c:v>190100</c:v>
                </c:pt>
                <c:pt idx="390">
                  <c:v>182980</c:v>
                </c:pt>
                <c:pt idx="391">
                  <c:v>182280</c:v>
                </c:pt>
                <c:pt idx="392">
                  <c:v>187380</c:v>
                </c:pt>
                <c:pt idx="393">
                  <c:v>187980</c:v>
                </c:pt>
                <c:pt idx="394">
                  <c:v>187480</c:v>
                </c:pt>
                <c:pt idx="395">
                  <c:v>188480</c:v>
                </c:pt>
                <c:pt idx="396">
                  <c:v>193580</c:v>
                </c:pt>
                <c:pt idx="397">
                  <c:v>192080</c:v>
                </c:pt>
                <c:pt idx="398">
                  <c:v>191280</c:v>
                </c:pt>
                <c:pt idx="399">
                  <c:v>193580</c:v>
                </c:pt>
                <c:pt idx="400">
                  <c:v>195980</c:v>
                </c:pt>
                <c:pt idx="401">
                  <c:v>195780</c:v>
                </c:pt>
                <c:pt idx="402">
                  <c:v>187480</c:v>
                </c:pt>
                <c:pt idx="403">
                  <c:v>181180</c:v>
                </c:pt>
                <c:pt idx="404">
                  <c:v>173380</c:v>
                </c:pt>
                <c:pt idx="405">
                  <c:v>182780</c:v>
                </c:pt>
                <c:pt idx="406">
                  <c:v>171080</c:v>
                </c:pt>
                <c:pt idx="407">
                  <c:v>164080</c:v>
                </c:pt>
                <c:pt idx="408">
                  <c:v>168180</c:v>
                </c:pt>
                <c:pt idx="409">
                  <c:v>167480</c:v>
                </c:pt>
                <c:pt idx="410">
                  <c:v>158980</c:v>
                </c:pt>
                <c:pt idx="411">
                  <c:v>147480</c:v>
                </c:pt>
                <c:pt idx="412">
                  <c:v>145780</c:v>
                </c:pt>
                <c:pt idx="413">
                  <c:v>144360</c:v>
                </c:pt>
                <c:pt idx="414">
                  <c:v>140960</c:v>
                </c:pt>
                <c:pt idx="415">
                  <c:v>135360</c:v>
                </c:pt>
                <c:pt idx="416">
                  <c:v>137460</c:v>
                </c:pt>
                <c:pt idx="417">
                  <c:v>132960</c:v>
                </c:pt>
                <c:pt idx="418">
                  <c:v>130960</c:v>
                </c:pt>
                <c:pt idx="419">
                  <c:v>129460</c:v>
                </c:pt>
                <c:pt idx="420">
                  <c:v>129060</c:v>
                </c:pt>
                <c:pt idx="421">
                  <c:v>132860</c:v>
                </c:pt>
                <c:pt idx="422">
                  <c:v>131760</c:v>
                </c:pt>
                <c:pt idx="423">
                  <c:v>132160</c:v>
                </c:pt>
                <c:pt idx="424">
                  <c:v>132460</c:v>
                </c:pt>
                <c:pt idx="425">
                  <c:v>130360</c:v>
                </c:pt>
                <c:pt idx="426">
                  <c:v>121160</c:v>
                </c:pt>
                <c:pt idx="427">
                  <c:v>127560</c:v>
                </c:pt>
                <c:pt idx="428">
                  <c:v>123160</c:v>
                </c:pt>
                <c:pt idx="429">
                  <c:v>125460</c:v>
                </c:pt>
                <c:pt idx="430">
                  <c:v>131660</c:v>
                </c:pt>
                <c:pt idx="431">
                  <c:v>135360</c:v>
                </c:pt>
                <c:pt idx="432">
                  <c:v>133760</c:v>
                </c:pt>
                <c:pt idx="433">
                  <c:v>143960</c:v>
                </c:pt>
                <c:pt idx="434">
                  <c:v>151660</c:v>
                </c:pt>
                <c:pt idx="435">
                  <c:v>151460</c:v>
                </c:pt>
                <c:pt idx="436">
                  <c:v>155260</c:v>
                </c:pt>
                <c:pt idx="437">
                  <c:v>162260</c:v>
                </c:pt>
                <c:pt idx="438">
                  <c:v>174560</c:v>
                </c:pt>
                <c:pt idx="439">
                  <c:v>165660</c:v>
                </c:pt>
                <c:pt idx="440">
                  <c:v>173460</c:v>
                </c:pt>
                <c:pt idx="441">
                  <c:v>180260</c:v>
                </c:pt>
                <c:pt idx="442">
                  <c:v>176860</c:v>
                </c:pt>
                <c:pt idx="443">
                  <c:v>176960</c:v>
                </c:pt>
                <c:pt idx="444">
                  <c:v>175460</c:v>
                </c:pt>
                <c:pt idx="445">
                  <c:v>180260</c:v>
                </c:pt>
                <c:pt idx="446">
                  <c:v>175660</c:v>
                </c:pt>
                <c:pt idx="447">
                  <c:v>163260</c:v>
                </c:pt>
                <c:pt idx="448">
                  <c:v>175660</c:v>
                </c:pt>
                <c:pt idx="449">
                  <c:v>181160</c:v>
                </c:pt>
                <c:pt idx="450">
                  <c:v>182760</c:v>
                </c:pt>
                <c:pt idx="451">
                  <c:v>181960</c:v>
                </c:pt>
                <c:pt idx="452">
                  <c:v>173860</c:v>
                </c:pt>
                <c:pt idx="453">
                  <c:v>177860</c:v>
                </c:pt>
                <c:pt idx="454">
                  <c:v>181260</c:v>
                </c:pt>
                <c:pt idx="455">
                  <c:v>181660</c:v>
                </c:pt>
                <c:pt idx="456">
                  <c:v>181640</c:v>
                </c:pt>
                <c:pt idx="457">
                  <c:v>179140</c:v>
                </c:pt>
                <c:pt idx="458">
                  <c:v>174340</c:v>
                </c:pt>
                <c:pt idx="459">
                  <c:v>180540</c:v>
                </c:pt>
                <c:pt idx="460">
                  <c:v>181840</c:v>
                </c:pt>
                <c:pt idx="461">
                  <c:v>185040</c:v>
                </c:pt>
                <c:pt idx="462">
                  <c:v>189840</c:v>
                </c:pt>
                <c:pt idx="463">
                  <c:v>189440</c:v>
                </c:pt>
                <c:pt idx="464">
                  <c:v>188540</c:v>
                </c:pt>
                <c:pt idx="465">
                  <c:v>189940</c:v>
                </c:pt>
                <c:pt idx="466">
                  <c:v>177740</c:v>
                </c:pt>
                <c:pt idx="467">
                  <c:v>171440</c:v>
                </c:pt>
                <c:pt idx="468">
                  <c:v>173340</c:v>
                </c:pt>
                <c:pt idx="469">
                  <c:v>167940</c:v>
                </c:pt>
                <c:pt idx="470">
                  <c:v>163340</c:v>
                </c:pt>
                <c:pt idx="471">
                  <c:v>170540</c:v>
                </c:pt>
                <c:pt idx="472">
                  <c:v>164340</c:v>
                </c:pt>
                <c:pt idx="473">
                  <c:v>168240</c:v>
                </c:pt>
                <c:pt idx="474">
                  <c:v>166640</c:v>
                </c:pt>
                <c:pt idx="475">
                  <c:v>170240</c:v>
                </c:pt>
                <c:pt idx="476">
                  <c:v>163040</c:v>
                </c:pt>
                <c:pt idx="477">
                  <c:v>157940</c:v>
                </c:pt>
                <c:pt idx="478">
                  <c:v>162140</c:v>
                </c:pt>
                <c:pt idx="479">
                  <c:v>165340</c:v>
                </c:pt>
                <c:pt idx="480">
                  <c:v>163140</c:v>
                </c:pt>
                <c:pt idx="481">
                  <c:v>157740</c:v>
                </c:pt>
                <c:pt idx="482">
                  <c:v>159340</c:v>
                </c:pt>
                <c:pt idx="483">
                  <c:v>167240</c:v>
                </c:pt>
                <c:pt idx="484">
                  <c:v>169840</c:v>
                </c:pt>
                <c:pt idx="485">
                  <c:v>169440</c:v>
                </c:pt>
                <c:pt idx="486">
                  <c:v>173640</c:v>
                </c:pt>
                <c:pt idx="487">
                  <c:v>176540</c:v>
                </c:pt>
                <c:pt idx="488">
                  <c:v>181940</c:v>
                </c:pt>
                <c:pt idx="489">
                  <c:v>180940</c:v>
                </c:pt>
                <c:pt idx="490">
                  <c:v>177840</c:v>
                </c:pt>
                <c:pt idx="491">
                  <c:v>177340</c:v>
                </c:pt>
                <c:pt idx="492">
                  <c:v>173840</c:v>
                </c:pt>
                <c:pt idx="493">
                  <c:v>172540</c:v>
                </c:pt>
                <c:pt idx="494">
                  <c:v>174640</c:v>
                </c:pt>
                <c:pt idx="495">
                  <c:v>173040</c:v>
                </c:pt>
                <c:pt idx="496">
                  <c:v>174140</c:v>
                </c:pt>
                <c:pt idx="497">
                  <c:v>174540</c:v>
                </c:pt>
                <c:pt idx="498">
                  <c:v>168940</c:v>
                </c:pt>
                <c:pt idx="499">
                  <c:v>170620</c:v>
                </c:pt>
                <c:pt idx="500">
                  <c:v>167620</c:v>
                </c:pt>
                <c:pt idx="501">
                  <c:v>164120</c:v>
                </c:pt>
                <c:pt idx="502">
                  <c:v>161120</c:v>
                </c:pt>
                <c:pt idx="503">
                  <c:v>157320</c:v>
                </c:pt>
                <c:pt idx="504">
                  <c:v>157020</c:v>
                </c:pt>
                <c:pt idx="505">
                  <c:v>157020</c:v>
                </c:pt>
                <c:pt idx="506">
                  <c:v>159420</c:v>
                </c:pt>
                <c:pt idx="507">
                  <c:v>159620</c:v>
                </c:pt>
                <c:pt idx="508">
                  <c:v>159820</c:v>
                </c:pt>
                <c:pt idx="509">
                  <c:v>158820</c:v>
                </c:pt>
                <c:pt idx="510">
                  <c:v>153620</c:v>
                </c:pt>
                <c:pt idx="511">
                  <c:v>148020</c:v>
                </c:pt>
                <c:pt idx="512">
                  <c:v>153820</c:v>
                </c:pt>
                <c:pt idx="513">
                  <c:v>151920</c:v>
                </c:pt>
                <c:pt idx="514">
                  <c:v>148320</c:v>
                </c:pt>
                <c:pt idx="515">
                  <c:v>152820</c:v>
                </c:pt>
                <c:pt idx="516">
                  <c:v>151020</c:v>
                </c:pt>
                <c:pt idx="517">
                  <c:v>152520</c:v>
                </c:pt>
                <c:pt idx="518">
                  <c:v>149520</c:v>
                </c:pt>
                <c:pt idx="519">
                  <c:v>153320</c:v>
                </c:pt>
                <c:pt idx="520">
                  <c:v>150820</c:v>
                </c:pt>
                <c:pt idx="521">
                  <c:v>151920</c:v>
                </c:pt>
                <c:pt idx="522">
                  <c:v>150520</c:v>
                </c:pt>
                <c:pt idx="523">
                  <c:v>151620</c:v>
                </c:pt>
                <c:pt idx="524">
                  <c:v>145220</c:v>
                </c:pt>
                <c:pt idx="525">
                  <c:v>140020</c:v>
                </c:pt>
                <c:pt idx="526">
                  <c:v>143020</c:v>
                </c:pt>
                <c:pt idx="527">
                  <c:v>138020</c:v>
                </c:pt>
                <c:pt idx="528">
                  <c:v>139820</c:v>
                </c:pt>
                <c:pt idx="529">
                  <c:v>132720</c:v>
                </c:pt>
                <c:pt idx="530">
                  <c:v>127320</c:v>
                </c:pt>
                <c:pt idx="531">
                  <c:v>131020</c:v>
                </c:pt>
                <c:pt idx="532">
                  <c:v>129220</c:v>
                </c:pt>
                <c:pt idx="533">
                  <c:v>123420</c:v>
                </c:pt>
                <c:pt idx="534">
                  <c:v>122420</c:v>
                </c:pt>
                <c:pt idx="535">
                  <c:v>113220</c:v>
                </c:pt>
                <c:pt idx="536">
                  <c:v>114620</c:v>
                </c:pt>
                <c:pt idx="537">
                  <c:v>110520</c:v>
                </c:pt>
                <c:pt idx="538">
                  <c:v>101920</c:v>
                </c:pt>
                <c:pt idx="539">
                  <c:v>110920</c:v>
                </c:pt>
                <c:pt idx="540">
                  <c:v>107420</c:v>
                </c:pt>
                <c:pt idx="541">
                  <c:v>113320</c:v>
                </c:pt>
                <c:pt idx="542">
                  <c:v>100220</c:v>
                </c:pt>
                <c:pt idx="543">
                  <c:v>97620</c:v>
                </c:pt>
                <c:pt idx="544">
                  <c:v>92100</c:v>
                </c:pt>
                <c:pt idx="545">
                  <c:v>94300</c:v>
                </c:pt>
                <c:pt idx="546">
                  <c:v>86500</c:v>
                </c:pt>
                <c:pt idx="547">
                  <c:v>80000</c:v>
                </c:pt>
                <c:pt idx="548">
                  <c:v>82200</c:v>
                </c:pt>
                <c:pt idx="549">
                  <c:v>72900</c:v>
                </c:pt>
                <c:pt idx="550">
                  <c:v>74500</c:v>
                </c:pt>
                <c:pt idx="551">
                  <c:v>71500</c:v>
                </c:pt>
                <c:pt idx="552">
                  <c:v>73400</c:v>
                </c:pt>
                <c:pt idx="553">
                  <c:v>74000</c:v>
                </c:pt>
                <c:pt idx="554">
                  <c:v>74500</c:v>
                </c:pt>
                <c:pt idx="555">
                  <c:v>66600</c:v>
                </c:pt>
                <c:pt idx="556">
                  <c:v>66200</c:v>
                </c:pt>
                <c:pt idx="557">
                  <c:v>77300</c:v>
                </c:pt>
                <c:pt idx="558">
                  <c:v>80500</c:v>
                </c:pt>
                <c:pt idx="559">
                  <c:v>84600</c:v>
                </c:pt>
                <c:pt idx="560">
                  <c:v>83600</c:v>
                </c:pt>
                <c:pt idx="561">
                  <c:v>86700</c:v>
                </c:pt>
                <c:pt idx="562">
                  <c:v>79600</c:v>
                </c:pt>
                <c:pt idx="563">
                  <c:v>81900</c:v>
                </c:pt>
                <c:pt idx="564">
                  <c:v>79500</c:v>
                </c:pt>
                <c:pt idx="565">
                  <c:v>73500</c:v>
                </c:pt>
                <c:pt idx="566">
                  <c:v>82800</c:v>
                </c:pt>
                <c:pt idx="567">
                  <c:v>78000</c:v>
                </c:pt>
                <c:pt idx="568">
                  <c:v>74500</c:v>
                </c:pt>
                <c:pt idx="569">
                  <c:v>74300</c:v>
                </c:pt>
                <c:pt idx="570">
                  <c:v>73000</c:v>
                </c:pt>
                <c:pt idx="571">
                  <c:v>66800</c:v>
                </c:pt>
                <c:pt idx="572">
                  <c:v>58400</c:v>
                </c:pt>
                <c:pt idx="573">
                  <c:v>58600</c:v>
                </c:pt>
                <c:pt idx="574">
                  <c:v>57500</c:v>
                </c:pt>
                <c:pt idx="575">
                  <c:v>58100</c:v>
                </c:pt>
                <c:pt idx="576">
                  <c:v>52300</c:v>
                </c:pt>
                <c:pt idx="577">
                  <c:v>42100</c:v>
                </c:pt>
                <c:pt idx="578">
                  <c:v>43300</c:v>
                </c:pt>
                <c:pt idx="579">
                  <c:v>47700</c:v>
                </c:pt>
                <c:pt idx="580">
                  <c:v>45100</c:v>
                </c:pt>
                <c:pt idx="581">
                  <c:v>48200</c:v>
                </c:pt>
                <c:pt idx="582">
                  <c:v>54300</c:v>
                </c:pt>
                <c:pt idx="583">
                  <c:v>54200</c:v>
                </c:pt>
                <c:pt idx="584">
                  <c:v>56000</c:v>
                </c:pt>
                <c:pt idx="585">
                  <c:v>58000</c:v>
                </c:pt>
                <c:pt idx="586">
                  <c:v>60680</c:v>
                </c:pt>
                <c:pt idx="587">
                  <c:v>61980</c:v>
                </c:pt>
                <c:pt idx="588">
                  <c:v>63080</c:v>
                </c:pt>
                <c:pt idx="589">
                  <c:v>63180</c:v>
                </c:pt>
                <c:pt idx="590">
                  <c:v>60780</c:v>
                </c:pt>
                <c:pt idx="591">
                  <c:v>60680</c:v>
                </c:pt>
                <c:pt idx="592">
                  <c:v>59680</c:v>
                </c:pt>
                <c:pt idx="593">
                  <c:v>60280</c:v>
                </c:pt>
                <c:pt idx="594">
                  <c:v>62780</c:v>
                </c:pt>
                <c:pt idx="595">
                  <c:v>62480</c:v>
                </c:pt>
                <c:pt idx="596">
                  <c:v>61580</c:v>
                </c:pt>
                <c:pt idx="597">
                  <c:v>63580</c:v>
                </c:pt>
                <c:pt idx="598">
                  <c:v>62780</c:v>
                </c:pt>
                <c:pt idx="599">
                  <c:v>60580</c:v>
                </c:pt>
                <c:pt idx="600">
                  <c:v>70080</c:v>
                </c:pt>
                <c:pt idx="601">
                  <c:v>63180</c:v>
                </c:pt>
                <c:pt idx="602">
                  <c:v>73080</c:v>
                </c:pt>
                <c:pt idx="603">
                  <c:v>76080</c:v>
                </c:pt>
                <c:pt idx="604">
                  <c:v>77880</c:v>
                </c:pt>
                <c:pt idx="605">
                  <c:v>78880</c:v>
                </c:pt>
                <c:pt idx="606">
                  <c:v>83580</c:v>
                </c:pt>
                <c:pt idx="607">
                  <c:v>85080</c:v>
                </c:pt>
                <c:pt idx="608">
                  <c:v>84080</c:v>
                </c:pt>
                <c:pt idx="609">
                  <c:v>86780</c:v>
                </c:pt>
                <c:pt idx="610">
                  <c:v>91080</c:v>
                </c:pt>
                <c:pt idx="611">
                  <c:v>95180</c:v>
                </c:pt>
                <c:pt idx="612">
                  <c:v>93280</c:v>
                </c:pt>
                <c:pt idx="613">
                  <c:v>97980</c:v>
                </c:pt>
                <c:pt idx="614">
                  <c:v>95680</c:v>
                </c:pt>
                <c:pt idx="615">
                  <c:v>98980</c:v>
                </c:pt>
                <c:pt idx="616">
                  <c:v>98880</c:v>
                </c:pt>
                <c:pt idx="617">
                  <c:v>94980</c:v>
                </c:pt>
                <c:pt idx="618">
                  <c:v>92480</c:v>
                </c:pt>
                <c:pt idx="619">
                  <c:v>87680</c:v>
                </c:pt>
                <c:pt idx="620">
                  <c:v>88080</c:v>
                </c:pt>
                <c:pt idx="621">
                  <c:v>88680</c:v>
                </c:pt>
                <c:pt idx="622">
                  <c:v>95180</c:v>
                </c:pt>
                <c:pt idx="623">
                  <c:v>93680</c:v>
                </c:pt>
                <c:pt idx="624">
                  <c:v>91880</c:v>
                </c:pt>
                <c:pt idx="625">
                  <c:v>92080</c:v>
                </c:pt>
                <c:pt idx="626">
                  <c:v>94380</c:v>
                </c:pt>
                <c:pt idx="627">
                  <c:v>97080</c:v>
                </c:pt>
                <c:pt idx="628">
                  <c:v>92280</c:v>
                </c:pt>
                <c:pt idx="629">
                  <c:v>96760</c:v>
                </c:pt>
                <c:pt idx="630">
                  <c:v>95760</c:v>
                </c:pt>
                <c:pt idx="631">
                  <c:v>93660</c:v>
                </c:pt>
                <c:pt idx="632">
                  <c:v>88260</c:v>
                </c:pt>
                <c:pt idx="633">
                  <c:v>87460</c:v>
                </c:pt>
                <c:pt idx="634">
                  <c:v>86060</c:v>
                </c:pt>
                <c:pt idx="635">
                  <c:v>83860</c:v>
                </c:pt>
                <c:pt idx="636">
                  <c:v>84160</c:v>
                </c:pt>
                <c:pt idx="637">
                  <c:v>84660</c:v>
                </c:pt>
                <c:pt idx="638">
                  <c:v>84960</c:v>
                </c:pt>
                <c:pt idx="639">
                  <c:v>79760</c:v>
                </c:pt>
                <c:pt idx="640">
                  <c:v>80060</c:v>
                </c:pt>
                <c:pt idx="641">
                  <c:v>82760</c:v>
                </c:pt>
                <c:pt idx="642">
                  <c:v>83160</c:v>
                </c:pt>
                <c:pt idx="643">
                  <c:v>76260</c:v>
                </c:pt>
                <c:pt idx="644">
                  <c:v>68760</c:v>
                </c:pt>
                <c:pt idx="645">
                  <c:v>69160</c:v>
                </c:pt>
                <c:pt idx="646">
                  <c:v>70760</c:v>
                </c:pt>
                <c:pt idx="647">
                  <c:v>69860</c:v>
                </c:pt>
                <c:pt idx="648">
                  <c:v>72060</c:v>
                </c:pt>
                <c:pt idx="649">
                  <c:v>67860</c:v>
                </c:pt>
                <c:pt idx="650">
                  <c:v>78360</c:v>
                </c:pt>
                <c:pt idx="651">
                  <c:v>80640</c:v>
                </c:pt>
                <c:pt idx="652">
                  <c:v>87640</c:v>
                </c:pt>
                <c:pt idx="653">
                  <c:v>86340</c:v>
                </c:pt>
                <c:pt idx="654">
                  <c:v>87140</c:v>
                </c:pt>
                <c:pt idx="655">
                  <c:v>88240</c:v>
                </c:pt>
                <c:pt idx="656">
                  <c:v>90140</c:v>
                </c:pt>
                <c:pt idx="657">
                  <c:v>87640</c:v>
                </c:pt>
                <c:pt idx="658">
                  <c:v>87340</c:v>
                </c:pt>
                <c:pt idx="659">
                  <c:v>87740</c:v>
                </c:pt>
                <c:pt idx="660">
                  <c:v>91240</c:v>
                </c:pt>
                <c:pt idx="661">
                  <c:v>93240</c:v>
                </c:pt>
                <c:pt idx="662">
                  <c:v>94740</c:v>
                </c:pt>
                <c:pt idx="663">
                  <c:v>94840</c:v>
                </c:pt>
                <c:pt idx="664">
                  <c:v>92140</c:v>
                </c:pt>
                <c:pt idx="665">
                  <c:v>94040</c:v>
                </c:pt>
                <c:pt idx="666">
                  <c:v>105340</c:v>
                </c:pt>
                <c:pt idx="667">
                  <c:v>105340</c:v>
                </c:pt>
                <c:pt idx="668">
                  <c:v>103040</c:v>
                </c:pt>
                <c:pt idx="669">
                  <c:v>101340</c:v>
                </c:pt>
                <c:pt idx="670">
                  <c:v>107140</c:v>
                </c:pt>
                <c:pt idx="671">
                  <c:v>111440</c:v>
                </c:pt>
                <c:pt idx="672">
                  <c:v>111640</c:v>
                </c:pt>
                <c:pt idx="673">
                  <c:v>105640</c:v>
                </c:pt>
                <c:pt idx="674">
                  <c:v>109820</c:v>
                </c:pt>
                <c:pt idx="675">
                  <c:v>116220</c:v>
                </c:pt>
                <c:pt idx="676">
                  <c:v>113320</c:v>
                </c:pt>
                <c:pt idx="677">
                  <c:v>104820</c:v>
                </c:pt>
                <c:pt idx="678">
                  <c:v>101920</c:v>
                </c:pt>
                <c:pt idx="679">
                  <c:v>99720</c:v>
                </c:pt>
                <c:pt idx="680">
                  <c:v>99720</c:v>
                </c:pt>
                <c:pt idx="681">
                  <c:v>102320</c:v>
                </c:pt>
                <c:pt idx="682">
                  <c:v>106620</c:v>
                </c:pt>
                <c:pt idx="683">
                  <c:v>106820</c:v>
                </c:pt>
                <c:pt idx="684">
                  <c:v>109720</c:v>
                </c:pt>
                <c:pt idx="685">
                  <c:v>108220</c:v>
                </c:pt>
                <c:pt idx="686">
                  <c:v>108620</c:v>
                </c:pt>
                <c:pt idx="687">
                  <c:v>104620</c:v>
                </c:pt>
                <c:pt idx="688">
                  <c:v>97820</c:v>
                </c:pt>
                <c:pt idx="689">
                  <c:v>107720</c:v>
                </c:pt>
                <c:pt idx="690">
                  <c:v>113820</c:v>
                </c:pt>
                <c:pt idx="691">
                  <c:v>111720</c:v>
                </c:pt>
                <c:pt idx="692">
                  <c:v>111720</c:v>
                </c:pt>
                <c:pt idx="693">
                  <c:v>109920</c:v>
                </c:pt>
                <c:pt idx="694">
                  <c:v>115620</c:v>
                </c:pt>
                <c:pt idx="695">
                  <c:v>116520</c:v>
                </c:pt>
                <c:pt idx="696">
                  <c:v>123120</c:v>
                </c:pt>
                <c:pt idx="697">
                  <c:v>122620</c:v>
                </c:pt>
                <c:pt idx="698">
                  <c:v>120620</c:v>
                </c:pt>
                <c:pt idx="699">
                  <c:v>121520</c:v>
                </c:pt>
                <c:pt idx="700">
                  <c:v>119820</c:v>
                </c:pt>
                <c:pt idx="701">
                  <c:v>120220</c:v>
                </c:pt>
                <c:pt idx="702">
                  <c:v>119220</c:v>
                </c:pt>
                <c:pt idx="703">
                  <c:v>114620</c:v>
                </c:pt>
                <c:pt idx="704">
                  <c:v>112420</c:v>
                </c:pt>
                <c:pt idx="705">
                  <c:v>122320</c:v>
                </c:pt>
                <c:pt idx="706">
                  <c:v>117620</c:v>
                </c:pt>
                <c:pt idx="707">
                  <c:v>128620</c:v>
                </c:pt>
                <c:pt idx="708">
                  <c:v>127520</c:v>
                </c:pt>
                <c:pt idx="709">
                  <c:v>131320</c:v>
                </c:pt>
                <c:pt idx="710">
                  <c:v>128020</c:v>
                </c:pt>
                <c:pt idx="711">
                  <c:v>126420</c:v>
                </c:pt>
                <c:pt idx="712">
                  <c:v>130520</c:v>
                </c:pt>
                <c:pt idx="713">
                  <c:v>131220</c:v>
                </c:pt>
                <c:pt idx="714">
                  <c:v>129320</c:v>
                </c:pt>
                <c:pt idx="715">
                  <c:v>137020</c:v>
                </c:pt>
                <c:pt idx="716">
                  <c:v>139420</c:v>
                </c:pt>
                <c:pt idx="717">
                  <c:v>134900</c:v>
                </c:pt>
                <c:pt idx="718">
                  <c:v>137900</c:v>
                </c:pt>
                <c:pt idx="719">
                  <c:v>135400</c:v>
                </c:pt>
                <c:pt idx="720">
                  <c:v>139200</c:v>
                </c:pt>
                <c:pt idx="721">
                  <c:v>140400</c:v>
                </c:pt>
                <c:pt idx="722">
                  <c:v>140600</c:v>
                </c:pt>
                <c:pt idx="723">
                  <c:v>140200</c:v>
                </c:pt>
                <c:pt idx="724">
                  <c:v>141400</c:v>
                </c:pt>
                <c:pt idx="725">
                  <c:v>143500</c:v>
                </c:pt>
                <c:pt idx="726">
                  <c:v>144700</c:v>
                </c:pt>
                <c:pt idx="727">
                  <c:v>145200</c:v>
                </c:pt>
                <c:pt idx="728">
                  <c:v>140900</c:v>
                </c:pt>
                <c:pt idx="729">
                  <c:v>143400</c:v>
                </c:pt>
                <c:pt idx="730">
                  <c:v>150400</c:v>
                </c:pt>
                <c:pt idx="731">
                  <c:v>146300</c:v>
                </c:pt>
                <c:pt idx="732">
                  <c:v>145300</c:v>
                </c:pt>
                <c:pt idx="733">
                  <c:v>132000</c:v>
                </c:pt>
                <c:pt idx="734">
                  <c:v>132800</c:v>
                </c:pt>
                <c:pt idx="735">
                  <c:v>122700</c:v>
                </c:pt>
                <c:pt idx="736">
                  <c:v>123300</c:v>
                </c:pt>
                <c:pt idx="737">
                  <c:v>115800</c:v>
                </c:pt>
                <c:pt idx="738">
                  <c:v>115600</c:v>
                </c:pt>
                <c:pt idx="739">
                  <c:v>110000</c:v>
                </c:pt>
                <c:pt idx="740">
                  <c:v>110400</c:v>
                </c:pt>
                <c:pt idx="741">
                  <c:v>107900</c:v>
                </c:pt>
                <c:pt idx="742">
                  <c:v>99500</c:v>
                </c:pt>
                <c:pt idx="743">
                  <c:v>98600</c:v>
                </c:pt>
                <c:pt idx="744">
                  <c:v>93500</c:v>
                </c:pt>
                <c:pt idx="745">
                  <c:v>91900</c:v>
                </c:pt>
                <c:pt idx="746">
                  <c:v>102300</c:v>
                </c:pt>
                <c:pt idx="747">
                  <c:v>105300</c:v>
                </c:pt>
                <c:pt idx="748">
                  <c:v>97300</c:v>
                </c:pt>
                <c:pt idx="749">
                  <c:v>85200</c:v>
                </c:pt>
                <c:pt idx="750">
                  <c:v>94400</c:v>
                </c:pt>
                <c:pt idx="751">
                  <c:v>95400</c:v>
                </c:pt>
                <c:pt idx="752">
                  <c:v>98900</c:v>
                </c:pt>
                <c:pt idx="753">
                  <c:v>105300</c:v>
                </c:pt>
                <c:pt idx="754">
                  <c:v>108800</c:v>
                </c:pt>
                <c:pt idx="755">
                  <c:v>108300</c:v>
                </c:pt>
                <c:pt idx="756">
                  <c:v>110900</c:v>
                </c:pt>
                <c:pt idx="757">
                  <c:v>112000</c:v>
                </c:pt>
                <c:pt idx="758">
                  <c:v>113600</c:v>
                </c:pt>
                <c:pt idx="759">
                  <c:v>112100</c:v>
                </c:pt>
                <c:pt idx="760">
                  <c:v>116780</c:v>
                </c:pt>
                <c:pt idx="761">
                  <c:v>116080</c:v>
                </c:pt>
                <c:pt idx="762">
                  <c:v>112880</c:v>
                </c:pt>
                <c:pt idx="763">
                  <c:v>105980</c:v>
                </c:pt>
                <c:pt idx="764">
                  <c:v>101580</c:v>
                </c:pt>
                <c:pt idx="765">
                  <c:v>101680</c:v>
                </c:pt>
                <c:pt idx="766">
                  <c:v>103680</c:v>
                </c:pt>
                <c:pt idx="767">
                  <c:v>103080</c:v>
                </c:pt>
                <c:pt idx="768">
                  <c:v>101980</c:v>
                </c:pt>
                <c:pt idx="769">
                  <c:v>100080</c:v>
                </c:pt>
                <c:pt idx="770">
                  <c:v>96880</c:v>
                </c:pt>
                <c:pt idx="771">
                  <c:v>91280</c:v>
                </c:pt>
                <c:pt idx="772">
                  <c:v>82180</c:v>
                </c:pt>
                <c:pt idx="773">
                  <c:v>85780</c:v>
                </c:pt>
                <c:pt idx="774">
                  <c:v>84980</c:v>
                </c:pt>
                <c:pt idx="775">
                  <c:v>87280</c:v>
                </c:pt>
                <c:pt idx="776">
                  <c:v>90480</c:v>
                </c:pt>
                <c:pt idx="777">
                  <c:v>93580</c:v>
                </c:pt>
                <c:pt idx="778">
                  <c:v>93180</c:v>
                </c:pt>
                <c:pt idx="779">
                  <c:v>96280</c:v>
                </c:pt>
                <c:pt idx="780">
                  <c:v>94680</c:v>
                </c:pt>
                <c:pt idx="781">
                  <c:v>97580</c:v>
                </c:pt>
                <c:pt idx="782">
                  <c:v>97880</c:v>
                </c:pt>
                <c:pt idx="783">
                  <c:v>97480</c:v>
                </c:pt>
                <c:pt idx="784">
                  <c:v>95480</c:v>
                </c:pt>
                <c:pt idx="785">
                  <c:v>103880</c:v>
                </c:pt>
                <c:pt idx="786">
                  <c:v>102080</c:v>
                </c:pt>
                <c:pt idx="787">
                  <c:v>97980</c:v>
                </c:pt>
                <c:pt idx="788">
                  <c:v>99680</c:v>
                </c:pt>
                <c:pt idx="789">
                  <c:v>96080</c:v>
                </c:pt>
                <c:pt idx="790">
                  <c:v>104780</c:v>
                </c:pt>
                <c:pt idx="791">
                  <c:v>105180</c:v>
                </c:pt>
                <c:pt idx="792">
                  <c:v>108080</c:v>
                </c:pt>
                <c:pt idx="793">
                  <c:v>105380</c:v>
                </c:pt>
                <c:pt idx="794">
                  <c:v>109280</c:v>
                </c:pt>
                <c:pt idx="795">
                  <c:v>110480</c:v>
                </c:pt>
                <c:pt idx="796">
                  <c:v>109580</c:v>
                </c:pt>
                <c:pt idx="797">
                  <c:v>114080</c:v>
                </c:pt>
                <c:pt idx="798">
                  <c:v>111380</c:v>
                </c:pt>
                <c:pt idx="799">
                  <c:v>111880</c:v>
                </c:pt>
                <c:pt idx="800">
                  <c:v>115280</c:v>
                </c:pt>
                <c:pt idx="801">
                  <c:v>120280</c:v>
                </c:pt>
                <c:pt idx="802">
                  <c:v>119580</c:v>
                </c:pt>
                <c:pt idx="803">
                  <c:v>121980</c:v>
                </c:pt>
                <c:pt idx="804">
                  <c:v>120460</c:v>
                </c:pt>
                <c:pt idx="805">
                  <c:v>115860</c:v>
                </c:pt>
                <c:pt idx="806">
                  <c:v>117060</c:v>
                </c:pt>
                <c:pt idx="807">
                  <c:v>119760</c:v>
                </c:pt>
                <c:pt idx="808">
                  <c:v>119060</c:v>
                </c:pt>
                <c:pt idx="809">
                  <c:v>119060</c:v>
                </c:pt>
                <c:pt idx="810">
                  <c:v>119060</c:v>
                </c:pt>
                <c:pt idx="811">
                  <c:v>119660</c:v>
                </c:pt>
                <c:pt idx="812">
                  <c:v>121260</c:v>
                </c:pt>
                <c:pt idx="813">
                  <c:v>122660</c:v>
                </c:pt>
                <c:pt idx="814">
                  <c:v>123460</c:v>
                </c:pt>
                <c:pt idx="815">
                  <c:v>123060</c:v>
                </c:pt>
                <c:pt idx="816">
                  <c:v>123860</c:v>
                </c:pt>
                <c:pt idx="817">
                  <c:v>125460</c:v>
                </c:pt>
                <c:pt idx="818">
                  <c:v>117060</c:v>
                </c:pt>
                <c:pt idx="819">
                  <c:v>118660</c:v>
                </c:pt>
                <c:pt idx="820">
                  <c:v>120460</c:v>
                </c:pt>
                <c:pt idx="821">
                  <c:v>126060</c:v>
                </c:pt>
                <c:pt idx="822">
                  <c:v>126560</c:v>
                </c:pt>
                <c:pt idx="823">
                  <c:v>124960</c:v>
                </c:pt>
                <c:pt idx="824">
                  <c:v>120660</c:v>
                </c:pt>
                <c:pt idx="825">
                  <c:v>122160</c:v>
                </c:pt>
                <c:pt idx="826">
                  <c:v>122360</c:v>
                </c:pt>
                <c:pt idx="827">
                  <c:v>121960</c:v>
                </c:pt>
                <c:pt idx="828">
                  <c:v>125260</c:v>
                </c:pt>
                <c:pt idx="829">
                  <c:v>121260</c:v>
                </c:pt>
                <c:pt idx="830">
                  <c:v>120360</c:v>
                </c:pt>
                <c:pt idx="831">
                  <c:v>127960</c:v>
                </c:pt>
                <c:pt idx="832">
                  <c:v>130760</c:v>
                </c:pt>
                <c:pt idx="833">
                  <c:v>129360</c:v>
                </c:pt>
                <c:pt idx="834">
                  <c:v>123560</c:v>
                </c:pt>
                <c:pt idx="835">
                  <c:v>124560</c:v>
                </c:pt>
                <c:pt idx="836">
                  <c:v>127360</c:v>
                </c:pt>
                <c:pt idx="837">
                  <c:v>125560</c:v>
                </c:pt>
                <c:pt idx="838">
                  <c:v>126560</c:v>
                </c:pt>
                <c:pt idx="839">
                  <c:v>119260</c:v>
                </c:pt>
                <c:pt idx="840">
                  <c:v>121060</c:v>
                </c:pt>
                <c:pt idx="841">
                  <c:v>120260</c:v>
                </c:pt>
                <c:pt idx="842">
                  <c:v>119360</c:v>
                </c:pt>
                <c:pt idx="843">
                  <c:v>120560</c:v>
                </c:pt>
                <c:pt idx="844">
                  <c:v>122160</c:v>
                </c:pt>
                <c:pt idx="845">
                  <c:v>121860</c:v>
                </c:pt>
                <c:pt idx="846">
                  <c:v>118360</c:v>
                </c:pt>
                <c:pt idx="847">
                  <c:v>114660</c:v>
                </c:pt>
                <c:pt idx="848">
                  <c:v>112540</c:v>
                </c:pt>
                <c:pt idx="849">
                  <c:v>112640</c:v>
                </c:pt>
                <c:pt idx="850">
                  <c:v>111240</c:v>
                </c:pt>
                <c:pt idx="851">
                  <c:v>111440</c:v>
                </c:pt>
                <c:pt idx="852">
                  <c:v>110240</c:v>
                </c:pt>
                <c:pt idx="853">
                  <c:v>108940</c:v>
                </c:pt>
                <c:pt idx="854">
                  <c:v>107040</c:v>
                </c:pt>
                <c:pt idx="855">
                  <c:v>108240</c:v>
                </c:pt>
                <c:pt idx="856">
                  <c:v>107440</c:v>
                </c:pt>
                <c:pt idx="857">
                  <c:v>108640</c:v>
                </c:pt>
                <c:pt idx="858">
                  <c:v>110840</c:v>
                </c:pt>
                <c:pt idx="859">
                  <c:v>111440</c:v>
                </c:pt>
                <c:pt idx="860">
                  <c:v>114240</c:v>
                </c:pt>
                <c:pt idx="861">
                  <c:v>119540</c:v>
                </c:pt>
                <c:pt idx="862">
                  <c:v>119040</c:v>
                </c:pt>
                <c:pt idx="863">
                  <c:v>117640</c:v>
                </c:pt>
                <c:pt idx="864">
                  <c:v>113740</c:v>
                </c:pt>
                <c:pt idx="865">
                  <c:v>112740</c:v>
                </c:pt>
                <c:pt idx="866">
                  <c:v>118240</c:v>
                </c:pt>
                <c:pt idx="867">
                  <c:v>123040</c:v>
                </c:pt>
                <c:pt idx="868">
                  <c:v>127340</c:v>
                </c:pt>
                <c:pt idx="869">
                  <c:v>131440</c:v>
                </c:pt>
                <c:pt idx="870">
                  <c:v>131840</c:v>
                </c:pt>
                <c:pt idx="871">
                  <c:v>127940</c:v>
                </c:pt>
                <c:pt idx="872">
                  <c:v>130240</c:v>
                </c:pt>
                <c:pt idx="873">
                  <c:v>125340</c:v>
                </c:pt>
                <c:pt idx="874">
                  <c:v>121440</c:v>
                </c:pt>
                <c:pt idx="875">
                  <c:v>123640</c:v>
                </c:pt>
                <c:pt idx="876">
                  <c:v>131240</c:v>
                </c:pt>
                <c:pt idx="877">
                  <c:v>133940</c:v>
                </c:pt>
                <c:pt idx="878">
                  <c:v>127240</c:v>
                </c:pt>
                <c:pt idx="879">
                  <c:v>132040</c:v>
                </c:pt>
                <c:pt idx="880">
                  <c:v>131140</c:v>
                </c:pt>
                <c:pt idx="881">
                  <c:v>125840</c:v>
                </c:pt>
                <c:pt idx="882">
                  <c:v>123940</c:v>
                </c:pt>
                <c:pt idx="883">
                  <c:v>120740</c:v>
                </c:pt>
                <c:pt idx="884">
                  <c:v>116940</c:v>
                </c:pt>
                <c:pt idx="885">
                  <c:v>118140</c:v>
                </c:pt>
                <c:pt idx="886">
                  <c:v>121540</c:v>
                </c:pt>
                <c:pt idx="887">
                  <c:v>121240</c:v>
                </c:pt>
                <c:pt idx="888">
                  <c:v>121540</c:v>
                </c:pt>
                <c:pt idx="889">
                  <c:v>123240</c:v>
                </c:pt>
                <c:pt idx="890">
                  <c:v>123640</c:v>
                </c:pt>
                <c:pt idx="891">
                  <c:v>125020</c:v>
                </c:pt>
                <c:pt idx="892">
                  <c:v>127620</c:v>
                </c:pt>
                <c:pt idx="893">
                  <c:v>128420</c:v>
                </c:pt>
                <c:pt idx="894">
                  <c:v>130320</c:v>
                </c:pt>
                <c:pt idx="895">
                  <c:v>128720</c:v>
                </c:pt>
                <c:pt idx="896">
                  <c:v>128820</c:v>
                </c:pt>
                <c:pt idx="897">
                  <c:v>131420</c:v>
                </c:pt>
                <c:pt idx="898">
                  <c:v>129120</c:v>
                </c:pt>
                <c:pt idx="899">
                  <c:v>127820</c:v>
                </c:pt>
                <c:pt idx="900">
                  <c:v>127320</c:v>
                </c:pt>
                <c:pt idx="901">
                  <c:v>128420</c:v>
                </c:pt>
                <c:pt idx="902">
                  <c:v>126520</c:v>
                </c:pt>
                <c:pt idx="903">
                  <c:v>122320</c:v>
                </c:pt>
                <c:pt idx="904">
                  <c:v>123120</c:v>
                </c:pt>
                <c:pt idx="905">
                  <c:v>122320</c:v>
                </c:pt>
                <c:pt idx="906">
                  <c:v>116220</c:v>
                </c:pt>
                <c:pt idx="907">
                  <c:v>113820</c:v>
                </c:pt>
                <c:pt idx="908">
                  <c:v>113720</c:v>
                </c:pt>
                <c:pt idx="909">
                  <c:v>110120</c:v>
                </c:pt>
                <c:pt idx="910">
                  <c:v>110720</c:v>
                </c:pt>
                <c:pt idx="911">
                  <c:v>109420</c:v>
                </c:pt>
                <c:pt idx="912">
                  <c:v>108620</c:v>
                </c:pt>
                <c:pt idx="913">
                  <c:v>105900</c:v>
                </c:pt>
                <c:pt idx="914">
                  <c:v>109300</c:v>
                </c:pt>
                <c:pt idx="915">
                  <c:v>106100</c:v>
                </c:pt>
                <c:pt idx="916">
                  <c:v>104200</c:v>
                </c:pt>
                <c:pt idx="917">
                  <c:v>101100</c:v>
                </c:pt>
                <c:pt idx="918">
                  <c:v>98800</c:v>
                </c:pt>
                <c:pt idx="919">
                  <c:v>96400</c:v>
                </c:pt>
                <c:pt idx="920">
                  <c:v>97700</c:v>
                </c:pt>
                <c:pt idx="921">
                  <c:v>98000</c:v>
                </c:pt>
                <c:pt idx="922">
                  <c:v>98700</c:v>
                </c:pt>
                <c:pt idx="923">
                  <c:v>97300</c:v>
                </c:pt>
                <c:pt idx="924">
                  <c:v>97500</c:v>
                </c:pt>
                <c:pt idx="925">
                  <c:v>95400</c:v>
                </c:pt>
                <c:pt idx="926">
                  <c:v>91900</c:v>
                </c:pt>
                <c:pt idx="927">
                  <c:v>83400</c:v>
                </c:pt>
                <c:pt idx="928">
                  <c:v>85900</c:v>
                </c:pt>
                <c:pt idx="929">
                  <c:v>87300</c:v>
                </c:pt>
                <c:pt idx="930">
                  <c:v>83400</c:v>
                </c:pt>
                <c:pt idx="931">
                  <c:v>73900</c:v>
                </c:pt>
                <c:pt idx="932">
                  <c:v>64200</c:v>
                </c:pt>
                <c:pt idx="933">
                  <c:v>61100</c:v>
                </c:pt>
                <c:pt idx="934">
                  <c:v>60980</c:v>
                </c:pt>
                <c:pt idx="935">
                  <c:v>60780</c:v>
                </c:pt>
                <c:pt idx="936">
                  <c:v>60180</c:v>
                </c:pt>
                <c:pt idx="937">
                  <c:v>56080</c:v>
                </c:pt>
                <c:pt idx="938">
                  <c:v>55180</c:v>
                </c:pt>
                <c:pt idx="939">
                  <c:v>53380</c:v>
                </c:pt>
                <c:pt idx="940">
                  <c:v>53280</c:v>
                </c:pt>
                <c:pt idx="941">
                  <c:v>54280</c:v>
                </c:pt>
                <c:pt idx="942">
                  <c:v>54080</c:v>
                </c:pt>
                <c:pt idx="943">
                  <c:v>53680</c:v>
                </c:pt>
                <c:pt idx="944">
                  <c:v>62680</c:v>
                </c:pt>
                <c:pt idx="945">
                  <c:v>56480</c:v>
                </c:pt>
                <c:pt idx="946">
                  <c:v>57880</c:v>
                </c:pt>
                <c:pt idx="947">
                  <c:v>56480</c:v>
                </c:pt>
                <c:pt idx="948">
                  <c:v>63980</c:v>
                </c:pt>
                <c:pt idx="949">
                  <c:v>59980</c:v>
                </c:pt>
                <c:pt idx="950">
                  <c:v>57380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Hogs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5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51"/>
                <c:pt idx="0">
                  <c:v>0</c:v>
                </c:pt>
                <c:pt idx="1">
                  <c:v>700</c:v>
                </c:pt>
                <c:pt idx="2">
                  <c:v>-2500</c:v>
                </c:pt>
                <c:pt idx="3">
                  <c:v>-1400</c:v>
                </c:pt>
                <c:pt idx="4">
                  <c:v>-2500</c:v>
                </c:pt>
                <c:pt idx="5">
                  <c:v>-1100</c:v>
                </c:pt>
                <c:pt idx="6">
                  <c:v>5500</c:v>
                </c:pt>
                <c:pt idx="7">
                  <c:v>5900</c:v>
                </c:pt>
                <c:pt idx="8">
                  <c:v>6500</c:v>
                </c:pt>
                <c:pt idx="9">
                  <c:v>2900</c:v>
                </c:pt>
                <c:pt idx="10">
                  <c:v>2700</c:v>
                </c:pt>
                <c:pt idx="11">
                  <c:v>2400</c:v>
                </c:pt>
                <c:pt idx="12">
                  <c:v>700</c:v>
                </c:pt>
                <c:pt idx="13">
                  <c:v>2100</c:v>
                </c:pt>
                <c:pt idx="14">
                  <c:v>1500</c:v>
                </c:pt>
                <c:pt idx="15">
                  <c:v>1300</c:v>
                </c:pt>
                <c:pt idx="16">
                  <c:v>400</c:v>
                </c:pt>
                <c:pt idx="17">
                  <c:v>-5400</c:v>
                </c:pt>
                <c:pt idx="18">
                  <c:v>-4800</c:v>
                </c:pt>
                <c:pt idx="19">
                  <c:v>-5500</c:v>
                </c:pt>
                <c:pt idx="20">
                  <c:v>-4700</c:v>
                </c:pt>
                <c:pt idx="21">
                  <c:v>-5200</c:v>
                </c:pt>
                <c:pt idx="22">
                  <c:v>-6900</c:v>
                </c:pt>
                <c:pt idx="23">
                  <c:v>-6880</c:v>
                </c:pt>
                <c:pt idx="24">
                  <c:v>-6480</c:v>
                </c:pt>
                <c:pt idx="25">
                  <c:v>-8980</c:v>
                </c:pt>
                <c:pt idx="26">
                  <c:v>-5380</c:v>
                </c:pt>
                <c:pt idx="27">
                  <c:v>-4380</c:v>
                </c:pt>
                <c:pt idx="28">
                  <c:v>-3280</c:v>
                </c:pt>
                <c:pt idx="29">
                  <c:v>-2580</c:v>
                </c:pt>
                <c:pt idx="30">
                  <c:v>-4780</c:v>
                </c:pt>
                <c:pt idx="31">
                  <c:v>-5780</c:v>
                </c:pt>
                <c:pt idx="32">
                  <c:v>-6980</c:v>
                </c:pt>
                <c:pt idx="33">
                  <c:v>-6480</c:v>
                </c:pt>
                <c:pt idx="34">
                  <c:v>-6880</c:v>
                </c:pt>
                <c:pt idx="35">
                  <c:v>-2580</c:v>
                </c:pt>
                <c:pt idx="36">
                  <c:v>420</c:v>
                </c:pt>
                <c:pt idx="37">
                  <c:v>-580</c:v>
                </c:pt>
                <c:pt idx="38">
                  <c:v>1720</c:v>
                </c:pt>
                <c:pt idx="39">
                  <c:v>1720</c:v>
                </c:pt>
                <c:pt idx="40">
                  <c:v>2820</c:v>
                </c:pt>
                <c:pt idx="41">
                  <c:v>4620</c:v>
                </c:pt>
                <c:pt idx="42">
                  <c:v>5520</c:v>
                </c:pt>
                <c:pt idx="43">
                  <c:v>4920</c:v>
                </c:pt>
                <c:pt idx="44">
                  <c:v>6920</c:v>
                </c:pt>
                <c:pt idx="45">
                  <c:v>11520</c:v>
                </c:pt>
                <c:pt idx="46">
                  <c:v>13820</c:v>
                </c:pt>
                <c:pt idx="47">
                  <c:v>1720</c:v>
                </c:pt>
                <c:pt idx="48">
                  <c:v>2420</c:v>
                </c:pt>
                <c:pt idx="49">
                  <c:v>5420</c:v>
                </c:pt>
                <c:pt idx="50">
                  <c:v>3620</c:v>
                </c:pt>
                <c:pt idx="51">
                  <c:v>7120</c:v>
                </c:pt>
                <c:pt idx="52">
                  <c:v>6920</c:v>
                </c:pt>
                <c:pt idx="53">
                  <c:v>11320</c:v>
                </c:pt>
                <c:pt idx="54">
                  <c:v>11820</c:v>
                </c:pt>
                <c:pt idx="55">
                  <c:v>16620</c:v>
                </c:pt>
                <c:pt idx="56">
                  <c:v>19020</c:v>
                </c:pt>
                <c:pt idx="57">
                  <c:v>16720</c:v>
                </c:pt>
                <c:pt idx="58">
                  <c:v>17320</c:v>
                </c:pt>
                <c:pt idx="59">
                  <c:v>16620</c:v>
                </c:pt>
                <c:pt idx="60">
                  <c:v>11520</c:v>
                </c:pt>
                <c:pt idx="61">
                  <c:v>9920</c:v>
                </c:pt>
                <c:pt idx="62">
                  <c:v>7620</c:v>
                </c:pt>
                <c:pt idx="63">
                  <c:v>7820</c:v>
                </c:pt>
                <c:pt idx="64">
                  <c:v>5040</c:v>
                </c:pt>
                <c:pt idx="65">
                  <c:v>5840</c:v>
                </c:pt>
                <c:pt idx="66">
                  <c:v>4240</c:v>
                </c:pt>
                <c:pt idx="67">
                  <c:v>1540</c:v>
                </c:pt>
                <c:pt idx="68">
                  <c:v>9440</c:v>
                </c:pt>
                <c:pt idx="69">
                  <c:v>6440</c:v>
                </c:pt>
                <c:pt idx="70">
                  <c:v>6540</c:v>
                </c:pt>
                <c:pt idx="71">
                  <c:v>5240</c:v>
                </c:pt>
                <c:pt idx="72">
                  <c:v>3540</c:v>
                </c:pt>
                <c:pt idx="73">
                  <c:v>1040</c:v>
                </c:pt>
                <c:pt idx="74">
                  <c:v>4540</c:v>
                </c:pt>
                <c:pt idx="75">
                  <c:v>2740</c:v>
                </c:pt>
                <c:pt idx="76">
                  <c:v>-2260</c:v>
                </c:pt>
                <c:pt idx="77">
                  <c:v>-3860</c:v>
                </c:pt>
                <c:pt idx="78">
                  <c:v>-2260</c:v>
                </c:pt>
                <c:pt idx="79">
                  <c:v>840</c:v>
                </c:pt>
                <c:pt idx="80">
                  <c:v>40</c:v>
                </c:pt>
                <c:pt idx="81">
                  <c:v>-5060</c:v>
                </c:pt>
                <c:pt idx="82">
                  <c:v>-7960</c:v>
                </c:pt>
                <c:pt idx="83">
                  <c:v>-10960</c:v>
                </c:pt>
                <c:pt idx="84">
                  <c:v>-9560</c:v>
                </c:pt>
                <c:pt idx="85">
                  <c:v>-11060</c:v>
                </c:pt>
                <c:pt idx="86">
                  <c:v>-12760</c:v>
                </c:pt>
                <c:pt idx="87">
                  <c:v>-12960</c:v>
                </c:pt>
                <c:pt idx="88">
                  <c:v>-11360</c:v>
                </c:pt>
                <c:pt idx="89">
                  <c:v>-6960</c:v>
                </c:pt>
                <c:pt idx="90">
                  <c:v>-8160</c:v>
                </c:pt>
                <c:pt idx="91">
                  <c:v>-8060</c:v>
                </c:pt>
                <c:pt idx="92">
                  <c:v>-4460</c:v>
                </c:pt>
                <c:pt idx="93">
                  <c:v>-2660</c:v>
                </c:pt>
                <c:pt idx="94">
                  <c:v>-4260</c:v>
                </c:pt>
                <c:pt idx="95">
                  <c:v>-12260</c:v>
                </c:pt>
                <c:pt idx="96">
                  <c:v>-8760</c:v>
                </c:pt>
                <c:pt idx="97">
                  <c:v>-12760</c:v>
                </c:pt>
                <c:pt idx="98">
                  <c:v>-6960</c:v>
                </c:pt>
                <c:pt idx="99">
                  <c:v>-9960</c:v>
                </c:pt>
                <c:pt idx="100">
                  <c:v>-12560</c:v>
                </c:pt>
                <c:pt idx="101">
                  <c:v>-19360</c:v>
                </c:pt>
                <c:pt idx="102">
                  <c:v>-17760</c:v>
                </c:pt>
                <c:pt idx="103">
                  <c:v>-20560</c:v>
                </c:pt>
                <c:pt idx="104">
                  <c:v>-21160</c:v>
                </c:pt>
                <c:pt idx="105">
                  <c:v>-20360</c:v>
                </c:pt>
                <c:pt idx="106">
                  <c:v>-20760</c:v>
                </c:pt>
                <c:pt idx="107">
                  <c:v>-22460</c:v>
                </c:pt>
                <c:pt idx="108">
                  <c:v>-23060</c:v>
                </c:pt>
                <c:pt idx="109">
                  <c:v>-24040</c:v>
                </c:pt>
                <c:pt idx="110">
                  <c:v>-26940</c:v>
                </c:pt>
                <c:pt idx="111">
                  <c:v>-27440</c:v>
                </c:pt>
                <c:pt idx="112">
                  <c:v>-31040</c:v>
                </c:pt>
                <c:pt idx="113">
                  <c:v>-33540</c:v>
                </c:pt>
                <c:pt idx="114">
                  <c:v>-39140</c:v>
                </c:pt>
                <c:pt idx="115">
                  <c:v>-42540</c:v>
                </c:pt>
                <c:pt idx="116">
                  <c:v>-45440</c:v>
                </c:pt>
                <c:pt idx="117">
                  <c:v>-48040</c:v>
                </c:pt>
                <c:pt idx="118">
                  <c:v>-50240</c:v>
                </c:pt>
                <c:pt idx="119">
                  <c:v>-49640</c:v>
                </c:pt>
                <c:pt idx="120">
                  <c:v>-54340</c:v>
                </c:pt>
                <c:pt idx="121">
                  <c:v>-57340</c:v>
                </c:pt>
                <c:pt idx="122">
                  <c:v>-58840</c:v>
                </c:pt>
                <c:pt idx="123">
                  <c:v>-56640</c:v>
                </c:pt>
                <c:pt idx="124">
                  <c:v>-61540</c:v>
                </c:pt>
                <c:pt idx="125">
                  <c:v>-59340</c:v>
                </c:pt>
                <c:pt idx="126">
                  <c:v>-57540</c:v>
                </c:pt>
                <c:pt idx="127">
                  <c:v>-64340</c:v>
                </c:pt>
                <c:pt idx="128">
                  <c:v>-61840</c:v>
                </c:pt>
                <c:pt idx="129">
                  <c:v>-61720</c:v>
                </c:pt>
                <c:pt idx="130">
                  <c:v>-61320</c:v>
                </c:pt>
                <c:pt idx="131">
                  <c:v>-64420</c:v>
                </c:pt>
                <c:pt idx="132">
                  <c:v>-65920</c:v>
                </c:pt>
                <c:pt idx="133">
                  <c:v>-66720</c:v>
                </c:pt>
                <c:pt idx="134">
                  <c:v>-63120</c:v>
                </c:pt>
                <c:pt idx="135">
                  <c:v>-62120</c:v>
                </c:pt>
                <c:pt idx="136">
                  <c:v>-65120</c:v>
                </c:pt>
                <c:pt idx="137">
                  <c:v>-66920</c:v>
                </c:pt>
                <c:pt idx="138">
                  <c:v>-66520</c:v>
                </c:pt>
                <c:pt idx="139">
                  <c:v>-67120</c:v>
                </c:pt>
                <c:pt idx="140">
                  <c:v>-69720</c:v>
                </c:pt>
                <c:pt idx="141">
                  <c:v>-68720</c:v>
                </c:pt>
                <c:pt idx="142">
                  <c:v>-71120</c:v>
                </c:pt>
                <c:pt idx="143">
                  <c:v>-69920</c:v>
                </c:pt>
                <c:pt idx="144">
                  <c:v>-72220</c:v>
                </c:pt>
                <c:pt idx="145">
                  <c:v>-79820</c:v>
                </c:pt>
                <c:pt idx="146">
                  <c:v>-79020</c:v>
                </c:pt>
                <c:pt idx="147">
                  <c:v>-78720</c:v>
                </c:pt>
                <c:pt idx="148">
                  <c:v>-75620</c:v>
                </c:pt>
                <c:pt idx="149">
                  <c:v>-76420</c:v>
                </c:pt>
                <c:pt idx="150">
                  <c:v>-72120</c:v>
                </c:pt>
                <c:pt idx="151">
                  <c:v>-75620</c:v>
                </c:pt>
                <c:pt idx="152">
                  <c:v>-78000</c:v>
                </c:pt>
                <c:pt idx="153">
                  <c:v>-81400</c:v>
                </c:pt>
                <c:pt idx="154">
                  <c:v>-85500</c:v>
                </c:pt>
                <c:pt idx="155">
                  <c:v>-87200</c:v>
                </c:pt>
                <c:pt idx="156">
                  <c:v>-86200</c:v>
                </c:pt>
                <c:pt idx="157">
                  <c:v>-87700</c:v>
                </c:pt>
                <c:pt idx="158">
                  <c:v>-86400</c:v>
                </c:pt>
                <c:pt idx="159">
                  <c:v>-89500</c:v>
                </c:pt>
                <c:pt idx="160">
                  <c:v>-91500</c:v>
                </c:pt>
                <c:pt idx="161">
                  <c:v>-94300</c:v>
                </c:pt>
                <c:pt idx="162">
                  <c:v>-89400</c:v>
                </c:pt>
                <c:pt idx="163">
                  <c:v>-89500</c:v>
                </c:pt>
                <c:pt idx="164">
                  <c:v>-86700</c:v>
                </c:pt>
                <c:pt idx="165">
                  <c:v>-89100</c:v>
                </c:pt>
                <c:pt idx="166">
                  <c:v>-85000</c:v>
                </c:pt>
                <c:pt idx="167">
                  <c:v>-80200</c:v>
                </c:pt>
                <c:pt idx="168">
                  <c:v>-82100</c:v>
                </c:pt>
                <c:pt idx="169">
                  <c:v>-85300</c:v>
                </c:pt>
                <c:pt idx="170">
                  <c:v>-88600</c:v>
                </c:pt>
                <c:pt idx="171">
                  <c:v>-86300</c:v>
                </c:pt>
                <c:pt idx="172">
                  <c:v>-90600</c:v>
                </c:pt>
                <c:pt idx="173">
                  <c:v>-93200</c:v>
                </c:pt>
                <c:pt idx="174">
                  <c:v>-91600</c:v>
                </c:pt>
                <c:pt idx="175">
                  <c:v>-93200</c:v>
                </c:pt>
                <c:pt idx="176">
                  <c:v>-99100</c:v>
                </c:pt>
                <c:pt idx="177">
                  <c:v>-99100</c:v>
                </c:pt>
                <c:pt idx="178">
                  <c:v>-105800</c:v>
                </c:pt>
                <c:pt idx="179">
                  <c:v>-105800</c:v>
                </c:pt>
                <c:pt idx="180">
                  <c:v>-104600</c:v>
                </c:pt>
                <c:pt idx="181">
                  <c:v>-103600</c:v>
                </c:pt>
                <c:pt idx="182">
                  <c:v>-104500</c:v>
                </c:pt>
                <c:pt idx="183">
                  <c:v>-104200</c:v>
                </c:pt>
                <c:pt idx="184">
                  <c:v>-110200</c:v>
                </c:pt>
                <c:pt idx="185">
                  <c:v>-105800</c:v>
                </c:pt>
                <c:pt idx="186">
                  <c:v>-107900</c:v>
                </c:pt>
                <c:pt idx="187">
                  <c:v>-107300</c:v>
                </c:pt>
                <c:pt idx="188">
                  <c:v>-101700</c:v>
                </c:pt>
                <c:pt idx="189">
                  <c:v>-102400</c:v>
                </c:pt>
                <c:pt idx="190">
                  <c:v>-114000</c:v>
                </c:pt>
                <c:pt idx="191">
                  <c:v>-115800</c:v>
                </c:pt>
                <c:pt idx="192">
                  <c:v>-112900</c:v>
                </c:pt>
                <c:pt idx="193">
                  <c:v>-113700</c:v>
                </c:pt>
                <c:pt idx="194">
                  <c:v>-110000</c:v>
                </c:pt>
                <c:pt idx="195">
                  <c:v>-105580</c:v>
                </c:pt>
                <c:pt idx="196">
                  <c:v>-104780</c:v>
                </c:pt>
                <c:pt idx="197">
                  <c:v>-106180</c:v>
                </c:pt>
                <c:pt idx="198">
                  <c:v>-108880</c:v>
                </c:pt>
                <c:pt idx="199">
                  <c:v>-108580</c:v>
                </c:pt>
                <c:pt idx="200">
                  <c:v>-106980</c:v>
                </c:pt>
                <c:pt idx="201">
                  <c:v>-100680</c:v>
                </c:pt>
                <c:pt idx="202">
                  <c:v>-102680</c:v>
                </c:pt>
                <c:pt idx="203">
                  <c:v>-104280</c:v>
                </c:pt>
                <c:pt idx="204">
                  <c:v>-104480</c:v>
                </c:pt>
                <c:pt idx="205">
                  <c:v>-110080</c:v>
                </c:pt>
                <c:pt idx="206">
                  <c:v>-114480</c:v>
                </c:pt>
                <c:pt idx="207">
                  <c:v>-113980</c:v>
                </c:pt>
                <c:pt idx="208">
                  <c:v>-110080</c:v>
                </c:pt>
                <c:pt idx="209">
                  <c:v>-109480</c:v>
                </c:pt>
                <c:pt idx="210">
                  <c:v>-113680</c:v>
                </c:pt>
                <c:pt idx="211">
                  <c:v>-111980</c:v>
                </c:pt>
                <c:pt idx="212">
                  <c:v>-117680</c:v>
                </c:pt>
                <c:pt idx="213">
                  <c:v>-120880</c:v>
                </c:pt>
                <c:pt idx="214">
                  <c:v>-127080</c:v>
                </c:pt>
                <c:pt idx="215">
                  <c:v>-125080</c:v>
                </c:pt>
                <c:pt idx="216">
                  <c:v>-120080</c:v>
                </c:pt>
                <c:pt idx="217">
                  <c:v>-116080</c:v>
                </c:pt>
                <c:pt idx="218">
                  <c:v>-113380</c:v>
                </c:pt>
                <c:pt idx="219">
                  <c:v>-113480</c:v>
                </c:pt>
                <c:pt idx="220">
                  <c:v>-112480</c:v>
                </c:pt>
                <c:pt idx="221">
                  <c:v>-109680</c:v>
                </c:pt>
                <c:pt idx="222">
                  <c:v>-109880</c:v>
                </c:pt>
                <c:pt idx="223">
                  <c:v>-111780</c:v>
                </c:pt>
                <c:pt idx="224">
                  <c:v>-111080</c:v>
                </c:pt>
                <c:pt idx="225">
                  <c:v>-107680</c:v>
                </c:pt>
                <c:pt idx="226">
                  <c:v>-104280</c:v>
                </c:pt>
                <c:pt idx="227">
                  <c:v>-101680</c:v>
                </c:pt>
                <c:pt idx="228">
                  <c:v>-103280</c:v>
                </c:pt>
                <c:pt idx="229">
                  <c:v>-101880</c:v>
                </c:pt>
                <c:pt idx="230">
                  <c:v>-101280</c:v>
                </c:pt>
                <c:pt idx="231">
                  <c:v>-103280</c:v>
                </c:pt>
                <c:pt idx="232">
                  <c:v>-103780</c:v>
                </c:pt>
                <c:pt idx="233">
                  <c:v>-101680</c:v>
                </c:pt>
                <c:pt idx="234">
                  <c:v>-101080</c:v>
                </c:pt>
                <c:pt idx="235">
                  <c:v>-101480</c:v>
                </c:pt>
                <c:pt idx="236">
                  <c:v>-103280</c:v>
                </c:pt>
                <c:pt idx="237">
                  <c:v>-101580</c:v>
                </c:pt>
                <c:pt idx="238">
                  <c:v>-101280</c:v>
                </c:pt>
                <c:pt idx="239">
                  <c:v>-103260</c:v>
                </c:pt>
                <c:pt idx="240">
                  <c:v>-98260</c:v>
                </c:pt>
                <c:pt idx="241">
                  <c:v>-94660</c:v>
                </c:pt>
                <c:pt idx="242">
                  <c:v>-89460</c:v>
                </c:pt>
                <c:pt idx="243">
                  <c:v>-87060</c:v>
                </c:pt>
                <c:pt idx="244">
                  <c:v>-85460</c:v>
                </c:pt>
                <c:pt idx="245">
                  <c:v>-82560</c:v>
                </c:pt>
                <c:pt idx="246">
                  <c:v>-82560</c:v>
                </c:pt>
                <c:pt idx="247">
                  <c:v>-84160</c:v>
                </c:pt>
                <c:pt idx="248">
                  <c:v>-84060</c:v>
                </c:pt>
                <c:pt idx="249">
                  <c:v>-81960</c:v>
                </c:pt>
                <c:pt idx="250">
                  <c:v>-77760</c:v>
                </c:pt>
                <c:pt idx="251">
                  <c:v>-80960</c:v>
                </c:pt>
                <c:pt idx="252">
                  <c:v>-80760</c:v>
                </c:pt>
                <c:pt idx="253">
                  <c:v>-79860</c:v>
                </c:pt>
                <c:pt idx="254">
                  <c:v>-80560</c:v>
                </c:pt>
                <c:pt idx="255">
                  <c:v>-77060</c:v>
                </c:pt>
                <c:pt idx="256">
                  <c:v>-78360</c:v>
                </c:pt>
                <c:pt idx="257">
                  <c:v>-76760</c:v>
                </c:pt>
                <c:pt idx="258">
                  <c:v>-78360</c:v>
                </c:pt>
                <c:pt idx="259">
                  <c:v>-76560</c:v>
                </c:pt>
                <c:pt idx="260">
                  <c:v>-77360</c:v>
                </c:pt>
                <c:pt idx="261">
                  <c:v>-81360</c:v>
                </c:pt>
                <c:pt idx="262">
                  <c:v>-83160</c:v>
                </c:pt>
                <c:pt idx="263">
                  <c:v>-82160</c:v>
                </c:pt>
                <c:pt idx="264">
                  <c:v>-81660</c:v>
                </c:pt>
                <c:pt idx="265">
                  <c:v>-76460</c:v>
                </c:pt>
                <c:pt idx="266">
                  <c:v>-77660</c:v>
                </c:pt>
                <c:pt idx="267">
                  <c:v>-76360</c:v>
                </c:pt>
                <c:pt idx="268">
                  <c:v>-78760</c:v>
                </c:pt>
                <c:pt idx="269">
                  <c:v>-76660</c:v>
                </c:pt>
                <c:pt idx="270">
                  <c:v>-79360</c:v>
                </c:pt>
                <c:pt idx="271">
                  <c:v>-83060</c:v>
                </c:pt>
                <c:pt idx="272">
                  <c:v>-82960</c:v>
                </c:pt>
                <c:pt idx="273">
                  <c:v>-80460</c:v>
                </c:pt>
                <c:pt idx="274">
                  <c:v>-79060</c:v>
                </c:pt>
                <c:pt idx="275">
                  <c:v>-78860</c:v>
                </c:pt>
                <c:pt idx="276">
                  <c:v>-77560</c:v>
                </c:pt>
                <c:pt idx="277">
                  <c:v>-77360</c:v>
                </c:pt>
                <c:pt idx="278">
                  <c:v>-81760</c:v>
                </c:pt>
                <c:pt idx="279">
                  <c:v>-78160</c:v>
                </c:pt>
                <c:pt idx="280">
                  <c:v>-76260</c:v>
                </c:pt>
                <c:pt idx="281">
                  <c:v>-80760</c:v>
                </c:pt>
                <c:pt idx="282">
                  <c:v>-80060</c:v>
                </c:pt>
                <c:pt idx="283">
                  <c:v>-79360</c:v>
                </c:pt>
                <c:pt idx="284">
                  <c:v>-74540</c:v>
                </c:pt>
                <c:pt idx="285">
                  <c:v>-75940</c:v>
                </c:pt>
                <c:pt idx="286">
                  <c:v>-80840</c:v>
                </c:pt>
                <c:pt idx="287">
                  <c:v>-81140</c:v>
                </c:pt>
                <c:pt idx="288">
                  <c:v>-81640</c:v>
                </c:pt>
                <c:pt idx="289">
                  <c:v>-80740</c:v>
                </c:pt>
                <c:pt idx="290">
                  <c:v>-79640</c:v>
                </c:pt>
                <c:pt idx="291">
                  <c:v>-80640</c:v>
                </c:pt>
                <c:pt idx="292">
                  <c:v>-80140</c:v>
                </c:pt>
                <c:pt idx="293">
                  <c:v>-81140</c:v>
                </c:pt>
                <c:pt idx="294">
                  <c:v>-84340</c:v>
                </c:pt>
                <c:pt idx="295">
                  <c:v>-85840</c:v>
                </c:pt>
                <c:pt idx="296">
                  <c:v>-85840</c:v>
                </c:pt>
                <c:pt idx="297">
                  <c:v>-87440</c:v>
                </c:pt>
                <c:pt idx="298">
                  <c:v>-93740</c:v>
                </c:pt>
                <c:pt idx="299">
                  <c:v>-93940</c:v>
                </c:pt>
                <c:pt idx="300">
                  <c:v>-98140</c:v>
                </c:pt>
                <c:pt idx="301">
                  <c:v>-101940</c:v>
                </c:pt>
                <c:pt idx="302">
                  <c:v>-112240</c:v>
                </c:pt>
                <c:pt idx="303">
                  <c:v>-124040</c:v>
                </c:pt>
                <c:pt idx="304">
                  <c:v>-129340</c:v>
                </c:pt>
                <c:pt idx="305">
                  <c:v>-143340</c:v>
                </c:pt>
                <c:pt idx="306">
                  <c:v>-138040</c:v>
                </c:pt>
                <c:pt idx="307">
                  <c:v>-146340</c:v>
                </c:pt>
                <c:pt idx="308">
                  <c:v>-148040</c:v>
                </c:pt>
                <c:pt idx="309">
                  <c:v>-160240</c:v>
                </c:pt>
                <c:pt idx="310">
                  <c:v>-163840</c:v>
                </c:pt>
                <c:pt idx="311">
                  <c:v>-160540</c:v>
                </c:pt>
                <c:pt idx="312">
                  <c:v>-171940</c:v>
                </c:pt>
                <c:pt idx="313">
                  <c:v>-174540</c:v>
                </c:pt>
                <c:pt idx="314">
                  <c:v>-183340</c:v>
                </c:pt>
                <c:pt idx="315">
                  <c:v>-190240</c:v>
                </c:pt>
                <c:pt idx="316">
                  <c:v>-194040</c:v>
                </c:pt>
                <c:pt idx="317">
                  <c:v>-197940</c:v>
                </c:pt>
                <c:pt idx="318">
                  <c:v>-198040</c:v>
                </c:pt>
                <c:pt idx="319">
                  <c:v>-195940</c:v>
                </c:pt>
                <c:pt idx="320">
                  <c:v>-183240</c:v>
                </c:pt>
                <c:pt idx="321">
                  <c:v>-188440</c:v>
                </c:pt>
                <c:pt idx="322">
                  <c:v>-198540</c:v>
                </c:pt>
                <c:pt idx="323">
                  <c:v>-197840</c:v>
                </c:pt>
                <c:pt idx="324">
                  <c:v>-200140</c:v>
                </c:pt>
                <c:pt idx="325">
                  <c:v>-207420</c:v>
                </c:pt>
                <c:pt idx="326">
                  <c:v>-204620</c:v>
                </c:pt>
                <c:pt idx="327">
                  <c:v>-199520</c:v>
                </c:pt>
                <c:pt idx="328">
                  <c:v>-188320</c:v>
                </c:pt>
                <c:pt idx="329">
                  <c:v>-197420</c:v>
                </c:pt>
                <c:pt idx="330">
                  <c:v>-189620</c:v>
                </c:pt>
                <c:pt idx="331">
                  <c:v>-197120</c:v>
                </c:pt>
                <c:pt idx="332">
                  <c:v>-196820</c:v>
                </c:pt>
                <c:pt idx="333">
                  <c:v>-195820</c:v>
                </c:pt>
                <c:pt idx="334">
                  <c:v>-195120</c:v>
                </c:pt>
                <c:pt idx="335">
                  <c:v>-195820</c:v>
                </c:pt>
                <c:pt idx="336">
                  <c:v>-201220</c:v>
                </c:pt>
                <c:pt idx="337">
                  <c:v>-205520</c:v>
                </c:pt>
                <c:pt idx="338">
                  <c:v>-202620</c:v>
                </c:pt>
                <c:pt idx="339">
                  <c:v>-195320</c:v>
                </c:pt>
                <c:pt idx="340">
                  <c:v>-198120</c:v>
                </c:pt>
                <c:pt idx="341">
                  <c:v>-209620</c:v>
                </c:pt>
                <c:pt idx="342">
                  <c:v>-207920</c:v>
                </c:pt>
                <c:pt idx="343">
                  <c:v>-201920</c:v>
                </c:pt>
                <c:pt idx="344">
                  <c:v>-203120</c:v>
                </c:pt>
                <c:pt idx="345">
                  <c:v>-206620</c:v>
                </c:pt>
                <c:pt idx="346">
                  <c:v>-197120</c:v>
                </c:pt>
                <c:pt idx="347">
                  <c:v>-195620</c:v>
                </c:pt>
                <c:pt idx="348">
                  <c:v>-194620</c:v>
                </c:pt>
                <c:pt idx="349">
                  <c:v>-193320</c:v>
                </c:pt>
                <c:pt idx="350">
                  <c:v>-197420</c:v>
                </c:pt>
                <c:pt idx="351">
                  <c:v>-189920</c:v>
                </c:pt>
                <c:pt idx="352">
                  <c:v>-185320</c:v>
                </c:pt>
                <c:pt idx="353">
                  <c:v>-185520</c:v>
                </c:pt>
                <c:pt idx="354">
                  <c:v>-180920</c:v>
                </c:pt>
                <c:pt idx="355">
                  <c:v>-183220</c:v>
                </c:pt>
                <c:pt idx="356">
                  <c:v>-182820</c:v>
                </c:pt>
                <c:pt idx="357">
                  <c:v>-182320</c:v>
                </c:pt>
                <c:pt idx="358">
                  <c:v>-179620</c:v>
                </c:pt>
                <c:pt idx="359">
                  <c:v>-182620</c:v>
                </c:pt>
                <c:pt idx="360">
                  <c:v>-179420</c:v>
                </c:pt>
                <c:pt idx="361">
                  <c:v>-184220</c:v>
                </c:pt>
                <c:pt idx="362">
                  <c:v>-175320</c:v>
                </c:pt>
                <c:pt idx="363">
                  <c:v>-171220</c:v>
                </c:pt>
                <c:pt idx="364">
                  <c:v>-173020</c:v>
                </c:pt>
                <c:pt idx="365">
                  <c:v>-169820</c:v>
                </c:pt>
                <c:pt idx="366">
                  <c:v>-162520</c:v>
                </c:pt>
                <c:pt idx="367">
                  <c:v>-159920</c:v>
                </c:pt>
                <c:pt idx="368">
                  <c:v>-157620</c:v>
                </c:pt>
                <c:pt idx="369">
                  <c:v>-157000</c:v>
                </c:pt>
                <c:pt idx="370">
                  <c:v>-158500</c:v>
                </c:pt>
                <c:pt idx="371">
                  <c:v>-154100</c:v>
                </c:pt>
                <c:pt idx="372">
                  <c:v>-157500</c:v>
                </c:pt>
                <c:pt idx="373">
                  <c:v>-163400</c:v>
                </c:pt>
                <c:pt idx="374">
                  <c:v>-161100</c:v>
                </c:pt>
                <c:pt idx="375">
                  <c:v>-165600</c:v>
                </c:pt>
                <c:pt idx="376">
                  <c:v>-167500</c:v>
                </c:pt>
                <c:pt idx="377">
                  <c:v>-168100</c:v>
                </c:pt>
                <c:pt idx="378">
                  <c:v>-167800</c:v>
                </c:pt>
                <c:pt idx="379">
                  <c:v>-157000</c:v>
                </c:pt>
                <c:pt idx="380">
                  <c:v>-159300</c:v>
                </c:pt>
                <c:pt idx="381">
                  <c:v>-161500</c:v>
                </c:pt>
                <c:pt idx="382">
                  <c:v>-171500</c:v>
                </c:pt>
                <c:pt idx="383">
                  <c:v>-172300</c:v>
                </c:pt>
                <c:pt idx="384">
                  <c:v>-173000</c:v>
                </c:pt>
                <c:pt idx="385">
                  <c:v>-180800</c:v>
                </c:pt>
                <c:pt idx="386">
                  <c:v>-178400</c:v>
                </c:pt>
                <c:pt idx="387">
                  <c:v>-180100</c:v>
                </c:pt>
                <c:pt idx="388">
                  <c:v>-183900</c:v>
                </c:pt>
                <c:pt idx="389">
                  <c:v>-190100</c:v>
                </c:pt>
                <c:pt idx="390">
                  <c:v>-182980</c:v>
                </c:pt>
                <c:pt idx="391">
                  <c:v>-182280</c:v>
                </c:pt>
                <c:pt idx="392">
                  <c:v>-187380</c:v>
                </c:pt>
                <c:pt idx="393">
                  <c:v>-187980</c:v>
                </c:pt>
                <c:pt idx="394">
                  <c:v>-187480</c:v>
                </c:pt>
                <c:pt idx="395">
                  <c:v>-188480</c:v>
                </c:pt>
                <c:pt idx="396">
                  <c:v>-193580</c:v>
                </c:pt>
                <c:pt idx="397">
                  <c:v>-192080</c:v>
                </c:pt>
                <c:pt idx="398">
                  <c:v>-191280</c:v>
                </c:pt>
                <c:pt idx="399">
                  <c:v>-193580</c:v>
                </c:pt>
                <c:pt idx="400">
                  <c:v>-195980</c:v>
                </c:pt>
                <c:pt idx="401">
                  <c:v>-195780</c:v>
                </c:pt>
                <c:pt idx="402">
                  <c:v>-187480</c:v>
                </c:pt>
                <c:pt idx="403">
                  <c:v>-181180</c:v>
                </c:pt>
                <c:pt idx="404">
                  <c:v>-173380</c:v>
                </c:pt>
                <c:pt idx="405">
                  <c:v>-182780</c:v>
                </c:pt>
                <c:pt idx="406">
                  <c:v>-171080</c:v>
                </c:pt>
                <c:pt idx="407">
                  <c:v>-164080</c:v>
                </c:pt>
                <c:pt idx="408">
                  <c:v>-168180</c:v>
                </c:pt>
                <c:pt idx="409">
                  <c:v>-167480</c:v>
                </c:pt>
                <c:pt idx="410">
                  <c:v>-158980</c:v>
                </c:pt>
                <c:pt idx="411">
                  <c:v>-147480</c:v>
                </c:pt>
                <c:pt idx="412">
                  <c:v>-145780</c:v>
                </c:pt>
                <c:pt idx="413">
                  <c:v>-144360</c:v>
                </c:pt>
                <c:pt idx="414">
                  <c:v>-140960</c:v>
                </c:pt>
                <c:pt idx="415">
                  <c:v>-135360</c:v>
                </c:pt>
                <c:pt idx="416">
                  <c:v>-137460</c:v>
                </c:pt>
                <c:pt idx="417">
                  <c:v>-132960</c:v>
                </c:pt>
                <c:pt idx="418">
                  <c:v>-130960</c:v>
                </c:pt>
                <c:pt idx="419">
                  <c:v>-129460</c:v>
                </c:pt>
                <c:pt idx="420">
                  <c:v>-129060</c:v>
                </c:pt>
                <c:pt idx="421">
                  <c:v>-132860</c:v>
                </c:pt>
                <c:pt idx="422">
                  <c:v>-131760</c:v>
                </c:pt>
                <c:pt idx="423">
                  <c:v>-132160</c:v>
                </c:pt>
                <c:pt idx="424">
                  <c:v>-132460</c:v>
                </c:pt>
                <c:pt idx="425">
                  <c:v>-130360</c:v>
                </c:pt>
                <c:pt idx="426">
                  <c:v>-121160</c:v>
                </c:pt>
                <c:pt idx="427">
                  <c:v>-127560</c:v>
                </c:pt>
                <c:pt idx="428">
                  <c:v>-123160</c:v>
                </c:pt>
                <c:pt idx="429">
                  <c:v>-125460</c:v>
                </c:pt>
                <c:pt idx="430">
                  <c:v>-131660</c:v>
                </c:pt>
                <c:pt idx="431">
                  <c:v>-135360</c:v>
                </c:pt>
                <c:pt idx="432">
                  <c:v>-133760</c:v>
                </c:pt>
                <c:pt idx="433">
                  <c:v>-143960</c:v>
                </c:pt>
                <c:pt idx="434">
                  <c:v>-151660</c:v>
                </c:pt>
                <c:pt idx="435">
                  <c:v>-151460</c:v>
                </c:pt>
                <c:pt idx="436">
                  <c:v>-155260</c:v>
                </c:pt>
                <c:pt idx="437">
                  <c:v>-162260</c:v>
                </c:pt>
                <c:pt idx="438">
                  <c:v>-174560</c:v>
                </c:pt>
                <c:pt idx="439">
                  <c:v>-165660</c:v>
                </c:pt>
                <c:pt idx="440">
                  <c:v>-173460</c:v>
                </c:pt>
                <c:pt idx="441">
                  <c:v>-180260</c:v>
                </c:pt>
                <c:pt idx="442">
                  <c:v>-176860</c:v>
                </c:pt>
                <c:pt idx="443">
                  <c:v>-176960</c:v>
                </c:pt>
                <c:pt idx="444">
                  <c:v>-175460</c:v>
                </c:pt>
                <c:pt idx="445">
                  <c:v>-180260</c:v>
                </c:pt>
                <c:pt idx="446">
                  <c:v>-175660</c:v>
                </c:pt>
                <c:pt idx="447">
                  <c:v>-163260</c:v>
                </c:pt>
                <c:pt idx="448">
                  <c:v>-175660</c:v>
                </c:pt>
                <c:pt idx="449">
                  <c:v>-181160</c:v>
                </c:pt>
                <c:pt idx="450">
                  <c:v>-182760</c:v>
                </c:pt>
                <c:pt idx="451">
                  <c:v>-181960</c:v>
                </c:pt>
                <c:pt idx="452">
                  <c:v>-173860</c:v>
                </c:pt>
                <c:pt idx="453">
                  <c:v>-177860</c:v>
                </c:pt>
                <c:pt idx="454">
                  <c:v>-181260</c:v>
                </c:pt>
                <c:pt idx="455">
                  <c:v>-181660</c:v>
                </c:pt>
                <c:pt idx="456">
                  <c:v>-181640</c:v>
                </c:pt>
                <c:pt idx="457">
                  <c:v>-179140</c:v>
                </c:pt>
                <c:pt idx="458">
                  <c:v>-174340</c:v>
                </c:pt>
                <c:pt idx="459">
                  <c:v>-180540</c:v>
                </c:pt>
                <c:pt idx="460">
                  <c:v>-181840</c:v>
                </c:pt>
                <c:pt idx="461">
                  <c:v>-185040</c:v>
                </c:pt>
                <c:pt idx="462">
                  <c:v>-189840</c:v>
                </c:pt>
                <c:pt idx="463">
                  <c:v>-189440</c:v>
                </c:pt>
                <c:pt idx="464">
                  <c:v>-188540</c:v>
                </c:pt>
                <c:pt idx="465">
                  <c:v>-189940</c:v>
                </c:pt>
                <c:pt idx="466">
                  <c:v>-177740</c:v>
                </c:pt>
                <c:pt idx="467">
                  <c:v>-171440</c:v>
                </c:pt>
                <c:pt idx="468">
                  <c:v>-173340</c:v>
                </c:pt>
                <c:pt idx="469">
                  <c:v>-167940</c:v>
                </c:pt>
                <c:pt idx="470">
                  <c:v>-163340</c:v>
                </c:pt>
                <c:pt idx="471">
                  <c:v>-170540</c:v>
                </c:pt>
                <c:pt idx="472">
                  <c:v>-164340</c:v>
                </c:pt>
                <c:pt idx="473">
                  <c:v>-168240</c:v>
                </c:pt>
                <c:pt idx="474">
                  <c:v>-166640</c:v>
                </c:pt>
                <c:pt idx="475">
                  <c:v>-170240</c:v>
                </c:pt>
                <c:pt idx="476">
                  <c:v>-163040</c:v>
                </c:pt>
                <c:pt idx="477">
                  <c:v>-157940</c:v>
                </c:pt>
                <c:pt idx="478">
                  <c:v>-162140</c:v>
                </c:pt>
                <c:pt idx="479">
                  <c:v>-165340</c:v>
                </c:pt>
                <c:pt idx="480">
                  <c:v>-163140</c:v>
                </c:pt>
                <c:pt idx="481">
                  <c:v>-157740</c:v>
                </c:pt>
                <c:pt idx="482">
                  <c:v>-159340</c:v>
                </c:pt>
                <c:pt idx="483">
                  <c:v>-167240</c:v>
                </c:pt>
                <c:pt idx="484">
                  <c:v>-169840</c:v>
                </c:pt>
                <c:pt idx="485">
                  <c:v>-169440</c:v>
                </c:pt>
                <c:pt idx="486">
                  <c:v>-173640</c:v>
                </c:pt>
                <c:pt idx="487">
                  <c:v>-176540</c:v>
                </c:pt>
                <c:pt idx="488">
                  <c:v>-181940</c:v>
                </c:pt>
                <c:pt idx="489">
                  <c:v>-180940</c:v>
                </c:pt>
                <c:pt idx="490">
                  <c:v>-177840</c:v>
                </c:pt>
                <c:pt idx="491">
                  <c:v>-177340</c:v>
                </c:pt>
                <c:pt idx="492">
                  <c:v>-173840</c:v>
                </c:pt>
                <c:pt idx="493">
                  <c:v>-172540</c:v>
                </c:pt>
                <c:pt idx="494">
                  <c:v>-174640</c:v>
                </c:pt>
                <c:pt idx="495">
                  <c:v>-173040</c:v>
                </c:pt>
                <c:pt idx="496">
                  <c:v>-174140</c:v>
                </c:pt>
                <c:pt idx="497">
                  <c:v>-174540</c:v>
                </c:pt>
                <c:pt idx="498">
                  <c:v>-168940</c:v>
                </c:pt>
                <c:pt idx="499">
                  <c:v>-170620</c:v>
                </c:pt>
                <c:pt idx="500">
                  <c:v>-167620</c:v>
                </c:pt>
                <c:pt idx="501">
                  <c:v>-164120</c:v>
                </c:pt>
                <c:pt idx="502">
                  <c:v>-161120</c:v>
                </c:pt>
                <c:pt idx="503">
                  <c:v>-157320</c:v>
                </c:pt>
                <c:pt idx="504">
                  <c:v>-157020</c:v>
                </c:pt>
                <c:pt idx="505">
                  <c:v>-157020</c:v>
                </c:pt>
                <c:pt idx="506">
                  <c:v>-159420</c:v>
                </c:pt>
                <c:pt idx="507">
                  <c:v>-159620</c:v>
                </c:pt>
                <c:pt idx="508">
                  <c:v>-159820</c:v>
                </c:pt>
                <c:pt idx="509">
                  <c:v>-158820</c:v>
                </c:pt>
                <c:pt idx="510">
                  <c:v>-153620</c:v>
                </c:pt>
                <c:pt idx="511">
                  <c:v>-148020</c:v>
                </c:pt>
                <c:pt idx="512">
                  <c:v>-153820</c:v>
                </c:pt>
                <c:pt idx="513">
                  <c:v>-151920</c:v>
                </c:pt>
                <c:pt idx="514">
                  <c:v>-148320</c:v>
                </c:pt>
                <c:pt idx="515">
                  <c:v>-152820</c:v>
                </c:pt>
                <c:pt idx="516">
                  <c:v>-151020</c:v>
                </c:pt>
                <c:pt idx="517">
                  <c:v>-152520</c:v>
                </c:pt>
                <c:pt idx="518">
                  <c:v>-149520</c:v>
                </c:pt>
                <c:pt idx="519">
                  <c:v>-153320</c:v>
                </c:pt>
                <c:pt idx="520">
                  <c:v>-150820</c:v>
                </c:pt>
                <c:pt idx="521">
                  <c:v>-151920</c:v>
                </c:pt>
                <c:pt idx="522">
                  <c:v>-150520</c:v>
                </c:pt>
                <c:pt idx="523">
                  <c:v>-151620</c:v>
                </c:pt>
                <c:pt idx="524">
                  <c:v>-145220</c:v>
                </c:pt>
                <c:pt idx="525">
                  <c:v>-140020</c:v>
                </c:pt>
                <c:pt idx="526">
                  <c:v>-143020</c:v>
                </c:pt>
                <c:pt idx="527">
                  <c:v>-138020</c:v>
                </c:pt>
                <c:pt idx="528">
                  <c:v>-139820</c:v>
                </c:pt>
                <c:pt idx="529">
                  <c:v>-132720</c:v>
                </c:pt>
                <c:pt idx="530">
                  <c:v>-127320</c:v>
                </c:pt>
                <c:pt idx="531">
                  <c:v>-131020</c:v>
                </c:pt>
                <c:pt idx="532">
                  <c:v>-129220</c:v>
                </c:pt>
                <c:pt idx="533">
                  <c:v>-123420</c:v>
                </c:pt>
                <c:pt idx="534">
                  <c:v>-122420</c:v>
                </c:pt>
                <c:pt idx="535">
                  <c:v>-113220</c:v>
                </c:pt>
                <c:pt idx="536">
                  <c:v>-114620</c:v>
                </c:pt>
                <c:pt idx="537">
                  <c:v>-110520</c:v>
                </c:pt>
                <c:pt idx="538">
                  <c:v>-101920</c:v>
                </c:pt>
                <c:pt idx="539">
                  <c:v>-110920</c:v>
                </c:pt>
                <c:pt idx="540">
                  <c:v>-107420</c:v>
                </c:pt>
                <c:pt idx="541">
                  <c:v>-113320</c:v>
                </c:pt>
                <c:pt idx="542">
                  <c:v>-100220</c:v>
                </c:pt>
                <c:pt idx="543">
                  <c:v>-97620</c:v>
                </c:pt>
                <c:pt idx="544">
                  <c:v>-92100</c:v>
                </c:pt>
                <c:pt idx="545">
                  <c:v>-94300</c:v>
                </c:pt>
                <c:pt idx="546">
                  <c:v>-86500</c:v>
                </c:pt>
                <c:pt idx="547">
                  <c:v>-80000</c:v>
                </c:pt>
                <c:pt idx="548">
                  <c:v>-82200</c:v>
                </c:pt>
                <c:pt idx="549">
                  <c:v>-72900</c:v>
                </c:pt>
                <c:pt idx="550">
                  <c:v>-74500</c:v>
                </c:pt>
                <c:pt idx="551">
                  <c:v>-71500</c:v>
                </c:pt>
                <c:pt idx="552">
                  <c:v>-73400</c:v>
                </c:pt>
                <c:pt idx="553">
                  <c:v>-74000</c:v>
                </c:pt>
                <c:pt idx="554">
                  <c:v>-74500</c:v>
                </c:pt>
                <c:pt idx="555">
                  <c:v>-66600</c:v>
                </c:pt>
                <c:pt idx="556">
                  <c:v>-66200</c:v>
                </c:pt>
                <c:pt idx="557">
                  <c:v>-77300</c:v>
                </c:pt>
                <c:pt idx="558">
                  <c:v>-80500</c:v>
                </c:pt>
                <c:pt idx="559">
                  <c:v>-84600</c:v>
                </c:pt>
                <c:pt idx="560">
                  <c:v>-83600</c:v>
                </c:pt>
                <c:pt idx="561">
                  <c:v>-86700</c:v>
                </c:pt>
                <c:pt idx="562">
                  <c:v>-79600</c:v>
                </c:pt>
                <c:pt idx="563">
                  <c:v>-81900</c:v>
                </c:pt>
                <c:pt idx="564">
                  <c:v>-79500</c:v>
                </c:pt>
                <c:pt idx="565">
                  <c:v>-73500</c:v>
                </c:pt>
                <c:pt idx="566">
                  <c:v>-82800</c:v>
                </c:pt>
                <c:pt idx="567">
                  <c:v>-78000</c:v>
                </c:pt>
                <c:pt idx="568">
                  <c:v>-74500</c:v>
                </c:pt>
                <c:pt idx="569">
                  <c:v>-74300</c:v>
                </c:pt>
                <c:pt idx="570">
                  <c:v>-73000</c:v>
                </c:pt>
                <c:pt idx="571">
                  <c:v>-66800</c:v>
                </c:pt>
                <c:pt idx="572">
                  <c:v>-58400</c:v>
                </c:pt>
                <c:pt idx="573">
                  <c:v>-58600</c:v>
                </c:pt>
                <c:pt idx="574">
                  <c:v>-57500</c:v>
                </c:pt>
                <c:pt idx="575">
                  <c:v>-58100</c:v>
                </c:pt>
                <c:pt idx="576">
                  <c:v>-52300</c:v>
                </c:pt>
                <c:pt idx="577">
                  <c:v>-42100</c:v>
                </c:pt>
                <c:pt idx="578">
                  <c:v>-43300</c:v>
                </c:pt>
                <c:pt idx="579">
                  <c:v>-47700</c:v>
                </c:pt>
                <c:pt idx="580">
                  <c:v>-45100</c:v>
                </c:pt>
                <c:pt idx="581">
                  <c:v>-48200</c:v>
                </c:pt>
                <c:pt idx="582">
                  <c:v>-54300</c:v>
                </c:pt>
                <c:pt idx="583">
                  <c:v>-54200</c:v>
                </c:pt>
                <c:pt idx="584">
                  <c:v>-56000</c:v>
                </c:pt>
                <c:pt idx="585">
                  <c:v>-58000</c:v>
                </c:pt>
                <c:pt idx="586">
                  <c:v>-60680</c:v>
                </c:pt>
                <c:pt idx="587">
                  <c:v>-61980</c:v>
                </c:pt>
                <c:pt idx="588">
                  <c:v>-63080</c:v>
                </c:pt>
                <c:pt idx="589">
                  <c:v>-63180</c:v>
                </c:pt>
                <c:pt idx="590">
                  <c:v>-60780</c:v>
                </c:pt>
                <c:pt idx="591">
                  <c:v>-60680</c:v>
                </c:pt>
                <c:pt idx="592">
                  <c:v>-59680</c:v>
                </c:pt>
                <c:pt idx="593">
                  <c:v>-60280</c:v>
                </c:pt>
                <c:pt idx="594">
                  <c:v>-62780</c:v>
                </c:pt>
                <c:pt idx="595">
                  <c:v>-62480</c:v>
                </c:pt>
                <c:pt idx="596">
                  <c:v>-61580</c:v>
                </c:pt>
                <c:pt idx="597">
                  <c:v>-63580</c:v>
                </c:pt>
                <c:pt idx="598">
                  <c:v>-62780</c:v>
                </c:pt>
                <c:pt idx="599">
                  <c:v>-60580</c:v>
                </c:pt>
                <c:pt idx="600">
                  <c:v>-70080</c:v>
                </c:pt>
                <c:pt idx="601">
                  <c:v>-63180</c:v>
                </c:pt>
                <c:pt idx="602">
                  <c:v>-73080</c:v>
                </c:pt>
                <c:pt idx="603">
                  <c:v>-76080</c:v>
                </c:pt>
                <c:pt idx="604">
                  <c:v>-77880</c:v>
                </c:pt>
                <c:pt idx="605">
                  <c:v>-78880</c:v>
                </c:pt>
                <c:pt idx="606">
                  <c:v>-83580</c:v>
                </c:pt>
                <c:pt idx="607">
                  <c:v>-85080</c:v>
                </c:pt>
                <c:pt idx="608">
                  <c:v>-84080</c:v>
                </c:pt>
                <c:pt idx="609">
                  <c:v>-86780</c:v>
                </c:pt>
                <c:pt idx="610">
                  <c:v>-91080</c:v>
                </c:pt>
                <c:pt idx="611">
                  <c:v>-95180</c:v>
                </c:pt>
                <c:pt idx="612">
                  <c:v>-93280</c:v>
                </c:pt>
                <c:pt idx="613">
                  <c:v>-97980</c:v>
                </c:pt>
                <c:pt idx="614">
                  <c:v>-95680</c:v>
                </c:pt>
                <c:pt idx="615">
                  <c:v>-98980</c:v>
                </c:pt>
                <c:pt idx="616">
                  <c:v>-98880</c:v>
                </c:pt>
                <c:pt idx="617">
                  <c:v>-94980</c:v>
                </c:pt>
                <c:pt idx="618">
                  <c:v>-92480</c:v>
                </c:pt>
                <c:pt idx="619">
                  <c:v>-87680</c:v>
                </c:pt>
                <c:pt idx="620">
                  <c:v>-88080</c:v>
                </c:pt>
                <c:pt idx="621">
                  <c:v>-88680</c:v>
                </c:pt>
                <c:pt idx="622">
                  <c:v>-95180</c:v>
                </c:pt>
                <c:pt idx="623">
                  <c:v>-93680</c:v>
                </c:pt>
                <c:pt idx="624">
                  <c:v>-91880</c:v>
                </c:pt>
                <c:pt idx="625">
                  <c:v>-92080</c:v>
                </c:pt>
                <c:pt idx="626">
                  <c:v>-94380</c:v>
                </c:pt>
                <c:pt idx="627">
                  <c:v>-97080</c:v>
                </c:pt>
                <c:pt idx="628">
                  <c:v>-92280</c:v>
                </c:pt>
                <c:pt idx="629">
                  <c:v>-96760</c:v>
                </c:pt>
                <c:pt idx="630">
                  <c:v>-95760</c:v>
                </c:pt>
                <c:pt idx="631">
                  <c:v>-93660</c:v>
                </c:pt>
                <c:pt idx="632">
                  <c:v>-88260</c:v>
                </c:pt>
                <c:pt idx="633">
                  <c:v>-87460</c:v>
                </c:pt>
                <c:pt idx="634">
                  <c:v>-86060</c:v>
                </c:pt>
                <c:pt idx="635">
                  <c:v>-83860</c:v>
                </c:pt>
                <c:pt idx="636">
                  <c:v>-84160</c:v>
                </c:pt>
                <c:pt idx="637">
                  <c:v>-84660</c:v>
                </c:pt>
                <c:pt idx="638">
                  <c:v>-84960</c:v>
                </c:pt>
                <c:pt idx="639">
                  <c:v>-79760</c:v>
                </c:pt>
                <c:pt idx="640">
                  <c:v>-80060</c:v>
                </c:pt>
                <c:pt idx="641">
                  <c:v>-82760</c:v>
                </c:pt>
                <c:pt idx="642">
                  <c:v>-83160</c:v>
                </c:pt>
                <c:pt idx="643">
                  <c:v>-76260</c:v>
                </c:pt>
                <c:pt idx="644">
                  <c:v>-68760</c:v>
                </c:pt>
                <c:pt idx="645">
                  <c:v>-69160</c:v>
                </c:pt>
                <c:pt idx="646">
                  <c:v>-70760</c:v>
                </c:pt>
                <c:pt idx="647">
                  <c:v>-69860</c:v>
                </c:pt>
                <c:pt idx="648">
                  <c:v>-72060</c:v>
                </c:pt>
                <c:pt idx="649">
                  <c:v>-67860</c:v>
                </c:pt>
                <c:pt idx="650">
                  <c:v>-78360</c:v>
                </c:pt>
                <c:pt idx="651">
                  <c:v>-80640</c:v>
                </c:pt>
                <c:pt idx="652">
                  <c:v>-87640</c:v>
                </c:pt>
                <c:pt idx="653">
                  <c:v>-86340</c:v>
                </c:pt>
                <c:pt idx="654">
                  <c:v>-87140</c:v>
                </c:pt>
                <c:pt idx="655">
                  <c:v>-88240</c:v>
                </c:pt>
                <c:pt idx="656">
                  <c:v>-90140</c:v>
                </c:pt>
                <c:pt idx="657">
                  <c:v>-87640</c:v>
                </c:pt>
                <c:pt idx="658">
                  <c:v>-87340</c:v>
                </c:pt>
                <c:pt idx="659">
                  <c:v>-87740</c:v>
                </c:pt>
                <c:pt idx="660">
                  <c:v>-91240</c:v>
                </c:pt>
                <c:pt idx="661">
                  <c:v>-93240</c:v>
                </c:pt>
                <c:pt idx="662">
                  <c:v>-94740</c:v>
                </c:pt>
                <c:pt idx="663">
                  <c:v>-94840</c:v>
                </c:pt>
                <c:pt idx="664">
                  <c:v>-92140</c:v>
                </c:pt>
                <c:pt idx="665">
                  <c:v>-94040</c:v>
                </c:pt>
                <c:pt idx="666">
                  <c:v>-105340</c:v>
                </c:pt>
                <c:pt idx="667">
                  <c:v>-105340</c:v>
                </c:pt>
                <c:pt idx="668">
                  <c:v>-103040</c:v>
                </c:pt>
                <c:pt idx="669">
                  <c:v>-101340</c:v>
                </c:pt>
                <c:pt idx="670">
                  <c:v>-107140</c:v>
                </c:pt>
                <c:pt idx="671">
                  <c:v>-111440</c:v>
                </c:pt>
                <c:pt idx="672">
                  <c:v>-111640</c:v>
                </c:pt>
                <c:pt idx="673">
                  <c:v>-105640</c:v>
                </c:pt>
                <c:pt idx="674">
                  <c:v>-109820</c:v>
                </c:pt>
                <c:pt idx="675">
                  <c:v>-116220</c:v>
                </c:pt>
                <c:pt idx="676">
                  <c:v>-113320</c:v>
                </c:pt>
                <c:pt idx="677">
                  <c:v>-104820</c:v>
                </c:pt>
                <c:pt idx="678">
                  <c:v>-101920</c:v>
                </c:pt>
                <c:pt idx="679">
                  <c:v>-99720</c:v>
                </c:pt>
                <c:pt idx="680">
                  <c:v>-99720</c:v>
                </c:pt>
                <c:pt idx="681">
                  <c:v>-102320</c:v>
                </c:pt>
                <c:pt idx="682">
                  <c:v>-106620</c:v>
                </c:pt>
                <c:pt idx="683">
                  <c:v>-106820</c:v>
                </c:pt>
                <c:pt idx="684">
                  <c:v>-109720</c:v>
                </c:pt>
                <c:pt idx="685">
                  <c:v>-108220</c:v>
                </c:pt>
                <c:pt idx="686">
                  <c:v>-108620</c:v>
                </c:pt>
                <c:pt idx="687">
                  <c:v>-104620</c:v>
                </c:pt>
                <c:pt idx="688">
                  <c:v>-97820</c:v>
                </c:pt>
                <c:pt idx="689">
                  <c:v>-107720</c:v>
                </c:pt>
                <c:pt idx="690">
                  <c:v>-113820</c:v>
                </c:pt>
                <c:pt idx="691">
                  <c:v>-111720</c:v>
                </c:pt>
                <c:pt idx="692">
                  <c:v>-111720</c:v>
                </c:pt>
                <c:pt idx="693">
                  <c:v>-109920</c:v>
                </c:pt>
                <c:pt idx="694">
                  <c:v>-115620</c:v>
                </c:pt>
                <c:pt idx="695">
                  <c:v>-116520</c:v>
                </c:pt>
                <c:pt idx="696">
                  <c:v>-123120</c:v>
                </c:pt>
                <c:pt idx="697">
                  <c:v>-122620</c:v>
                </c:pt>
                <c:pt idx="698">
                  <c:v>-120620</c:v>
                </c:pt>
                <c:pt idx="699">
                  <c:v>-121520</c:v>
                </c:pt>
                <c:pt idx="700">
                  <c:v>-119820</c:v>
                </c:pt>
                <c:pt idx="701">
                  <c:v>-120220</c:v>
                </c:pt>
                <c:pt idx="702">
                  <c:v>-119220</c:v>
                </c:pt>
                <c:pt idx="703">
                  <c:v>-114620</c:v>
                </c:pt>
                <c:pt idx="704">
                  <c:v>-112420</c:v>
                </c:pt>
                <c:pt idx="705">
                  <c:v>-122320</c:v>
                </c:pt>
                <c:pt idx="706">
                  <c:v>-117620</c:v>
                </c:pt>
                <c:pt idx="707">
                  <c:v>-128620</c:v>
                </c:pt>
                <c:pt idx="708">
                  <c:v>-127520</c:v>
                </c:pt>
                <c:pt idx="709">
                  <c:v>-131320</c:v>
                </c:pt>
                <c:pt idx="710">
                  <c:v>-128020</c:v>
                </c:pt>
                <c:pt idx="711">
                  <c:v>-126420</c:v>
                </c:pt>
                <c:pt idx="712">
                  <c:v>-130520</c:v>
                </c:pt>
                <c:pt idx="713">
                  <c:v>-131220</c:v>
                </c:pt>
                <c:pt idx="714">
                  <c:v>-129320</c:v>
                </c:pt>
                <c:pt idx="715">
                  <c:v>-137020</c:v>
                </c:pt>
                <c:pt idx="716">
                  <c:v>-139420</c:v>
                </c:pt>
                <c:pt idx="717">
                  <c:v>-134900</c:v>
                </c:pt>
                <c:pt idx="718">
                  <c:v>-137900</c:v>
                </c:pt>
                <c:pt idx="719">
                  <c:v>-135400</c:v>
                </c:pt>
                <c:pt idx="720">
                  <c:v>-139200</c:v>
                </c:pt>
                <c:pt idx="721">
                  <c:v>-140400</c:v>
                </c:pt>
                <c:pt idx="722">
                  <c:v>-140600</c:v>
                </c:pt>
                <c:pt idx="723">
                  <c:v>-140200</c:v>
                </c:pt>
                <c:pt idx="724">
                  <c:v>-141400</c:v>
                </c:pt>
                <c:pt idx="725">
                  <c:v>-143500</c:v>
                </c:pt>
                <c:pt idx="726">
                  <c:v>-144700</c:v>
                </c:pt>
                <c:pt idx="727">
                  <c:v>-145200</c:v>
                </c:pt>
                <c:pt idx="728">
                  <c:v>-140900</c:v>
                </c:pt>
                <c:pt idx="729">
                  <c:v>-143400</c:v>
                </c:pt>
                <c:pt idx="730">
                  <c:v>-150400</c:v>
                </c:pt>
                <c:pt idx="731">
                  <c:v>-146300</c:v>
                </c:pt>
                <c:pt idx="732">
                  <c:v>-145300</c:v>
                </c:pt>
                <c:pt idx="733">
                  <c:v>-132000</c:v>
                </c:pt>
                <c:pt idx="734">
                  <c:v>-132800</c:v>
                </c:pt>
                <c:pt idx="735">
                  <c:v>-122700</c:v>
                </c:pt>
                <c:pt idx="736">
                  <c:v>-123300</c:v>
                </c:pt>
                <c:pt idx="737">
                  <c:v>-115800</c:v>
                </c:pt>
                <c:pt idx="738">
                  <c:v>-115600</c:v>
                </c:pt>
                <c:pt idx="739">
                  <c:v>-110000</c:v>
                </c:pt>
                <c:pt idx="740">
                  <c:v>-110400</c:v>
                </c:pt>
                <c:pt idx="741">
                  <c:v>-107900</c:v>
                </c:pt>
                <c:pt idx="742">
                  <c:v>-99500</c:v>
                </c:pt>
                <c:pt idx="743">
                  <c:v>-98600</c:v>
                </c:pt>
                <c:pt idx="744">
                  <c:v>-93500</c:v>
                </c:pt>
                <c:pt idx="745">
                  <c:v>-91900</c:v>
                </c:pt>
                <c:pt idx="746">
                  <c:v>-102300</c:v>
                </c:pt>
                <c:pt idx="747">
                  <c:v>-105300</c:v>
                </c:pt>
                <c:pt idx="748">
                  <c:v>-97300</c:v>
                </c:pt>
                <c:pt idx="749">
                  <c:v>-85200</c:v>
                </c:pt>
                <c:pt idx="750">
                  <c:v>-94400</c:v>
                </c:pt>
                <c:pt idx="751">
                  <c:v>-95400</c:v>
                </c:pt>
                <c:pt idx="752">
                  <c:v>-98900</c:v>
                </c:pt>
                <c:pt idx="753">
                  <c:v>-105300</c:v>
                </c:pt>
                <c:pt idx="754">
                  <c:v>-108800</c:v>
                </c:pt>
                <c:pt idx="755">
                  <c:v>-108300</c:v>
                </c:pt>
                <c:pt idx="756">
                  <c:v>-110900</c:v>
                </c:pt>
                <c:pt idx="757">
                  <c:v>-112000</c:v>
                </c:pt>
                <c:pt idx="758">
                  <c:v>-113600</c:v>
                </c:pt>
                <c:pt idx="759">
                  <c:v>-112100</c:v>
                </c:pt>
                <c:pt idx="760">
                  <c:v>-116780</c:v>
                </c:pt>
                <c:pt idx="761">
                  <c:v>-116080</c:v>
                </c:pt>
                <c:pt idx="762">
                  <c:v>-112880</c:v>
                </c:pt>
                <c:pt idx="763">
                  <c:v>-105980</c:v>
                </c:pt>
                <c:pt idx="764">
                  <c:v>-101580</c:v>
                </c:pt>
                <c:pt idx="765">
                  <c:v>-101680</c:v>
                </c:pt>
                <c:pt idx="766">
                  <c:v>-103680</c:v>
                </c:pt>
                <c:pt idx="767">
                  <c:v>-103080</c:v>
                </c:pt>
                <c:pt idx="768">
                  <c:v>-101980</c:v>
                </c:pt>
                <c:pt idx="769">
                  <c:v>-100080</c:v>
                </c:pt>
                <c:pt idx="770">
                  <c:v>-96880</c:v>
                </c:pt>
                <c:pt idx="771">
                  <c:v>-91280</c:v>
                </c:pt>
                <c:pt idx="772">
                  <c:v>-82180</c:v>
                </c:pt>
                <c:pt idx="773">
                  <c:v>-85780</c:v>
                </c:pt>
                <c:pt idx="774">
                  <c:v>-84980</c:v>
                </c:pt>
                <c:pt idx="775">
                  <c:v>-87280</c:v>
                </c:pt>
                <c:pt idx="776">
                  <c:v>-90480</c:v>
                </c:pt>
                <c:pt idx="777">
                  <c:v>-93580</c:v>
                </c:pt>
                <c:pt idx="778">
                  <c:v>-93180</c:v>
                </c:pt>
                <c:pt idx="779">
                  <c:v>-96280</c:v>
                </c:pt>
                <c:pt idx="780">
                  <c:v>-94680</c:v>
                </c:pt>
                <c:pt idx="781">
                  <c:v>-97580</c:v>
                </c:pt>
                <c:pt idx="782">
                  <c:v>-97880</c:v>
                </c:pt>
                <c:pt idx="783">
                  <c:v>-97480</c:v>
                </c:pt>
                <c:pt idx="784">
                  <c:v>-95480</c:v>
                </c:pt>
                <c:pt idx="785">
                  <c:v>-103880</c:v>
                </c:pt>
                <c:pt idx="786">
                  <c:v>-102080</c:v>
                </c:pt>
                <c:pt idx="787">
                  <c:v>-97980</c:v>
                </c:pt>
                <c:pt idx="788">
                  <c:v>-99680</c:v>
                </c:pt>
                <c:pt idx="789">
                  <c:v>-96080</c:v>
                </c:pt>
                <c:pt idx="790">
                  <c:v>-104780</c:v>
                </c:pt>
                <c:pt idx="791">
                  <c:v>-105180</c:v>
                </c:pt>
                <c:pt idx="792">
                  <c:v>-108080</c:v>
                </c:pt>
                <c:pt idx="793">
                  <c:v>-105380</c:v>
                </c:pt>
                <c:pt idx="794">
                  <c:v>-109280</c:v>
                </c:pt>
                <c:pt idx="795">
                  <c:v>-110480</c:v>
                </c:pt>
                <c:pt idx="796">
                  <c:v>-109580</c:v>
                </c:pt>
                <c:pt idx="797">
                  <c:v>-114080</c:v>
                </c:pt>
                <c:pt idx="798">
                  <c:v>-111380</c:v>
                </c:pt>
                <c:pt idx="799">
                  <c:v>-111880</c:v>
                </c:pt>
                <c:pt idx="800">
                  <c:v>-115280</c:v>
                </c:pt>
                <c:pt idx="801">
                  <c:v>-120280</c:v>
                </c:pt>
                <c:pt idx="802">
                  <c:v>-119580</c:v>
                </c:pt>
                <c:pt idx="803">
                  <c:v>-121980</c:v>
                </c:pt>
                <c:pt idx="804">
                  <c:v>-120460</c:v>
                </c:pt>
                <c:pt idx="805">
                  <c:v>-115860</c:v>
                </c:pt>
                <c:pt idx="806">
                  <c:v>-117060</c:v>
                </c:pt>
                <c:pt idx="807">
                  <c:v>-119760</c:v>
                </c:pt>
                <c:pt idx="808">
                  <c:v>-119060</c:v>
                </c:pt>
                <c:pt idx="809">
                  <c:v>-119060</c:v>
                </c:pt>
                <c:pt idx="810">
                  <c:v>-119060</c:v>
                </c:pt>
                <c:pt idx="811">
                  <c:v>-119660</c:v>
                </c:pt>
                <c:pt idx="812">
                  <c:v>-121260</c:v>
                </c:pt>
                <c:pt idx="813">
                  <c:v>-122660</c:v>
                </c:pt>
                <c:pt idx="814">
                  <c:v>-123460</c:v>
                </c:pt>
                <c:pt idx="815">
                  <c:v>-123060</c:v>
                </c:pt>
                <c:pt idx="816">
                  <c:v>-123860</c:v>
                </c:pt>
                <c:pt idx="817">
                  <c:v>-125460</c:v>
                </c:pt>
                <c:pt idx="818">
                  <c:v>-117060</c:v>
                </c:pt>
                <c:pt idx="819">
                  <c:v>-118660</c:v>
                </c:pt>
                <c:pt idx="820">
                  <c:v>-120460</c:v>
                </c:pt>
                <c:pt idx="821">
                  <c:v>-126060</c:v>
                </c:pt>
                <c:pt idx="822">
                  <c:v>-126560</c:v>
                </c:pt>
                <c:pt idx="823">
                  <c:v>-124960</c:v>
                </c:pt>
                <c:pt idx="824">
                  <c:v>-120660</c:v>
                </c:pt>
                <c:pt idx="825">
                  <c:v>-122160</c:v>
                </c:pt>
                <c:pt idx="826">
                  <c:v>-122360</c:v>
                </c:pt>
                <c:pt idx="827">
                  <c:v>-121960</c:v>
                </c:pt>
                <c:pt idx="828">
                  <c:v>-125260</c:v>
                </c:pt>
                <c:pt idx="829">
                  <c:v>-121260</c:v>
                </c:pt>
                <c:pt idx="830">
                  <c:v>-120360</c:v>
                </c:pt>
                <c:pt idx="831">
                  <c:v>-127960</c:v>
                </c:pt>
                <c:pt idx="832">
                  <c:v>-130760</c:v>
                </c:pt>
                <c:pt idx="833">
                  <c:v>-129360</c:v>
                </c:pt>
                <c:pt idx="834">
                  <c:v>-123560</c:v>
                </c:pt>
                <c:pt idx="835">
                  <c:v>-124560</c:v>
                </c:pt>
                <c:pt idx="836">
                  <c:v>-127360</c:v>
                </c:pt>
                <c:pt idx="837">
                  <c:v>-125560</c:v>
                </c:pt>
                <c:pt idx="838">
                  <c:v>-126560</c:v>
                </c:pt>
                <c:pt idx="839">
                  <c:v>-119260</c:v>
                </c:pt>
                <c:pt idx="840">
                  <c:v>-121060</c:v>
                </c:pt>
                <c:pt idx="841">
                  <c:v>-120260</c:v>
                </c:pt>
                <c:pt idx="842">
                  <c:v>-119360</c:v>
                </c:pt>
                <c:pt idx="843">
                  <c:v>-120560</c:v>
                </c:pt>
                <c:pt idx="844">
                  <c:v>-122160</c:v>
                </c:pt>
                <c:pt idx="845">
                  <c:v>-121860</c:v>
                </c:pt>
                <c:pt idx="846">
                  <c:v>-118360</c:v>
                </c:pt>
                <c:pt idx="847">
                  <c:v>-114660</c:v>
                </c:pt>
                <c:pt idx="848">
                  <c:v>-112540</c:v>
                </c:pt>
                <c:pt idx="849">
                  <c:v>-112640</c:v>
                </c:pt>
                <c:pt idx="850">
                  <c:v>-111240</c:v>
                </c:pt>
                <c:pt idx="851">
                  <c:v>-111440</c:v>
                </c:pt>
                <c:pt idx="852">
                  <c:v>-110240</c:v>
                </c:pt>
                <c:pt idx="853">
                  <c:v>-108940</c:v>
                </c:pt>
                <c:pt idx="854">
                  <c:v>-107040</c:v>
                </c:pt>
                <c:pt idx="855">
                  <c:v>-108240</c:v>
                </c:pt>
                <c:pt idx="856">
                  <c:v>-107440</c:v>
                </c:pt>
                <c:pt idx="857">
                  <c:v>-108640</c:v>
                </c:pt>
                <c:pt idx="858">
                  <c:v>-110840</c:v>
                </c:pt>
                <c:pt idx="859">
                  <c:v>-111440</c:v>
                </c:pt>
                <c:pt idx="860">
                  <c:v>-114240</c:v>
                </c:pt>
                <c:pt idx="861">
                  <c:v>-119540</c:v>
                </c:pt>
                <c:pt idx="862">
                  <c:v>-119040</c:v>
                </c:pt>
                <c:pt idx="863">
                  <c:v>-117640</c:v>
                </c:pt>
                <c:pt idx="864">
                  <c:v>-113740</c:v>
                </c:pt>
                <c:pt idx="865">
                  <c:v>-112740</c:v>
                </c:pt>
                <c:pt idx="866">
                  <c:v>-118240</c:v>
                </c:pt>
                <c:pt idx="867">
                  <c:v>-123040</c:v>
                </c:pt>
                <c:pt idx="868">
                  <c:v>-127340</c:v>
                </c:pt>
                <c:pt idx="869">
                  <c:v>-131440</c:v>
                </c:pt>
                <c:pt idx="870">
                  <c:v>-131840</c:v>
                </c:pt>
                <c:pt idx="871">
                  <c:v>-127940</c:v>
                </c:pt>
                <c:pt idx="872">
                  <c:v>-130240</c:v>
                </c:pt>
                <c:pt idx="873">
                  <c:v>-125340</c:v>
                </c:pt>
                <c:pt idx="874">
                  <c:v>-121440</c:v>
                </c:pt>
                <c:pt idx="875">
                  <c:v>-123640</c:v>
                </c:pt>
                <c:pt idx="876">
                  <c:v>-131240</c:v>
                </c:pt>
                <c:pt idx="877">
                  <c:v>-133940</c:v>
                </c:pt>
                <c:pt idx="878">
                  <c:v>-127240</c:v>
                </c:pt>
                <c:pt idx="879">
                  <c:v>-132040</c:v>
                </c:pt>
                <c:pt idx="880">
                  <c:v>-131140</c:v>
                </c:pt>
                <c:pt idx="881">
                  <c:v>-125840</c:v>
                </c:pt>
                <c:pt idx="882">
                  <c:v>-123940</c:v>
                </c:pt>
                <c:pt idx="883">
                  <c:v>-120740</c:v>
                </c:pt>
                <c:pt idx="884">
                  <c:v>-116940</c:v>
                </c:pt>
                <c:pt idx="885">
                  <c:v>-118140</c:v>
                </c:pt>
                <c:pt idx="886">
                  <c:v>-121540</c:v>
                </c:pt>
                <c:pt idx="887">
                  <c:v>-121240</c:v>
                </c:pt>
                <c:pt idx="888">
                  <c:v>-121540</c:v>
                </c:pt>
                <c:pt idx="889">
                  <c:v>-123240</c:v>
                </c:pt>
                <c:pt idx="890">
                  <c:v>-123640</c:v>
                </c:pt>
                <c:pt idx="891">
                  <c:v>-125020</c:v>
                </c:pt>
                <c:pt idx="892">
                  <c:v>-127620</c:v>
                </c:pt>
                <c:pt idx="893">
                  <c:v>-128420</c:v>
                </c:pt>
                <c:pt idx="894">
                  <c:v>-130320</c:v>
                </c:pt>
                <c:pt idx="895">
                  <c:v>-128720</c:v>
                </c:pt>
                <c:pt idx="896">
                  <c:v>-128820</c:v>
                </c:pt>
                <c:pt idx="897">
                  <c:v>-131420</c:v>
                </c:pt>
                <c:pt idx="898">
                  <c:v>-129120</c:v>
                </c:pt>
                <c:pt idx="899">
                  <c:v>-127820</c:v>
                </c:pt>
                <c:pt idx="900">
                  <c:v>-127320</c:v>
                </c:pt>
                <c:pt idx="901">
                  <c:v>-128420</c:v>
                </c:pt>
                <c:pt idx="902">
                  <c:v>-126520</c:v>
                </c:pt>
                <c:pt idx="903">
                  <c:v>-122320</c:v>
                </c:pt>
                <c:pt idx="904">
                  <c:v>-123120</c:v>
                </c:pt>
                <c:pt idx="905">
                  <c:v>-122320</c:v>
                </c:pt>
                <c:pt idx="906">
                  <c:v>-116220</c:v>
                </c:pt>
                <c:pt idx="907">
                  <c:v>-113820</c:v>
                </c:pt>
                <c:pt idx="908">
                  <c:v>-113720</c:v>
                </c:pt>
                <c:pt idx="909">
                  <c:v>-110120</c:v>
                </c:pt>
                <c:pt idx="910">
                  <c:v>-110720</c:v>
                </c:pt>
                <c:pt idx="911">
                  <c:v>-109420</c:v>
                </c:pt>
                <c:pt idx="912">
                  <c:v>-108620</c:v>
                </c:pt>
                <c:pt idx="913">
                  <c:v>-105900</c:v>
                </c:pt>
                <c:pt idx="914">
                  <c:v>-109300</c:v>
                </c:pt>
                <c:pt idx="915">
                  <c:v>-106100</c:v>
                </c:pt>
                <c:pt idx="916">
                  <c:v>-104200</c:v>
                </c:pt>
                <c:pt idx="917">
                  <c:v>-101100</c:v>
                </c:pt>
                <c:pt idx="918">
                  <c:v>-98800</c:v>
                </c:pt>
                <c:pt idx="919">
                  <c:v>-96400</c:v>
                </c:pt>
                <c:pt idx="920">
                  <c:v>-97700</c:v>
                </c:pt>
                <c:pt idx="921">
                  <c:v>-98000</c:v>
                </c:pt>
                <c:pt idx="922">
                  <c:v>-98700</c:v>
                </c:pt>
                <c:pt idx="923">
                  <c:v>-97300</c:v>
                </c:pt>
                <c:pt idx="924">
                  <c:v>-97500</c:v>
                </c:pt>
                <c:pt idx="925">
                  <c:v>-95400</c:v>
                </c:pt>
                <c:pt idx="926">
                  <c:v>-91900</c:v>
                </c:pt>
                <c:pt idx="927">
                  <c:v>-83400</c:v>
                </c:pt>
                <c:pt idx="928">
                  <c:v>-85900</c:v>
                </c:pt>
                <c:pt idx="929">
                  <c:v>-87300</c:v>
                </c:pt>
                <c:pt idx="930">
                  <c:v>-83400</c:v>
                </c:pt>
                <c:pt idx="931">
                  <c:v>-73900</c:v>
                </c:pt>
                <c:pt idx="932">
                  <c:v>-64200</c:v>
                </c:pt>
                <c:pt idx="933">
                  <c:v>-61100</c:v>
                </c:pt>
                <c:pt idx="934">
                  <c:v>-60980</c:v>
                </c:pt>
                <c:pt idx="935">
                  <c:v>-60780</c:v>
                </c:pt>
                <c:pt idx="936">
                  <c:v>-60180</c:v>
                </c:pt>
                <c:pt idx="937">
                  <c:v>-56080</c:v>
                </c:pt>
                <c:pt idx="938">
                  <c:v>-55180</c:v>
                </c:pt>
                <c:pt idx="939">
                  <c:v>-53380</c:v>
                </c:pt>
                <c:pt idx="940">
                  <c:v>-53280</c:v>
                </c:pt>
                <c:pt idx="941">
                  <c:v>-54280</c:v>
                </c:pt>
                <c:pt idx="942">
                  <c:v>-54080</c:v>
                </c:pt>
                <c:pt idx="943">
                  <c:v>-53680</c:v>
                </c:pt>
                <c:pt idx="944">
                  <c:v>-62680</c:v>
                </c:pt>
                <c:pt idx="945">
                  <c:v>-56480</c:v>
                </c:pt>
                <c:pt idx="946">
                  <c:v>-57880</c:v>
                </c:pt>
                <c:pt idx="947">
                  <c:v>-56480</c:v>
                </c:pt>
                <c:pt idx="948">
                  <c:v>-63980</c:v>
                </c:pt>
                <c:pt idx="949">
                  <c:v>-59980</c:v>
                </c:pt>
                <c:pt idx="950">
                  <c:v>-57380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Hogs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5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-600</c:v>
                </c:pt>
                <c:pt idx="7">
                  <c:v>400</c:v>
                </c:pt>
                <c:pt idx="8">
                  <c:v>-1380</c:v>
                </c:pt>
                <c:pt idx="9">
                  <c:v>3920</c:v>
                </c:pt>
                <c:pt idx="10">
                  <c:v>3820</c:v>
                </c:pt>
                <c:pt idx="11">
                  <c:v>4320</c:v>
                </c:pt>
                <c:pt idx="12">
                  <c:v>7120</c:v>
                </c:pt>
                <c:pt idx="13">
                  <c:v>3420</c:v>
                </c:pt>
                <c:pt idx="14">
                  <c:v>5420</c:v>
                </c:pt>
                <c:pt idx="15">
                  <c:v>4020</c:v>
                </c:pt>
                <c:pt idx="16">
                  <c:v>7780</c:v>
                </c:pt>
                <c:pt idx="17">
                  <c:v>24680</c:v>
                </c:pt>
                <c:pt idx="18">
                  <c:v>22260</c:v>
                </c:pt>
                <c:pt idx="19">
                  <c:v>24360</c:v>
                </c:pt>
                <c:pt idx="20">
                  <c:v>22160</c:v>
                </c:pt>
                <c:pt idx="21">
                  <c:v>24360</c:v>
                </c:pt>
                <c:pt idx="22">
                  <c:v>29260</c:v>
                </c:pt>
                <c:pt idx="23">
                  <c:v>28660</c:v>
                </c:pt>
                <c:pt idx="24">
                  <c:v>28760</c:v>
                </c:pt>
                <c:pt idx="25">
                  <c:v>32560</c:v>
                </c:pt>
                <c:pt idx="26">
                  <c:v>24240</c:v>
                </c:pt>
                <c:pt idx="27">
                  <c:v>22460</c:v>
                </c:pt>
                <c:pt idx="28">
                  <c:v>21960</c:v>
                </c:pt>
                <c:pt idx="29">
                  <c:v>22160</c:v>
                </c:pt>
                <c:pt idx="30">
                  <c:v>24060</c:v>
                </c:pt>
                <c:pt idx="31">
                  <c:v>24360</c:v>
                </c:pt>
                <c:pt idx="32">
                  <c:v>23880</c:v>
                </c:pt>
                <c:pt idx="33">
                  <c:v>23380</c:v>
                </c:pt>
                <c:pt idx="34">
                  <c:v>23580</c:v>
                </c:pt>
                <c:pt idx="35">
                  <c:v>20420</c:v>
                </c:pt>
                <c:pt idx="36">
                  <c:v>21840</c:v>
                </c:pt>
                <c:pt idx="37">
                  <c:v>22540</c:v>
                </c:pt>
                <c:pt idx="38">
                  <c:v>22540</c:v>
                </c:pt>
                <c:pt idx="39">
                  <c:v>22240</c:v>
                </c:pt>
                <c:pt idx="40">
                  <c:v>22040</c:v>
                </c:pt>
                <c:pt idx="41">
                  <c:v>22840</c:v>
                </c:pt>
                <c:pt idx="42">
                  <c:v>22240</c:v>
                </c:pt>
                <c:pt idx="43">
                  <c:v>20660</c:v>
                </c:pt>
                <c:pt idx="44">
                  <c:v>21220</c:v>
                </c:pt>
                <c:pt idx="45">
                  <c:v>20980</c:v>
                </c:pt>
                <c:pt idx="46">
                  <c:v>22680</c:v>
                </c:pt>
                <c:pt idx="47">
                  <c:v>11800</c:v>
                </c:pt>
                <c:pt idx="48">
                  <c:v>11400</c:v>
                </c:pt>
                <c:pt idx="49">
                  <c:v>16000</c:v>
                </c:pt>
                <c:pt idx="50">
                  <c:v>13540</c:v>
                </c:pt>
                <c:pt idx="51">
                  <c:v>23740</c:v>
                </c:pt>
                <c:pt idx="52">
                  <c:v>21340</c:v>
                </c:pt>
                <c:pt idx="53">
                  <c:v>35880</c:v>
                </c:pt>
                <c:pt idx="54">
                  <c:v>38680</c:v>
                </c:pt>
                <c:pt idx="55">
                  <c:v>64900</c:v>
                </c:pt>
                <c:pt idx="56">
                  <c:v>69680</c:v>
                </c:pt>
                <c:pt idx="57">
                  <c:v>60380</c:v>
                </c:pt>
                <c:pt idx="58">
                  <c:v>63180</c:v>
                </c:pt>
                <c:pt idx="59">
                  <c:v>60080</c:v>
                </c:pt>
                <c:pt idx="60">
                  <c:v>40820</c:v>
                </c:pt>
                <c:pt idx="61">
                  <c:v>38800</c:v>
                </c:pt>
                <c:pt idx="62">
                  <c:v>39780</c:v>
                </c:pt>
                <c:pt idx="63">
                  <c:v>39080</c:v>
                </c:pt>
                <c:pt idx="64">
                  <c:v>41900</c:v>
                </c:pt>
                <c:pt idx="65">
                  <c:v>38120</c:v>
                </c:pt>
                <c:pt idx="66">
                  <c:v>40020</c:v>
                </c:pt>
                <c:pt idx="67">
                  <c:v>43980</c:v>
                </c:pt>
                <c:pt idx="68">
                  <c:v>40440</c:v>
                </c:pt>
                <c:pt idx="69">
                  <c:v>40220</c:v>
                </c:pt>
                <c:pt idx="70">
                  <c:v>39880</c:v>
                </c:pt>
                <c:pt idx="71">
                  <c:v>39880</c:v>
                </c:pt>
                <c:pt idx="72">
                  <c:v>39880</c:v>
                </c:pt>
                <c:pt idx="73">
                  <c:v>39400</c:v>
                </c:pt>
                <c:pt idx="74">
                  <c:v>38920</c:v>
                </c:pt>
                <c:pt idx="75">
                  <c:v>40820</c:v>
                </c:pt>
                <c:pt idx="76">
                  <c:v>48420</c:v>
                </c:pt>
                <c:pt idx="77">
                  <c:v>51100</c:v>
                </c:pt>
                <c:pt idx="78">
                  <c:v>45880</c:v>
                </c:pt>
                <c:pt idx="79">
                  <c:v>41880</c:v>
                </c:pt>
                <c:pt idx="80">
                  <c:v>42580</c:v>
                </c:pt>
                <c:pt idx="81">
                  <c:v>51160</c:v>
                </c:pt>
                <c:pt idx="82">
                  <c:v>55160</c:v>
                </c:pt>
                <c:pt idx="83">
                  <c:v>57740</c:v>
                </c:pt>
                <c:pt idx="84">
                  <c:v>58040</c:v>
                </c:pt>
                <c:pt idx="85">
                  <c:v>58540</c:v>
                </c:pt>
                <c:pt idx="86">
                  <c:v>59840</c:v>
                </c:pt>
                <c:pt idx="87">
                  <c:v>59940</c:v>
                </c:pt>
                <c:pt idx="88">
                  <c:v>59840</c:v>
                </c:pt>
                <c:pt idx="89">
                  <c:v>57340</c:v>
                </c:pt>
                <c:pt idx="90">
                  <c:v>57700</c:v>
                </c:pt>
                <c:pt idx="91">
                  <c:v>59260</c:v>
                </c:pt>
                <c:pt idx="92">
                  <c:v>46940</c:v>
                </c:pt>
                <c:pt idx="93">
                  <c:v>39380</c:v>
                </c:pt>
                <c:pt idx="94">
                  <c:v>46200</c:v>
                </c:pt>
                <c:pt idx="95">
                  <c:v>72900</c:v>
                </c:pt>
                <c:pt idx="96">
                  <c:v>64380</c:v>
                </c:pt>
                <c:pt idx="97">
                  <c:v>66880</c:v>
                </c:pt>
                <c:pt idx="98">
                  <c:v>56400</c:v>
                </c:pt>
                <c:pt idx="99">
                  <c:v>57060</c:v>
                </c:pt>
                <c:pt idx="100">
                  <c:v>58280</c:v>
                </c:pt>
                <c:pt idx="101">
                  <c:v>73080</c:v>
                </c:pt>
                <c:pt idx="102">
                  <c:v>72520</c:v>
                </c:pt>
                <c:pt idx="103">
                  <c:v>75220</c:v>
                </c:pt>
                <c:pt idx="104">
                  <c:v>76220</c:v>
                </c:pt>
                <c:pt idx="105">
                  <c:v>74920</c:v>
                </c:pt>
                <c:pt idx="106">
                  <c:v>75620</c:v>
                </c:pt>
                <c:pt idx="107">
                  <c:v>77720</c:v>
                </c:pt>
                <c:pt idx="108">
                  <c:v>77720</c:v>
                </c:pt>
                <c:pt idx="109">
                  <c:v>79500</c:v>
                </c:pt>
                <c:pt idx="110">
                  <c:v>82200</c:v>
                </c:pt>
                <c:pt idx="111">
                  <c:v>82800</c:v>
                </c:pt>
                <c:pt idx="112">
                  <c:v>86400</c:v>
                </c:pt>
                <c:pt idx="113">
                  <c:v>89280</c:v>
                </c:pt>
                <c:pt idx="114">
                  <c:v>89280</c:v>
                </c:pt>
                <c:pt idx="115">
                  <c:v>89280</c:v>
                </c:pt>
                <c:pt idx="116">
                  <c:v>89280</c:v>
                </c:pt>
                <c:pt idx="117">
                  <c:v>89280</c:v>
                </c:pt>
                <c:pt idx="118">
                  <c:v>88800</c:v>
                </c:pt>
                <c:pt idx="119">
                  <c:v>89400</c:v>
                </c:pt>
                <c:pt idx="120">
                  <c:v>90640</c:v>
                </c:pt>
                <c:pt idx="121">
                  <c:v>90480</c:v>
                </c:pt>
                <c:pt idx="122">
                  <c:v>93280</c:v>
                </c:pt>
                <c:pt idx="123">
                  <c:v>93280</c:v>
                </c:pt>
                <c:pt idx="124">
                  <c:v>96560</c:v>
                </c:pt>
                <c:pt idx="125">
                  <c:v>95860</c:v>
                </c:pt>
                <c:pt idx="126">
                  <c:v>95160</c:v>
                </c:pt>
                <c:pt idx="127">
                  <c:v>98160</c:v>
                </c:pt>
                <c:pt idx="128">
                  <c:v>97460</c:v>
                </c:pt>
                <c:pt idx="129">
                  <c:v>97960</c:v>
                </c:pt>
                <c:pt idx="130">
                  <c:v>98640</c:v>
                </c:pt>
                <c:pt idx="131">
                  <c:v>100840</c:v>
                </c:pt>
                <c:pt idx="132">
                  <c:v>101040</c:v>
                </c:pt>
                <c:pt idx="133">
                  <c:v>101240</c:v>
                </c:pt>
                <c:pt idx="134">
                  <c:v>101040</c:v>
                </c:pt>
                <c:pt idx="135">
                  <c:v>101240</c:v>
                </c:pt>
                <c:pt idx="136">
                  <c:v>101440</c:v>
                </c:pt>
                <c:pt idx="137">
                  <c:v>101440</c:v>
                </c:pt>
                <c:pt idx="138">
                  <c:v>101440</c:v>
                </c:pt>
                <c:pt idx="139">
                  <c:v>100960</c:v>
                </c:pt>
                <c:pt idx="140">
                  <c:v>105560</c:v>
                </c:pt>
                <c:pt idx="141">
                  <c:v>103920</c:v>
                </c:pt>
                <c:pt idx="142">
                  <c:v>106120</c:v>
                </c:pt>
                <c:pt idx="143">
                  <c:v>105180</c:v>
                </c:pt>
                <c:pt idx="144">
                  <c:v>105180</c:v>
                </c:pt>
                <c:pt idx="145">
                  <c:v>105180</c:v>
                </c:pt>
                <c:pt idx="146">
                  <c:v>105180</c:v>
                </c:pt>
                <c:pt idx="147">
                  <c:v>105080</c:v>
                </c:pt>
                <c:pt idx="148">
                  <c:v>102280</c:v>
                </c:pt>
                <c:pt idx="149">
                  <c:v>102580</c:v>
                </c:pt>
                <c:pt idx="150">
                  <c:v>98980</c:v>
                </c:pt>
                <c:pt idx="151">
                  <c:v>101380</c:v>
                </c:pt>
                <c:pt idx="152">
                  <c:v>103880</c:v>
                </c:pt>
                <c:pt idx="153">
                  <c:v>107080</c:v>
                </c:pt>
                <c:pt idx="154">
                  <c:v>111180</c:v>
                </c:pt>
                <c:pt idx="155">
                  <c:v>112880</c:v>
                </c:pt>
                <c:pt idx="156">
                  <c:v>111780</c:v>
                </c:pt>
                <c:pt idx="157">
                  <c:v>113280</c:v>
                </c:pt>
                <c:pt idx="158">
                  <c:v>111980</c:v>
                </c:pt>
                <c:pt idx="159">
                  <c:v>115180</c:v>
                </c:pt>
                <c:pt idx="160">
                  <c:v>117080</c:v>
                </c:pt>
                <c:pt idx="161">
                  <c:v>119400</c:v>
                </c:pt>
                <c:pt idx="162">
                  <c:v>116160</c:v>
                </c:pt>
                <c:pt idx="163">
                  <c:v>116460</c:v>
                </c:pt>
                <c:pt idx="164">
                  <c:v>115360</c:v>
                </c:pt>
                <c:pt idx="165">
                  <c:v>116040</c:v>
                </c:pt>
                <c:pt idx="166">
                  <c:v>116500</c:v>
                </c:pt>
                <c:pt idx="167">
                  <c:v>122860</c:v>
                </c:pt>
                <c:pt idx="168">
                  <c:v>120560</c:v>
                </c:pt>
                <c:pt idx="169">
                  <c:v>117720</c:v>
                </c:pt>
                <c:pt idx="170">
                  <c:v>112120</c:v>
                </c:pt>
                <c:pt idx="171">
                  <c:v>113520</c:v>
                </c:pt>
                <c:pt idx="172">
                  <c:v>108280</c:v>
                </c:pt>
                <c:pt idx="173">
                  <c:v>112880</c:v>
                </c:pt>
                <c:pt idx="174">
                  <c:v>109820</c:v>
                </c:pt>
                <c:pt idx="175">
                  <c:v>112220</c:v>
                </c:pt>
                <c:pt idx="176">
                  <c:v>119400</c:v>
                </c:pt>
                <c:pt idx="177">
                  <c:v>116420</c:v>
                </c:pt>
                <c:pt idx="178">
                  <c:v>130820</c:v>
                </c:pt>
                <c:pt idx="179">
                  <c:v>131720</c:v>
                </c:pt>
                <c:pt idx="180">
                  <c:v>130120</c:v>
                </c:pt>
                <c:pt idx="181">
                  <c:v>128720</c:v>
                </c:pt>
                <c:pt idx="182">
                  <c:v>129320</c:v>
                </c:pt>
                <c:pt idx="183">
                  <c:v>129720</c:v>
                </c:pt>
                <c:pt idx="184">
                  <c:v>141420</c:v>
                </c:pt>
                <c:pt idx="185">
                  <c:v>134520</c:v>
                </c:pt>
                <c:pt idx="186">
                  <c:v>136020</c:v>
                </c:pt>
                <c:pt idx="187">
                  <c:v>137800</c:v>
                </c:pt>
                <c:pt idx="188">
                  <c:v>129080</c:v>
                </c:pt>
                <c:pt idx="189">
                  <c:v>130380</c:v>
                </c:pt>
                <c:pt idx="190">
                  <c:v>157320</c:v>
                </c:pt>
                <c:pt idx="191">
                  <c:v>164040</c:v>
                </c:pt>
                <c:pt idx="192">
                  <c:v>155300</c:v>
                </c:pt>
                <c:pt idx="193">
                  <c:v>156500</c:v>
                </c:pt>
                <c:pt idx="194">
                  <c:v>149000</c:v>
                </c:pt>
                <c:pt idx="195">
                  <c:v>139900</c:v>
                </c:pt>
                <c:pt idx="196">
                  <c:v>137640</c:v>
                </c:pt>
                <c:pt idx="197">
                  <c:v>138840</c:v>
                </c:pt>
                <c:pt idx="198">
                  <c:v>140840</c:v>
                </c:pt>
                <c:pt idx="199">
                  <c:v>141840</c:v>
                </c:pt>
                <c:pt idx="200">
                  <c:v>141640</c:v>
                </c:pt>
                <c:pt idx="201">
                  <c:v>136360</c:v>
                </c:pt>
                <c:pt idx="202">
                  <c:v>139780</c:v>
                </c:pt>
                <c:pt idx="203">
                  <c:v>144100</c:v>
                </c:pt>
                <c:pt idx="204">
                  <c:v>144520</c:v>
                </c:pt>
                <c:pt idx="205">
                  <c:v>155400</c:v>
                </c:pt>
                <c:pt idx="206">
                  <c:v>166200</c:v>
                </c:pt>
                <c:pt idx="207">
                  <c:v>163820</c:v>
                </c:pt>
                <c:pt idx="208">
                  <c:v>157620</c:v>
                </c:pt>
                <c:pt idx="209">
                  <c:v>156820</c:v>
                </c:pt>
                <c:pt idx="210">
                  <c:v>164020</c:v>
                </c:pt>
                <c:pt idx="211">
                  <c:v>160620</c:v>
                </c:pt>
                <c:pt idx="212">
                  <c:v>169120</c:v>
                </c:pt>
                <c:pt idx="213">
                  <c:v>174220</c:v>
                </c:pt>
                <c:pt idx="214">
                  <c:v>181000</c:v>
                </c:pt>
                <c:pt idx="215">
                  <c:v>176900</c:v>
                </c:pt>
                <c:pt idx="216">
                  <c:v>165420</c:v>
                </c:pt>
                <c:pt idx="217">
                  <c:v>156200</c:v>
                </c:pt>
                <c:pt idx="218">
                  <c:v>152660</c:v>
                </c:pt>
                <c:pt idx="219">
                  <c:v>152660</c:v>
                </c:pt>
                <c:pt idx="220">
                  <c:v>152060</c:v>
                </c:pt>
                <c:pt idx="221">
                  <c:v>149280</c:v>
                </c:pt>
                <c:pt idx="222">
                  <c:v>149880</c:v>
                </c:pt>
                <c:pt idx="223">
                  <c:v>153280</c:v>
                </c:pt>
                <c:pt idx="224">
                  <c:v>152260</c:v>
                </c:pt>
                <c:pt idx="225">
                  <c:v>144280</c:v>
                </c:pt>
                <c:pt idx="226">
                  <c:v>143060</c:v>
                </c:pt>
                <c:pt idx="227">
                  <c:v>144060</c:v>
                </c:pt>
                <c:pt idx="228">
                  <c:v>143080</c:v>
                </c:pt>
                <c:pt idx="229">
                  <c:v>143420</c:v>
                </c:pt>
                <c:pt idx="230">
                  <c:v>142920</c:v>
                </c:pt>
                <c:pt idx="231">
                  <c:v>143420</c:v>
                </c:pt>
                <c:pt idx="232">
                  <c:v>143820</c:v>
                </c:pt>
                <c:pt idx="233">
                  <c:v>141420</c:v>
                </c:pt>
                <c:pt idx="234">
                  <c:v>141220</c:v>
                </c:pt>
                <c:pt idx="235">
                  <c:v>140560</c:v>
                </c:pt>
                <c:pt idx="236">
                  <c:v>140240</c:v>
                </c:pt>
                <c:pt idx="237">
                  <c:v>139940</c:v>
                </c:pt>
                <c:pt idx="238">
                  <c:v>140440</c:v>
                </c:pt>
                <c:pt idx="239">
                  <c:v>140940</c:v>
                </c:pt>
                <c:pt idx="240">
                  <c:v>139480</c:v>
                </c:pt>
                <c:pt idx="241">
                  <c:v>145280</c:v>
                </c:pt>
                <c:pt idx="242">
                  <c:v>149440</c:v>
                </c:pt>
                <c:pt idx="243">
                  <c:v>152420</c:v>
                </c:pt>
                <c:pt idx="244">
                  <c:v>152300</c:v>
                </c:pt>
                <c:pt idx="245">
                  <c:v>155300</c:v>
                </c:pt>
                <c:pt idx="246">
                  <c:v>155300</c:v>
                </c:pt>
                <c:pt idx="247">
                  <c:v>153600</c:v>
                </c:pt>
                <c:pt idx="248">
                  <c:v>152880</c:v>
                </c:pt>
                <c:pt idx="249">
                  <c:v>154680</c:v>
                </c:pt>
                <c:pt idx="250">
                  <c:v>159980</c:v>
                </c:pt>
                <c:pt idx="251">
                  <c:v>155780</c:v>
                </c:pt>
                <c:pt idx="252">
                  <c:v>155780</c:v>
                </c:pt>
                <c:pt idx="253">
                  <c:v>156580</c:v>
                </c:pt>
                <c:pt idx="254">
                  <c:v>155580</c:v>
                </c:pt>
                <c:pt idx="255">
                  <c:v>160280</c:v>
                </c:pt>
                <c:pt idx="256">
                  <c:v>158580</c:v>
                </c:pt>
                <c:pt idx="257">
                  <c:v>161080</c:v>
                </c:pt>
                <c:pt idx="258">
                  <c:v>158780</c:v>
                </c:pt>
                <c:pt idx="259">
                  <c:v>160880</c:v>
                </c:pt>
                <c:pt idx="260">
                  <c:v>157980</c:v>
                </c:pt>
                <c:pt idx="261">
                  <c:v>151620</c:v>
                </c:pt>
                <c:pt idx="262">
                  <c:v>151500</c:v>
                </c:pt>
                <c:pt idx="263">
                  <c:v>151800</c:v>
                </c:pt>
                <c:pt idx="264">
                  <c:v>151600</c:v>
                </c:pt>
                <c:pt idx="265">
                  <c:v>154460</c:v>
                </c:pt>
                <c:pt idx="266">
                  <c:v>154160</c:v>
                </c:pt>
                <c:pt idx="267">
                  <c:v>155560</c:v>
                </c:pt>
                <c:pt idx="268">
                  <c:v>153160</c:v>
                </c:pt>
                <c:pt idx="269">
                  <c:v>155820</c:v>
                </c:pt>
                <c:pt idx="270">
                  <c:v>148260</c:v>
                </c:pt>
                <c:pt idx="271">
                  <c:v>145160</c:v>
                </c:pt>
                <c:pt idx="272">
                  <c:v>145160</c:v>
                </c:pt>
                <c:pt idx="273">
                  <c:v>144860</c:v>
                </c:pt>
                <c:pt idx="274">
                  <c:v>144760</c:v>
                </c:pt>
                <c:pt idx="275">
                  <c:v>144620</c:v>
                </c:pt>
                <c:pt idx="276">
                  <c:v>145920</c:v>
                </c:pt>
                <c:pt idx="277">
                  <c:v>145820</c:v>
                </c:pt>
                <c:pt idx="278">
                  <c:v>142920</c:v>
                </c:pt>
                <c:pt idx="279">
                  <c:v>146800</c:v>
                </c:pt>
                <c:pt idx="280">
                  <c:v>148100</c:v>
                </c:pt>
                <c:pt idx="281">
                  <c:v>144900</c:v>
                </c:pt>
                <c:pt idx="282">
                  <c:v>143600</c:v>
                </c:pt>
                <c:pt idx="283">
                  <c:v>143900</c:v>
                </c:pt>
                <c:pt idx="284">
                  <c:v>150080</c:v>
                </c:pt>
                <c:pt idx="285">
                  <c:v>147980</c:v>
                </c:pt>
                <c:pt idx="286">
                  <c:v>141420</c:v>
                </c:pt>
                <c:pt idx="287">
                  <c:v>141320</c:v>
                </c:pt>
                <c:pt idx="288">
                  <c:v>141340</c:v>
                </c:pt>
                <c:pt idx="289">
                  <c:v>141500</c:v>
                </c:pt>
                <c:pt idx="290">
                  <c:v>139760</c:v>
                </c:pt>
                <c:pt idx="291">
                  <c:v>140040</c:v>
                </c:pt>
                <c:pt idx="292">
                  <c:v>140540</c:v>
                </c:pt>
                <c:pt idx="293">
                  <c:v>139460</c:v>
                </c:pt>
                <c:pt idx="294">
                  <c:v>137260</c:v>
                </c:pt>
                <c:pt idx="295">
                  <c:v>138280</c:v>
                </c:pt>
                <c:pt idx="296">
                  <c:v>137880</c:v>
                </c:pt>
                <c:pt idx="297">
                  <c:v>141980</c:v>
                </c:pt>
                <c:pt idx="298">
                  <c:v>157420</c:v>
                </c:pt>
                <c:pt idx="299">
                  <c:v>158100</c:v>
                </c:pt>
                <c:pt idx="300">
                  <c:v>172000</c:v>
                </c:pt>
                <c:pt idx="301">
                  <c:v>179660</c:v>
                </c:pt>
                <c:pt idx="302">
                  <c:v>191060</c:v>
                </c:pt>
                <c:pt idx="303">
                  <c:v>202640</c:v>
                </c:pt>
                <c:pt idx="304">
                  <c:v>202940</c:v>
                </c:pt>
                <c:pt idx="305">
                  <c:v>203740</c:v>
                </c:pt>
                <c:pt idx="306">
                  <c:v>203040</c:v>
                </c:pt>
                <c:pt idx="307">
                  <c:v>203740</c:v>
                </c:pt>
                <c:pt idx="308">
                  <c:v>203940</c:v>
                </c:pt>
                <c:pt idx="309">
                  <c:v>204240</c:v>
                </c:pt>
                <c:pt idx="310">
                  <c:v>204240</c:v>
                </c:pt>
                <c:pt idx="311">
                  <c:v>204040</c:v>
                </c:pt>
                <c:pt idx="312">
                  <c:v>204140</c:v>
                </c:pt>
                <c:pt idx="313">
                  <c:v>204240</c:v>
                </c:pt>
                <c:pt idx="314">
                  <c:v>204340</c:v>
                </c:pt>
                <c:pt idx="315">
                  <c:v>204440</c:v>
                </c:pt>
                <c:pt idx="316">
                  <c:v>204340</c:v>
                </c:pt>
                <c:pt idx="317">
                  <c:v>204440</c:v>
                </c:pt>
                <c:pt idx="318">
                  <c:v>204440</c:v>
                </c:pt>
                <c:pt idx="319">
                  <c:v>204440</c:v>
                </c:pt>
                <c:pt idx="320">
                  <c:v>204100</c:v>
                </c:pt>
                <c:pt idx="321">
                  <c:v>204100</c:v>
                </c:pt>
                <c:pt idx="322">
                  <c:v>203980</c:v>
                </c:pt>
                <c:pt idx="323">
                  <c:v>203980</c:v>
                </c:pt>
                <c:pt idx="324">
                  <c:v>203980</c:v>
                </c:pt>
                <c:pt idx="325">
                  <c:v>203740</c:v>
                </c:pt>
                <c:pt idx="326">
                  <c:v>203740</c:v>
                </c:pt>
                <c:pt idx="327">
                  <c:v>203740</c:v>
                </c:pt>
                <c:pt idx="328">
                  <c:v>203740</c:v>
                </c:pt>
                <c:pt idx="329">
                  <c:v>203740</c:v>
                </c:pt>
                <c:pt idx="330">
                  <c:v>203740</c:v>
                </c:pt>
                <c:pt idx="331">
                  <c:v>203740</c:v>
                </c:pt>
                <c:pt idx="332">
                  <c:v>203740</c:v>
                </c:pt>
                <c:pt idx="333">
                  <c:v>203740</c:v>
                </c:pt>
                <c:pt idx="334">
                  <c:v>203260</c:v>
                </c:pt>
                <c:pt idx="335">
                  <c:v>221640</c:v>
                </c:pt>
                <c:pt idx="336">
                  <c:v>217000</c:v>
                </c:pt>
                <c:pt idx="337">
                  <c:v>213360</c:v>
                </c:pt>
                <c:pt idx="338">
                  <c:v>215360</c:v>
                </c:pt>
                <c:pt idx="339">
                  <c:v>220760</c:v>
                </c:pt>
                <c:pt idx="340">
                  <c:v>215920</c:v>
                </c:pt>
                <c:pt idx="341">
                  <c:v>215920</c:v>
                </c:pt>
                <c:pt idx="342">
                  <c:v>215920</c:v>
                </c:pt>
                <c:pt idx="343">
                  <c:v>215920</c:v>
                </c:pt>
                <c:pt idx="344">
                  <c:v>215920</c:v>
                </c:pt>
                <c:pt idx="345">
                  <c:v>215920</c:v>
                </c:pt>
                <c:pt idx="346">
                  <c:v>215920</c:v>
                </c:pt>
                <c:pt idx="347">
                  <c:v>215920</c:v>
                </c:pt>
                <c:pt idx="348">
                  <c:v>215920</c:v>
                </c:pt>
                <c:pt idx="349">
                  <c:v>215800</c:v>
                </c:pt>
                <c:pt idx="350">
                  <c:v>216900</c:v>
                </c:pt>
                <c:pt idx="351">
                  <c:v>212980</c:v>
                </c:pt>
                <c:pt idx="352">
                  <c:v>207820</c:v>
                </c:pt>
                <c:pt idx="353">
                  <c:v>208320</c:v>
                </c:pt>
                <c:pt idx="354">
                  <c:v>203360</c:v>
                </c:pt>
                <c:pt idx="355">
                  <c:v>203360</c:v>
                </c:pt>
                <c:pt idx="356">
                  <c:v>202880</c:v>
                </c:pt>
                <c:pt idx="357">
                  <c:v>201480</c:v>
                </c:pt>
                <c:pt idx="358">
                  <c:v>199280</c:v>
                </c:pt>
                <c:pt idx="359">
                  <c:v>200480</c:v>
                </c:pt>
                <c:pt idx="360">
                  <c:v>197880</c:v>
                </c:pt>
                <c:pt idx="361">
                  <c:v>199800</c:v>
                </c:pt>
                <c:pt idx="362">
                  <c:v>199800</c:v>
                </c:pt>
                <c:pt idx="363">
                  <c:v>199800</c:v>
                </c:pt>
                <c:pt idx="364">
                  <c:v>199800</c:v>
                </c:pt>
                <c:pt idx="365">
                  <c:v>199800</c:v>
                </c:pt>
                <c:pt idx="366">
                  <c:v>199800</c:v>
                </c:pt>
                <c:pt idx="367">
                  <c:v>199800</c:v>
                </c:pt>
                <c:pt idx="368">
                  <c:v>199800</c:v>
                </c:pt>
                <c:pt idx="369">
                  <c:v>199700</c:v>
                </c:pt>
                <c:pt idx="370">
                  <c:v>199800</c:v>
                </c:pt>
                <c:pt idx="371">
                  <c:v>199800</c:v>
                </c:pt>
                <c:pt idx="372">
                  <c:v>199800</c:v>
                </c:pt>
                <c:pt idx="373">
                  <c:v>199700</c:v>
                </c:pt>
                <c:pt idx="374">
                  <c:v>199700</c:v>
                </c:pt>
                <c:pt idx="375">
                  <c:v>199700</c:v>
                </c:pt>
                <c:pt idx="376">
                  <c:v>199800</c:v>
                </c:pt>
                <c:pt idx="377">
                  <c:v>199700</c:v>
                </c:pt>
                <c:pt idx="378">
                  <c:v>199320</c:v>
                </c:pt>
                <c:pt idx="379">
                  <c:v>205200</c:v>
                </c:pt>
                <c:pt idx="380">
                  <c:v>205000</c:v>
                </c:pt>
                <c:pt idx="381">
                  <c:v>204700</c:v>
                </c:pt>
                <c:pt idx="382">
                  <c:v>203780</c:v>
                </c:pt>
                <c:pt idx="383">
                  <c:v>203580</c:v>
                </c:pt>
                <c:pt idx="384">
                  <c:v>206300</c:v>
                </c:pt>
                <c:pt idx="385">
                  <c:v>246500</c:v>
                </c:pt>
                <c:pt idx="386">
                  <c:v>237540</c:v>
                </c:pt>
                <c:pt idx="387">
                  <c:v>243040</c:v>
                </c:pt>
                <c:pt idx="388">
                  <c:v>264220</c:v>
                </c:pt>
                <c:pt idx="389">
                  <c:v>300320</c:v>
                </c:pt>
                <c:pt idx="390">
                  <c:v>252240</c:v>
                </c:pt>
                <c:pt idx="391">
                  <c:v>244240</c:v>
                </c:pt>
                <c:pt idx="392">
                  <c:v>274240</c:v>
                </c:pt>
                <c:pt idx="393">
                  <c:v>278140</c:v>
                </c:pt>
                <c:pt idx="394">
                  <c:v>276440</c:v>
                </c:pt>
                <c:pt idx="395">
                  <c:v>283240</c:v>
                </c:pt>
                <c:pt idx="396">
                  <c:v>316540</c:v>
                </c:pt>
                <c:pt idx="397">
                  <c:v>301460</c:v>
                </c:pt>
                <c:pt idx="398">
                  <c:v>298960</c:v>
                </c:pt>
                <c:pt idx="399">
                  <c:v>309460</c:v>
                </c:pt>
                <c:pt idx="400">
                  <c:v>321980</c:v>
                </c:pt>
                <c:pt idx="401">
                  <c:v>315020</c:v>
                </c:pt>
                <c:pt idx="402">
                  <c:v>300260</c:v>
                </c:pt>
                <c:pt idx="403">
                  <c:v>298420</c:v>
                </c:pt>
                <c:pt idx="404">
                  <c:v>308260</c:v>
                </c:pt>
                <c:pt idx="405">
                  <c:v>290100</c:v>
                </c:pt>
                <c:pt idx="406">
                  <c:v>330200</c:v>
                </c:pt>
                <c:pt idx="407">
                  <c:v>355040</c:v>
                </c:pt>
                <c:pt idx="408">
                  <c:v>347340</c:v>
                </c:pt>
                <c:pt idx="409">
                  <c:v>350040</c:v>
                </c:pt>
                <c:pt idx="410">
                  <c:v>371800</c:v>
                </c:pt>
                <c:pt idx="411">
                  <c:v>406780</c:v>
                </c:pt>
                <c:pt idx="412">
                  <c:v>408460</c:v>
                </c:pt>
                <c:pt idx="413">
                  <c:v>409960</c:v>
                </c:pt>
                <c:pt idx="414">
                  <c:v>411360</c:v>
                </c:pt>
                <c:pt idx="415">
                  <c:v>411960</c:v>
                </c:pt>
                <c:pt idx="416">
                  <c:v>411960</c:v>
                </c:pt>
                <c:pt idx="417">
                  <c:v>411780</c:v>
                </c:pt>
                <c:pt idx="418">
                  <c:v>411980</c:v>
                </c:pt>
                <c:pt idx="419">
                  <c:v>411980</c:v>
                </c:pt>
                <c:pt idx="420">
                  <c:v>411980</c:v>
                </c:pt>
                <c:pt idx="421">
                  <c:v>411980</c:v>
                </c:pt>
                <c:pt idx="422">
                  <c:v>411700</c:v>
                </c:pt>
                <c:pt idx="423">
                  <c:v>412160</c:v>
                </c:pt>
                <c:pt idx="424">
                  <c:v>410160</c:v>
                </c:pt>
                <c:pt idx="425">
                  <c:v>409880</c:v>
                </c:pt>
                <c:pt idx="426">
                  <c:v>424180</c:v>
                </c:pt>
                <c:pt idx="427">
                  <c:v>414380</c:v>
                </c:pt>
                <c:pt idx="428">
                  <c:v>420880</c:v>
                </c:pt>
                <c:pt idx="429">
                  <c:v>417580</c:v>
                </c:pt>
                <c:pt idx="430">
                  <c:v>406640</c:v>
                </c:pt>
                <c:pt idx="431">
                  <c:v>402120</c:v>
                </c:pt>
                <c:pt idx="432">
                  <c:v>404080</c:v>
                </c:pt>
                <c:pt idx="433">
                  <c:v>397100</c:v>
                </c:pt>
                <c:pt idx="434">
                  <c:v>411580</c:v>
                </c:pt>
                <c:pt idx="435">
                  <c:v>411680</c:v>
                </c:pt>
                <c:pt idx="436">
                  <c:v>429580</c:v>
                </c:pt>
                <c:pt idx="437">
                  <c:v>462480</c:v>
                </c:pt>
                <c:pt idx="438">
                  <c:v>513160</c:v>
                </c:pt>
                <c:pt idx="439">
                  <c:v>477240</c:v>
                </c:pt>
                <c:pt idx="440">
                  <c:v>481740</c:v>
                </c:pt>
                <c:pt idx="441">
                  <c:v>485540</c:v>
                </c:pt>
                <c:pt idx="442">
                  <c:v>484840</c:v>
                </c:pt>
                <c:pt idx="443">
                  <c:v>484540</c:v>
                </c:pt>
                <c:pt idx="444">
                  <c:v>484440</c:v>
                </c:pt>
                <c:pt idx="445">
                  <c:v>486140</c:v>
                </c:pt>
                <c:pt idx="446">
                  <c:v>485140</c:v>
                </c:pt>
                <c:pt idx="447">
                  <c:v>479340</c:v>
                </c:pt>
                <c:pt idx="448">
                  <c:v>506040</c:v>
                </c:pt>
                <c:pt idx="449">
                  <c:v>519540</c:v>
                </c:pt>
                <c:pt idx="450">
                  <c:v>520240</c:v>
                </c:pt>
                <c:pt idx="451">
                  <c:v>520340</c:v>
                </c:pt>
                <c:pt idx="452">
                  <c:v>518540</c:v>
                </c:pt>
                <c:pt idx="453">
                  <c:v>519040</c:v>
                </c:pt>
                <c:pt idx="454">
                  <c:v>520640</c:v>
                </c:pt>
                <c:pt idx="455">
                  <c:v>521140</c:v>
                </c:pt>
                <c:pt idx="456">
                  <c:v>521640</c:v>
                </c:pt>
                <c:pt idx="457">
                  <c:v>521020</c:v>
                </c:pt>
                <c:pt idx="458">
                  <c:v>519920</c:v>
                </c:pt>
                <c:pt idx="459">
                  <c:v>521680</c:v>
                </c:pt>
                <c:pt idx="460">
                  <c:v>522080</c:v>
                </c:pt>
                <c:pt idx="461">
                  <c:v>522280</c:v>
                </c:pt>
                <c:pt idx="462">
                  <c:v>522380</c:v>
                </c:pt>
                <c:pt idx="463">
                  <c:v>522380</c:v>
                </c:pt>
                <c:pt idx="464">
                  <c:v>522480</c:v>
                </c:pt>
                <c:pt idx="465">
                  <c:v>522000</c:v>
                </c:pt>
                <c:pt idx="466">
                  <c:v>515820</c:v>
                </c:pt>
                <c:pt idx="467">
                  <c:v>535800</c:v>
                </c:pt>
                <c:pt idx="468">
                  <c:v>530800</c:v>
                </c:pt>
                <c:pt idx="469">
                  <c:v>548900</c:v>
                </c:pt>
                <c:pt idx="470">
                  <c:v>562700</c:v>
                </c:pt>
                <c:pt idx="471">
                  <c:v>538100</c:v>
                </c:pt>
                <c:pt idx="472">
                  <c:v>554400</c:v>
                </c:pt>
                <c:pt idx="473">
                  <c:v>539160</c:v>
                </c:pt>
                <c:pt idx="474">
                  <c:v>550960</c:v>
                </c:pt>
                <c:pt idx="475">
                  <c:v>538260</c:v>
                </c:pt>
                <c:pt idx="476">
                  <c:v>561260</c:v>
                </c:pt>
                <c:pt idx="477">
                  <c:v>586480</c:v>
                </c:pt>
                <c:pt idx="478">
                  <c:v>565040</c:v>
                </c:pt>
                <c:pt idx="479">
                  <c:v>549740</c:v>
                </c:pt>
                <c:pt idx="480">
                  <c:v>560240</c:v>
                </c:pt>
                <c:pt idx="481">
                  <c:v>584540</c:v>
                </c:pt>
                <c:pt idx="482">
                  <c:v>574040</c:v>
                </c:pt>
                <c:pt idx="483">
                  <c:v>540380</c:v>
                </c:pt>
                <c:pt idx="484">
                  <c:v>526580</c:v>
                </c:pt>
                <c:pt idx="485">
                  <c:v>526460</c:v>
                </c:pt>
                <c:pt idx="486">
                  <c:v>527060</c:v>
                </c:pt>
                <c:pt idx="487">
                  <c:v>527020</c:v>
                </c:pt>
                <c:pt idx="488">
                  <c:v>526520</c:v>
                </c:pt>
                <c:pt idx="489">
                  <c:v>526260</c:v>
                </c:pt>
                <c:pt idx="490">
                  <c:v>532460</c:v>
                </c:pt>
                <c:pt idx="491">
                  <c:v>532460</c:v>
                </c:pt>
                <c:pt idx="492">
                  <c:v>537940</c:v>
                </c:pt>
                <c:pt idx="493">
                  <c:v>541040</c:v>
                </c:pt>
                <c:pt idx="494">
                  <c:v>536700</c:v>
                </c:pt>
                <c:pt idx="495">
                  <c:v>539080</c:v>
                </c:pt>
                <c:pt idx="496">
                  <c:v>536660</c:v>
                </c:pt>
                <c:pt idx="497">
                  <c:v>535280</c:v>
                </c:pt>
                <c:pt idx="498">
                  <c:v>548800</c:v>
                </c:pt>
                <c:pt idx="499">
                  <c:v>544100</c:v>
                </c:pt>
                <c:pt idx="500">
                  <c:v>552000</c:v>
                </c:pt>
                <c:pt idx="501">
                  <c:v>565560</c:v>
                </c:pt>
                <c:pt idx="502">
                  <c:v>569860</c:v>
                </c:pt>
                <c:pt idx="503">
                  <c:v>576820</c:v>
                </c:pt>
                <c:pt idx="504">
                  <c:v>578820</c:v>
                </c:pt>
                <c:pt idx="505">
                  <c:v>578220</c:v>
                </c:pt>
                <c:pt idx="506">
                  <c:v>571920</c:v>
                </c:pt>
                <c:pt idx="507">
                  <c:v>569520</c:v>
                </c:pt>
                <c:pt idx="508">
                  <c:v>569040</c:v>
                </c:pt>
                <c:pt idx="509">
                  <c:v>568340</c:v>
                </c:pt>
                <c:pt idx="510">
                  <c:v>577100</c:v>
                </c:pt>
                <c:pt idx="511">
                  <c:v>590500</c:v>
                </c:pt>
                <c:pt idx="512">
                  <c:v>578780</c:v>
                </c:pt>
                <c:pt idx="513">
                  <c:v>579080</c:v>
                </c:pt>
                <c:pt idx="514">
                  <c:v>584960</c:v>
                </c:pt>
                <c:pt idx="515">
                  <c:v>575660</c:v>
                </c:pt>
                <c:pt idx="516">
                  <c:v>576260</c:v>
                </c:pt>
                <c:pt idx="517">
                  <c:v>572440</c:v>
                </c:pt>
                <c:pt idx="518">
                  <c:v>575920</c:v>
                </c:pt>
                <c:pt idx="519">
                  <c:v>567780</c:v>
                </c:pt>
                <c:pt idx="520">
                  <c:v>574500</c:v>
                </c:pt>
                <c:pt idx="521">
                  <c:v>572400</c:v>
                </c:pt>
                <c:pt idx="522">
                  <c:v>572140</c:v>
                </c:pt>
                <c:pt idx="523">
                  <c:v>571040</c:v>
                </c:pt>
                <c:pt idx="524">
                  <c:v>577960</c:v>
                </c:pt>
                <c:pt idx="525">
                  <c:v>587540</c:v>
                </c:pt>
                <c:pt idx="526">
                  <c:v>576340</c:v>
                </c:pt>
                <c:pt idx="527">
                  <c:v>592140</c:v>
                </c:pt>
                <c:pt idx="528">
                  <c:v>591940</c:v>
                </c:pt>
                <c:pt idx="529">
                  <c:v>608680</c:v>
                </c:pt>
                <c:pt idx="530">
                  <c:v>622780</c:v>
                </c:pt>
                <c:pt idx="531">
                  <c:v>614680</c:v>
                </c:pt>
                <c:pt idx="532">
                  <c:v>618280</c:v>
                </c:pt>
                <c:pt idx="533">
                  <c:v>632380</c:v>
                </c:pt>
                <c:pt idx="534">
                  <c:v>634480</c:v>
                </c:pt>
                <c:pt idx="535">
                  <c:v>648280</c:v>
                </c:pt>
                <c:pt idx="536">
                  <c:v>647680</c:v>
                </c:pt>
                <c:pt idx="537">
                  <c:v>648580</c:v>
                </c:pt>
                <c:pt idx="538">
                  <c:v>655480</c:v>
                </c:pt>
                <c:pt idx="539">
                  <c:v>651040</c:v>
                </c:pt>
                <c:pt idx="540">
                  <c:v>653040</c:v>
                </c:pt>
                <c:pt idx="541">
                  <c:v>650440</c:v>
                </c:pt>
                <c:pt idx="542">
                  <c:v>654640</c:v>
                </c:pt>
                <c:pt idx="543">
                  <c:v>655240</c:v>
                </c:pt>
                <c:pt idx="544">
                  <c:v>655440</c:v>
                </c:pt>
                <c:pt idx="545">
                  <c:v>655640</c:v>
                </c:pt>
                <c:pt idx="546">
                  <c:v>655640</c:v>
                </c:pt>
                <c:pt idx="547">
                  <c:v>655640</c:v>
                </c:pt>
                <c:pt idx="548">
                  <c:v>655640</c:v>
                </c:pt>
                <c:pt idx="549">
                  <c:v>655840</c:v>
                </c:pt>
                <c:pt idx="550">
                  <c:v>655840</c:v>
                </c:pt>
                <c:pt idx="551">
                  <c:v>655840</c:v>
                </c:pt>
                <c:pt idx="552">
                  <c:v>655840</c:v>
                </c:pt>
                <c:pt idx="553">
                  <c:v>655360</c:v>
                </c:pt>
                <c:pt idx="554">
                  <c:v>655040</c:v>
                </c:pt>
                <c:pt idx="555">
                  <c:v>657600</c:v>
                </c:pt>
                <c:pt idx="556">
                  <c:v>657900</c:v>
                </c:pt>
                <c:pt idx="557">
                  <c:v>654300</c:v>
                </c:pt>
                <c:pt idx="558">
                  <c:v>654880</c:v>
                </c:pt>
                <c:pt idx="559">
                  <c:v>659740</c:v>
                </c:pt>
                <c:pt idx="560">
                  <c:v>658740</c:v>
                </c:pt>
                <c:pt idx="561">
                  <c:v>658540</c:v>
                </c:pt>
                <c:pt idx="562">
                  <c:v>653000</c:v>
                </c:pt>
                <c:pt idx="563">
                  <c:v>654200</c:v>
                </c:pt>
                <c:pt idx="564">
                  <c:v>648480</c:v>
                </c:pt>
                <c:pt idx="565">
                  <c:v>643720</c:v>
                </c:pt>
                <c:pt idx="566">
                  <c:v>650200</c:v>
                </c:pt>
                <c:pt idx="567">
                  <c:v>650200</c:v>
                </c:pt>
                <c:pt idx="568">
                  <c:v>650200</c:v>
                </c:pt>
                <c:pt idx="569">
                  <c:v>650200</c:v>
                </c:pt>
                <c:pt idx="570">
                  <c:v>651380</c:v>
                </c:pt>
                <c:pt idx="571">
                  <c:v>654000</c:v>
                </c:pt>
                <c:pt idx="572">
                  <c:v>674060</c:v>
                </c:pt>
                <c:pt idx="573">
                  <c:v>671640</c:v>
                </c:pt>
                <c:pt idx="574">
                  <c:v>675100</c:v>
                </c:pt>
                <c:pt idx="575">
                  <c:v>671200</c:v>
                </c:pt>
                <c:pt idx="576">
                  <c:v>689900</c:v>
                </c:pt>
                <c:pt idx="577">
                  <c:v>692000</c:v>
                </c:pt>
                <c:pt idx="578">
                  <c:v>689000</c:v>
                </c:pt>
                <c:pt idx="579">
                  <c:v>680200</c:v>
                </c:pt>
                <c:pt idx="580">
                  <c:v>687200</c:v>
                </c:pt>
                <c:pt idx="581">
                  <c:v>673600</c:v>
                </c:pt>
                <c:pt idx="582">
                  <c:v>662280</c:v>
                </c:pt>
                <c:pt idx="583">
                  <c:v>662480</c:v>
                </c:pt>
                <c:pt idx="584">
                  <c:v>659040</c:v>
                </c:pt>
                <c:pt idx="585">
                  <c:v>656680</c:v>
                </c:pt>
                <c:pt idx="586">
                  <c:v>653680</c:v>
                </c:pt>
                <c:pt idx="587">
                  <c:v>652080</c:v>
                </c:pt>
                <c:pt idx="588">
                  <c:v>651060</c:v>
                </c:pt>
                <c:pt idx="589">
                  <c:v>651060</c:v>
                </c:pt>
                <c:pt idx="590">
                  <c:v>651060</c:v>
                </c:pt>
                <c:pt idx="591">
                  <c:v>650940</c:v>
                </c:pt>
                <c:pt idx="592">
                  <c:v>650740</c:v>
                </c:pt>
                <c:pt idx="593">
                  <c:v>650740</c:v>
                </c:pt>
                <c:pt idx="594">
                  <c:v>650740</c:v>
                </c:pt>
                <c:pt idx="595">
                  <c:v>650740</c:v>
                </c:pt>
                <c:pt idx="596">
                  <c:v>650260</c:v>
                </c:pt>
                <c:pt idx="597">
                  <c:v>665420</c:v>
                </c:pt>
                <c:pt idx="598">
                  <c:v>662780</c:v>
                </c:pt>
                <c:pt idx="599">
                  <c:v>657440</c:v>
                </c:pt>
                <c:pt idx="600">
                  <c:v>662220</c:v>
                </c:pt>
                <c:pt idx="601">
                  <c:v>655220</c:v>
                </c:pt>
                <c:pt idx="602">
                  <c:v>666420</c:v>
                </c:pt>
                <c:pt idx="603">
                  <c:v>670620</c:v>
                </c:pt>
                <c:pt idx="604">
                  <c:v>673220</c:v>
                </c:pt>
                <c:pt idx="605">
                  <c:v>674820</c:v>
                </c:pt>
                <c:pt idx="606">
                  <c:v>682420</c:v>
                </c:pt>
                <c:pt idx="607">
                  <c:v>681620</c:v>
                </c:pt>
                <c:pt idx="608">
                  <c:v>682020</c:v>
                </c:pt>
                <c:pt idx="609">
                  <c:v>685620</c:v>
                </c:pt>
                <c:pt idx="610">
                  <c:v>690620</c:v>
                </c:pt>
                <c:pt idx="611">
                  <c:v>699620</c:v>
                </c:pt>
                <c:pt idx="612">
                  <c:v>696420</c:v>
                </c:pt>
                <c:pt idx="613">
                  <c:v>704820</c:v>
                </c:pt>
                <c:pt idx="614">
                  <c:v>701420</c:v>
                </c:pt>
                <c:pt idx="615">
                  <c:v>708020</c:v>
                </c:pt>
                <c:pt idx="616">
                  <c:v>706820</c:v>
                </c:pt>
                <c:pt idx="617">
                  <c:v>701020</c:v>
                </c:pt>
                <c:pt idx="618">
                  <c:v>694380</c:v>
                </c:pt>
                <c:pt idx="619">
                  <c:v>683640</c:v>
                </c:pt>
                <c:pt idx="620">
                  <c:v>683000</c:v>
                </c:pt>
                <c:pt idx="621">
                  <c:v>683000</c:v>
                </c:pt>
                <c:pt idx="622">
                  <c:v>682760</c:v>
                </c:pt>
                <c:pt idx="623">
                  <c:v>682760</c:v>
                </c:pt>
                <c:pt idx="624">
                  <c:v>681160</c:v>
                </c:pt>
                <c:pt idx="625">
                  <c:v>681360</c:v>
                </c:pt>
                <c:pt idx="626">
                  <c:v>683460</c:v>
                </c:pt>
                <c:pt idx="627">
                  <c:v>685960</c:v>
                </c:pt>
                <c:pt idx="628">
                  <c:v>682560</c:v>
                </c:pt>
                <c:pt idx="629">
                  <c:v>686160</c:v>
                </c:pt>
                <c:pt idx="630">
                  <c:v>685660</c:v>
                </c:pt>
                <c:pt idx="631">
                  <c:v>684360</c:v>
                </c:pt>
                <c:pt idx="632">
                  <c:v>679860</c:v>
                </c:pt>
                <c:pt idx="633">
                  <c:v>679060</c:v>
                </c:pt>
                <c:pt idx="634">
                  <c:v>679060</c:v>
                </c:pt>
                <c:pt idx="635">
                  <c:v>679060</c:v>
                </c:pt>
                <c:pt idx="636">
                  <c:v>679060</c:v>
                </c:pt>
                <c:pt idx="637">
                  <c:v>679060</c:v>
                </c:pt>
                <c:pt idx="638">
                  <c:v>678580</c:v>
                </c:pt>
                <c:pt idx="639">
                  <c:v>675160</c:v>
                </c:pt>
                <c:pt idx="640">
                  <c:v>673460</c:v>
                </c:pt>
                <c:pt idx="641">
                  <c:v>669520</c:v>
                </c:pt>
                <c:pt idx="642">
                  <c:v>668640</c:v>
                </c:pt>
                <c:pt idx="643">
                  <c:v>683080</c:v>
                </c:pt>
                <c:pt idx="644">
                  <c:v>712180</c:v>
                </c:pt>
                <c:pt idx="645">
                  <c:v>705580</c:v>
                </c:pt>
                <c:pt idx="646">
                  <c:v>702640</c:v>
                </c:pt>
                <c:pt idx="647">
                  <c:v>702740</c:v>
                </c:pt>
                <c:pt idx="648">
                  <c:v>696840</c:v>
                </c:pt>
                <c:pt idx="649">
                  <c:v>708440</c:v>
                </c:pt>
                <c:pt idx="650">
                  <c:v>679600</c:v>
                </c:pt>
                <c:pt idx="651">
                  <c:v>673820</c:v>
                </c:pt>
                <c:pt idx="652">
                  <c:v>668420</c:v>
                </c:pt>
                <c:pt idx="653">
                  <c:v>666620</c:v>
                </c:pt>
                <c:pt idx="654">
                  <c:v>667820</c:v>
                </c:pt>
                <c:pt idx="655">
                  <c:v>671020</c:v>
                </c:pt>
                <c:pt idx="656">
                  <c:v>674300</c:v>
                </c:pt>
                <c:pt idx="657">
                  <c:v>670080</c:v>
                </c:pt>
                <c:pt idx="658">
                  <c:v>668280</c:v>
                </c:pt>
                <c:pt idx="659">
                  <c:v>669080</c:v>
                </c:pt>
                <c:pt idx="660">
                  <c:v>675080</c:v>
                </c:pt>
                <c:pt idx="661">
                  <c:v>675920</c:v>
                </c:pt>
                <c:pt idx="662">
                  <c:v>680280</c:v>
                </c:pt>
                <c:pt idx="663">
                  <c:v>675780</c:v>
                </c:pt>
                <c:pt idx="664">
                  <c:v>667480</c:v>
                </c:pt>
                <c:pt idx="665">
                  <c:v>672980</c:v>
                </c:pt>
                <c:pt idx="666">
                  <c:v>694760</c:v>
                </c:pt>
                <c:pt idx="667">
                  <c:v>694240</c:v>
                </c:pt>
                <c:pt idx="668">
                  <c:v>689740</c:v>
                </c:pt>
                <c:pt idx="669">
                  <c:v>688520</c:v>
                </c:pt>
                <c:pt idx="670">
                  <c:v>693320</c:v>
                </c:pt>
                <c:pt idx="671">
                  <c:v>694920</c:v>
                </c:pt>
                <c:pt idx="672">
                  <c:v>695120</c:v>
                </c:pt>
                <c:pt idx="673">
                  <c:v>693720</c:v>
                </c:pt>
                <c:pt idx="674">
                  <c:v>695120</c:v>
                </c:pt>
                <c:pt idx="675">
                  <c:v>696120</c:v>
                </c:pt>
                <c:pt idx="676">
                  <c:v>696120</c:v>
                </c:pt>
                <c:pt idx="677">
                  <c:v>693520</c:v>
                </c:pt>
                <c:pt idx="678">
                  <c:v>692520</c:v>
                </c:pt>
                <c:pt idx="679">
                  <c:v>693080</c:v>
                </c:pt>
                <c:pt idx="680">
                  <c:v>692980</c:v>
                </c:pt>
                <c:pt idx="681">
                  <c:v>694680</c:v>
                </c:pt>
                <c:pt idx="682">
                  <c:v>694520</c:v>
                </c:pt>
                <c:pt idx="683">
                  <c:v>694840</c:v>
                </c:pt>
                <c:pt idx="684">
                  <c:v>700660</c:v>
                </c:pt>
                <c:pt idx="685">
                  <c:v>697660</c:v>
                </c:pt>
                <c:pt idx="686">
                  <c:v>695860</c:v>
                </c:pt>
                <c:pt idx="687">
                  <c:v>692440</c:v>
                </c:pt>
                <c:pt idx="688">
                  <c:v>689600</c:v>
                </c:pt>
                <c:pt idx="689">
                  <c:v>664000</c:v>
                </c:pt>
                <c:pt idx="690">
                  <c:v>658640</c:v>
                </c:pt>
                <c:pt idx="691">
                  <c:v>657640</c:v>
                </c:pt>
                <c:pt idx="692">
                  <c:v>657340</c:v>
                </c:pt>
                <c:pt idx="693">
                  <c:v>655940</c:v>
                </c:pt>
                <c:pt idx="694">
                  <c:v>659140</c:v>
                </c:pt>
                <c:pt idx="695">
                  <c:v>659620</c:v>
                </c:pt>
                <c:pt idx="696">
                  <c:v>666620</c:v>
                </c:pt>
                <c:pt idx="697">
                  <c:v>666720</c:v>
                </c:pt>
                <c:pt idx="698">
                  <c:v>664820</c:v>
                </c:pt>
                <c:pt idx="699">
                  <c:v>665620</c:v>
                </c:pt>
                <c:pt idx="700">
                  <c:v>664620</c:v>
                </c:pt>
                <c:pt idx="701">
                  <c:v>665720</c:v>
                </c:pt>
                <c:pt idx="702">
                  <c:v>664220</c:v>
                </c:pt>
                <c:pt idx="703">
                  <c:v>661840</c:v>
                </c:pt>
                <c:pt idx="704">
                  <c:v>656720</c:v>
                </c:pt>
                <c:pt idx="705">
                  <c:v>663440</c:v>
                </c:pt>
                <c:pt idx="706">
                  <c:v>651340</c:v>
                </c:pt>
                <c:pt idx="707">
                  <c:v>677220</c:v>
                </c:pt>
                <c:pt idx="708">
                  <c:v>674540</c:v>
                </c:pt>
                <c:pt idx="709">
                  <c:v>691140</c:v>
                </c:pt>
                <c:pt idx="710">
                  <c:v>675240</c:v>
                </c:pt>
                <c:pt idx="711">
                  <c:v>668940</c:v>
                </c:pt>
                <c:pt idx="712">
                  <c:v>692420</c:v>
                </c:pt>
                <c:pt idx="713">
                  <c:v>703520</c:v>
                </c:pt>
                <c:pt idx="714">
                  <c:v>688720</c:v>
                </c:pt>
                <c:pt idx="715">
                  <c:v>734920</c:v>
                </c:pt>
                <c:pt idx="716">
                  <c:v>747820</c:v>
                </c:pt>
                <c:pt idx="717">
                  <c:v>723720</c:v>
                </c:pt>
                <c:pt idx="718">
                  <c:v>741520</c:v>
                </c:pt>
                <c:pt idx="719">
                  <c:v>727720</c:v>
                </c:pt>
                <c:pt idx="720">
                  <c:v>750120</c:v>
                </c:pt>
                <c:pt idx="721">
                  <c:v>757320</c:v>
                </c:pt>
                <c:pt idx="722">
                  <c:v>759920</c:v>
                </c:pt>
                <c:pt idx="723">
                  <c:v>758220</c:v>
                </c:pt>
                <c:pt idx="724">
                  <c:v>764720</c:v>
                </c:pt>
                <c:pt idx="725">
                  <c:v>776720</c:v>
                </c:pt>
                <c:pt idx="726">
                  <c:v>784620</c:v>
                </c:pt>
                <c:pt idx="727">
                  <c:v>782540</c:v>
                </c:pt>
                <c:pt idx="728">
                  <c:v>772220</c:v>
                </c:pt>
                <c:pt idx="729">
                  <c:v>772800</c:v>
                </c:pt>
                <c:pt idx="730">
                  <c:v>789240</c:v>
                </c:pt>
                <c:pt idx="731">
                  <c:v>782300</c:v>
                </c:pt>
                <c:pt idx="732">
                  <c:v>777700</c:v>
                </c:pt>
                <c:pt idx="733">
                  <c:v>772860</c:v>
                </c:pt>
                <c:pt idx="734">
                  <c:v>773360</c:v>
                </c:pt>
                <c:pt idx="735">
                  <c:v>790020</c:v>
                </c:pt>
                <c:pt idx="736">
                  <c:v>787180</c:v>
                </c:pt>
                <c:pt idx="737">
                  <c:v>804180</c:v>
                </c:pt>
                <c:pt idx="738">
                  <c:v>807880</c:v>
                </c:pt>
                <c:pt idx="739">
                  <c:v>815560</c:v>
                </c:pt>
                <c:pt idx="740">
                  <c:v>817420</c:v>
                </c:pt>
                <c:pt idx="741">
                  <c:v>819300</c:v>
                </c:pt>
                <c:pt idx="742">
                  <c:v>837300</c:v>
                </c:pt>
                <c:pt idx="743">
                  <c:v>839660</c:v>
                </c:pt>
                <c:pt idx="744">
                  <c:v>846060</c:v>
                </c:pt>
                <c:pt idx="745">
                  <c:v>845540</c:v>
                </c:pt>
                <c:pt idx="746">
                  <c:v>839600</c:v>
                </c:pt>
                <c:pt idx="747">
                  <c:v>837600</c:v>
                </c:pt>
                <c:pt idx="748">
                  <c:v>845000</c:v>
                </c:pt>
                <c:pt idx="749">
                  <c:v>856700</c:v>
                </c:pt>
                <c:pt idx="750">
                  <c:v>847380</c:v>
                </c:pt>
                <c:pt idx="751">
                  <c:v>847380</c:v>
                </c:pt>
                <c:pt idx="752">
                  <c:v>847380</c:v>
                </c:pt>
                <c:pt idx="753">
                  <c:v>847380</c:v>
                </c:pt>
                <c:pt idx="754">
                  <c:v>847140</c:v>
                </c:pt>
                <c:pt idx="755">
                  <c:v>845340</c:v>
                </c:pt>
                <c:pt idx="756">
                  <c:v>848240</c:v>
                </c:pt>
                <c:pt idx="757">
                  <c:v>848340</c:v>
                </c:pt>
                <c:pt idx="758">
                  <c:v>849340</c:v>
                </c:pt>
                <c:pt idx="759">
                  <c:v>847840</c:v>
                </c:pt>
                <c:pt idx="760">
                  <c:v>852180</c:v>
                </c:pt>
                <c:pt idx="761">
                  <c:v>852980</c:v>
                </c:pt>
                <c:pt idx="762">
                  <c:v>856580</c:v>
                </c:pt>
                <c:pt idx="763">
                  <c:v>863080</c:v>
                </c:pt>
                <c:pt idx="764">
                  <c:v>867780</c:v>
                </c:pt>
                <c:pt idx="765">
                  <c:v>867680</c:v>
                </c:pt>
                <c:pt idx="766">
                  <c:v>865480</c:v>
                </c:pt>
                <c:pt idx="767">
                  <c:v>866180</c:v>
                </c:pt>
                <c:pt idx="768">
                  <c:v>866500</c:v>
                </c:pt>
                <c:pt idx="769">
                  <c:v>868020</c:v>
                </c:pt>
                <c:pt idx="770">
                  <c:v>867760</c:v>
                </c:pt>
                <c:pt idx="771">
                  <c:v>867660</c:v>
                </c:pt>
                <c:pt idx="772">
                  <c:v>886360</c:v>
                </c:pt>
                <c:pt idx="773">
                  <c:v>878340</c:v>
                </c:pt>
                <c:pt idx="774">
                  <c:v>878740</c:v>
                </c:pt>
                <c:pt idx="775">
                  <c:v>875940</c:v>
                </c:pt>
                <c:pt idx="776">
                  <c:v>870140</c:v>
                </c:pt>
                <c:pt idx="777">
                  <c:v>865040</c:v>
                </c:pt>
                <c:pt idx="778">
                  <c:v>865340</c:v>
                </c:pt>
                <c:pt idx="779">
                  <c:v>862880</c:v>
                </c:pt>
                <c:pt idx="780">
                  <c:v>862880</c:v>
                </c:pt>
                <c:pt idx="781">
                  <c:v>862400</c:v>
                </c:pt>
                <c:pt idx="782">
                  <c:v>862500</c:v>
                </c:pt>
                <c:pt idx="783">
                  <c:v>861100</c:v>
                </c:pt>
                <c:pt idx="784">
                  <c:v>859020</c:v>
                </c:pt>
                <c:pt idx="785">
                  <c:v>858660</c:v>
                </c:pt>
                <c:pt idx="786">
                  <c:v>860260</c:v>
                </c:pt>
                <c:pt idx="787">
                  <c:v>863360</c:v>
                </c:pt>
                <c:pt idx="788">
                  <c:v>860660</c:v>
                </c:pt>
                <c:pt idx="789">
                  <c:v>863960</c:v>
                </c:pt>
                <c:pt idx="790">
                  <c:v>853640</c:v>
                </c:pt>
                <c:pt idx="791">
                  <c:v>853300</c:v>
                </c:pt>
                <c:pt idx="792">
                  <c:v>853300</c:v>
                </c:pt>
                <c:pt idx="793">
                  <c:v>853060</c:v>
                </c:pt>
                <c:pt idx="794">
                  <c:v>855760</c:v>
                </c:pt>
                <c:pt idx="795">
                  <c:v>856640</c:v>
                </c:pt>
                <c:pt idx="796">
                  <c:v>854440</c:v>
                </c:pt>
                <c:pt idx="797">
                  <c:v>864140</c:v>
                </c:pt>
                <c:pt idx="798">
                  <c:v>857840</c:v>
                </c:pt>
                <c:pt idx="799">
                  <c:v>860340</c:v>
                </c:pt>
                <c:pt idx="800">
                  <c:v>865340</c:v>
                </c:pt>
                <c:pt idx="801">
                  <c:v>874840</c:v>
                </c:pt>
                <c:pt idx="802">
                  <c:v>872640</c:v>
                </c:pt>
                <c:pt idx="803">
                  <c:v>877740</c:v>
                </c:pt>
                <c:pt idx="804">
                  <c:v>874020</c:v>
                </c:pt>
                <c:pt idx="805">
                  <c:v>870120</c:v>
                </c:pt>
                <c:pt idx="806">
                  <c:v>871320</c:v>
                </c:pt>
                <c:pt idx="807">
                  <c:v>873220</c:v>
                </c:pt>
                <c:pt idx="808">
                  <c:v>872720</c:v>
                </c:pt>
                <c:pt idx="809">
                  <c:v>873120</c:v>
                </c:pt>
                <c:pt idx="810">
                  <c:v>872920</c:v>
                </c:pt>
                <c:pt idx="811">
                  <c:v>873420</c:v>
                </c:pt>
                <c:pt idx="812">
                  <c:v>875420</c:v>
                </c:pt>
                <c:pt idx="813">
                  <c:v>875460</c:v>
                </c:pt>
                <c:pt idx="814">
                  <c:v>876360</c:v>
                </c:pt>
                <c:pt idx="815">
                  <c:v>873360</c:v>
                </c:pt>
                <c:pt idx="816">
                  <c:v>878260</c:v>
                </c:pt>
                <c:pt idx="817">
                  <c:v>879260</c:v>
                </c:pt>
                <c:pt idx="818">
                  <c:v>864980</c:v>
                </c:pt>
                <c:pt idx="819">
                  <c:v>865380</c:v>
                </c:pt>
                <c:pt idx="820">
                  <c:v>866680</c:v>
                </c:pt>
                <c:pt idx="821">
                  <c:v>869140</c:v>
                </c:pt>
                <c:pt idx="822">
                  <c:v>869420</c:v>
                </c:pt>
                <c:pt idx="823">
                  <c:v>869220</c:v>
                </c:pt>
                <c:pt idx="824">
                  <c:v>869020</c:v>
                </c:pt>
                <c:pt idx="825">
                  <c:v>869000</c:v>
                </c:pt>
                <c:pt idx="826">
                  <c:v>867500</c:v>
                </c:pt>
                <c:pt idx="827">
                  <c:v>866880</c:v>
                </c:pt>
                <c:pt idx="828">
                  <c:v>867040</c:v>
                </c:pt>
                <c:pt idx="829">
                  <c:v>863520</c:v>
                </c:pt>
                <c:pt idx="830">
                  <c:v>862180</c:v>
                </c:pt>
                <c:pt idx="831">
                  <c:v>867900</c:v>
                </c:pt>
                <c:pt idx="832">
                  <c:v>871300</c:v>
                </c:pt>
                <c:pt idx="833">
                  <c:v>867600</c:v>
                </c:pt>
                <c:pt idx="834">
                  <c:v>854060</c:v>
                </c:pt>
                <c:pt idx="835">
                  <c:v>855460</c:v>
                </c:pt>
                <c:pt idx="836">
                  <c:v>864960</c:v>
                </c:pt>
                <c:pt idx="837">
                  <c:v>860020</c:v>
                </c:pt>
                <c:pt idx="838">
                  <c:v>860920</c:v>
                </c:pt>
                <c:pt idx="839">
                  <c:v>842040</c:v>
                </c:pt>
                <c:pt idx="840">
                  <c:v>844020</c:v>
                </c:pt>
                <c:pt idx="841">
                  <c:v>843420</c:v>
                </c:pt>
                <c:pt idx="842">
                  <c:v>842420</c:v>
                </c:pt>
                <c:pt idx="843">
                  <c:v>843620</c:v>
                </c:pt>
                <c:pt idx="844">
                  <c:v>844520</c:v>
                </c:pt>
                <c:pt idx="845">
                  <c:v>843120</c:v>
                </c:pt>
                <c:pt idx="846">
                  <c:v>838600</c:v>
                </c:pt>
                <c:pt idx="847">
                  <c:v>836100</c:v>
                </c:pt>
                <c:pt idx="848">
                  <c:v>834860</c:v>
                </c:pt>
                <c:pt idx="849">
                  <c:v>834860</c:v>
                </c:pt>
                <c:pt idx="850">
                  <c:v>835440</c:v>
                </c:pt>
                <c:pt idx="851">
                  <c:v>834440</c:v>
                </c:pt>
                <c:pt idx="852">
                  <c:v>836940</c:v>
                </c:pt>
                <c:pt idx="853">
                  <c:v>839240</c:v>
                </c:pt>
                <c:pt idx="854">
                  <c:v>843540</c:v>
                </c:pt>
                <c:pt idx="855">
                  <c:v>840740</c:v>
                </c:pt>
                <c:pt idx="856">
                  <c:v>842140</c:v>
                </c:pt>
                <c:pt idx="857">
                  <c:v>839460</c:v>
                </c:pt>
                <c:pt idx="858">
                  <c:v>847220</c:v>
                </c:pt>
                <c:pt idx="859">
                  <c:v>846220</c:v>
                </c:pt>
                <c:pt idx="860">
                  <c:v>847580</c:v>
                </c:pt>
                <c:pt idx="861">
                  <c:v>851560</c:v>
                </c:pt>
                <c:pt idx="862">
                  <c:v>850140</c:v>
                </c:pt>
                <c:pt idx="863">
                  <c:v>850940</c:v>
                </c:pt>
                <c:pt idx="864">
                  <c:v>851840</c:v>
                </c:pt>
                <c:pt idx="865">
                  <c:v>851560</c:v>
                </c:pt>
                <c:pt idx="866">
                  <c:v>848960</c:v>
                </c:pt>
                <c:pt idx="867">
                  <c:v>847100</c:v>
                </c:pt>
                <c:pt idx="868">
                  <c:v>850300</c:v>
                </c:pt>
                <c:pt idx="869">
                  <c:v>857700</c:v>
                </c:pt>
                <c:pt idx="870">
                  <c:v>859200</c:v>
                </c:pt>
                <c:pt idx="871">
                  <c:v>852900</c:v>
                </c:pt>
                <c:pt idx="872">
                  <c:v>857000</c:v>
                </c:pt>
                <c:pt idx="873">
                  <c:v>849500</c:v>
                </c:pt>
                <c:pt idx="874">
                  <c:v>842260</c:v>
                </c:pt>
                <c:pt idx="875">
                  <c:v>843960</c:v>
                </c:pt>
                <c:pt idx="876">
                  <c:v>850040</c:v>
                </c:pt>
                <c:pt idx="877">
                  <c:v>852240</c:v>
                </c:pt>
                <c:pt idx="878">
                  <c:v>847100</c:v>
                </c:pt>
                <c:pt idx="879">
                  <c:v>851100</c:v>
                </c:pt>
                <c:pt idx="880">
                  <c:v>850500</c:v>
                </c:pt>
                <c:pt idx="881">
                  <c:v>845600</c:v>
                </c:pt>
                <c:pt idx="882">
                  <c:v>843600</c:v>
                </c:pt>
                <c:pt idx="883">
                  <c:v>840560</c:v>
                </c:pt>
                <c:pt idx="884">
                  <c:v>841360</c:v>
                </c:pt>
                <c:pt idx="885">
                  <c:v>840760</c:v>
                </c:pt>
                <c:pt idx="886">
                  <c:v>839940</c:v>
                </c:pt>
                <c:pt idx="887">
                  <c:v>839940</c:v>
                </c:pt>
                <c:pt idx="888">
                  <c:v>840140</c:v>
                </c:pt>
                <c:pt idx="889">
                  <c:v>840240</c:v>
                </c:pt>
                <c:pt idx="890">
                  <c:v>842240</c:v>
                </c:pt>
                <c:pt idx="891">
                  <c:v>843620</c:v>
                </c:pt>
                <c:pt idx="892">
                  <c:v>849020</c:v>
                </c:pt>
                <c:pt idx="893">
                  <c:v>851620</c:v>
                </c:pt>
                <c:pt idx="894">
                  <c:v>854020</c:v>
                </c:pt>
                <c:pt idx="895">
                  <c:v>850920</c:v>
                </c:pt>
                <c:pt idx="896">
                  <c:v>851120</c:v>
                </c:pt>
                <c:pt idx="897">
                  <c:v>856620</c:v>
                </c:pt>
                <c:pt idx="898">
                  <c:v>851820</c:v>
                </c:pt>
                <c:pt idx="899">
                  <c:v>849220</c:v>
                </c:pt>
                <c:pt idx="900">
                  <c:v>847640</c:v>
                </c:pt>
                <c:pt idx="901">
                  <c:v>842740</c:v>
                </c:pt>
                <c:pt idx="902">
                  <c:v>836680</c:v>
                </c:pt>
                <c:pt idx="903">
                  <c:v>829400</c:v>
                </c:pt>
                <c:pt idx="904">
                  <c:v>829800</c:v>
                </c:pt>
                <c:pt idx="905">
                  <c:v>829800</c:v>
                </c:pt>
                <c:pt idx="906">
                  <c:v>829800</c:v>
                </c:pt>
                <c:pt idx="907">
                  <c:v>829800</c:v>
                </c:pt>
                <c:pt idx="908">
                  <c:v>829800</c:v>
                </c:pt>
                <c:pt idx="909">
                  <c:v>836900</c:v>
                </c:pt>
                <c:pt idx="910">
                  <c:v>837400</c:v>
                </c:pt>
                <c:pt idx="911">
                  <c:v>839500</c:v>
                </c:pt>
                <c:pt idx="912">
                  <c:v>841700</c:v>
                </c:pt>
                <c:pt idx="913">
                  <c:v>841800</c:v>
                </c:pt>
                <c:pt idx="914">
                  <c:v>835100</c:v>
                </c:pt>
                <c:pt idx="915">
                  <c:v>848300</c:v>
                </c:pt>
                <c:pt idx="916">
                  <c:v>846100</c:v>
                </c:pt>
                <c:pt idx="917">
                  <c:v>851900</c:v>
                </c:pt>
                <c:pt idx="918">
                  <c:v>856180</c:v>
                </c:pt>
                <c:pt idx="919">
                  <c:v>858680</c:v>
                </c:pt>
                <c:pt idx="920">
                  <c:v>857140</c:v>
                </c:pt>
                <c:pt idx="921">
                  <c:v>857140</c:v>
                </c:pt>
                <c:pt idx="922">
                  <c:v>857140</c:v>
                </c:pt>
                <c:pt idx="923">
                  <c:v>856660</c:v>
                </c:pt>
                <c:pt idx="924">
                  <c:v>856660</c:v>
                </c:pt>
                <c:pt idx="925">
                  <c:v>856540</c:v>
                </c:pt>
                <c:pt idx="926">
                  <c:v>854520</c:v>
                </c:pt>
                <c:pt idx="927">
                  <c:v>854520</c:v>
                </c:pt>
                <c:pt idx="928">
                  <c:v>854520</c:v>
                </c:pt>
                <c:pt idx="929">
                  <c:v>854520</c:v>
                </c:pt>
                <c:pt idx="930">
                  <c:v>854520</c:v>
                </c:pt>
                <c:pt idx="931">
                  <c:v>854520</c:v>
                </c:pt>
                <c:pt idx="932">
                  <c:v>854520</c:v>
                </c:pt>
                <c:pt idx="933">
                  <c:v>854520</c:v>
                </c:pt>
                <c:pt idx="934">
                  <c:v>854520</c:v>
                </c:pt>
                <c:pt idx="935">
                  <c:v>854520</c:v>
                </c:pt>
                <c:pt idx="936">
                  <c:v>854520</c:v>
                </c:pt>
                <c:pt idx="937">
                  <c:v>854520</c:v>
                </c:pt>
                <c:pt idx="938">
                  <c:v>854520</c:v>
                </c:pt>
                <c:pt idx="939">
                  <c:v>854520</c:v>
                </c:pt>
                <c:pt idx="940">
                  <c:v>854520</c:v>
                </c:pt>
                <c:pt idx="941">
                  <c:v>854520</c:v>
                </c:pt>
                <c:pt idx="942">
                  <c:v>854520</c:v>
                </c:pt>
                <c:pt idx="943">
                  <c:v>854040</c:v>
                </c:pt>
                <c:pt idx="944">
                  <c:v>853920</c:v>
                </c:pt>
                <c:pt idx="945">
                  <c:v>848800</c:v>
                </c:pt>
                <c:pt idx="946">
                  <c:v>848800</c:v>
                </c:pt>
                <c:pt idx="947">
                  <c:v>848800</c:v>
                </c:pt>
                <c:pt idx="948">
                  <c:v>848800</c:v>
                </c:pt>
                <c:pt idx="949">
                  <c:v>848800</c:v>
                </c:pt>
                <c:pt idx="950">
                  <c:v>847600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Hogs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5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51"/>
                <c:pt idx="0">
                  <c:v>0</c:v>
                </c:pt>
                <c:pt idx="1">
                  <c:v>-700</c:v>
                </c:pt>
                <c:pt idx="2">
                  <c:v>2500</c:v>
                </c:pt>
                <c:pt idx="3">
                  <c:v>1400</c:v>
                </c:pt>
                <c:pt idx="4">
                  <c:v>2500</c:v>
                </c:pt>
                <c:pt idx="5">
                  <c:v>1100</c:v>
                </c:pt>
                <c:pt idx="6">
                  <c:v>-5500</c:v>
                </c:pt>
                <c:pt idx="7">
                  <c:v>-5900</c:v>
                </c:pt>
                <c:pt idx="8">
                  <c:v>-6500</c:v>
                </c:pt>
                <c:pt idx="9">
                  <c:v>-2900</c:v>
                </c:pt>
                <c:pt idx="10">
                  <c:v>-2700</c:v>
                </c:pt>
                <c:pt idx="11">
                  <c:v>-2400</c:v>
                </c:pt>
                <c:pt idx="12">
                  <c:v>-700</c:v>
                </c:pt>
                <c:pt idx="13">
                  <c:v>-2100</c:v>
                </c:pt>
                <c:pt idx="14">
                  <c:v>-1500</c:v>
                </c:pt>
                <c:pt idx="15">
                  <c:v>-1300</c:v>
                </c:pt>
                <c:pt idx="16">
                  <c:v>-400</c:v>
                </c:pt>
                <c:pt idx="17">
                  <c:v>5400</c:v>
                </c:pt>
                <c:pt idx="18">
                  <c:v>4800</c:v>
                </c:pt>
                <c:pt idx="19">
                  <c:v>5500</c:v>
                </c:pt>
                <c:pt idx="20">
                  <c:v>4700</c:v>
                </c:pt>
                <c:pt idx="21">
                  <c:v>5200</c:v>
                </c:pt>
                <c:pt idx="22">
                  <c:v>6900</c:v>
                </c:pt>
                <c:pt idx="23">
                  <c:v>6880</c:v>
                </c:pt>
                <c:pt idx="24">
                  <c:v>6480</c:v>
                </c:pt>
                <c:pt idx="25">
                  <c:v>8980</c:v>
                </c:pt>
                <c:pt idx="26">
                  <c:v>5380</c:v>
                </c:pt>
                <c:pt idx="27">
                  <c:v>4380</c:v>
                </c:pt>
                <c:pt idx="28">
                  <c:v>3280</c:v>
                </c:pt>
                <c:pt idx="29">
                  <c:v>2580</c:v>
                </c:pt>
                <c:pt idx="30">
                  <c:v>4780</c:v>
                </c:pt>
                <c:pt idx="31">
                  <c:v>5780</c:v>
                </c:pt>
                <c:pt idx="32">
                  <c:v>6980</c:v>
                </c:pt>
                <c:pt idx="33">
                  <c:v>6480</c:v>
                </c:pt>
                <c:pt idx="34">
                  <c:v>6880</c:v>
                </c:pt>
                <c:pt idx="35">
                  <c:v>2580</c:v>
                </c:pt>
                <c:pt idx="36">
                  <c:v>-420</c:v>
                </c:pt>
                <c:pt idx="37">
                  <c:v>580</c:v>
                </c:pt>
                <c:pt idx="38">
                  <c:v>-1720</c:v>
                </c:pt>
                <c:pt idx="39">
                  <c:v>-1720</c:v>
                </c:pt>
                <c:pt idx="40">
                  <c:v>-2820</c:v>
                </c:pt>
                <c:pt idx="41">
                  <c:v>-4620</c:v>
                </c:pt>
                <c:pt idx="42">
                  <c:v>-5520</c:v>
                </c:pt>
                <c:pt idx="43">
                  <c:v>-4920</c:v>
                </c:pt>
                <c:pt idx="44">
                  <c:v>-6920</c:v>
                </c:pt>
                <c:pt idx="45">
                  <c:v>-11520</c:v>
                </c:pt>
                <c:pt idx="46">
                  <c:v>-13820</c:v>
                </c:pt>
                <c:pt idx="47">
                  <c:v>-1720</c:v>
                </c:pt>
                <c:pt idx="48">
                  <c:v>-2420</c:v>
                </c:pt>
                <c:pt idx="49">
                  <c:v>-5420</c:v>
                </c:pt>
                <c:pt idx="50">
                  <c:v>-3620</c:v>
                </c:pt>
                <c:pt idx="51">
                  <c:v>-7120</c:v>
                </c:pt>
                <c:pt idx="52">
                  <c:v>-6920</c:v>
                </c:pt>
                <c:pt idx="53">
                  <c:v>-11320</c:v>
                </c:pt>
                <c:pt idx="54">
                  <c:v>-11820</c:v>
                </c:pt>
                <c:pt idx="55">
                  <c:v>-16620</c:v>
                </c:pt>
                <c:pt idx="56">
                  <c:v>-19020</c:v>
                </c:pt>
                <c:pt idx="57">
                  <c:v>-16720</c:v>
                </c:pt>
                <c:pt idx="58">
                  <c:v>-17320</c:v>
                </c:pt>
                <c:pt idx="59">
                  <c:v>-16620</c:v>
                </c:pt>
                <c:pt idx="60">
                  <c:v>-11520</c:v>
                </c:pt>
                <c:pt idx="61">
                  <c:v>-9920</c:v>
                </c:pt>
                <c:pt idx="62">
                  <c:v>-7620</c:v>
                </c:pt>
                <c:pt idx="63">
                  <c:v>-7820</c:v>
                </c:pt>
                <c:pt idx="64">
                  <c:v>-5040</c:v>
                </c:pt>
                <c:pt idx="65">
                  <c:v>-5840</c:v>
                </c:pt>
                <c:pt idx="66">
                  <c:v>-4240</c:v>
                </c:pt>
                <c:pt idx="67">
                  <c:v>-1540</c:v>
                </c:pt>
                <c:pt idx="68">
                  <c:v>-9440</c:v>
                </c:pt>
                <c:pt idx="69">
                  <c:v>-6440</c:v>
                </c:pt>
                <c:pt idx="70">
                  <c:v>-6540</c:v>
                </c:pt>
                <c:pt idx="71">
                  <c:v>-5240</c:v>
                </c:pt>
                <c:pt idx="72">
                  <c:v>-3540</c:v>
                </c:pt>
                <c:pt idx="73">
                  <c:v>-1040</c:v>
                </c:pt>
                <c:pt idx="74">
                  <c:v>-4540</c:v>
                </c:pt>
                <c:pt idx="75">
                  <c:v>-2740</c:v>
                </c:pt>
                <c:pt idx="76">
                  <c:v>2260</c:v>
                </c:pt>
                <c:pt idx="77">
                  <c:v>3860</c:v>
                </c:pt>
                <c:pt idx="78">
                  <c:v>2260</c:v>
                </c:pt>
                <c:pt idx="79">
                  <c:v>-840</c:v>
                </c:pt>
                <c:pt idx="80">
                  <c:v>-40</c:v>
                </c:pt>
                <c:pt idx="81">
                  <c:v>5060</c:v>
                </c:pt>
                <c:pt idx="82">
                  <c:v>7960</c:v>
                </c:pt>
                <c:pt idx="83">
                  <c:v>10960</c:v>
                </c:pt>
                <c:pt idx="84">
                  <c:v>9560</c:v>
                </c:pt>
                <c:pt idx="85">
                  <c:v>11060</c:v>
                </c:pt>
                <c:pt idx="86">
                  <c:v>12760</c:v>
                </c:pt>
                <c:pt idx="87">
                  <c:v>12960</c:v>
                </c:pt>
                <c:pt idx="88">
                  <c:v>11360</c:v>
                </c:pt>
                <c:pt idx="89">
                  <c:v>6960</c:v>
                </c:pt>
                <c:pt idx="90">
                  <c:v>8160</c:v>
                </c:pt>
                <c:pt idx="91">
                  <c:v>8060</c:v>
                </c:pt>
                <c:pt idx="92">
                  <c:v>4460</c:v>
                </c:pt>
                <c:pt idx="93">
                  <c:v>2660</c:v>
                </c:pt>
                <c:pt idx="94">
                  <c:v>4260</c:v>
                </c:pt>
                <c:pt idx="95">
                  <c:v>12260</c:v>
                </c:pt>
                <c:pt idx="96">
                  <c:v>8760</c:v>
                </c:pt>
                <c:pt idx="97">
                  <c:v>12760</c:v>
                </c:pt>
                <c:pt idx="98">
                  <c:v>6960</c:v>
                </c:pt>
                <c:pt idx="99">
                  <c:v>9960</c:v>
                </c:pt>
                <c:pt idx="100">
                  <c:v>12560</c:v>
                </c:pt>
                <c:pt idx="101">
                  <c:v>19360</c:v>
                </c:pt>
                <c:pt idx="102">
                  <c:v>17760</c:v>
                </c:pt>
                <c:pt idx="103">
                  <c:v>20560</c:v>
                </c:pt>
                <c:pt idx="104">
                  <c:v>21160</c:v>
                </c:pt>
                <c:pt idx="105">
                  <c:v>20360</c:v>
                </c:pt>
                <c:pt idx="106">
                  <c:v>20760</c:v>
                </c:pt>
                <c:pt idx="107">
                  <c:v>22460</c:v>
                </c:pt>
                <c:pt idx="108">
                  <c:v>23060</c:v>
                </c:pt>
                <c:pt idx="109">
                  <c:v>24040</c:v>
                </c:pt>
                <c:pt idx="110">
                  <c:v>26940</c:v>
                </c:pt>
                <c:pt idx="111">
                  <c:v>27440</c:v>
                </c:pt>
                <c:pt idx="112">
                  <c:v>31040</c:v>
                </c:pt>
                <c:pt idx="113">
                  <c:v>33540</c:v>
                </c:pt>
                <c:pt idx="114">
                  <c:v>39140</c:v>
                </c:pt>
                <c:pt idx="115">
                  <c:v>42540</c:v>
                </c:pt>
                <c:pt idx="116">
                  <c:v>45440</c:v>
                </c:pt>
                <c:pt idx="117">
                  <c:v>48040</c:v>
                </c:pt>
                <c:pt idx="118">
                  <c:v>50240</c:v>
                </c:pt>
                <c:pt idx="119">
                  <c:v>49640</c:v>
                </c:pt>
                <c:pt idx="120">
                  <c:v>54340</c:v>
                </c:pt>
                <c:pt idx="121">
                  <c:v>57340</c:v>
                </c:pt>
                <c:pt idx="122">
                  <c:v>58840</c:v>
                </c:pt>
                <c:pt idx="123">
                  <c:v>56640</c:v>
                </c:pt>
                <c:pt idx="124">
                  <c:v>61540</c:v>
                </c:pt>
                <c:pt idx="125">
                  <c:v>59340</c:v>
                </c:pt>
                <c:pt idx="126">
                  <c:v>57540</c:v>
                </c:pt>
                <c:pt idx="127">
                  <c:v>64340</c:v>
                </c:pt>
                <c:pt idx="128">
                  <c:v>61840</c:v>
                </c:pt>
                <c:pt idx="129">
                  <c:v>61720</c:v>
                </c:pt>
                <c:pt idx="130">
                  <c:v>61320</c:v>
                </c:pt>
                <c:pt idx="131">
                  <c:v>64420</c:v>
                </c:pt>
                <c:pt idx="132">
                  <c:v>65920</c:v>
                </c:pt>
                <c:pt idx="133">
                  <c:v>66720</c:v>
                </c:pt>
                <c:pt idx="134">
                  <c:v>63120</c:v>
                </c:pt>
                <c:pt idx="135">
                  <c:v>62120</c:v>
                </c:pt>
                <c:pt idx="136">
                  <c:v>65120</c:v>
                </c:pt>
                <c:pt idx="137">
                  <c:v>66920</c:v>
                </c:pt>
                <c:pt idx="138">
                  <c:v>66520</c:v>
                </c:pt>
                <c:pt idx="139">
                  <c:v>67120</c:v>
                </c:pt>
                <c:pt idx="140">
                  <c:v>69720</c:v>
                </c:pt>
                <c:pt idx="141">
                  <c:v>68720</c:v>
                </c:pt>
                <c:pt idx="142">
                  <c:v>71120</c:v>
                </c:pt>
                <c:pt idx="143">
                  <c:v>69920</c:v>
                </c:pt>
                <c:pt idx="144">
                  <c:v>72220</c:v>
                </c:pt>
                <c:pt idx="145">
                  <c:v>79820</c:v>
                </c:pt>
                <c:pt idx="146">
                  <c:v>79020</c:v>
                </c:pt>
                <c:pt idx="147">
                  <c:v>78720</c:v>
                </c:pt>
                <c:pt idx="148">
                  <c:v>75620</c:v>
                </c:pt>
                <c:pt idx="149">
                  <c:v>76420</c:v>
                </c:pt>
                <c:pt idx="150">
                  <c:v>72120</c:v>
                </c:pt>
                <c:pt idx="151">
                  <c:v>75620</c:v>
                </c:pt>
                <c:pt idx="152">
                  <c:v>78000</c:v>
                </c:pt>
                <c:pt idx="153">
                  <c:v>81400</c:v>
                </c:pt>
                <c:pt idx="154">
                  <c:v>85500</c:v>
                </c:pt>
                <c:pt idx="155">
                  <c:v>87200</c:v>
                </c:pt>
                <c:pt idx="156">
                  <c:v>86200</c:v>
                </c:pt>
                <c:pt idx="157">
                  <c:v>87700</c:v>
                </c:pt>
                <c:pt idx="158">
                  <c:v>86400</c:v>
                </c:pt>
                <c:pt idx="159">
                  <c:v>89500</c:v>
                </c:pt>
                <c:pt idx="160">
                  <c:v>91500</c:v>
                </c:pt>
                <c:pt idx="161">
                  <c:v>94300</c:v>
                </c:pt>
                <c:pt idx="162">
                  <c:v>89400</c:v>
                </c:pt>
                <c:pt idx="163">
                  <c:v>89500</c:v>
                </c:pt>
                <c:pt idx="164">
                  <c:v>86700</c:v>
                </c:pt>
                <c:pt idx="165">
                  <c:v>89100</c:v>
                </c:pt>
                <c:pt idx="166">
                  <c:v>85000</c:v>
                </c:pt>
                <c:pt idx="167">
                  <c:v>80200</c:v>
                </c:pt>
                <c:pt idx="168">
                  <c:v>82100</c:v>
                </c:pt>
                <c:pt idx="169">
                  <c:v>85300</c:v>
                </c:pt>
                <c:pt idx="170">
                  <c:v>88600</c:v>
                </c:pt>
                <c:pt idx="171">
                  <c:v>86300</c:v>
                </c:pt>
                <c:pt idx="172">
                  <c:v>90600</c:v>
                </c:pt>
                <c:pt idx="173">
                  <c:v>93200</c:v>
                </c:pt>
                <c:pt idx="174">
                  <c:v>91600</c:v>
                </c:pt>
                <c:pt idx="175">
                  <c:v>93200</c:v>
                </c:pt>
                <c:pt idx="176">
                  <c:v>99100</c:v>
                </c:pt>
                <c:pt idx="177">
                  <c:v>99100</c:v>
                </c:pt>
                <c:pt idx="178">
                  <c:v>105800</c:v>
                </c:pt>
                <c:pt idx="179">
                  <c:v>105800</c:v>
                </c:pt>
                <c:pt idx="180">
                  <c:v>104600</c:v>
                </c:pt>
                <c:pt idx="181">
                  <c:v>103600</c:v>
                </c:pt>
                <c:pt idx="182">
                  <c:v>104500</c:v>
                </c:pt>
                <c:pt idx="183">
                  <c:v>104200</c:v>
                </c:pt>
                <c:pt idx="184">
                  <c:v>110200</c:v>
                </c:pt>
                <c:pt idx="185">
                  <c:v>105800</c:v>
                </c:pt>
                <c:pt idx="186">
                  <c:v>107900</c:v>
                </c:pt>
                <c:pt idx="187">
                  <c:v>107300</c:v>
                </c:pt>
                <c:pt idx="188">
                  <c:v>101700</c:v>
                </c:pt>
                <c:pt idx="189">
                  <c:v>102400</c:v>
                </c:pt>
                <c:pt idx="190">
                  <c:v>114000</c:v>
                </c:pt>
                <c:pt idx="191">
                  <c:v>115800</c:v>
                </c:pt>
                <c:pt idx="192">
                  <c:v>112900</c:v>
                </c:pt>
                <c:pt idx="193">
                  <c:v>113700</c:v>
                </c:pt>
                <c:pt idx="194">
                  <c:v>110000</c:v>
                </c:pt>
                <c:pt idx="195">
                  <c:v>105580</c:v>
                </c:pt>
                <c:pt idx="196">
                  <c:v>104780</c:v>
                </c:pt>
                <c:pt idx="197">
                  <c:v>106180</c:v>
                </c:pt>
                <c:pt idx="198">
                  <c:v>108880</c:v>
                </c:pt>
                <c:pt idx="199">
                  <c:v>108580</c:v>
                </c:pt>
                <c:pt idx="200">
                  <c:v>106980</c:v>
                </c:pt>
                <c:pt idx="201">
                  <c:v>100680</c:v>
                </c:pt>
                <c:pt idx="202">
                  <c:v>102680</c:v>
                </c:pt>
                <c:pt idx="203">
                  <c:v>104280</c:v>
                </c:pt>
                <c:pt idx="204">
                  <c:v>104480</c:v>
                </c:pt>
                <c:pt idx="205">
                  <c:v>110080</c:v>
                </c:pt>
                <c:pt idx="206">
                  <c:v>114480</c:v>
                </c:pt>
                <c:pt idx="207">
                  <c:v>113980</c:v>
                </c:pt>
                <c:pt idx="208">
                  <c:v>110080</c:v>
                </c:pt>
                <c:pt idx="209">
                  <c:v>109480</c:v>
                </c:pt>
                <c:pt idx="210">
                  <c:v>113680</c:v>
                </c:pt>
                <c:pt idx="211">
                  <c:v>111980</c:v>
                </c:pt>
                <c:pt idx="212">
                  <c:v>117680</c:v>
                </c:pt>
                <c:pt idx="213">
                  <c:v>120880</c:v>
                </c:pt>
                <c:pt idx="214">
                  <c:v>127080</c:v>
                </c:pt>
                <c:pt idx="215">
                  <c:v>125080</c:v>
                </c:pt>
                <c:pt idx="216">
                  <c:v>120080</c:v>
                </c:pt>
                <c:pt idx="217">
                  <c:v>116080</c:v>
                </c:pt>
                <c:pt idx="218">
                  <c:v>113380</c:v>
                </c:pt>
                <c:pt idx="219">
                  <c:v>113480</c:v>
                </c:pt>
                <c:pt idx="220">
                  <c:v>112480</c:v>
                </c:pt>
                <c:pt idx="221">
                  <c:v>109680</c:v>
                </c:pt>
                <c:pt idx="222">
                  <c:v>109880</c:v>
                </c:pt>
                <c:pt idx="223">
                  <c:v>111780</c:v>
                </c:pt>
                <c:pt idx="224">
                  <c:v>111080</c:v>
                </c:pt>
                <c:pt idx="225">
                  <c:v>107680</c:v>
                </c:pt>
                <c:pt idx="226">
                  <c:v>104280</c:v>
                </c:pt>
                <c:pt idx="227">
                  <c:v>101680</c:v>
                </c:pt>
                <c:pt idx="228">
                  <c:v>103280</c:v>
                </c:pt>
                <c:pt idx="229">
                  <c:v>101880</c:v>
                </c:pt>
                <c:pt idx="230">
                  <c:v>101280</c:v>
                </c:pt>
                <c:pt idx="231">
                  <c:v>103280</c:v>
                </c:pt>
                <c:pt idx="232">
                  <c:v>103780</c:v>
                </c:pt>
                <c:pt idx="233">
                  <c:v>101680</c:v>
                </c:pt>
                <c:pt idx="234">
                  <c:v>101080</c:v>
                </c:pt>
                <c:pt idx="235">
                  <c:v>101480</c:v>
                </c:pt>
                <c:pt idx="236">
                  <c:v>103280</c:v>
                </c:pt>
                <c:pt idx="237">
                  <c:v>101580</c:v>
                </c:pt>
                <c:pt idx="238">
                  <c:v>101280</c:v>
                </c:pt>
                <c:pt idx="239">
                  <c:v>103260</c:v>
                </c:pt>
                <c:pt idx="240">
                  <c:v>98260</c:v>
                </c:pt>
                <c:pt idx="241">
                  <c:v>94660</c:v>
                </c:pt>
                <c:pt idx="242">
                  <c:v>89460</c:v>
                </c:pt>
                <c:pt idx="243">
                  <c:v>87060</c:v>
                </c:pt>
                <c:pt idx="244">
                  <c:v>85460</c:v>
                </c:pt>
                <c:pt idx="245">
                  <c:v>82560</c:v>
                </c:pt>
                <c:pt idx="246">
                  <c:v>82560</c:v>
                </c:pt>
                <c:pt idx="247">
                  <c:v>84160</c:v>
                </c:pt>
                <c:pt idx="248">
                  <c:v>84060</c:v>
                </c:pt>
                <c:pt idx="249">
                  <c:v>81960</c:v>
                </c:pt>
                <c:pt idx="250">
                  <c:v>77760</c:v>
                </c:pt>
                <c:pt idx="251">
                  <c:v>80960</c:v>
                </c:pt>
                <c:pt idx="252">
                  <c:v>80760</c:v>
                </c:pt>
                <c:pt idx="253">
                  <c:v>79860</c:v>
                </c:pt>
                <c:pt idx="254">
                  <c:v>80560</c:v>
                </c:pt>
                <c:pt idx="255">
                  <c:v>77060</c:v>
                </c:pt>
                <c:pt idx="256">
                  <c:v>78360</c:v>
                </c:pt>
                <c:pt idx="257">
                  <c:v>76760</c:v>
                </c:pt>
                <c:pt idx="258">
                  <c:v>78360</c:v>
                </c:pt>
                <c:pt idx="259">
                  <c:v>76560</c:v>
                </c:pt>
                <c:pt idx="260">
                  <c:v>77360</c:v>
                </c:pt>
                <c:pt idx="261">
                  <c:v>81360</c:v>
                </c:pt>
                <c:pt idx="262">
                  <c:v>83160</c:v>
                </c:pt>
                <c:pt idx="263">
                  <c:v>82160</c:v>
                </c:pt>
                <c:pt idx="264">
                  <c:v>81660</c:v>
                </c:pt>
                <c:pt idx="265">
                  <c:v>76460</c:v>
                </c:pt>
                <c:pt idx="266">
                  <c:v>77660</c:v>
                </c:pt>
                <c:pt idx="267">
                  <c:v>76360</c:v>
                </c:pt>
                <c:pt idx="268">
                  <c:v>78760</c:v>
                </c:pt>
                <c:pt idx="269">
                  <c:v>76660</c:v>
                </c:pt>
                <c:pt idx="270">
                  <c:v>79360</c:v>
                </c:pt>
                <c:pt idx="271">
                  <c:v>83060</c:v>
                </c:pt>
                <c:pt idx="272">
                  <c:v>82960</c:v>
                </c:pt>
                <c:pt idx="273">
                  <c:v>80460</c:v>
                </c:pt>
                <c:pt idx="274">
                  <c:v>79060</c:v>
                </c:pt>
                <c:pt idx="275">
                  <c:v>78860</c:v>
                </c:pt>
                <c:pt idx="276">
                  <c:v>77560</c:v>
                </c:pt>
                <c:pt idx="277">
                  <c:v>77360</c:v>
                </c:pt>
                <c:pt idx="278">
                  <c:v>81760</c:v>
                </c:pt>
                <c:pt idx="279">
                  <c:v>78160</c:v>
                </c:pt>
                <c:pt idx="280">
                  <c:v>76260</c:v>
                </c:pt>
                <c:pt idx="281">
                  <c:v>80760</c:v>
                </c:pt>
                <c:pt idx="282">
                  <c:v>80060</c:v>
                </c:pt>
                <c:pt idx="283">
                  <c:v>79360</c:v>
                </c:pt>
                <c:pt idx="284">
                  <c:v>74540</c:v>
                </c:pt>
                <c:pt idx="285">
                  <c:v>75940</c:v>
                </c:pt>
                <c:pt idx="286">
                  <c:v>80840</c:v>
                </c:pt>
                <c:pt idx="287">
                  <c:v>81140</c:v>
                </c:pt>
                <c:pt idx="288">
                  <c:v>81640</c:v>
                </c:pt>
                <c:pt idx="289">
                  <c:v>80740</c:v>
                </c:pt>
                <c:pt idx="290">
                  <c:v>79640</c:v>
                </c:pt>
                <c:pt idx="291">
                  <c:v>80640</c:v>
                </c:pt>
                <c:pt idx="292">
                  <c:v>80140</c:v>
                </c:pt>
                <c:pt idx="293">
                  <c:v>81140</c:v>
                </c:pt>
                <c:pt idx="294">
                  <c:v>84340</c:v>
                </c:pt>
                <c:pt idx="295">
                  <c:v>85840</c:v>
                </c:pt>
                <c:pt idx="296">
                  <c:v>85840</c:v>
                </c:pt>
                <c:pt idx="297">
                  <c:v>87440</c:v>
                </c:pt>
                <c:pt idx="298">
                  <c:v>93740</c:v>
                </c:pt>
                <c:pt idx="299">
                  <c:v>93940</c:v>
                </c:pt>
                <c:pt idx="300">
                  <c:v>98140</c:v>
                </c:pt>
                <c:pt idx="301">
                  <c:v>101940</c:v>
                </c:pt>
                <c:pt idx="302">
                  <c:v>112240</c:v>
                </c:pt>
                <c:pt idx="303">
                  <c:v>124040</c:v>
                </c:pt>
                <c:pt idx="304">
                  <c:v>129340</c:v>
                </c:pt>
                <c:pt idx="305">
                  <c:v>143340</c:v>
                </c:pt>
                <c:pt idx="306">
                  <c:v>138040</c:v>
                </c:pt>
                <c:pt idx="307">
                  <c:v>146340</c:v>
                </c:pt>
                <c:pt idx="308">
                  <c:v>148040</c:v>
                </c:pt>
                <c:pt idx="309">
                  <c:v>160240</c:v>
                </c:pt>
                <c:pt idx="310">
                  <c:v>163840</c:v>
                </c:pt>
                <c:pt idx="311">
                  <c:v>160540</c:v>
                </c:pt>
                <c:pt idx="312">
                  <c:v>171940</c:v>
                </c:pt>
                <c:pt idx="313">
                  <c:v>174540</c:v>
                </c:pt>
                <c:pt idx="314">
                  <c:v>183340</c:v>
                </c:pt>
                <c:pt idx="315">
                  <c:v>190240</c:v>
                </c:pt>
                <c:pt idx="316">
                  <c:v>194040</c:v>
                </c:pt>
                <c:pt idx="317">
                  <c:v>197940</c:v>
                </c:pt>
                <c:pt idx="318">
                  <c:v>198040</c:v>
                </c:pt>
                <c:pt idx="319">
                  <c:v>195940</c:v>
                </c:pt>
                <c:pt idx="320">
                  <c:v>183240</c:v>
                </c:pt>
                <c:pt idx="321">
                  <c:v>188440</c:v>
                </c:pt>
                <c:pt idx="322">
                  <c:v>198540</c:v>
                </c:pt>
                <c:pt idx="323">
                  <c:v>197840</c:v>
                </c:pt>
                <c:pt idx="324">
                  <c:v>200140</c:v>
                </c:pt>
                <c:pt idx="325">
                  <c:v>207420</c:v>
                </c:pt>
                <c:pt idx="326">
                  <c:v>204620</c:v>
                </c:pt>
                <c:pt idx="327">
                  <c:v>199520</c:v>
                </c:pt>
                <c:pt idx="328">
                  <c:v>188320</c:v>
                </c:pt>
                <c:pt idx="329">
                  <c:v>197420</c:v>
                </c:pt>
                <c:pt idx="330">
                  <c:v>189620</c:v>
                </c:pt>
                <c:pt idx="331">
                  <c:v>197120</c:v>
                </c:pt>
                <c:pt idx="332">
                  <c:v>196820</c:v>
                </c:pt>
                <c:pt idx="333">
                  <c:v>195820</c:v>
                </c:pt>
                <c:pt idx="334">
                  <c:v>195120</c:v>
                </c:pt>
                <c:pt idx="335">
                  <c:v>195820</c:v>
                </c:pt>
                <c:pt idx="336">
                  <c:v>201220</c:v>
                </c:pt>
                <c:pt idx="337">
                  <c:v>205520</c:v>
                </c:pt>
                <c:pt idx="338">
                  <c:v>202620</c:v>
                </c:pt>
                <c:pt idx="339">
                  <c:v>195320</c:v>
                </c:pt>
                <c:pt idx="340">
                  <c:v>198120</c:v>
                </c:pt>
                <c:pt idx="341">
                  <c:v>209620</c:v>
                </c:pt>
                <c:pt idx="342">
                  <c:v>207920</c:v>
                </c:pt>
                <c:pt idx="343">
                  <c:v>201920</c:v>
                </c:pt>
                <c:pt idx="344">
                  <c:v>203120</c:v>
                </c:pt>
                <c:pt idx="345">
                  <c:v>206620</c:v>
                </c:pt>
                <c:pt idx="346">
                  <c:v>197120</c:v>
                </c:pt>
                <c:pt idx="347">
                  <c:v>195620</c:v>
                </c:pt>
                <c:pt idx="348">
                  <c:v>194620</c:v>
                </c:pt>
                <c:pt idx="349">
                  <c:v>193320</c:v>
                </c:pt>
                <c:pt idx="350">
                  <c:v>197420</c:v>
                </c:pt>
                <c:pt idx="351">
                  <c:v>189920</c:v>
                </c:pt>
                <c:pt idx="352">
                  <c:v>185320</c:v>
                </c:pt>
                <c:pt idx="353">
                  <c:v>185520</c:v>
                </c:pt>
                <c:pt idx="354">
                  <c:v>180920</c:v>
                </c:pt>
                <c:pt idx="355">
                  <c:v>183220</c:v>
                </c:pt>
                <c:pt idx="356">
                  <c:v>182820</c:v>
                </c:pt>
                <c:pt idx="357">
                  <c:v>182320</c:v>
                </c:pt>
                <c:pt idx="358">
                  <c:v>179620</c:v>
                </c:pt>
                <c:pt idx="359">
                  <c:v>182620</c:v>
                </c:pt>
                <c:pt idx="360">
                  <c:v>179420</c:v>
                </c:pt>
                <c:pt idx="361">
                  <c:v>184220</c:v>
                </c:pt>
                <c:pt idx="362">
                  <c:v>175320</c:v>
                </c:pt>
                <c:pt idx="363">
                  <c:v>171220</c:v>
                </c:pt>
                <c:pt idx="364">
                  <c:v>173020</c:v>
                </c:pt>
                <c:pt idx="365">
                  <c:v>169820</c:v>
                </c:pt>
                <c:pt idx="366">
                  <c:v>162520</c:v>
                </c:pt>
                <c:pt idx="367">
                  <c:v>159920</c:v>
                </c:pt>
                <c:pt idx="368">
                  <c:v>157620</c:v>
                </c:pt>
                <c:pt idx="369">
                  <c:v>157000</c:v>
                </c:pt>
                <c:pt idx="370">
                  <c:v>158500</c:v>
                </c:pt>
                <c:pt idx="371">
                  <c:v>154100</c:v>
                </c:pt>
                <c:pt idx="372">
                  <c:v>157500</c:v>
                </c:pt>
                <c:pt idx="373">
                  <c:v>163400</c:v>
                </c:pt>
                <c:pt idx="374">
                  <c:v>161100</c:v>
                </c:pt>
                <c:pt idx="375">
                  <c:v>165600</c:v>
                </c:pt>
                <c:pt idx="376">
                  <c:v>167500</c:v>
                </c:pt>
                <c:pt idx="377">
                  <c:v>168100</c:v>
                </c:pt>
                <c:pt idx="378">
                  <c:v>167800</c:v>
                </c:pt>
                <c:pt idx="379">
                  <c:v>157000</c:v>
                </c:pt>
                <c:pt idx="380">
                  <c:v>159300</c:v>
                </c:pt>
                <c:pt idx="381">
                  <c:v>161500</c:v>
                </c:pt>
                <c:pt idx="382">
                  <c:v>171500</c:v>
                </c:pt>
                <c:pt idx="383">
                  <c:v>172300</c:v>
                </c:pt>
                <c:pt idx="384">
                  <c:v>173000</c:v>
                </c:pt>
                <c:pt idx="385">
                  <c:v>180800</c:v>
                </c:pt>
                <c:pt idx="386">
                  <c:v>178400</c:v>
                </c:pt>
                <c:pt idx="387">
                  <c:v>180100</c:v>
                </c:pt>
                <c:pt idx="388">
                  <c:v>183900</c:v>
                </c:pt>
                <c:pt idx="389">
                  <c:v>190100</c:v>
                </c:pt>
                <c:pt idx="390">
                  <c:v>182980</c:v>
                </c:pt>
                <c:pt idx="391">
                  <c:v>182280</c:v>
                </c:pt>
                <c:pt idx="392">
                  <c:v>187380</c:v>
                </c:pt>
                <c:pt idx="393">
                  <c:v>187980</c:v>
                </c:pt>
                <c:pt idx="394">
                  <c:v>187480</c:v>
                </c:pt>
                <c:pt idx="395">
                  <c:v>188480</c:v>
                </c:pt>
                <c:pt idx="396">
                  <c:v>193580</c:v>
                </c:pt>
                <c:pt idx="397">
                  <c:v>192080</c:v>
                </c:pt>
                <c:pt idx="398">
                  <c:v>191280</c:v>
                </c:pt>
                <c:pt idx="399">
                  <c:v>193580</c:v>
                </c:pt>
                <c:pt idx="400">
                  <c:v>195980</c:v>
                </c:pt>
                <c:pt idx="401">
                  <c:v>195780</c:v>
                </c:pt>
                <c:pt idx="402">
                  <c:v>187480</c:v>
                </c:pt>
                <c:pt idx="403">
                  <c:v>181180</c:v>
                </c:pt>
                <c:pt idx="404">
                  <c:v>173380</c:v>
                </c:pt>
                <c:pt idx="405">
                  <c:v>182780</c:v>
                </c:pt>
                <c:pt idx="406">
                  <c:v>171080</c:v>
                </c:pt>
                <c:pt idx="407">
                  <c:v>164080</c:v>
                </c:pt>
                <c:pt idx="408">
                  <c:v>168180</c:v>
                </c:pt>
                <c:pt idx="409">
                  <c:v>167480</c:v>
                </c:pt>
                <c:pt idx="410">
                  <c:v>158980</c:v>
                </c:pt>
                <c:pt idx="411">
                  <c:v>147480</c:v>
                </c:pt>
                <c:pt idx="412">
                  <c:v>145780</c:v>
                </c:pt>
                <c:pt idx="413">
                  <c:v>144360</c:v>
                </c:pt>
                <c:pt idx="414">
                  <c:v>140960</c:v>
                </c:pt>
                <c:pt idx="415">
                  <c:v>135360</c:v>
                </c:pt>
                <c:pt idx="416">
                  <c:v>137460</c:v>
                </c:pt>
                <c:pt idx="417">
                  <c:v>132960</c:v>
                </c:pt>
                <c:pt idx="418">
                  <c:v>130960</c:v>
                </c:pt>
                <c:pt idx="419">
                  <c:v>129460</c:v>
                </c:pt>
                <c:pt idx="420">
                  <c:v>129060</c:v>
                </c:pt>
                <c:pt idx="421">
                  <c:v>132860</c:v>
                </c:pt>
                <c:pt idx="422">
                  <c:v>131760</c:v>
                </c:pt>
                <c:pt idx="423">
                  <c:v>132160</c:v>
                </c:pt>
                <c:pt idx="424">
                  <c:v>132460</c:v>
                </c:pt>
                <c:pt idx="425">
                  <c:v>130360</c:v>
                </c:pt>
                <c:pt idx="426">
                  <c:v>121160</c:v>
                </c:pt>
                <c:pt idx="427">
                  <c:v>127560</c:v>
                </c:pt>
                <c:pt idx="428">
                  <c:v>123160</c:v>
                </c:pt>
                <c:pt idx="429">
                  <c:v>125460</c:v>
                </c:pt>
                <c:pt idx="430">
                  <c:v>131660</c:v>
                </c:pt>
                <c:pt idx="431">
                  <c:v>135360</c:v>
                </c:pt>
                <c:pt idx="432">
                  <c:v>133760</c:v>
                </c:pt>
                <c:pt idx="433">
                  <c:v>143960</c:v>
                </c:pt>
                <c:pt idx="434">
                  <c:v>151660</c:v>
                </c:pt>
                <c:pt idx="435">
                  <c:v>151460</c:v>
                </c:pt>
                <c:pt idx="436">
                  <c:v>155260</c:v>
                </c:pt>
                <c:pt idx="437">
                  <c:v>162260</c:v>
                </c:pt>
                <c:pt idx="438">
                  <c:v>174560</c:v>
                </c:pt>
                <c:pt idx="439">
                  <c:v>165660</c:v>
                </c:pt>
                <c:pt idx="440">
                  <c:v>173460</c:v>
                </c:pt>
                <c:pt idx="441">
                  <c:v>180260</c:v>
                </c:pt>
                <c:pt idx="442">
                  <c:v>176860</c:v>
                </c:pt>
                <c:pt idx="443">
                  <c:v>176960</c:v>
                </c:pt>
                <c:pt idx="444">
                  <c:v>175460</c:v>
                </c:pt>
                <c:pt idx="445">
                  <c:v>180260</c:v>
                </c:pt>
                <c:pt idx="446">
                  <c:v>175660</c:v>
                </c:pt>
                <c:pt idx="447">
                  <c:v>163260</c:v>
                </c:pt>
                <c:pt idx="448">
                  <c:v>175660</c:v>
                </c:pt>
                <c:pt idx="449">
                  <c:v>181160</c:v>
                </c:pt>
                <c:pt idx="450">
                  <c:v>182760</c:v>
                </c:pt>
                <c:pt idx="451">
                  <c:v>181960</c:v>
                </c:pt>
                <c:pt idx="452">
                  <c:v>173860</c:v>
                </c:pt>
                <c:pt idx="453">
                  <c:v>177860</c:v>
                </c:pt>
                <c:pt idx="454">
                  <c:v>181260</c:v>
                </c:pt>
                <c:pt idx="455">
                  <c:v>181660</c:v>
                </c:pt>
                <c:pt idx="456">
                  <c:v>181640</c:v>
                </c:pt>
                <c:pt idx="457">
                  <c:v>179140</c:v>
                </c:pt>
                <c:pt idx="458">
                  <c:v>174340</c:v>
                </c:pt>
                <c:pt idx="459">
                  <c:v>180540</c:v>
                </c:pt>
                <c:pt idx="460">
                  <c:v>181840</c:v>
                </c:pt>
                <c:pt idx="461">
                  <c:v>185040</c:v>
                </c:pt>
                <c:pt idx="462">
                  <c:v>189840</c:v>
                </c:pt>
                <c:pt idx="463">
                  <c:v>189440</c:v>
                </c:pt>
                <c:pt idx="464">
                  <c:v>188540</c:v>
                </c:pt>
                <c:pt idx="465">
                  <c:v>189940</c:v>
                </c:pt>
                <c:pt idx="466">
                  <c:v>177740</c:v>
                </c:pt>
                <c:pt idx="467">
                  <c:v>171440</c:v>
                </c:pt>
                <c:pt idx="468">
                  <c:v>173340</c:v>
                </c:pt>
                <c:pt idx="469">
                  <c:v>167940</c:v>
                </c:pt>
                <c:pt idx="470">
                  <c:v>163340</c:v>
                </c:pt>
                <c:pt idx="471">
                  <c:v>170540</c:v>
                </c:pt>
                <c:pt idx="472">
                  <c:v>164340</c:v>
                </c:pt>
                <c:pt idx="473">
                  <c:v>168240</c:v>
                </c:pt>
                <c:pt idx="474">
                  <c:v>166640</c:v>
                </c:pt>
                <c:pt idx="475">
                  <c:v>170240</c:v>
                </c:pt>
                <c:pt idx="476">
                  <c:v>163040</c:v>
                </c:pt>
                <c:pt idx="477">
                  <c:v>157940</c:v>
                </c:pt>
                <c:pt idx="478">
                  <c:v>162140</c:v>
                </c:pt>
                <c:pt idx="479">
                  <c:v>165340</c:v>
                </c:pt>
                <c:pt idx="480">
                  <c:v>163140</c:v>
                </c:pt>
                <c:pt idx="481">
                  <c:v>157740</c:v>
                </c:pt>
                <c:pt idx="482">
                  <c:v>159340</c:v>
                </c:pt>
                <c:pt idx="483">
                  <c:v>167240</c:v>
                </c:pt>
                <c:pt idx="484">
                  <c:v>169840</c:v>
                </c:pt>
                <c:pt idx="485">
                  <c:v>169440</c:v>
                </c:pt>
                <c:pt idx="486">
                  <c:v>173640</c:v>
                </c:pt>
                <c:pt idx="487">
                  <c:v>176540</c:v>
                </c:pt>
                <c:pt idx="488">
                  <c:v>181940</c:v>
                </c:pt>
                <c:pt idx="489">
                  <c:v>180940</c:v>
                </c:pt>
                <c:pt idx="490">
                  <c:v>177840</c:v>
                </c:pt>
                <c:pt idx="491">
                  <c:v>177340</c:v>
                </c:pt>
                <c:pt idx="492">
                  <c:v>173840</c:v>
                </c:pt>
                <c:pt idx="493">
                  <c:v>172540</c:v>
                </c:pt>
                <c:pt idx="494">
                  <c:v>174640</c:v>
                </c:pt>
                <c:pt idx="495">
                  <c:v>173040</c:v>
                </c:pt>
                <c:pt idx="496">
                  <c:v>174140</c:v>
                </c:pt>
                <c:pt idx="497">
                  <c:v>174540</c:v>
                </c:pt>
                <c:pt idx="498">
                  <c:v>168940</c:v>
                </c:pt>
                <c:pt idx="499">
                  <c:v>170620</c:v>
                </c:pt>
                <c:pt idx="500">
                  <c:v>167620</c:v>
                </c:pt>
                <c:pt idx="501">
                  <c:v>164120</c:v>
                </c:pt>
                <c:pt idx="502">
                  <c:v>161120</c:v>
                </c:pt>
                <c:pt idx="503">
                  <c:v>157320</c:v>
                </c:pt>
                <c:pt idx="504">
                  <c:v>157020</c:v>
                </c:pt>
                <c:pt idx="505">
                  <c:v>157020</c:v>
                </c:pt>
                <c:pt idx="506">
                  <c:v>159420</c:v>
                </c:pt>
                <c:pt idx="507">
                  <c:v>159620</c:v>
                </c:pt>
                <c:pt idx="508">
                  <c:v>159820</c:v>
                </c:pt>
                <c:pt idx="509">
                  <c:v>158820</c:v>
                </c:pt>
                <c:pt idx="510">
                  <c:v>153620</c:v>
                </c:pt>
                <c:pt idx="511">
                  <c:v>148020</c:v>
                </c:pt>
                <c:pt idx="512">
                  <c:v>153820</c:v>
                </c:pt>
                <c:pt idx="513">
                  <c:v>151920</c:v>
                </c:pt>
                <c:pt idx="514">
                  <c:v>148320</c:v>
                </c:pt>
                <c:pt idx="515">
                  <c:v>152820</c:v>
                </c:pt>
                <c:pt idx="516">
                  <c:v>151020</c:v>
                </c:pt>
                <c:pt idx="517">
                  <c:v>152520</c:v>
                </c:pt>
                <c:pt idx="518">
                  <c:v>149520</c:v>
                </c:pt>
                <c:pt idx="519">
                  <c:v>153320</c:v>
                </c:pt>
                <c:pt idx="520">
                  <c:v>150820</c:v>
                </c:pt>
                <c:pt idx="521">
                  <c:v>151920</c:v>
                </c:pt>
                <c:pt idx="522">
                  <c:v>150520</c:v>
                </c:pt>
                <c:pt idx="523">
                  <c:v>151620</c:v>
                </c:pt>
                <c:pt idx="524">
                  <c:v>145220</c:v>
                </c:pt>
                <c:pt idx="525">
                  <c:v>140020</c:v>
                </c:pt>
                <c:pt idx="526">
                  <c:v>143020</c:v>
                </c:pt>
                <c:pt idx="527">
                  <c:v>138020</c:v>
                </c:pt>
                <c:pt idx="528">
                  <c:v>139820</c:v>
                </c:pt>
                <c:pt idx="529">
                  <c:v>132720</c:v>
                </c:pt>
                <c:pt idx="530">
                  <c:v>127320</c:v>
                </c:pt>
                <c:pt idx="531">
                  <c:v>131020</c:v>
                </c:pt>
                <c:pt idx="532">
                  <c:v>129220</c:v>
                </c:pt>
                <c:pt idx="533">
                  <c:v>123420</c:v>
                </c:pt>
                <c:pt idx="534">
                  <c:v>122420</c:v>
                </c:pt>
                <c:pt idx="535">
                  <c:v>113220</c:v>
                </c:pt>
                <c:pt idx="536">
                  <c:v>114620</c:v>
                </c:pt>
                <c:pt idx="537">
                  <c:v>110520</c:v>
                </c:pt>
                <c:pt idx="538">
                  <c:v>101920</c:v>
                </c:pt>
                <c:pt idx="539">
                  <c:v>110920</c:v>
                </c:pt>
                <c:pt idx="540">
                  <c:v>107420</c:v>
                </c:pt>
                <c:pt idx="541">
                  <c:v>113320</c:v>
                </c:pt>
                <c:pt idx="542">
                  <c:v>100220</c:v>
                </c:pt>
                <c:pt idx="543">
                  <c:v>97620</c:v>
                </c:pt>
                <c:pt idx="544">
                  <c:v>92100</c:v>
                </c:pt>
                <c:pt idx="545">
                  <c:v>94300</c:v>
                </c:pt>
                <c:pt idx="546">
                  <c:v>86500</c:v>
                </c:pt>
                <c:pt idx="547">
                  <c:v>80000</c:v>
                </c:pt>
                <c:pt idx="548">
                  <c:v>82200</c:v>
                </c:pt>
                <c:pt idx="549">
                  <c:v>72900</c:v>
                </c:pt>
                <c:pt idx="550">
                  <c:v>74500</c:v>
                </c:pt>
                <c:pt idx="551">
                  <c:v>71500</c:v>
                </c:pt>
                <c:pt idx="552">
                  <c:v>73400</c:v>
                </c:pt>
                <c:pt idx="553">
                  <c:v>74000</c:v>
                </c:pt>
                <c:pt idx="554">
                  <c:v>74500</c:v>
                </c:pt>
                <c:pt idx="555">
                  <c:v>66600</c:v>
                </c:pt>
                <c:pt idx="556">
                  <c:v>66200</c:v>
                </c:pt>
                <c:pt idx="557">
                  <c:v>77300</c:v>
                </c:pt>
                <c:pt idx="558">
                  <c:v>80500</c:v>
                </c:pt>
                <c:pt idx="559">
                  <c:v>84600</c:v>
                </c:pt>
                <c:pt idx="560">
                  <c:v>83600</c:v>
                </c:pt>
                <c:pt idx="561">
                  <c:v>86700</c:v>
                </c:pt>
                <c:pt idx="562">
                  <c:v>79600</c:v>
                </c:pt>
                <c:pt idx="563">
                  <c:v>81900</c:v>
                </c:pt>
                <c:pt idx="564">
                  <c:v>79500</c:v>
                </c:pt>
                <c:pt idx="565">
                  <c:v>73500</c:v>
                </c:pt>
                <c:pt idx="566">
                  <c:v>82800</c:v>
                </c:pt>
                <c:pt idx="567">
                  <c:v>78000</c:v>
                </c:pt>
                <c:pt idx="568">
                  <c:v>74500</c:v>
                </c:pt>
                <c:pt idx="569">
                  <c:v>74300</c:v>
                </c:pt>
                <c:pt idx="570">
                  <c:v>73000</c:v>
                </c:pt>
                <c:pt idx="571">
                  <c:v>66800</c:v>
                </c:pt>
                <c:pt idx="572">
                  <c:v>58400</c:v>
                </c:pt>
                <c:pt idx="573">
                  <c:v>58600</c:v>
                </c:pt>
                <c:pt idx="574">
                  <c:v>57500</c:v>
                </c:pt>
                <c:pt idx="575">
                  <c:v>58100</c:v>
                </c:pt>
                <c:pt idx="576">
                  <c:v>52300</c:v>
                </c:pt>
                <c:pt idx="577">
                  <c:v>42100</c:v>
                </c:pt>
                <c:pt idx="578">
                  <c:v>43300</c:v>
                </c:pt>
                <c:pt idx="579">
                  <c:v>47700</c:v>
                </c:pt>
                <c:pt idx="580">
                  <c:v>45100</c:v>
                </c:pt>
                <c:pt idx="581">
                  <c:v>48200</c:v>
                </c:pt>
                <c:pt idx="582">
                  <c:v>54300</c:v>
                </c:pt>
                <c:pt idx="583">
                  <c:v>54200</c:v>
                </c:pt>
                <c:pt idx="584">
                  <c:v>56000</c:v>
                </c:pt>
                <c:pt idx="585">
                  <c:v>58000</c:v>
                </c:pt>
                <c:pt idx="586">
                  <c:v>60680</c:v>
                </c:pt>
                <c:pt idx="587">
                  <c:v>61980</c:v>
                </c:pt>
                <c:pt idx="588">
                  <c:v>63080</c:v>
                </c:pt>
                <c:pt idx="589">
                  <c:v>63180</c:v>
                </c:pt>
                <c:pt idx="590">
                  <c:v>60780</c:v>
                </c:pt>
                <c:pt idx="591">
                  <c:v>60680</c:v>
                </c:pt>
                <c:pt idx="592">
                  <c:v>59680</c:v>
                </c:pt>
                <c:pt idx="593">
                  <c:v>60280</c:v>
                </c:pt>
                <c:pt idx="594">
                  <c:v>62780</c:v>
                </c:pt>
                <c:pt idx="595">
                  <c:v>62480</c:v>
                </c:pt>
                <c:pt idx="596">
                  <c:v>61580</c:v>
                </c:pt>
                <c:pt idx="597">
                  <c:v>63580</c:v>
                </c:pt>
                <c:pt idx="598">
                  <c:v>62780</c:v>
                </c:pt>
                <c:pt idx="599">
                  <c:v>60580</c:v>
                </c:pt>
                <c:pt idx="600">
                  <c:v>70080</c:v>
                </c:pt>
                <c:pt idx="601">
                  <c:v>63180</c:v>
                </c:pt>
                <c:pt idx="602">
                  <c:v>73080</c:v>
                </c:pt>
                <c:pt idx="603">
                  <c:v>76080</c:v>
                </c:pt>
                <c:pt idx="604">
                  <c:v>77880</c:v>
                </c:pt>
                <c:pt idx="605">
                  <c:v>78880</c:v>
                </c:pt>
                <c:pt idx="606">
                  <c:v>83580</c:v>
                </c:pt>
                <c:pt idx="607">
                  <c:v>85080</c:v>
                </c:pt>
                <c:pt idx="608">
                  <c:v>84080</c:v>
                </c:pt>
                <c:pt idx="609">
                  <c:v>86780</c:v>
                </c:pt>
                <c:pt idx="610">
                  <c:v>91080</c:v>
                </c:pt>
                <c:pt idx="611">
                  <c:v>95180</c:v>
                </c:pt>
                <c:pt idx="612">
                  <c:v>93280</c:v>
                </c:pt>
                <c:pt idx="613">
                  <c:v>97980</c:v>
                </c:pt>
                <c:pt idx="614">
                  <c:v>95680</c:v>
                </c:pt>
                <c:pt idx="615">
                  <c:v>98980</c:v>
                </c:pt>
                <c:pt idx="616">
                  <c:v>98880</c:v>
                </c:pt>
                <c:pt idx="617">
                  <c:v>94980</c:v>
                </c:pt>
                <c:pt idx="618">
                  <c:v>92480</c:v>
                </c:pt>
                <c:pt idx="619">
                  <c:v>87680</c:v>
                </c:pt>
                <c:pt idx="620">
                  <c:v>88080</c:v>
                </c:pt>
                <c:pt idx="621">
                  <c:v>88680</c:v>
                </c:pt>
                <c:pt idx="622">
                  <c:v>95180</c:v>
                </c:pt>
                <c:pt idx="623">
                  <c:v>93680</c:v>
                </c:pt>
                <c:pt idx="624">
                  <c:v>91880</c:v>
                </c:pt>
                <c:pt idx="625">
                  <c:v>92080</c:v>
                </c:pt>
                <c:pt idx="626">
                  <c:v>94380</c:v>
                </c:pt>
                <c:pt idx="627">
                  <c:v>97080</c:v>
                </c:pt>
                <c:pt idx="628">
                  <c:v>92280</c:v>
                </c:pt>
                <c:pt idx="629">
                  <c:v>96760</c:v>
                </c:pt>
                <c:pt idx="630">
                  <c:v>95760</c:v>
                </c:pt>
                <c:pt idx="631">
                  <c:v>93660</c:v>
                </c:pt>
                <c:pt idx="632">
                  <c:v>88260</c:v>
                </c:pt>
                <c:pt idx="633">
                  <c:v>87460</c:v>
                </c:pt>
                <c:pt idx="634">
                  <c:v>86060</c:v>
                </c:pt>
                <c:pt idx="635">
                  <c:v>83860</c:v>
                </c:pt>
                <c:pt idx="636">
                  <c:v>84160</c:v>
                </c:pt>
                <c:pt idx="637">
                  <c:v>84660</c:v>
                </c:pt>
                <c:pt idx="638">
                  <c:v>84960</c:v>
                </c:pt>
                <c:pt idx="639">
                  <c:v>79760</c:v>
                </c:pt>
                <c:pt idx="640">
                  <c:v>80060</c:v>
                </c:pt>
                <c:pt idx="641">
                  <c:v>82760</c:v>
                </c:pt>
                <c:pt idx="642">
                  <c:v>83160</c:v>
                </c:pt>
                <c:pt idx="643">
                  <c:v>76260</c:v>
                </c:pt>
                <c:pt idx="644">
                  <c:v>68760</c:v>
                </c:pt>
                <c:pt idx="645">
                  <c:v>69160</c:v>
                </c:pt>
                <c:pt idx="646">
                  <c:v>70760</c:v>
                </c:pt>
                <c:pt idx="647">
                  <c:v>69860</c:v>
                </c:pt>
                <c:pt idx="648">
                  <c:v>72060</c:v>
                </c:pt>
                <c:pt idx="649">
                  <c:v>67860</c:v>
                </c:pt>
                <c:pt idx="650">
                  <c:v>78360</c:v>
                </c:pt>
                <c:pt idx="651">
                  <c:v>80640</c:v>
                </c:pt>
                <c:pt idx="652">
                  <c:v>87640</c:v>
                </c:pt>
                <c:pt idx="653">
                  <c:v>86340</c:v>
                </c:pt>
                <c:pt idx="654">
                  <c:v>87140</c:v>
                </c:pt>
                <c:pt idx="655">
                  <c:v>88240</c:v>
                </c:pt>
                <c:pt idx="656">
                  <c:v>90140</c:v>
                </c:pt>
                <c:pt idx="657">
                  <c:v>87640</c:v>
                </c:pt>
                <c:pt idx="658">
                  <c:v>87340</c:v>
                </c:pt>
                <c:pt idx="659">
                  <c:v>87740</c:v>
                </c:pt>
                <c:pt idx="660">
                  <c:v>91240</c:v>
                </c:pt>
                <c:pt idx="661">
                  <c:v>93240</c:v>
                </c:pt>
                <c:pt idx="662">
                  <c:v>94740</c:v>
                </c:pt>
                <c:pt idx="663">
                  <c:v>94840</c:v>
                </c:pt>
                <c:pt idx="664">
                  <c:v>92140</c:v>
                </c:pt>
                <c:pt idx="665">
                  <c:v>94040</c:v>
                </c:pt>
                <c:pt idx="666">
                  <c:v>105340</c:v>
                </c:pt>
                <c:pt idx="667">
                  <c:v>105340</c:v>
                </c:pt>
                <c:pt idx="668">
                  <c:v>103040</c:v>
                </c:pt>
                <c:pt idx="669">
                  <c:v>101340</c:v>
                </c:pt>
                <c:pt idx="670">
                  <c:v>107140</c:v>
                </c:pt>
                <c:pt idx="671">
                  <c:v>111440</c:v>
                </c:pt>
                <c:pt idx="672">
                  <c:v>111640</c:v>
                </c:pt>
                <c:pt idx="673">
                  <c:v>105640</c:v>
                </c:pt>
                <c:pt idx="674">
                  <c:v>109820</c:v>
                </c:pt>
                <c:pt idx="675">
                  <c:v>116220</c:v>
                </c:pt>
                <c:pt idx="676">
                  <c:v>113320</c:v>
                </c:pt>
                <c:pt idx="677">
                  <c:v>104820</c:v>
                </c:pt>
                <c:pt idx="678">
                  <c:v>101920</c:v>
                </c:pt>
                <c:pt idx="679">
                  <c:v>99720</c:v>
                </c:pt>
                <c:pt idx="680">
                  <c:v>99720</c:v>
                </c:pt>
                <c:pt idx="681">
                  <c:v>102320</c:v>
                </c:pt>
                <c:pt idx="682">
                  <c:v>106620</c:v>
                </c:pt>
                <c:pt idx="683">
                  <c:v>106820</c:v>
                </c:pt>
                <c:pt idx="684">
                  <c:v>109720</c:v>
                </c:pt>
                <c:pt idx="685">
                  <c:v>108220</c:v>
                </c:pt>
                <c:pt idx="686">
                  <c:v>108620</c:v>
                </c:pt>
                <c:pt idx="687">
                  <c:v>104620</c:v>
                </c:pt>
                <c:pt idx="688">
                  <c:v>97820</c:v>
                </c:pt>
                <c:pt idx="689">
                  <c:v>107720</c:v>
                </c:pt>
                <c:pt idx="690">
                  <c:v>113820</c:v>
                </c:pt>
                <c:pt idx="691">
                  <c:v>111720</c:v>
                </c:pt>
                <c:pt idx="692">
                  <c:v>111720</c:v>
                </c:pt>
                <c:pt idx="693">
                  <c:v>109920</c:v>
                </c:pt>
                <c:pt idx="694">
                  <c:v>115620</c:v>
                </c:pt>
                <c:pt idx="695">
                  <c:v>116520</c:v>
                </c:pt>
                <c:pt idx="696">
                  <c:v>123120</c:v>
                </c:pt>
                <c:pt idx="697">
                  <c:v>122620</c:v>
                </c:pt>
                <c:pt idx="698">
                  <c:v>120620</c:v>
                </c:pt>
                <c:pt idx="699">
                  <c:v>121520</c:v>
                </c:pt>
                <c:pt idx="700">
                  <c:v>119820</c:v>
                </c:pt>
                <c:pt idx="701">
                  <c:v>120220</c:v>
                </c:pt>
                <c:pt idx="702">
                  <c:v>119220</c:v>
                </c:pt>
                <c:pt idx="703">
                  <c:v>114620</c:v>
                </c:pt>
                <c:pt idx="704">
                  <c:v>112420</c:v>
                </c:pt>
                <c:pt idx="705">
                  <c:v>122320</c:v>
                </c:pt>
                <c:pt idx="706">
                  <c:v>117620</c:v>
                </c:pt>
                <c:pt idx="707">
                  <c:v>128620</c:v>
                </c:pt>
                <c:pt idx="708">
                  <c:v>127520</c:v>
                </c:pt>
                <c:pt idx="709">
                  <c:v>131320</c:v>
                </c:pt>
                <c:pt idx="710">
                  <c:v>128020</c:v>
                </c:pt>
                <c:pt idx="711">
                  <c:v>126420</c:v>
                </c:pt>
                <c:pt idx="712">
                  <c:v>130520</c:v>
                </c:pt>
                <c:pt idx="713">
                  <c:v>131220</c:v>
                </c:pt>
                <c:pt idx="714">
                  <c:v>129320</c:v>
                </c:pt>
                <c:pt idx="715">
                  <c:v>137020</c:v>
                </c:pt>
                <c:pt idx="716">
                  <c:v>139420</c:v>
                </c:pt>
                <c:pt idx="717">
                  <c:v>134900</c:v>
                </c:pt>
                <c:pt idx="718">
                  <c:v>137900</c:v>
                </c:pt>
                <c:pt idx="719">
                  <c:v>135400</c:v>
                </c:pt>
                <c:pt idx="720">
                  <c:v>139200</c:v>
                </c:pt>
                <c:pt idx="721">
                  <c:v>140400</c:v>
                </c:pt>
                <c:pt idx="722">
                  <c:v>140600</c:v>
                </c:pt>
                <c:pt idx="723">
                  <c:v>140200</c:v>
                </c:pt>
                <c:pt idx="724">
                  <c:v>141400</c:v>
                </c:pt>
                <c:pt idx="725">
                  <c:v>143500</c:v>
                </c:pt>
                <c:pt idx="726">
                  <c:v>144700</c:v>
                </c:pt>
                <c:pt idx="727">
                  <c:v>145200</c:v>
                </c:pt>
                <c:pt idx="728">
                  <c:v>140900</c:v>
                </c:pt>
                <c:pt idx="729">
                  <c:v>143400</c:v>
                </c:pt>
                <c:pt idx="730">
                  <c:v>150400</c:v>
                </c:pt>
                <c:pt idx="731">
                  <c:v>146300</c:v>
                </c:pt>
                <c:pt idx="732">
                  <c:v>145300</c:v>
                </c:pt>
                <c:pt idx="733">
                  <c:v>132000</c:v>
                </c:pt>
                <c:pt idx="734">
                  <c:v>132800</c:v>
                </c:pt>
                <c:pt idx="735">
                  <c:v>122700</c:v>
                </c:pt>
                <c:pt idx="736">
                  <c:v>123300</c:v>
                </c:pt>
                <c:pt idx="737">
                  <c:v>115800</c:v>
                </c:pt>
                <c:pt idx="738">
                  <c:v>115600</c:v>
                </c:pt>
                <c:pt idx="739">
                  <c:v>110000</c:v>
                </c:pt>
                <c:pt idx="740">
                  <c:v>110400</c:v>
                </c:pt>
                <c:pt idx="741">
                  <c:v>107900</c:v>
                </c:pt>
                <c:pt idx="742">
                  <c:v>99500</c:v>
                </c:pt>
                <c:pt idx="743">
                  <c:v>98600</c:v>
                </c:pt>
                <c:pt idx="744">
                  <c:v>93500</c:v>
                </c:pt>
                <c:pt idx="745">
                  <c:v>91900</c:v>
                </c:pt>
                <c:pt idx="746">
                  <c:v>102300</c:v>
                </c:pt>
                <c:pt idx="747">
                  <c:v>105300</c:v>
                </c:pt>
                <c:pt idx="748">
                  <c:v>97300</c:v>
                </c:pt>
                <c:pt idx="749">
                  <c:v>85200</c:v>
                </c:pt>
                <c:pt idx="750">
                  <c:v>94400</c:v>
                </c:pt>
                <c:pt idx="751">
                  <c:v>95400</c:v>
                </c:pt>
                <c:pt idx="752">
                  <c:v>98900</c:v>
                </c:pt>
                <c:pt idx="753">
                  <c:v>105300</c:v>
                </c:pt>
                <c:pt idx="754">
                  <c:v>108800</c:v>
                </c:pt>
                <c:pt idx="755">
                  <c:v>108300</c:v>
                </c:pt>
                <c:pt idx="756">
                  <c:v>110900</c:v>
                </c:pt>
                <c:pt idx="757">
                  <c:v>112000</c:v>
                </c:pt>
                <c:pt idx="758">
                  <c:v>113600</c:v>
                </c:pt>
                <c:pt idx="759">
                  <c:v>112100</c:v>
                </c:pt>
                <c:pt idx="760">
                  <c:v>116780</c:v>
                </c:pt>
                <c:pt idx="761">
                  <c:v>116080</c:v>
                </c:pt>
                <c:pt idx="762">
                  <c:v>112880</c:v>
                </c:pt>
                <c:pt idx="763">
                  <c:v>105980</c:v>
                </c:pt>
                <c:pt idx="764">
                  <c:v>101580</c:v>
                </c:pt>
                <c:pt idx="765">
                  <c:v>101680</c:v>
                </c:pt>
                <c:pt idx="766">
                  <c:v>103680</c:v>
                </c:pt>
                <c:pt idx="767">
                  <c:v>103080</c:v>
                </c:pt>
                <c:pt idx="768">
                  <c:v>101980</c:v>
                </c:pt>
                <c:pt idx="769">
                  <c:v>100080</c:v>
                </c:pt>
                <c:pt idx="770">
                  <c:v>96880</c:v>
                </c:pt>
                <c:pt idx="771">
                  <c:v>91280</c:v>
                </c:pt>
                <c:pt idx="772">
                  <c:v>82180</c:v>
                </c:pt>
                <c:pt idx="773">
                  <c:v>85780</c:v>
                </c:pt>
                <c:pt idx="774">
                  <c:v>84980</c:v>
                </c:pt>
                <c:pt idx="775">
                  <c:v>87280</c:v>
                </c:pt>
                <c:pt idx="776">
                  <c:v>90480</c:v>
                </c:pt>
                <c:pt idx="777">
                  <c:v>93580</c:v>
                </c:pt>
                <c:pt idx="778">
                  <c:v>93180</c:v>
                </c:pt>
                <c:pt idx="779">
                  <c:v>96280</c:v>
                </c:pt>
                <c:pt idx="780">
                  <c:v>94680</c:v>
                </c:pt>
                <c:pt idx="781">
                  <c:v>97580</c:v>
                </c:pt>
                <c:pt idx="782">
                  <c:v>97880</c:v>
                </c:pt>
                <c:pt idx="783">
                  <c:v>97480</c:v>
                </c:pt>
                <c:pt idx="784">
                  <c:v>95480</c:v>
                </c:pt>
                <c:pt idx="785">
                  <c:v>103880</c:v>
                </c:pt>
                <c:pt idx="786">
                  <c:v>102080</c:v>
                </c:pt>
                <c:pt idx="787">
                  <c:v>97980</c:v>
                </c:pt>
                <c:pt idx="788">
                  <c:v>99680</c:v>
                </c:pt>
                <c:pt idx="789">
                  <c:v>96080</c:v>
                </c:pt>
                <c:pt idx="790">
                  <c:v>104780</c:v>
                </c:pt>
                <c:pt idx="791">
                  <c:v>105180</c:v>
                </c:pt>
                <c:pt idx="792">
                  <c:v>108080</c:v>
                </c:pt>
                <c:pt idx="793">
                  <c:v>105380</c:v>
                </c:pt>
                <c:pt idx="794">
                  <c:v>109280</c:v>
                </c:pt>
                <c:pt idx="795">
                  <c:v>110480</c:v>
                </c:pt>
                <c:pt idx="796">
                  <c:v>109580</c:v>
                </c:pt>
                <c:pt idx="797">
                  <c:v>114080</c:v>
                </c:pt>
                <c:pt idx="798">
                  <c:v>111380</c:v>
                </c:pt>
                <c:pt idx="799">
                  <c:v>111880</c:v>
                </c:pt>
                <c:pt idx="800">
                  <c:v>115280</c:v>
                </c:pt>
                <c:pt idx="801">
                  <c:v>120280</c:v>
                </c:pt>
                <c:pt idx="802">
                  <c:v>119580</c:v>
                </c:pt>
                <c:pt idx="803">
                  <c:v>121980</c:v>
                </c:pt>
                <c:pt idx="804">
                  <c:v>120460</c:v>
                </c:pt>
                <c:pt idx="805">
                  <c:v>115860</c:v>
                </c:pt>
                <c:pt idx="806">
                  <c:v>117060</c:v>
                </c:pt>
                <c:pt idx="807">
                  <c:v>119760</c:v>
                </c:pt>
                <c:pt idx="808">
                  <c:v>119060</c:v>
                </c:pt>
                <c:pt idx="809">
                  <c:v>119060</c:v>
                </c:pt>
                <c:pt idx="810">
                  <c:v>119060</c:v>
                </c:pt>
                <c:pt idx="811">
                  <c:v>119660</c:v>
                </c:pt>
                <c:pt idx="812">
                  <c:v>121260</c:v>
                </c:pt>
                <c:pt idx="813">
                  <c:v>122660</c:v>
                </c:pt>
                <c:pt idx="814">
                  <c:v>123460</c:v>
                </c:pt>
                <c:pt idx="815">
                  <c:v>123060</c:v>
                </c:pt>
                <c:pt idx="816">
                  <c:v>123860</c:v>
                </c:pt>
                <c:pt idx="817">
                  <c:v>125460</c:v>
                </c:pt>
                <c:pt idx="818">
                  <c:v>117060</c:v>
                </c:pt>
                <c:pt idx="819">
                  <c:v>118660</c:v>
                </c:pt>
                <c:pt idx="820">
                  <c:v>120460</c:v>
                </c:pt>
                <c:pt idx="821">
                  <c:v>126060</c:v>
                </c:pt>
                <c:pt idx="822">
                  <c:v>126560</c:v>
                </c:pt>
                <c:pt idx="823">
                  <c:v>124960</c:v>
                </c:pt>
                <c:pt idx="824">
                  <c:v>120660</c:v>
                </c:pt>
                <c:pt idx="825">
                  <c:v>122160</c:v>
                </c:pt>
                <c:pt idx="826">
                  <c:v>122360</c:v>
                </c:pt>
                <c:pt idx="827">
                  <c:v>121960</c:v>
                </c:pt>
                <c:pt idx="828">
                  <c:v>125260</c:v>
                </c:pt>
                <c:pt idx="829">
                  <c:v>121260</c:v>
                </c:pt>
                <c:pt idx="830">
                  <c:v>120360</c:v>
                </c:pt>
                <c:pt idx="831">
                  <c:v>127960</c:v>
                </c:pt>
                <c:pt idx="832">
                  <c:v>130760</c:v>
                </c:pt>
                <c:pt idx="833">
                  <c:v>129360</c:v>
                </c:pt>
                <c:pt idx="834">
                  <c:v>123560</c:v>
                </c:pt>
                <c:pt idx="835">
                  <c:v>124560</c:v>
                </c:pt>
                <c:pt idx="836">
                  <c:v>127360</c:v>
                </c:pt>
                <c:pt idx="837">
                  <c:v>125560</c:v>
                </c:pt>
                <c:pt idx="838">
                  <c:v>126560</c:v>
                </c:pt>
                <c:pt idx="839">
                  <c:v>119260</c:v>
                </c:pt>
                <c:pt idx="840">
                  <c:v>121060</c:v>
                </c:pt>
                <c:pt idx="841">
                  <c:v>120260</c:v>
                </c:pt>
                <c:pt idx="842">
                  <c:v>119360</c:v>
                </c:pt>
                <c:pt idx="843">
                  <c:v>120560</c:v>
                </c:pt>
                <c:pt idx="844">
                  <c:v>122160</c:v>
                </c:pt>
                <c:pt idx="845">
                  <c:v>121860</c:v>
                </c:pt>
                <c:pt idx="846">
                  <c:v>118360</c:v>
                </c:pt>
                <c:pt idx="847">
                  <c:v>114660</c:v>
                </c:pt>
                <c:pt idx="848">
                  <c:v>112540</c:v>
                </c:pt>
                <c:pt idx="849">
                  <c:v>112640</c:v>
                </c:pt>
                <c:pt idx="850">
                  <c:v>111240</c:v>
                </c:pt>
                <c:pt idx="851">
                  <c:v>111440</c:v>
                </c:pt>
                <c:pt idx="852">
                  <c:v>110240</c:v>
                </c:pt>
                <c:pt idx="853">
                  <c:v>108940</c:v>
                </c:pt>
                <c:pt idx="854">
                  <c:v>107040</c:v>
                </c:pt>
                <c:pt idx="855">
                  <c:v>108240</c:v>
                </c:pt>
                <c:pt idx="856">
                  <c:v>107440</c:v>
                </c:pt>
                <c:pt idx="857">
                  <c:v>108640</c:v>
                </c:pt>
                <c:pt idx="858">
                  <c:v>110840</c:v>
                </c:pt>
                <c:pt idx="859">
                  <c:v>111440</c:v>
                </c:pt>
                <c:pt idx="860">
                  <c:v>114240</c:v>
                </c:pt>
                <c:pt idx="861">
                  <c:v>119540</c:v>
                </c:pt>
                <c:pt idx="862">
                  <c:v>119040</c:v>
                </c:pt>
                <c:pt idx="863">
                  <c:v>117640</c:v>
                </c:pt>
                <c:pt idx="864">
                  <c:v>113740</c:v>
                </c:pt>
                <c:pt idx="865">
                  <c:v>112740</c:v>
                </c:pt>
                <c:pt idx="866">
                  <c:v>118240</c:v>
                </c:pt>
                <c:pt idx="867">
                  <c:v>123040</c:v>
                </c:pt>
                <c:pt idx="868">
                  <c:v>127340</c:v>
                </c:pt>
                <c:pt idx="869">
                  <c:v>131440</c:v>
                </c:pt>
                <c:pt idx="870">
                  <c:v>131840</c:v>
                </c:pt>
                <c:pt idx="871">
                  <c:v>127940</c:v>
                </c:pt>
                <c:pt idx="872">
                  <c:v>130240</c:v>
                </c:pt>
                <c:pt idx="873">
                  <c:v>125340</c:v>
                </c:pt>
                <c:pt idx="874">
                  <c:v>121440</c:v>
                </c:pt>
                <c:pt idx="875">
                  <c:v>123640</c:v>
                </c:pt>
                <c:pt idx="876">
                  <c:v>131240</c:v>
                </c:pt>
                <c:pt idx="877">
                  <c:v>133940</c:v>
                </c:pt>
                <c:pt idx="878">
                  <c:v>127240</c:v>
                </c:pt>
                <c:pt idx="879">
                  <c:v>132040</c:v>
                </c:pt>
                <c:pt idx="880">
                  <c:v>131140</c:v>
                </c:pt>
                <c:pt idx="881">
                  <c:v>125840</c:v>
                </c:pt>
                <c:pt idx="882">
                  <c:v>123940</c:v>
                </c:pt>
                <c:pt idx="883">
                  <c:v>120740</c:v>
                </c:pt>
                <c:pt idx="884">
                  <c:v>116940</c:v>
                </c:pt>
                <c:pt idx="885">
                  <c:v>118140</c:v>
                </c:pt>
                <c:pt idx="886">
                  <c:v>121540</c:v>
                </c:pt>
                <c:pt idx="887">
                  <c:v>121240</c:v>
                </c:pt>
                <c:pt idx="888">
                  <c:v>121540</c:v>
                </c:pt>
                <c:pt idx="889">
                  <c:v>123240</c:v>
                </c:pt>
                <c:pt idx="890">
                  <c:v>123640</c:v>
                </c:pt>
                <c:pt idx="891">
                  <c:v>125020</c:v>
                </c:pt>
                <c:pt idx="892">
                  <c:v>127620</c:v>
                </c:pt>
                <c:pt idx="893">
                  <c:v>128420</c:v>
                </c:pt>
                <c:pt idx="894">
                  <c:v>130320</c:v>
                </c:pt>
                <c:pt idx="895">
                  <c:v>128720</c:v>
                </c:pt>
                <c:pt idx="896">
                  <c:v>128820</c:v>
                </c:pt>
                <c:pt idx="897">
                  <c:v>131420</c:v>
                </c:pt>
                <c:pt idx="898">
                  <c:v>129120</c:v>
                </c:pt>
                <c:pt idx="899">
                  <c:v>127820</c:v>
                </c:pt>
                <c:pt idx="900">
                  <c:v>127320</c:v>
                </c:pt>
                <c:pt idx="901">
                  <c:v>128420</c:v>
                </c:pt>
                <c:pt idx="902">
                  <c:v>126520</c:v>
                </c:pt>
                <c:pt idx="903">
                  <c:v>122320</c:v>
                </c:pt>
                <c:pt idx="904">
                  <c:v>123120</c:v>
                </c:pt>
                <c:pt idx="905">
                  <c:v>122320</c:v>
                </c:pt>
                <c:pt idx="906">
                  <c:v>116220</c:v>
                </c:pt>
                <c:pt idx="907">
                  <c:v>113820</c:v>
                </c:pt>
                <c:pt idx="908">
                  <c:v>113720</c:v>
                </c:pt>
                <c:pt idx="909">
                  <c:v>110120</c:v>
                </c:pt>
                <c:pt idx="910">
                  <c:v>110720</c:v>
                </c:pt>
                <c:pt idx="911">
                  <c:v>109420</c:v>
                </c:pt>
                <c:pt idx="912">
                  <c:v>108620</c:v>
                </c:pt>
                <c:pt idx="913">
                  <c:v>105900</c:v>
                </c:pt>
                <c:pt idx="914">
                  <c:v>109300</c:v>
                </c:pt>
                <c:pt idx="915">
                  <c:v>106100</c:v>
                </c:pt>
                <c:pt idx="916">
                  <c:v>104200</c:v>
                </c:pt>
                <c:pt idx="917">
                  <c:v>101100</c:v>
                </c:pt>
                <c:pt idx="918">
                  <c:v>98800</c:v>
                </c:pt>
                <c:pt idx="919">
                  <c:v>96400</c:v>
                </c:pt>
                <c:pt idx="920">
                  <c:v>97700</c:v>
                </c:pt>
                <c:pt idx="921">
                  <c:v>98000</c:v>
                </c:pt>
                <c:pt idx="922">
                  <c:v>98700</c:v>
                </c:pt>
                <c:pt idx="923">
                  <c:v>97300</c:v>
                </c:pt>
                <c:pt idx="924">
                  <c:v>97500</c:v>
                </c:pt>
                <c:pt idx="925">
                  <c:v>95400</c:v>
                </c:pt>
                <c:pt idx="926">
                  <c:v>91900</c:v>
                </c:pt>
                <c:pt idx="927">
                  <c:v>83400</c:v>
                </c:pt>
                <c:pt idx="928">
                  <c:v>85900</c:v>
                </c:pt>
                <c:pt idx="929">
                  <c:v>87300</c:v>
                </c:pt>
                <c:pt idx="930">
                  <c:v>83400</c:v>
                </c:pt>
                <c:pt idx="931">
                  <c:v>73900</c:v>
                </c:pt>
                <c:pt idx="932">
                  <c:v>64200</c:v>
                </c:pt>
                <c:pt idx="933">
                  <c:v>61100</c:v>
                </c:pt>
                <c:pt idx="934">
                  <c:v>60980</c:v>
                </c:pt>
                <c:pt idx="935">
                  <c:v>60780</c:v>
                </c:pt>
                <c:pt idx="936">
                  <c:v>60180</c:v>
                </c:pt>
                <c:pt idx="937">
                  <c:v>56080</c:v>
                </c:pt>
                <c:pt idx="938">
                  <c:v>55180</c:v>
                </c:pt>
                <c:pt idx="939">
                  <c:v>53380</c:v>
                </c:pt>
                <c:pt idx="940">
                  <c:v>53280</c:v>
                </c:pt>
                <c:pt idx="941">
                  <c:v>54280</c:v>
                </c:pt>
                <c:pt idx="942">
                  <c:v>54080</c:v>
                </c:pt>
                <c:pt idx="943">
                  <c:v>53680</c:v>
                </c:pt>
                <c:pt idx="944">
                  <c:v>62680</c:v>
                </c:pt>
                <c:pt idx="945">
                  <c:v>56480</c:v>
                </c:pt>
                <c:pt idx="946">
                  <c:v>57880</c:v>
                </c:pt>
                <c:pt idx="947">
                  <c:v>56480</c:v>
                </c:pt>
                <c:pt idx="948">
                  <c:v>63980</c:v>
                </c:pt>
                <c:pt idx="949">
                  <c:v>59980</c:v>
                </c:pt>
                <c:pt idx="950">
                  <c:v>57380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Hogs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5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51"/>
                <c:pt idx="0">
                  <c:v>0</c:v>
                </c:pt>
                <c:pt idx="1">
                  <c:v>700</c:v>
                </c:pt>
                <c:pt idx="2">
                  <c:v>-2500</c:v>
                </c:pt>
                <c:pt idx="3">
                  <c:v>-1400</c:v>
                </c:pt>
                <c:pt idx="4">
                  <c:v>-2500</c:v>
                </c:pt>
                <c:pt idx="5">
                  <c:v>-1100</c:v>
                </c:pt>
                <c:pt idx="6">
                  <c:v>5500</c:v>
                </c:pt>
                <c:pt idx="7">
                  <c:v>5900</c:v>
                </c:pt>
                <c:pt idx="8">
                  <c:v>6500</c:v>
                </c:pt>
                <c:pt idx="9">
                  <c:v>2900</c:v>
                </c:pt>
                <c:pt idx="10">
                  <c:v>2700</c:v>
                </c:pt>
                <c:pt idx="11">
                  <c:v>2400</c:v>
                </c:pt>
                <c:pt idx="12">
                  <c:v>700</c:v>
                </c:pt>
                <c:pt idx="13">
                  <c:v>2100</c:v>
                </c:pt>
                <c:pt idx="14">
                  <c:v>1500</c:v>
                </c:pt>
                <c:pt idx="15">
                  <c:v>1300</c:v>
                </c:pt>
                <c:pt idx="16">
                  <c:v>400</c:v>
                </c:pt>
                <c:pt idx="17">
                  <c:v>-5400</c:v>
                </c:pt>
                <c:pt idx="18">
                  <c:v>-4800</c:v>
                </c:pt>
                <c:pt idx="19">
                  <c:v>-5500</c:v>
                </c:pt>
                <c:pt idx="20">
                  <c:v>-4700</c:v>
                </c:pt>
                <c:pt idx="21">
                  <c:v>-5200</c:v>
                </c:pt>
                <c:pt idx="22">
                  <c:v>-6900</c:v>
                </c:pt>
                <c:pt idx="23">
                  <c:v>-6880</c:v>
                </c:pt>
                <c:pt idx="24">
                  <c:v>-6480</c:v>
                </c:pt>
                <c:pt idx="25">
                  <c:v>-8980</c:v>
                </c:pt>
                <c:pt idx="26">
                  <c:v>-5380</c:v>
                </c:pt>
                <c:pt idx="27">
                  <c:v>-4380</c:v>
                </c:pt>
                <c:pt idx="28">
                  <c:v>-3280</c:v>
                </c:pt>
                <c:pt idx="29">
                  <c:v>-2580</c:v>
                </c:pt>
                <c:pt idx="30">
                  <c:v>-4780</c:v>
                </c:pt>
                <c:pt idx="31">
                  <c:v>-5780</c:v>
                </c:pt>
                <c:pt idx="32">
                  <c:v>-6980</c:v>
                </c:pt>
                <c:pt idx="33">
                  <c:v>-6480</c:v>
                </c:pt>
                <c:pt idx="34">
                  <c:v>-6880</c:v>
                </c:pt>
                <c:pt idx="35">
                  <c:v>-2580</c:v>
                </c:pt>
                <c:pt idx="36">
                  <c:v>420</c:v>
                </c:pt>
                <c:pt idx="37">
                  <c:v>-580</c:v>
                </c:pt>
                <c:pt idx="38">
                  <c:v>1720</c:v>
                </c:pt>
                <c:pt idx="39">
                  <c:v>1720</c:v>
                </c:pt>
                <c:pt idx="40">
                  <c:v>2820</c:v>
                </c:pt>
                <c:pt idx="41">
                  <c:v>4620</c:v>
                </c:pt>
                <c:pt idx="42">
                  <c:v>5520</c:v>
                </c:pt>
                <c:pt idx="43">
                  <c:v>4920</c:v>
                </c:pt>
                <c:pt idx="44">
                  <c:v>6920</c:v>
                </c:pt>
                <c:pt idx="45">
                  <c:v>11520</c:v>
                </c:pt>
                <c:pt idx="46">
                  <c:v>13820</c:v>
                </c:pt>
                <c:pt idx="47">
                  <c:v>1720</c:v>
                </c:pt>
                <c:pt idx="48">
                  <c:v>2420</c:v>
                </c:pt>
                <c:pt idx="49">
                  <c:v>5420</c:v>
                </c:pt>
                <c:pt idx="50">
                  <c:v>3620</c:v>
                </c:pt>
                <c:pt idx="51">
                  <c:v>7120</c:v>
                </c:pt>
                <c:pt idx="52">
                  <c:v>6920</c:v>
                </c:pt>
                <c:pt idx="53">
                  <c:v>11320</c:v>
                </c:pt>
                <c:pt idx="54">
                  <c:v>11820</c:v>
                </c:pt>
                <c:pt idx="55">
                  <c:v>16620</c:v>
                </c:pt>
                <c:pt idx="56">
                  <c:v>19020</c:v>
                </c:pt>
                <c:pt idx="57">
                  <c:v>16720</c:v>
                </c:pt>
                <c:pt idx="58">
                  <c:v>17320</c:v>
                </c:pt>
                <c:pt idx="59">
                  <c:v>16620</c:v>
                </c:pt>
                <c:pt idx="60">
                  <c:v>11520</c:v>
                </c:pt>
                <c:pt idx="61">
                  <c:v>9920</c:v>
                </c:pt>
                <c:pt idx="62">
                  <c:v>7620</c:v>
                </c:pt>
                <c:pt idx="63">
                  <c:v>7820</c:v>
                </c:pt>
                <c:pt idx="64">
                  <c:v>5040</c:v>
                </c:pt>
                <c:pt idx="65">
                  <c:v>5840</c:v>
                </c:pt>
                <c:pt idx="66">
                  <c:v>4240</c:v>
                </c:pt>
                <c:pt idx="67">
                  <c:v>1540</c:v>
                </c:pt>
                <c:pt idx="68">
                  <c:v>9440</c:v>
                </c:pt>
                <c:pt idx="69">
                  <c:v>6440</c:v>
                </c:pt>
                <c:pt idx="70">
                  <c:v>6540</c:v>
                </c:pt>
                <c:pt idx="71">
                  <c:v>5240</c:v>
                </c:pt>
                <c:pt idx="72">
                  <c:v>3540</c:v>
                </c:pt>
                <c:pt idx="73">
                  <c:v>1040</c:v>
                </c:pt>
                <c:pt idx="74">
                  <c:v>4540</c:v>
                </c:pt>
                <c:pt idx="75">
                  <c:v>2740</c:v>
                </c:pt>
                <c:pt idx="76">
                  <c:v>-2260</c:v>
                </c:pt>
                <c:pt idx="77">
                  <c:v>-3860</c:v>
                </c:pt>
                <c:pt idx="78">
                  <c:v>-2260</c:v>
                </c:pt>
                <c:pt idx="79">
                  <c:v>840</c:v>
                </c:pt>
                <c:pt idx="80">
                  <c:v>40</c:v>
                </c:pt>
                <c:pt idx="81">
                  <c:v>-5060</c:v>
                </c:pt>
                <c:pt idx="82">
                  <c:v>-7960</c:v>
                </c:pt>
                <c:pt idx="83">
                  <c:v>-10960</c:v>
                </c:pt>
                <c:pt idx="84">
                  <c:v>-9560</c:v>
                </c:pt>
                <c:pt idx="85">
                  <c:v>-11060</c:v>
                </c:pt>
                <c:pt idx="86">
                  <c:v>-12760</c:v>
                </c:pt>
                <c:pt idx="87">
                  <c:v>-12960</c:v>
                </c:pt>
                <c:pt idx="88">
                  <c:v>-11360</c:v>
                </c:pt>
                <c:pt idx="89">
                  <c:v>-6960</c:v>
                </c:pt>
                <c:pt idx="90">
                  <c:v>-8160</c:v>
                </c:pt>
                <c:pt idx="91">
                  <c:v>-8060</c:v>
                </c:pt>
                <c:pt idx="92">
                  <c:v>-4460</c:v>
                </c:pt>
                <c:pt idx="93">
                  <c:v>-2660</c:v>
                </c:pt>
                <c:pt idx="94">
                  <c:v>-4260</c:v>
                </c:pt>
                <c:pt idx="95">
                  <c:v>-12260</c:v>
                </c:pt>
                <c:pt idx="96">
                  <c:v>-8760</c:v>
                </c:pt>
                <c:pt idx="97">
                  <c:v>-12760</c:v>
                </c:pt>
                <c:pt idx="98">
                  <c:v>-6960</c:v>
                </c:pt>
                <c:pt idx="99">
                  <c:v>-9960</c:v>
                </c:pt>
                <c:pt idx="100">
                  <c:v>-12560</c:v>
                </c:pt>
                <c:pt idx="101">
                  <c:v>-19360</c:v>
                </c:pt>
                <c:pt idx="102">
                  <c:v>-17760</c:v>
                </c:pt>
                <c:pt idx="103">
                  <c:v>-20560</c:v>
                </c:pt>
                <c:pt idx="104">
                  <c:v>-21160</c:v>
                </c:pt>
                <c:pt idx="105">
                  <c:v>-20360</c:v>
                </c:pt>
                <c:pt idx="106">
                  <c:v>-20760</c:v>
                </c:pt>
                <c:pt idx="107">
                  <c:v>-22460</c:v>
                </c:pt>
                <c:pt idx="108">
                  <c:v>-23060</c:v>
                </c:pt>
                <c:pt idx="109">
                  <c:v>-24040</c:v>
                </c:pt>
                <c:pt idx="110">
                  <c:v>-26940</c:v>
                </c:pt>
                <c:pt idx="111">
                  <c:v>-27440</c:v>
                </c:pt>
                <c:pt idx="112">
                  <c:v>-31040</c:v>
                </c:pt>
                <c:pt idx="113">
                  <c:v>-33540</c:v>
                </c:pt>
                <c:pt idx="114">
                  <c:v>-39140</c:v>
                </c:pt>
                <c:pt idx="115">
                  <c:v>-42540</c:v>
                </c:pt>
                <c:pt idx="116">
                  <c:v>-45440</c:v>
                </c:pt>
                <c:pt idx="117">
                  <c:v>-48040</c:v>
                </c:pt>
                <c:pt idx="118">
                  <c:v>-50240</c:v>
                </c:pt>
                <c:pt idx="119">
                  <c:v>-49640</c:v>
                </c:pt>
                <c:pt idx="120">
                  <c:v>-54340</c:v>
                </c:pt>
                <c:pt idx="121">
                  <c:v>-57340</c:v>
                </c:pt>
                <c:pt idx="122">
                  <c:v>-58840</c:v>
                </c:pt>
                <c:pt idx="123">
                  <c:v>-56640</c:v>
                </c:pt>
                <c:pt idx="124">
                  <c:v>-61540</c:v>
                </c:pt>
                <c:pt idx="125">
                  <c:v>-59340</c:v>
                </c:pt>
                <c:pt idx="126">
                  <c:v>-57540</c:v>
                </c:pt>
                <c:pt idx="127">
                  <c:v>-64340</c:v>
                </c:pt>
                <c:pt idx="128">
                  <c:v>-61840</c:v>
                </c:pt>
                <c:pt idx="129">
                  <c:v>-61720</c:v>
                </c:pt>
                <c:pt idx="130">
                  <c:v>-61320</c:v>
                </c:pt>
                <c:pt idx="131">
                  <c:v>-64420</c:v>
                </c:pt>
                <c:pt idx="132">
                  <c:v>-65920</c:v>
                </c:pt>
                <c:pt idx="133">
                  <c:v>-66720</c:v>
                </c:pt>
                <c:pt idx="134">
                  <c:v>-63120</c:v>
                </c:pt>
                <c:pt idx="135">
                  <c:v>-62120</c:v>
                </c:pt>
                <c:pt idx="136">
                  <c:v>-65120</c:v>
                </c:pt>
                <c:pt idx="137">
                  <c:v>-66920</c:v>
                </c:pt>
                <c:pt idx="138">
                  <c:v>-66520</c:v>
                </c:pt>
                <c:pt idx="139">
                  <c:v>-67120</c:v>
                </c:pt>
                <c:pt idx="140">
                  <c:v>-69720</c:v>
                </c:pt>
                <c:pt idx="141">
                  <c:v>-68720</c:v>
                </c:pt>
                <c:pt idx="142">
                  <c:v>-71120</c:v>
                </c:pt>
                <c:pt idx="143">
                  <c:v>-69920</c:v>
                </c:pt>
                <c:pt idx="144">
                  <c:v>-72220</c:v>
                </c:pt>
                <c:pt idx="145">
                  <c:v>-79820</c:v>
                </c:pt>
                <c:pt idx="146">
                  <c:v>-79020</c:v>
                </c:pt>
                <c:pt idx="147">
                  <c:v>-78720</c:v>
                </c:pt>
                <c:pt idx="148">
                  <c:v>-75620</c:v>
                </c:pt>
                <c:pt idx="149">
                  <c:v>-76420</c:v>
                </c:pt>
                <c:pt idx="150">
                  <c:v>-72120</c:v>
                </c:pt>
                <c:pt idx="151">
                  <c:v>-75620</c:v>
                </c:pt>
                <c:pt idx="152">
                  <c:v>-78000</c:v>
                </c:pt>
                <c:pt idx="153">
                  <c:v>-81400</c:v>
                </c:pt>
                <c:pt idx="154">
                  <c:v>-85500</c:v>
                </c:pt>
                <c:pt idx="155">
                  <c:v>-87200</c:v>
                </c:pt>
                <c:pt idx="156">
                  <c:v>-86200</c:v>
                </c:pt>
                <c:pt idx="157">
                  <c:v>-87700</c:v>
                </c:pt>
                <c:pt idx="158">
                  <c:v>-86400</c:v>
                </c:pt>
                <c:pt idx="159">
                  <c:v>-89500</c:v>
                </c:pt>
                <c:pt idx="160">
                  <c:v>-91500</c:v>
                </c:pt>
                <c:pt idx="161">
                  <c:v>-94300</c:v>
                </c:pt>
                <c:pt idx="162">
                  <c:v>-89400</c:v>
                </c:pt>
                <c:pt idx="163">
                  <c:v>-89500</c:v>
                </c:pt>
                <c:pt idx="164">
                  <c:v>-86700</c:v>
                </c:pt>
                <c:pt idx="165">
                  <c:v>-89100</c:v>
                </c:pt>
                <c:pt idx="166">
                  <c:v>-85000</c:v>
                </c:pt>
                <c:pt idx="167">
                  <c:v>-80200</c:v>
                </c:pt>
                <c:pt idx="168">
                  <c:v>-82100</c:v>
                </c:pt>
                <c:pt idx="169">
                  <c:v>-85300</c:v>
                </c:pt>
                <c:pt idx="170">
                  <c:v>-88600</c:v>
                </c:pt>
                <c:pt idx="171">
                  <c:v>-86300</c:v>
                </c:pt>
                <c:pt idx="172">
                  <c:v>-90600</c:v>
                </c:pt>
                <c:pt idx="173">
                  <c:v>-93200</c:v>
                </c:pt>
                <c:pt idx="174">
                  <c:v>-91600</c:v>
                </c:pt>
                <c:pt idx="175">
                  <c:v>-93200</c:v>
                </c:pt>
                <c:pt idx="176">
                  <c:v>-99100</c:v>
                </c:pt>
                <c:pt idx="177">
                  <c:v>-99100</c:v>
                </c:pt>
                <c:pt idx="178">
                  <c:v>-105800</c:v>
                </c:pt>
                <c:pt idx="179">
                  <c:v>-105800</c:v>
                </c:pt>
                <c:pt idx="180">
                  <c:v>-104600</c:v>
                </c:pt>
                <c:pt idx="181">
                  <c:v>-103600</c:v>
                </c:pt>
                <c:pt idx="182">
                  <c:v>-104500</c:v>
                </c:pt>
                <c:pt idx="183">
                  <c:v>-104200</c:v>
                </c:pt>
                <c:pt idx="184">
                  <c:v>-110200</c:v>
                </c:pt>
                <c:pt idx="185">
                  <c:v>-105800</c:v>
                </c:pt>
                <c:pt idx="186">
                  <c:v>-107900</c:v>
                </c:pt>
                <c:pt idx="187">
                  <c:v>-107300</c:v>
                </c:pt>
                <c:pt idx="188">
                  <c:v>-101700</c:v>
                </c:pt>
                <c:pt idx="189">
                  <c:v>-102400</c:v>
                </c:pt>
                <c:pt idx="190">
                  <c:v>-114000</c:v>
                </c:pt>
                <c:pt idx="191">
                  <c:v>-115800</c:v>
                </c:pt>
                <c:pt idx="192">
                  <c:v>-112900</c:v>
                </c:pt>
                <c:pt idx="193">
                  <c:v>-113700</c:v>
                </c:pt>
                <c:pt idx="194">
                  <c:v>-110000</c:v>
                </c:pt>
                <c:pt idx="195">
                  <c:v>-105580</c:v>
                </c:pt>
                <c:pt idx="196">
                  <c:v>-104780</c:v>
                </c:pt>
                <c:pt idx="197">
                  <c:v>-106180</c:v>
                </c:pt>
                <c:pt idx="198">
                  <c:v>-108880</c:v>
                </c:pt>
                <c:pt idx="199">
                  <c:v>-108580</c:v>
                </c:pt>
                <c:pt idx="200">
                  <c:v>-106980</c:v>
                </c:pt>
                <c:pt idx="201">
                  <c:v>-100680</c:v>
                </c:pt>
                <c:pt idx="202">
                  <c:v>-102680</c:v>
                </c:pt>
                <c:pt idx="203">
                  <c:v>-104280</c:v>
                </c:pt>
                <c:pt idx="204">
                  <c:v>-104480</c:v>
                </c:pt>
                <c:pt idx="205">
                  <c:v>-110080</c:v>
                </c:pt>
                <c:pt idx="206">
                  <c:v>-114480</c:v>
                </c:pt>
                <c:pt idx="207">
                  <c:v>-113980</c:v>
                </c:pt>
                <c:pt idx="208">
                  <c:v>-110080</c:v>
                </c:pt>
                <c:pt idx="209">
                  <c:v>-109480</c:v>
                </c:pt>
                <c:pt idx="210">
                  <c:v>-113680</c:v>
                </c:pt>
                <c:pt idx="211">
                  <c:v>-111980</c:v>
                </c:pt>
                <c:pt idx="212">
                  <c:v>-117680</c:v>
                </c:pt>
                <c:pt idx="213">
                  <c:v>-120880</c:v>
                </c:pt>
                <c:pt idx="214">
                  <c:v>-127080</c:v>
                </c:pt>
                <c:pt idx="215">
                  <c:v>-125080</c:v>
                </c:pt>
                <c:pt idx="216">
                  <c:v>-120080</c:v>
                </c:pt>
                <c:pt idx="217">
                  <c:v>-116080</c:v>
                </c:pt>
                <c:pt idx="218">
                  <c:v>-113380</c:v>
                </c:pt>
                <c:pt idx="219">
                  <c:v>-113480</c:v>
                </c:pt>
                <c:pt idx="220">
                  <c:v>-112480</c:v>
                </c:pt>
                <c:pt idx="221">
                  <c:v>-109680</c:v>
                </c:pt>
                <c:pt idx="222">
                  <c:v>-109880</c:v>
                </c:pt>
                <c:pt idx="223">
                  <c:v>-111780</c:v>
                </c:pt>
                <c:pt idx="224">
                  <c:v>-111080</c:v>
                </c:pt>
                <c:pt idx="225">
                  <c:v>-107680</c:v>
                </c:pt>
                <c:pt idx="226">
                  <c:v>-104280</c:v>
                </c:pt>
                <c:pt idx="227">
                  <c:v>-101680</c:v>
                </c:pt>
                <c:pt idx="228">
                  <c:v>-103280</c:v>
                </c:pt>
                <c:pt idx="229">
                  <c:v>-101880</c:v>
                </c:pt>
                <c:pt idx="230">
                  <c:v>-101280</c:v>
                </c:pt>
                <c:pt idx="231">
                  <c:v>-103280</c:v>
                </c:pt>
                <c:pt idx="232">
                  <c:v>-103780</c:v>
                </c:pt>
                <c:pt idx="233">
                  <c:v>-101680</c:v>
                </c:pt>
                <c:pt idx="234">
                  <c:v>-101080</c:v>
                </c:pt>
                <c:pt idx="235">
                  <c:v>-101480</c:v>
                </c:pt>
                <c:pt idx="236">
                  <c:v>-103280</c:v>
                </c:pt>
                <c:pt idx="237">
                  <c:v>-101580</c:v>
                </c:pt>
                <c:pt idx="238">
                  <c:v>-101280</c:v>
                </c:pt>
                <c:pt idx="239">
                  <c:v>-103260</c:v>
                </c:pt>
                <c:pt idx="240">
                  <c:v>-98260</c:v>
                </c:pt>
                <c:pt idx="241">
                  <c:v>-94660</c:v>
                </c:pt>
                <c:pt idx="242">
                  <c:v>-89460</c:v>
                </c:pt>
                <c:pt idx="243">
                  <c:v>-87060</c:v>
                </c:pt>
                <c:pt idx="244">
                  <c:v>-85460</c:v>
                </c:pt>
                <c:pt idx="245">
                  <c:v>-82560</c:v>
                </c:pt>
                <c:pt idx="246">
                  <c:v>-82560</c:v>
                </c:pt>
                <c:pt idx="247">
                  <c:v>-84160</c:v>
                </c:pt>
                <c:pt idx="248">
                  <c:v>-84060</c:v>
                </c:pt>
                <c:pt idx="249">
                  <c:v>-81960</c:v>
                </c:pt>
                <c:pt idx="250">
                  <c:v>-77760</c:v>
                </c:pt>
                <c:pt idx="251">
                  <c:v>-80960</c:v>
                </c:pt>
                <c:pt idx="252">
                  <c:v>-80760</c:v>
                </c:pt>
                <c:pt idx="253">
                  <c:v>-79860</c:v>
                </c:pt>
                <c:pt idx="254">
                  <c:v>-80560</c:v>
                </c:pt>
                <c:pt idx="255">
                  <c:v>-77060</c:v>
                </c:pt>
                <c:pt idx="256">
                  <c:v>-78360</c:v>
                </c:pt>
                <c:pt idx="257">
                  <c:v>-76760</c:v>
                </c:pt>
                <c:pt idx="258">
                  <c:v>-78360</c:v>
                </c:pt>
                <c:pt idx="259">
                  <c:v>-76560</c:v>
                </c:pt>
                <c:pt idx="260">
                  <c:v>-77360</c:v>
                </c:pt>
                <c:pt idx="261">
                  <c:v>-81360</c:v>
                </c:pt>
                <c:pt idx="262">
                  <c:v>-83160</c:v>
                </c:pt>
                <c:pt idx="263">
                  <c:v>-82160</c:v>
                </c:pt>
                <c:pt idx="264">
                  <c:v>-81660</c:v>
                </c:pt>
                <c:pt idx="265">
                  <c:v>-76460</c:v>
                </c:pt>
                <c:pt idx="266">
                  <c:v>-77660</c:v>
                </c:pt>
                <c:pt idx="267">
                  <c:v>-76360</c:v>
                </c:pt>
                <c:pt idx="268">
                  <c:v>-78760</c:v>
                </c:pt>
                <c:pt idx="269">
                  <c:v>-76660</c:v>
                </c:pt>
                <c:pt idx="270">
                  <c:v>-79360</c:v>
                </c:pt>
                <c:pt idx="271">
                  <c:v>-83060</c:v>
                </c:pt>
                <c:pt idx="272">
                  <c:v>-82960</c:v>
                </c:pt>
                <c:pt idx="273">
                  <c:v>-80460</c:v>
                </c:pt>
                <c:pt idx="274">
                  <c:v>-79060</c:v>
                </c:pt>
                <c:pt idx="275">
                  <c:v>-78860</c:v>
                </c:pt>
                <c:pt idx="276">
                  <c:v>-77560</c:v>
                </c:pt>
                <c:pt idx="277">
                  <c:v>-77360</c:v>
                </c:pt>
                <c:pt idx="278">
                  <c:v>-81760</c:v>
                </c:pt>
                <c:pt idx="279">
                  <c:v>-78160</c:v>
                </c:pt>
                <c:pt idx="280">
                  <c:v>-76260</c:v>
                </c:pt>
                <c:pt idx="281">
                  <c:v>-80760</c:v>
                </c:pt>
                <c:pt idx="282">
                  <c:v>-80060</c:v>
                </c:pt>
                <c:pt idx="283">
                  <c:v>-79360</c:v>
                </c:pt>
                <c:pt idx="284">
                  <c:v>-74540</c:v>
                </c:pt>
                <c:pt idx="285">
                  <c:v>-75940</c:v>
                </c:pt>
                <c:pt idx="286">
                  <c:v>-80840</c:v>
                </c:pt>
                <c:pt idx="287">
                  <c:v>-81140</c:v>
                </c:pt>
                <c:pt idx="288">
                  <c:v>-81640</c:v>
                </c:pt>
                <c:pt idx="289">
                  <c:v>-80740</c:v>
                </c:pt>
                <c:pt idx="290">
                  <c:v>-79640</c:v>
                </c:pt>
                <c:pt idx="291">
                  <c:v>-80640</c:v>
                </c:pt>
                <c:pt idx="292">
                  <c:v>-80140</c:v>
                </c:pt>
                <c:pt idx="293">
                  <c:v>-81140</c:v>
                </c:pt>
                <c:pt idx="294">
                  <c:v>-84340</c:v>
                </c:pt>
                <c:pt idx="295">
                  <c:v>-85840</c:v>
                </c:pt>
                <c:pt idx="296">
                  <c:v>-85840</c:v>
                </c:pt>
                <c:pt idx="297">
                  <c:v>-87440</c:v>
                </c:pt>
                <c:pt idx="298">
                  <c:v>-93740</c:v>
                </c:pt>
                <c:pt idx="299">
                  <c:v>-93940</c:v>
                </c:pt>
                <c:pt idx="300">
                  <c:v>-98140</c:v>
                </c:pt>
                <c:pt idx="301">
                  <c:v>-101940</c:v>
                </c:pt>
                <c:pt idx="302">
                  <c:v>-112240</c:v>
                </c:pt>
                <c:pt idx="303">
                  <c:v>-124040</c:v>
                </c:pt>
                <c:pt idx="304">
                  <c:v>-129340</c:v>
                </c:pt>
                <c:pt idx="305">
                  <c:v>-143340</c:v>
                </c:pt>
                <c:pt idx="306">
                  <c:v>-138040</c:v>
                </c:pt>
                <c:pt idx="307">
                  <c:v>-146340</c:v>
                </c:pt>
                <c:pt idx="308">
                  <c:v>-148040</c:v>
                </c:pt>
                <c:pt idx="309">
                  <c:v>-160240</c:v>
                </c:pt>
                <c:pt idx="310">
                  <c:v>-163840</c:v>
                </c:pt>
                <c:pt idx="311">
                  <c:v>-160540</c:v>
                </c:pt>
                <c:pt idx="312">
                  <c:v>-171940</c:v>
                </c:pt>
                <c:pt idx="313">
                  <c:v>-174540</c:v>
                </c:pt>
                <c:pt idx="314">
                  <c:v>-183340</c:v>
                </c:pt>
                <c:pt idx="315">
                  <c:v>-190240</c:v>
                </c:pt>
                <c:pt idx="316">
                  <c:v>-194040</c:v>
                </c:pt>
                <c:pt idx="317">
                  <c:v>-197940</c:v>
                </c:pt>
                <c:pt idx="318">
                  <c:v>-198040</c:v>
                </c:pt>
                <c:pt idx="319">
                  <c:v>-195940</c:v>
                </c:pt>
                <c:pt idx="320">
                  <c:v>-183240</c:v>
                </c:pt>
                <c:pt idx="321">
                  <c:v>-188440</c:v>
                </c:pt>
                <c:pt idx="322">
                  <c:v>-198540</c:v>
                </c:pt>
                <c:pt idx="323">
                  <c:v>-197840</c:v>
                </c:pt>
                <c:pt idx="324">
                  <c:v>-200140</c:v>
                </c:pt>
                <c:pt idx="325">
                  <c:v>-207420</c:v>
                </c:pt>
                <c:pt idx="326">
                  <c:v>-204620</c:v>
                </c:pt>
                <c:pt idx="327">
                  <c:v>-199520</c:v>
                </c:pt>
                <c:pt idx="328">
                  <c:v>-188320</c:v>
                </c:pt>
                <c:pt idx="329">
                  <c:v>-197420</c:v>
                </c:pt>
                <c:pt idx="330">
                  <c:v>-189620</c:v>
                </c:pt>
                <c:pt idx="331">
                  <c:v>-197120</c:v>
                </c:pt>
                <c:pt idx="332">
                  <c:v>-196820</c:v>
                </c:pt>
                <c:pt idx="333">
                  <c:v>-195820</c:v>
                </c:pt>
                <c:pt idx="334">
                  <c:v>-195120</c:v>
                </c:pt>
                <c:pt idx="335">
                  <c:v>-195820</c:v>
                </c:pt>
                <c:pt idx="336">
                  <c:v>-201220</c:v>
                </c:pt>
                <c:pt idx="337">
                  <c:v>-205520</c:v>
                </c:pt>
                <c:pt idx="338">
                  <c:v>-202620</c:v>
                </c:pt>
                <c:pt idx="339">
                  <c:v>-195320</c:v>
                </c:pt>
                <c:pt idx="340">
                  <c:v>-198120</c:v>
                </c:pt>
                <c:pt idx="341">
                  <c:v>-209620</c:v>
                </c:pt>
                <c:pt idx="342">
                  <c:v>-207920</c:v>
                </c:pt>
                <c:pt idx="343">
                  <c:v>-201920</c:v>
                </c:pt>
                <c:pt idx="344">
                  <c:v>-203120</c:v>
                </c:pt>
                <c:pt idx="345">
                  <c:v>-206620</c:v>
                </c:pt>
                <c:pt idx="346">
                  <c:v>-197120</c:v>
                </c:pt>
                <c:pt idx="347">
                  <c:v>-195620</c:v>
                </c:pt>
                <c:pt idx="348">
                  <c:v>-194620</c:v>
                </c:pt>
                <c:pt idx="349">
                  <c:v>-193320</c:v>
                </c:pt>
                <c:pt idx="350">
                  <c:v>-197420</c:v>
                </c:pt>
                <c:pt idx="351">
                  <c:v>-189920</c:v>
                </c:pt>
                <c:pt idx="352">
                  <c:v>-185320</c:v>
                </c:pt>
                <c:pt idx="353">
                  <c:v>-185520</c:v>
                </c:pt>
                <c:pt idx="354">
                  <c:v>-180920</c:v>
                </c:pt>
                <c:pt idx="355">
                  <c:v>-183220</c:v>
                </c:pt>
                <c:pt idx="356">
                  <c:v>-182820</c:v>
                </c:pt>
                <c:pt idx="357">
                  <c:v>-182320</c:v>
                </c:pt>
                <c:pt idx="358">
                  <c:v>-179620</c:v>
                </c:pt>
                <c:pt idx="359">
                  <c:v>-182620</c:v>
                </c:pt>
                <c:pt idx="360">
                  <c:v>-179420</c:v>
                </c:pt>
                <c:pt idx="361">
                  <c:v>-184220</c:v>
                </c:pt>
                <c:pt idx="362">
                  <c:v>-175320</c:v>
                </c:pt>
                <c:pt idx="363">
                  <c:v>-171220</c:v>
                </c:pt>
                <c:pt idx="364">
                  <c:v>-173020</c:v>
                </c:pt>
                <c:pt idx="365">
                  <c:v>-169820</c:v>
                </c:pt>
                <c:pt idx="366">
                  <c:v>-162520</c:v>
                </c:pt>
                <c:pt idx="367">
                  <c:v>-159920</c:v>
                </c:pt>
                <c:pt idx="368">
                  <c:v>-157620</c:v>
                </c:pt>
                <c:pt idx="369">
                  <c:v>-157000</c:v>
                </c:pt>
                <c:pt idx="370">
                  <c:v>-158500</c:v>
                </c:pt>
                <c:pt idx="371">
                  <c:v>-154100</c:v>
                </c:pt>
                <c:pt idx="372">
                  <c:v>-157500</c:v>
                </c:pt>
                <c:pt idx="373">
                  <c:v>-163400</c:v>
                </c:pt>
                <c:pt idx="374">
                  <c:v>-161100</c:v>
                </c:pt>
                <c:pt idx="375">
                  <c:v>-165600</c:v>
                </c:pt>
                <c:pt idx="376">
                  <c:v>-167500</c:v>
                </c:pt>
                <c:pt idx="377">
                  <c:v>-168100</c:v>
                </c:pt>
                <c:pt idx="378">
                  <c:v>-167800</c:v>
                </c:pt>
                <c:pt idx="379">
                  <c:v>-157000</c:v>
                </c:pt>
                <c:pt idx="380">
                  <c:v>-159300</c:v>
                </c:pt>
                <c:pt idx="381">
                  <c:v>-161500</c:v>
                </c:pt>
                <c:pt idx="382">
                  <c:v>-171500</c:v>
                </c:pt>
                <c:pt idx="383">
                  <c:v>-172300</c:v>
                </c:pt>
                <c:pt idx="384">
                  <c:v>-173000</c:v>
                </c:pt>
                <c:pt idx="385">
                  <c:v>-180800</c:v>
                </c:pt>
                <c:pt idx="386">
                  <c:v>-178400</c:v>
                </c:pt>
                <c:pt idx="387">
                  <c:v>-180100</c:v>
                </c:pt>
                <c:pt idx="388">
                  <c:v>-183900</c:v>
                </c:pt>
                <c:pt idx="389">
                  <c:v>-190100</c:v>
                </c:pt>
                <c:pt idx="390">
                  <c:v>-182980</c:v>
                </c:pt>
                <c:pt idx="391">
                  <c:v>-182280</c:v>
                </c:pt>
                <c:pt idx="392">
                  <c:v>-187380</c:v>
                </c:pt>
                <c:pt idx="393">
                  <c:v>-187980</c:v>
                </c:pt>
                <c:pt idx="394">
                  <c:v>-187480</c:v>
                </c:pt>
                <c:pt idx="395">
                  <c:v>-188480</c:v>
                </c:pt>
                <c:pt idx="396">
                  <c:v>-193580</c:v>
                </c:pt>
                <c:pt idx="397">
                  <c:v>-192080</c:v>
                </c:pt>
                <c:pt idx="398">
                  <c:v>-191280</c:v>
                </c:pt>
                <c:pt idx="399">
                  <c:v>-193580</c:v>
                </c:pt>
                <c:pt idx="400">
                  <c:v>-195980</c:v>
                </c:pt>
                <c:pt idx="401">
                  <c:v>-195780</c:v>
                </c:pt>
                <c:pt idx="402">
                  <c:v>-187480</c:v>
                </c:pt>
                <c:pt idx="403">
                  <c:v>-181180</c:v>
                </c:pt>
                <c:pt idx="404">
                  <c:v>-173380</c:v>
                </c:pt>
                <c:pt idx="405">
                  <c:v>-182780</c:v>
                </c:pt>
                <c:pt idx="406">
                  <c:v>-171080</c:v>
                </c:pt>
                <c:pt idx="407">
                  <c:v>-164080</c:v>
                </c:pt>
                <c:pt idx="408">
                  <c:v>-168180</c:v>
                </c:pt>
                <c:pt idx="409">
                  <c:v>-167480</c:v>
                </c:pt>
                <c:pt idx="410">
                  <c:v>-158980</c:v>
                </c:pt>
                <c:pt idx="411">
                  <c:v>-147480</c:v>
                </c:pt>
                <c:pt idx="412">
                  <c:v>-145780</c:v>
                </c:pt>
                <c:pt idx="413">
                  <c:v>-144360</c:v>
                </c:pt>
                <c:pt idx="414">
                  <c:v>-140960</c:v>
                </c:pt>
                <c:pt idx="415">
                  <c:v>-135360</c:v>
                </c:pt>
                <c:pt idx="416">
                  <c:v>-137460</c:v>
                </c:pt>
                <c:pt idx="417">
                  <c:v>-132960</c:v>
                </c:pt>
                <c:pt idx="418">
                  <c:v>-130960</c:v>
                </c:pt>
                <c:pt idx="419">
                  <c:v>-129460</c:v>
                </c:pt>
                <c:pt idx="420">
                  <c:v>-129060</c:v>
                </c:pt>
                <c:pt idx="421">
                  <c:v>-132860</c:v>
                </c:pt>
                <c:pt idx="422">
                  <c:v>-131760</c:v>
                </c:pt>
                <c:pt idx="423">
                  <c:v>-132160</c:v>
                </c:pt>
                <c:pt idx="424">
                  <c:v>-132460</c:v>
                </c:pt>
                <c:pt idx="425">
                  <c:v>-130360</c:v>
                </c:pt>
                <c:pt idx="426">
                  <c:v>-121160</c:v>
                </c:pt>
                <c:pt idx="427">
                  <c:v>-127560</c:v>
                </c:pt>
                <c:pt idx="428">
                  <c:v>-123160</c:v>
                </c:pt>
                <c:pt idx="429">
                  <c:v>-125460</c:v>
                </c:pt>
                <c:pt idx="430">
                  <c:v>-131660</c:v>
                </c:pt>
                <c:pt idx="431">
                  <c:v>-135360</c:v>
                </c:pt>
                <c:pt idx="432">
                  <c:v>-133760</c:v>
                </c:pt>
                <c:pt idx="433">
                  <c:v>-143960</c:v>
                </c:pt>
                <c:pt idx="434">
                  <c:v>-151660</c:v>
                </c:pt>
                <c:pt idx="435">
                  <c:v>-151460</c:v>
                </c:pt>
                <c:pt idx="436">
                  <c:v>-155260</c:v>
                </c:pt>
                <c:pt idx="437">
                  <c:v>-162260</c:v>
                </c:pt>
                <c:pt idx="438">
                  <c:v>-174560</c:v>
                </c:pt>
                <c:pt idx="439">
                  <c:v>-165660</c:v>
                </c:pt>
                <c:pt idx="440">
                  <c:v>-173460</c:v>
                </c:pt>
                <c:pt idx="441">
                  <c:v>-180260</c:v>
                </c:pt>
                <c:pt idx="442">
                  <c:v>-176860</c:v>
                </c:pt>
                <c:pt idx="443">
                  <c:v>-176960</c:v>
                </c:pt>
                <c:pt idx="444">
                  <c:v>-175460</c:v>
                </c:pt>
                <c:pt idx="445">
                  <c:v>-180260</c:v>
                </c:pt>
                <c:pt idx="446">
                  <c:v>-175660</c:v>
                </c:pt>
                <c:pt idx="447">
                  <c:v>-163260</c:v>
                </c:pt>
                <c:pt idx="448">
                  <c:v>-175660</c:v>
                </c:pt>
                <c:pt idx="449">
                  <c:v>-181160</c:v>
                </c:pt>
                <c:pt idx="450">
                  <c:v>-182760</c:v>
                </c:pt>
                <c:pt idx="451">
                  <c:v>-181960</c:v>
                </c:pt>
                <c:pt idx="452">
                  <c:v>-173860</c:v>
                </c:pt>
                <c:pt idx="453">
                  <c:v>-177860</c:v>
                </c:pt>
                <c:pt idx="454">
                  <c:v>-181260</c:v>
                </c:pt>
                <c:pt idx="455">
                  <c:v>-181660</c:v>
                </c:pt>
                <c:pt idx="456">
                  <c:v>-181640</c:v>
                </c:pt>
                <c:pt idx="457">
                  <c:v>-179140</c:v>
                </c:pt>
                <c:pt idx="458">
                  <c:v>-174340</c:v>
                </c:pt>
                <c:pt idx="459">
                  <c:v>-180540</c:v>
                </c:pt>
                <c:pt idx="460">
                  <c:v>-181840</c:v>
                </c:pt>
                <c:pt idx="461">
                  <c:v>-185040</c:v>
                </c:pt>
                <c:pt idx="462">
                  <c:v>-189840</c:v>
                </c:pt>
                <c:pt idx="463">
                  <c:v>-189440</c:v>
                </c:pt>
                <c:pt idx="464">
                  <c:v>-188540</c:v>
                </c:pt>
                <c:pt idx="465">
                  <c:v>-189940</c:v>
                </c:pt>
                <c:pt idx="466">
                  <c:v>-177740</c:v>
                </c:pt>
                <c:pt idx="467">
                  <c:v>-171440</c:v>
                </c:pt>
                <c:pt idx="468">
                  <c:v>-173340</c:v>
                </c:pt>
                <c:pt idx="469">
                  <c:v>-167940</c:v>
                </c:pt>
                <c:pt idx="470">
                  <c:v>-163340</c:v>
                </c:pt>
                <c:pt idx="471">
                  <c:v>-170540</c:v>
                </c:pt>
                <c:pt idx="472">
                  <c:v>-164340</c:v>
                </c:pt>
                <c:pt idx="473">
                  <c:v>-168240</c:v>
                </c:pt>
                <c:pt idx="474">
                  <c:v>-166640</c:v>
                </c:pt>
                <c:pt idx="475">
                  <c:v>-170240</c:v>
                </c:pt>
                <c:pt idx="476">
                  <c:v>-163040</c:v>
                </c:pt>
                <c:pt idx="477">
                  <c:v>-157940</c:v>
                </c:pt>
                <c:pt idx="478">
                  <c:v>-162140</c:v>
                </c:pt>
                <c:pt idx="479">
                  <c:v>-165340</c:v>
                </c:pt>
                <c:pt idx="480">
                  <c:v>-163140</c:v>
                </c:pt>
                <c:pt idx="481">
                  <c:v>-157740</c:v>
                </c:pt>
                <c:pt idx="482">
                  <c:v>-159340</c:v>
                </c:pt>
                <c:pt idx="483">
                  <c:v>-167240</c:v>
                </c:pt>
                <c:pt idx="484">
                  <c:v>-169840</c:v>
                </c:pt>
                <c:pt idx="485">
                  <c:v>-169440</c:v>
                </c:pt>
                <c:pt idx="486">
                  <c:v>-173640</c:v>
                </c:pt>
                <c:pt idx="487">
                  <c:v>-176540</c:v>
                </c:pt>
                <c:pt idx="488">
                  <c:v>-181940</c:v>
                </c:pt>
                <c:pt idx="489">
                  <c:v>-180940</c:v>
                </c:pt>
                <c:pt idx="490">
                  <c:v>-177840</c:v>
                </c:pt>
                <c:pt idx="491">
                  <c:v>-177340</c:v>
                </c:pt>
                <c:pt idx="492">
                  <c:v>-173840</c:v>
                </c:pt>
                <c:pt idx="493">
                  <c:v>-172540</c:v>
                </c:pt>
                <c:pt idx="494">
                  <c:v>-174640</c:v>
                </c:pt>
                <c:pt idx="495">
                  <c:v>-173040</c:v>
                </c:pt>
                <c:pt idx="496">
                  <c:v>-174140</c:v>
                </c:pt>
                <c:pt idx="497">
                  <c:v>-174540</c:v>
                </c:pt>
                <c:pt idx="498">
                  <c:v>-168940</c:v>
                </c:pt>
                <c:pt idx="499">
                  <c:v>-170620</c:v>
                </c:pt>
                <c:pt idx="500">
                  <c:v>-167620</c:v>
                </c:pt>
                <c:pt idx="501">
                  <c:v>-164120</c:v>
                </c:pt>
                <c:pt idx="502">
                  <c:v>-161120</c:v>
                </c:pt>
                <c:pt idx="503">
                  <c:v>-157320</c:v>
                </c:pt>
                <c:pt idx="504">
                  <c:v>-157020</c:v>
                </c:pt>
                <c:pt idx="505">
                  <c:v>-157020</c:v>
                </c:pt>
                <c:pt idx="506">
                  <c:v>-159420</c:v>
                </c:pt>
                <c:pt idx="507">
                  <c:v>-159620</c:v>
                </c:pt>
                <c:pt idx="508">
                  <c:v>-159820</c:v>
                </c:pt>
                <c:pt idx="509">
                  <c:v>-158820</c:v>
                </c:pt>
                <c:pt idx="510">
                  <c:v>-153620</c:v>
                </c:pt>
                <c:pt idx="511">
                  <c:v>-148020</c:v>
                </c:pt>
                <c:pt idx="512">
                  <c:v>-153820</c:v>
                </c:pt>
                <c:pt idx="513">
                  <c:v>-151920</c:v>
                </c:pt>
                <c:pt idx="514">
                  <c:v>-148320</c:v>
                </c:pt>
                <c:pt idx="515">
                  <c:v>-152820</c:v>
                </c:pt>
                <c:pt idx="516">
                  <c:v>-151020</c:v>
                </c:pt>
                <c:pt idx="517">
                  <c:v>-152520</c:v>
                </c:pt>
                <c:pt idx="518">
                  <c:v>-149520</c:v>
                </c:pt>
                <c:pt idx="519">
                  <c:v>-153320</c:v>
                </c:pt>
                <c:pt idx="520">
                  <c:v>-150820</c:v>
                </c:pt>
                <c:pt idx="521">
                  <c:v>-151920</c:v>
                </c:pt>
                <c:pt idx="522">
                  <c:v>-150520</c:v>
                </c:pt>
                <c:pt idx="523">
                  <c:v>-151620</c:v>
                </c:pt>
                <c:pt idx="524">
                  <c:v>-145220</c:v>
                </c:pt>
                <c:pt idx="525">
                  <c:v>-140020</c:v>
                </c:pt>
                <c:pt idx="526">
                  <c:v>-143020</c:v>
                </c:pt>
                <c:pt idx="527">
                  <c:v>-138020</c:v>
                </c:pt>
                <c:pt idx="528">
                  <c:v>-139820</c:v>
                </c:pt>
                <c:pt idx="529">
                  <c:v>-132720</c:v>
                </c:pt>
                <c:pt idx="530">
                  <c:v>-127320</c:v>
                </c:pt>
                <c:pt idx="531">
                  <c:v>-131020</c:v>
                </c:pt>
                <c:pt idx="532">
                  <c:v>-129220</c:v>
                </c:pt>
                <c:pt idx="533">
                  <c:v>-123420</c:v>
                </c:pt>
                <c:pt idx="534">
                  <c:v>-122420</c:v>
                </c:pt>
                <c:pt idx="535">
                  <c:v>-113220</c:v>
                </c:pt>
                <c:pt idx="536">
                  <c:v>-114620</c:v>
                </c:pt>
                <c:pt idx="537">
                  <c:v>-110520</c:v>
                </c:pt>
                <c:pt idx="538">
                  <c:v>-101920</c:v>
                </c:pt>
                <c:pt idx="539">
                  <c:v>-110920</c:v>
                </c:pt>
                <c:pt idx="540">
                  <c:v>-107420</c:v>
                </c:pt>
                <c:pt idx="541">
                  <c:v>-113320</c:v>
                </c:pt>
                <c:pt idx="542">
                  <c:v>-100220</c:v>
                </c:pt>
                <c:pt idx="543">
                  <c:v>-97620</c:v>
                </c:pt>
                <c:pt idx="544">
                  <c:v>-92100</c:v>
                </c:pt>
                <c:pt idx="545">
                  <c:v>-94300</c:v>
                </c:pt>
                <c:pt idx="546">
                  <c:v>-86500</c:v>
                </c:pt>
                <c:pt idx="547">
                  <c:v>-80000</c:v>
                </c:pt>
                <c:pt idx="548">
                  <c:v>-82200</c:v>
                </c:pt>
                <c:pt idx="549">
                  <c:v>-72900</c:v>
                </c:pt>
                <c:pt idx="550">
                  <c:v>-74500</c:v>
                </c:pt>
                <c:pt idx="551">
                  <c:v>-71500</c:v>
                </c:pt>
                <c:pt idx="552">
                  <c:v>-73400</c:v>
                </c:pt>
                <c:pt idx="553">
                  <c:v>-74000</c:v>
                </c:pt>
                <c:pt idx="554">
                  <c:v>-74500</c:v>
                </c:pt>
                <c:pt idx="555">
                  <c:v>-66600</c:v>
                </c:pt>
                <c:pt idx="556">
                  <c:v>-66200</c:v>
                </c:pt>
                <c:pt idx="557">
                  <c:v>-77300</c:v>
                </c:pt>
                <c:pt idx="558">
                  <c:v>-80500</c:v>
                </c:pt>
                <c:pt idx="559">
                  <c:v>-84600</c:v>
                </c:pt>
                <c:pt idx="560">
                  <c:v>-83600</c:v>
                </c:pt>
                <c:pt idx="561">
                  <c:v>-86700</c:v>
                </c:pt>
                <c:pt idx="562">
                  <c:v>-79600</c:v>
                </c:pt>
                <c:pt idx="563">
                  <c:v>-81900</c:v>
                </c:pt>
                <c:pt idx="564">
                  <c:v>-79500</c:v>
                </c:pt>
                <c:pt idx="565">
                  <c:v>-73500</c:v>
                </c:pt>
                <c:pt idx="566">
                  <c:v>-82800</c:v>
                </c:pt>
                <c:pt idx="567">
                  <c:v>-78000</c:v>
                </c:pt>
                <c:pt idx="568">
                  <c:v>-74500</c:v>
                </c:pt>
                <c:pt idx="569">
                  <c:v>-74300</c:v>
                </c:pt>
                <c:pt idx="570">
                  <c:v>-73000</c:v>
                </c:pt>
                <c:pt idx="571">
                  <c:v>-66800</c:v>
                </c:pt>
                <c:pt idx="572">
                  <c:v>-58400</c:v>
                </c:pt>
                <c:pt idx="573">
                  <c:v>-58600</c:v>
                </c:pt>
                <c:pt idx="574">
                  <c:v>-57500</c:v>
                </c:pt>
                <c:pt idx="575">
                  <c:v>-58100</c:v>
                </c:pt>
                <c:pt idx="576">
                  <c:v>-52300</c:v>
                </c:pt>
                <c:pt idx="577">
                  <c:v>-42100</c:v>
                </c:pt>
                <c:pt idx="578">
                  <c:v>-43300</c:v>
                </c:pt>
                <c:pt idx="579">
                  <c:v>-47700</c:v>
                </c:pt>
                <c:pt idx="580">
                  <c:v>-45100</c:v>
                </c:pt>
                <c:pt idx="581">
                  <c:v>-48200</c:v>
                </c:pt>
                <c:pt idx="582">
                  <c:v>-54300</c:v>
                </c:pt>
                <c:pt idx="583">
                  <c:v>-54200</c:v>
                </c:pt>
                <c:pt idx="584">
                  <c:v>-56000</c:v>
                </c:pt>
                <c:pt idx="585">
                  <c:v>-58000</c:v>
                </c:pt>
                <c:pt idx="586">
                  <c:v>-60680</c:v>
                </c:pt>
                <c:pt idx="587">
                  <c:v>-61980</c:v>
                </c:pt>
                <c:pt idx="588">
                  <c:v>-63080</c:v>
                </c:pt>
                <c:pt idx="589">
                  <c:v>-63180</c:v>
                </c:pt>
                <c:pt idx="590">
                  <c:v>-60780</c:v>
                </c:pt>
                <c:pt idx="591">
                  <c:v>-60680</c:v>
                </c:pt>
                <c:pt idx="592">
                  <c:v>-59680</c:v>
                </c:pt>
                <c:pt idx="593">
                  <c:v>-60280</c:v>
                </c:pt>
                <c:pt idx="594">
                  <c:v>-62780</c:v>
                </c:pt>
                <c:pt idx="595">
                  <c:v>-62480</c:v>
                </c:pt>
                <c:pt idx="596">
                  <c:v>-61580</c:v>
                </c:pt>
                <c:pt idx="597">
                  <c:v>-63580</c:v>
                </c:pt>
                <c:pt idx="598">
                  <c:v>-62780</c:v>
                </c:pt>
                <c:pt idx="599">
                  <c:v>-60580</c:v>
                </c:pt>
                <c:pt idx="600">
                  <c:v>-70080</c:v>
                </c:pt>
                <c:pt idx="601">
                  <c:v>-63180</c:v>
                </c:pt>
                <c:pt idx="602">
                  <c:v>-73080</c:v>
                </c:pt>
                <c:pt idx="603">
                  <c:v>-76080</c:v>
                </c:pt>
                <c:pt idx="604">
                  <c:v>-77880</c:v>
                </c:pt>
                <c:pt idx="605">
                  <c:v>-78880</c:v>
                </c:pt>
                <c:pt idx="606">
                  <c:v>-83580</c:v>
                </c:pt>
                <c:pt idx="607">
                  <c:v>-85080</c:v>
                </c:pt>
                <c:pt idx="608">
                  <c:v>-84080</c:v>
                </c:pt>
                <c:pt idx="609">
                  <c:v>-86780</c:v>
                </c:pt>
                <c:pt idx="610">
                  <c:v>-91080</c:v>
                </c:pt>
                <c:pt idx="611">
                  <c:v>-95180</c:v>
                </c:pt>
                <c:pt idx="612">
                  <c:v>-93280</c:v>
                </c:pt>
                <c:pt idx="613">
                  <c:v>-97980</c:v>
                </c:pt>
                <c:pt idx="614">
                  <c:v>-95680</c:v>
                </c:pt>
                <c:pt idx="615">
                  <c:v>-98980</c:v>
                </c:pt>
                <c:pt idx="616">
                  <c:v>-98880</c:v>
                </c:pt>
                <c:pt idx="617">
                  <c:v>-94980</c:v>
                </c:pt>
                <c:pt idx="618">
                  <c:v>-92480</c:v>
                </c:pt>
                <c:pt idx="619">
                  <c:v>-87680</c:v>
                </c:pt>
                <c:pt idx="620">
                  <c:v>-88080</c:v>
                </c:pt>
                <c:pt idx="621">
                  <c:v>-88680</c:v>
                </c:pt>
                <c:pt idx="622">
                  <c:v>-95180</c:v>
                </c:pt>
                <c:pt idx="623">
                  <c:v>-93680</c:v>
                </c:pt>
                <c:pt idx="624">
                  <c:v>-91880</c:v>
                </c:pt>
                <c:pt idx="625">
                  <c:v>-92080</c:v>
                </c:pt>
                <c:pt idx="626">
                  <c:v>-94380</c:v>
                </c:pt>
                <c:pt idx="627">
                  <c:v>-97080</c:v>
                </c:pt>
                <c:pt idx="628">
                  <c:v>-92280</c:v>
                </c:pt>
                <c:pt idx="629">
                  <c:v>-96760</c:v>
                </c:pt>
                <c:pt idx="630">
                  <c:v>-95760</c:v>
                </c:pt>
                <c:pt idx="631">
                  <c:v>-93660</c:v>
                </c:pt>
                <c:pt idx="632">
                  <c:v>-88260</c:v>
                </c:pt>
                <c:pt idx="633">
                  <c:v>-87460</c:v>
                </c:pt>
                <c:pt idx="634">
                  <c:v>-86060</c:v>
                </c:pt>
                <c:pt idx="635">
                  <c:v>-83860</c:v>
                </c:pt>
                <c:pt idx="636">
                  <c:v>-84160</c:v>
                </c:pt>
                <c:pt idx="637">
                  <c:v>-84660</c:v>
                </c:pt>
                <c:pt idx="638">
                  <c:v>-84960</c:v>
                </c:pt>
                <c:pt idx="639">
                  <c:v>-79760</c:v>
                </c:pt>
                <c:pt idx="640">
                  <c:v>-80060</c:v>
                </c:pt>
                <c:pt idx="641">
                  <c:v>-82760</c:v>
                </c:pt>
                <c:pt idx="642">
                  <c:v>-83160</c:v>
                </c:pt>
                <c:pt idx="643">
                  <c:v>-76260</c:v>
                </c:pt>
                <c:pt idx="644">
                  <c:v>-68760</c:v>
                </c:pt>
                <c:pt idx="645">
                  <c:v>-69160</c:v>
                </c:pt>
                <c:pt idx="646">
                  <c:v>-70760</c:v>
                </c:pt>
                <c:pt idx="647">
                  <c:v>-69860</c:v>
                </c:pt>
                <c:pt idx="648">
                  <c:v>-72060</c:v>
                </c:pt>
                <c:pt idx="649">
                  <c:v>-67860</c:v>
                </c:pt>
                <c:pt idx="650">
                  <c:v>-78360</c:v>
                </c:pt>
                <c:pt idx="651">
                  <c:v>-80640</c:v>
                </c:pt>
                <c:pt idx="652">
                  <c:v>-87640</c:v>
                </c:pt>
                <c:pt idx="653">
                  <c:v>-86340</c:v>
                </c:pt>
                <c:pt idx="654">
                  <c:v>-87140</c:v>
                </c:pt>
                <c:pt idx="655">
                  <c:v>-88240</c:v>
                </c:pt>
                <c:pt idx="656">
                  <c:v>-90140</c:v>
                </c:pt>
                <c:pt idx="657">
                  <c:v>-87640</c:v>
                </c:pt>
                <c:pt idx="658">
                  <c:v>-87340</c:v>
                </c:pt>
                <c:pt idx="659">
                  <c:v>-87740</c:v>
                </c:pt>
                <c:pt idx="660">
                  <c:v>-91240</c:v>
                </c:pt>
                <c:pt idx="661">
                  <c:v>-93240</c:v>
                </c:pt>
                <c:pt idx="662">
                  <c:v>-94740</c:v>
                </c:pt>
                <c:pt idx="663">
                  <c:v>-94840</c:v>
                </c:pt>
                <c:pt idx="664">
                  <c:v>-92140</c:v>
                </c:pt>
                <c:pt idx="665">
                  <c:v>-94040</c:v>
                </c:pt>
                <c:pt idx="666">
                  <c:v>-105340</c:v>
                </c:pt>
                <c:pt idx="667">
                  <c:v>-105340</c:v>
                </c:pt>
                <c:pt idx="668">
                  <c:v>-103040</c:v>
                </c:pt>
                <c:pt idx="669">
                  <c:v>-101340</c:v>
                </c:pt>
                <c:pt idx="670">
                  <c:v>-107140</c:v>
                </c:pt>
                <c:pt idx="671">
                  <c:v>-111440</c:v>
                </c:pt>
                <c:pt idx="672">
                  <c:v>-111640</c:v>
                </c:pt>
                <c:pt idx="673">
                  <c:v>-105640</c:v>
                </c:pt>
                <c:pt idx="674">
                  <c:v>-109820</c:v>
                </c:pt>
                <c:pt idx="675">
                  <c:v>-116220</c:v>
                </c:pt>
                <c:pt idx="676">
                  <c:v>-113320</c:v>
                </c:pt>
                <c:pt idx="677">
                  <c:v>-104820</c:v>
                </c:pt>
                <c:pt idx="678">
                  <c:v>-101920</c:v>
                </c:pt>
                <c:pt idx="679">
                  <c:v>-99720</c:v>
                </c:pt>
                <c:pt idx="680">
                  <c:v>-99720</c:v>
                </c:pt>
                <c:pt idx="681">
                  <c:v>-102320</c:v>
                </c:pt>
                <c:pt idx="682">
                  <c:v>-106620</c:v>
                </c:pt>
                <c:pt idx="683">
                  <c:v>-106820</c:v>
                </c:pt>
                <c:pt idx="684">
                  <c:v>-109720</c:v>
                </c:pt>
                <c:pt idx="685">
                  <c:v>-108220</c:v>
                </c:pt>
                <c:pt idx="686">
                  <c:v>-108620</c:v>
                </c:pt>
                <c:pt idx="687">
                  <c:v>-104620</c:v>
                </c:pt>
                <c:pt idx="688">
                  <c:v>-97820</c:v>
                </c:pt>
                <c:pt idx="689">
                  <c:v>-107720</c:v>
                </c:pt>
                <c:pt idx="690">
                  <c:v>-113820</c:v>
                </c:pt>
                <c:pt idx="691">
                  <c:v>-111720</c:v>
                </c:pt>
                <c:pt idx="692">
                  <c:v>-111720</c:v>
                </c:pt>
                <c:pt idx="693">
                  <c:v>-109920</c:v>
                </c:pt>
                <c:pt idx="694">
                  <c:v>-115620</c:v>
                </c:pt>
                <c:pt idx="695">
                  <c:v>-116520</c:v>
                </c:pt>
                <c:pt idx="696">
                  <c:v>-123120</c:v>
                </c:pt>
                <c:pt idx="697">
                  <c:v>-122620</c:v>
                </c:pt>
                <c:pt idx="698">
                  <c:v>-120620</c:v>
                </c:pt>
                <c:pt idx="699">
                  <c:v>-121520</c:v>
                </c:pt>
                <c:pt idx="700">
                  <c:v>-119820</c:v>
                </c:pt>
                <c:pt idx="701">
                  <c:v>-120220</c:v>
                </c:pt>
                <c:pt idx="702">
                  <c:v>-119220</c:v>
                </c:pt>
                <c:pt idx="703">
                  <c:v>-114620</c:v>
                </c:pt>
                <c:pt idx="704">
                  <c:v>-112420</c:v>
                </c:pt>
                <c:pt idx="705">
                  <c:v>-122320</c:v>
                </c:pt>
                <c:pt idx="706">
                  <c:v>-117620</c:v>
                </c:pt>
                <c:pt idx="707">
                  <c:v>-128620</c:v>
                </c:pt>
                <c:pt idx="708">
                  <c:v>-127520</c:v>
                </c:pt>
                <c:pt idx="709">
                  <c:v>-131320</c:v>
                </c:pt>
                <c:pt idx="710">
                  <c:v>-128020</c:v>
                </c:pt>
                <c:pt idx="711">
                  <c:v>-126420</c:v>
                </c:pt>
                <c:pt idx="712">
                  <c:v>-130520</c:v>
                </c:pt>
                <c:pt idx="713">
                  <c:v>-131220</c:v>
                </c:pt>
                <c:pt idx="714">
                  <c:v>-129320</c:v>
                </c:pt>
                <c:pt idx="715">
                  <c:v>-137020</c:v>
                </c:pt>
                <c:pt idx="716">
                  <c:v>-139420</c:v>
                </c:pt>
                <c:pt idx="717">
                  <c:v>-134900</c:v>
                </c:pt>
                <c:pt idx="718">
                  <c:v>-137900</c:v>
                </c:pt>
                <c:pt idx="719">
                  <c:v>-135400</c:v>
                </c:pt>
                <c:pt idx="720">
                  <c:v>-139200</c:v>
                </c:pt>
                <c:pt idx="721">
                  <c:v>-140400</c:v>
                </c:pt>
                <c:pt idx="722">
                  <c:v>-140600</c:v>
                </c:pt>
                <c:pt idx="723">
                  <c:v>-140200</c:v>
                </c:pt>
                <c:pt idx="724">
                  <c:v>-141400</c:v>
                </c:pt>
                <c:pt idx="725">
                  <c:v>-143500</c:v>
                </c:pt>
                <c:pt idx="726">
                  <c:v>-144700</c:v>
                </c:pt>
                <c:pt idx="727">
                  <c:v>-145200</c:v>
                </c:pt>
                <c:pt idx="728">
                  <c:v>-140900</c:v>
                </c:pt>
                <c:pt idx="729">
                  <c:v>-143400</c:v>
                </c:pt>
                <c:pt idx="730">
                  <c:v>-150400</c:v>
                </c:pt>
                <c:pt idx="731">
                  <c:v>-146300</c:v>
                </c:pt>
                <c:pt idx="732">
                  <c:v>-145300</c:v>
                </c:pt>
                <c:pt idx="733">
                  <c:v>-132000</c:v>
                </c:pt>
                <c:pt idx="734">
                  <c:v>-132800</c:v>
                </c:pt>
                <c:pt idx="735">
                  <c:v>-122700</c:v>
                </c:pt>
                <c:pt idx="736">
                  <c:v>-123300</c:v>
                </c:pt>
                <c:pt idx="737">
                  <c:v>-115800</c:v>
                </c:pt>
                <c:pt idx="738">
                  <c:v>-115600</c:v>
                </c:pt>
                <c:pt idx="739">
                  <c:v>-110000</c:v>
                </c:pt>
                <c:pt idx="740">
                  <c:v>-110400</c:v>
                </c:pt>
                <c:pt idx="741">
                  <c:v>-107900</c:v>
                </c:pt>
                <c:pt idx="742">
                  <c:v>-99500</c:v>
                </c:pt>
                <c:pt idx="743">
                  <c:v>-98600</c:v>
                </c:pt>
                <c:pt idx="744">
                  <c:v>-93500</c:v>
                </c:pt>
                <c:pt idx="745">
                  <c:v>-91900</c:v>
                </c:pt>
                <c:pt idx="746">
                  <c:v>-102300</c:v>
                </c:pt>
                <c:pt idx="747">
                  <c:v>-105300</c:v>
                </c:pt>
                <c:pt idx="748">
                  <c:v>-97300</c:v>
                </c:pt>
                <c:pt idx="749">
                  <c:v>-85200</c:v>
                </c:pt>
                <c:pt idx="750">
                  <c:v>-94400</c:v>
                </c:pt>
                <c:pt idx="751">
                  <c:v>-95400</c:v>
                </c:pt>
                <c:pt idx="752">
                  <c:v>-98900</c:v>
                </c:pt>
                <c:pt idx="753">
                  <c:v>-105300</c:v>
                </c:pt>
                <c:pt idx="754">
                  <c:v>-108800</c:v>
                </c:pt>
                <c:pt idx="755">
                  <c:v>-108300</c:v>
                </c:pt>
                <c:pt idx="756">
                  <c:v>-110900</c:v>
                </c:pt>
                <c:pt idx="757">
                  <c:v>-112000</c:v>
                </c:pt>
                <c:pt idx="758">
                  <c:v>-113600</c:v>
                </c:pt>
                <c:pt idx="759">
                  <c:v>-112100</c:v>
                </c:pt>
                <c:pt idx="760">
                  <c:v>-116780</c:v>
                </c:pt>
                <c:pt idx="761">
                  <c:v>-116080</c:v>
                </c:pt>
                <c:pt idx="762">
                  <c:v>-112880</c:v>
                </c:pt>
                <c:pt idx="763">
                  <c:v>-105980</c:v>
                </c:pt>
                <c:pt idx="764">
                  <c:v>-101580</c:v>
                </c:pt>
                <c:pt idx="765">
                  <c:v>-101680</c:v>
                </c:pt>
                <c:pt idx="766">
                  <c:v>-103680</c:v>
                </c:pt>
                <c:pt idx="767">
                  <c:v>-103080</c:v>
                </c:pt>
                <c:pt idx="768">
                  <c:v>-101980</c:v>
                </c:pt>
                <c:pt idx="769">
                  <c:v>-100080</c:v>
                </c:pt>
                <c:pt idx="770">
                  <c:v>-96880</c:v>
                </c:pt>
                <c:pt idx="771">
                  <c:v>-91280</c:v>
                </c:pt>
                <c:pt idx="772">
                  <c:v>-82180</c:v>
                </c:pt>
                <c:pt idx="773">
                  <c:v>-85780</c:v>
                </c:pt>
                <c:pt idx="774">
                  <c:v>-84980</c:v>
                </c:pt>
                <c:pt idx="775">
                  <c:v>-87280</c:v>
                </c:pt>
                <c:pt idx="776">
                  <c:v>-90480</c:v>
                </c:pt>
                <c:pt idx="777">
                  <c:v>-93580</c:v>
                </c:pt>
                <c:pt idx="778">
                  <c:v>-93180</c:v>
                </c:pt>
                <c:pt idx="779">
                  <c:v>-96280</c:v>
                </c:pt>
                <c:pt idx="780">
                  <c:v>-94680</c:v>
                </c:pt>
                <c:pt idx="781">
                  <c:v>-97580</c:v>
                </c:pt>
                <c:pt idx="782">
                  <c:v>-97880</c:v>
                </c:pt>
                <c:pt idx="783">
                  <c:v>-97480</c:v>
                </c:pt>
                <c:pt idx="784">
                  <c:v>-95480</c:v>
                </c:pt>
                <c:pt idx="785">
                  <c:v>-103880</c:v>
                </c:pt>
                <c:pt idx="786">
                  <c:v>-102080</c:v>
                </c:pt>
                <c:pt idx="787">
                  <c:v>-97980</c:v>
                </c:pt>
                <c:pt idx="788">
                  <c:v>-99680</c:v>
                </c:pt>
                <c:pt idx="789">
                  <c:v>-96080</c:v>
                </c:pt>
                <c:pt idx="790">
                  <c:v>-104780</c:v>
                </c:pt>
                <c:pt idx="791">
                  <c:v>-105180</c:v>
                </c:pt>
                <c:pt idx="792">
                  <c:v>-108080</c:v>
                </c:pt>
                <c:pt idx="793">
                  <c:v>-105380</c:v>
                </c:pt>
                <c:pt idx="794">
                  <c:v>-109280</c:v>
                </c:pt>
                <c:pt idx="795">
                  <c:v>-110480</c:v>
                </c:pt>
                <c:pt idx="796">
                  <c:v>-109580</c:v>
                </c:pt>
                <c:pt idx="797">
                  <c:v>-114080</c:v>
                </c:pt>
                <c:pt idx="798">
                  <c:v>-111380</c:v>
                </c:pt>
                <c:pt idx="799">
                  <c:v>-111880</c:v>
                </c:pt>
                <c:pt idx="800">
                  <c:v>-115280</c:v>
                </c:pt>
                <c:pt idx="801">
                  <c:v>-120280</c:v>
                </c:pt>
                <c:pt idx="802">
                  <c:v>-119580</c:v>
                </c:pt>
                <c:pt idx="803">
                  <c:v>-121980</c:v>
                </c:pt>
                <c:pt idx="804">
                  <c:v>-120460</c:v>
                </c:pt>
                <c:pt idx="805">
                  <c:v>-115860</c:v>
                </c:pt>
                <c:pt idx="806">
                  <c:v>-117060</c:v>
                </c:pt>
                <c:pt idx="807">
                  <c:v>-119760</c:v>
                </c:pt>
                <c:pt idx="808">
                  <c:v>-119060</c:v>
                </c:pt>
                <c:pt idx="809">
                  <c:v>-119060</c:v>
                </c:pt>
                <c:pt idx="810">
                  <c:v>-119060</c:v>
                </c:pt>
                <c:pt idx="811">
                  <c:v>-119660</c:v>
                </c:pt>
                <c:pt idx="812">
                  <c:v>-121260</c:v>
                </c:pt>
                <c:pt idx="813">
                  <c:v>-122660</c:v>
                </c:pt>
                <c:pt idx="814">
                  <c:v>-123460</c:v>
                </c:pt>
                <c:pt idx="815">
                  <c:v>-123060</c:v>
                </c:pt>
                <c:pt idx="816">
                  <c:v>-123860</c:v>
                </c:pt>
                <c:pt idx="817">
                  <c:v>-125460</c:v>
                </c:pt>
                <c:pt idx="818">
                  <c:v>-117060</c:v>
                </c:pt>
                <c:pt idx="819">
                  <c:v>-118660</c:v>
                </c:pt>
                <c:pt idx="820">
                  <c:v>-120460</c:v>
                </c:pt>
                <c:pt idx="821">
                  <c:v>-126060</c:v>
                </c:pt>
                <c:pt idx="822">
                  <c:v>-126560</c:v>
                </c:pt>
                <c:pt idx="823">
                  <c:v>-124960</c:v>
                </c:pt>
                <c:pt idx="824">
                  <c:v>-120660</c:v>
                </c:pt>
                <c:pt idx="825">
                  <c:v>-122160</c:v>
                </c:pt>
                <c:pt idx="826">
                  <c:v>-122360</c:v>
                </c:pt>
                <c:pt idx="827">
                  <c:v>-121960</c:v>
                </c:pt>
                <c:pt idx="828">
                  <c:v>-125260</c:v>
                </c:pt>
                <c:pt idx="829">
                  <c:v>-121260</c:v>
                </c:pt>
                <c:pt idx="830">
                  <c:v>-120360</c:v>
                </c:pt>
                <c:pt idx="831">
                  <c:v>-127960</c:v>
                </c:pt>
                <c:pt idx="832">
                  <c:v>-130760</c:v>
                </c:pt>
                <c:pt idx="833">
                  <c:v>-129360</c:v>
                </c:pt>
                <c:pt idx="834">
                  <c:v>-123560</c:v>
                </c:pt>
                <c:pt idx="835">
                  <c:v>-124560</c:v>
                </c:pt>
                <c:pt idx="836">
                  <c:v>-127360</c:v>
                </c:pt>
                <c:pt idx="837">
                  <c:v>-125560</c:v>
                </c:pt>
                <c:pt idx="838">
                  <c:v>-126560</c:v>
                </c:pt>
                <c:pt idx="839">
                  <c:v>-119260</c:v>
                </c:pt>
                <c:pt idx="840">
                  <c:v>-121060</c:v>
                </c:pt>
                <c:pt idx="841">
                  <c:v>-120260</c:v>
                </c:pt>
                <c:pt idx="842">
                  <c:v>-119360</c:v>
                </c:pt>
                <c:pt idx="843">
                  <c:v>-120560</c:v>
                </c:pt>
                <c:pt idx="844">
                  <c:v>-122160</c:v>
                </c:pt>
                <c:pt idx="845">
                  <c:v>-121860</c:v>
                </c:pt>
                <c:pt idx="846">
                  <c:v>-118360</c:v>
                </c:pt>
                <c:pt idx="847">
                  <c:v>-114660</c:v>
                </c:pt>
                <c:pt idx="848">
                  <c:v>-112540</c:v>
                </c:pt>
                <c:pt idx="849">
                  <c:v>-112640</c:v>
                </c:pt>
                <c:pt idx="850">
                  <c:v>-111240</c:v>
                </c:pt>
                <c:pt idx="851">
                  <c:v>-111440</c:v>
                </c:pt>
                <c:pt idx="852">
                  <c:v>-110240</c:v>
                </c:pt>
                <c:pt idx="853">
                  <c:v>-108940</c:v>
                </c:pt>
                <c:pt idx="854">
                  <c:v>-107040</c:v>
                </c:pt>
                <c:pt idx="855">
                  <c:v>-108240</c:v>
                </c:pt>
                <c:pt idx="856">
                  <c:v>-107440</c:v>
                </c:pt>
                <c:pt idx="857">
                  <c:v>-108640</c:v>
                </c:pt>
                <c:pt idx="858">
                  <c:v>-110840</c:v>
                </c:pt>
                <c:pt idx="859">
                  <c:v>-111440</c:v>
                </c:pt>
                <c:pt idx="860">
                  <c:v>-114240</c:v>
                </c:pt>
                <c:pt idx="861">
                  <c:v>-119540</c:v>
                </c:pt>
                <c:pt idx="862">
                  <c:v>-119040</c:v>
                </c:pt>
                <c:pt idx="863">
                  <c:v>-117640</c:v>
                </c:pt>
                <c:pt idx="864">
                  <c:v>-113740</c:v>
                </c:pt>
                <c:pt idx="865">
                  <c:v>-112740</c:v>
                </c:pt>
                <c:pt idx="866">
                  <c:v>-118240</c:v>
                </c:pt>
                <c:pt idx="867">
                  <c:v>-123040</c:v>
                </c:pt>
                <c:pt idx="868">
                  <c:v>-127340</c:v>
                </c:pt>
                <c:pt idx="869">
                  <c:v>-131440</c:v>
                </c:pt>
                <c:pt idx="870">
                  <c:v>-131840</c:v>
                </c:pt>
                <c:pt idx="871">
                  <c:v>-127940</c:v>
                </c:pt>
                <c:pt idx="872">
                  <c:v>-130240</c:v>
                </c:pt>
                <c:pt idx="873">
                  <c:v>-125340</c:v>
                </c:pt>
                <c:pt idx="874">
                  <c:v>-121440</c:v>
                </c:pt>
                <c:pt idx="875">
                  <c:v>-123640</c:v>
                </c:pt>
                <c:pt idx="876">
                  <c:v>-131240</c:v>
                </c:pt>
                <c:pt idx="877">
                  <c:v>-133940</c:v>
                </c:pt>
                <c:pt idx="878">
                  <c:v>-127240</c:v>
                </c:pt>
                <c:pt idx="879">
                  <c:v>-132040</c:v>
                </c:pt>
                <c:pt idx="880">
                  <c:v>-131140</c:v>
                </c:pt>
                <c:pt idx="881">
                  <c:v>-125840</c:v>
                </c:pt>
                <c:pt idx="882">
                  <c:v>-123940</c:v>
                </c:pt>
                <c:pt idx="883">
                  <c:v>-120740</c:v>
                </c:pt>
                <c:pt idx="884">
                  <c:v>-116940</c:v>
                </c:pt>
                <c:pt idx="885">
                  <c:v>-118140</c:v>
                </c:pt>
                <c:pt idx="886">
                  <c:v>-121540</c:v>
                </c:pt>
                <c:pt idx="887">
                  <c:v>-121240</c:v>
                </c:pt>
                <c:pt idx="888">
                  <c:v>-121540</c:v>
                </c:pt>
                <c:pt idx="889">
                  <c:v>-123240</c:v>
                </c:pt>
                <c:pt idx="890">
                  <c:v>-123640</c:v>
                </c:pt>
                <c:pt idx="891">
                  <c:v>-125020</c:v>
                </c:pt>
                <c:pt idx="892">
                  <c:v>-127620</c:v>
                </c:pt>
                <c:pt idx="893">
                  <c:v>-128420</c:v>
                </c:pt>
                <c:pt idx="894">
                  <c:v>-130320</c:v>
                </c:pt>
                <c:pt idx="895">
                  <c:v>-128720</c:v>
                </c:pt>
                <c:pt idx="896">
                  <c:v>-128820</c:v>
                </c:pt>
                <c:pt idx="897">
                  <c:v>-131420</c:v>
                </c:pt>
                <c:pt idx="898">
                  <c:v>-129120</c:v>
                </c:pt>
                <c:pt idx="899">
                  <c:v>-127820</c:v>
                </c:pt>
                <c:pt idx="900">
                  <c:v>-127320</c:v>
                </c:pt>
                <c:pt idx="901">
                  <c:v>-128420</c:v>
                </c:pt>
                <c:pt idx="902">
                  <c:v>-126520</c:v>
                </c:pt>
                <c:pt idx="903">
                  <c:v>-122320</c:v>
                </c:pt>
                <c:pt idx="904">
                  <c:v>-123120</c:v>
                </c:pt>
                <c:pt idx="905">
                  <c:v>-122320</c:v>
                </c:pt>
                <c:pt idx="906">
                  <c:v>-116220</c:v>
                </c:pt>
                <c:pt idx="907">
                  <c:v>-113820</c:v>
                </c:pt>
                <c:pt idx="908">
                  <c:v>-113720</c:v>
                </c:pt>
                <c:pt idx="909">
                  <c:v>-110120</c:v>
                </c:pt>
                <c:pt idx="910">
                  <c:v>-110720</c:v>
                </c:pt>
                <c:pt idx="911">
                  <c:v>-109420</c:v>
                </c:pt>
                <c:pt idx="912">
                  <c:v>-108620</c:v>
                </c:pt>
                <c:pt idx="913">
                  <c:v>-105900</c:v>
                </c:pt>
                <c:pt idx="914">
                  <c:v>-109300</c:v>
                </c:pt>
                <c:pt idx="915">
                  <c:v>-106100</c:v>
                </c:pt>
                <c:pt idx="916">
                  <c:v>-104200</c:v>
                </c:pt>
                <c:pt idx="917">
                  <c:v>-101100</c:v>
                </c:pt>
                <c:pt idx="918">
                  <c:v>-98800</c:v>
                </c:pt>
                <c:pt idx="919">
                  <c:v>-96400</c:v>
                </c:pt>
                <c:pt idx="920">
                  <c:v>-97700</c:v>
                </c:pt>
                <c:pt idx="921">
                  <c:v>-98000</c:v>
                </c:pt>
                <c:pt idx="922">
                  <c:v>-98700</c:v>
                </c:pt>
                <c:pt idx="923">
                  <c:v>-97300</c:v>
                </c:pt>
                <c:pt idx="924">
                  <c:v>-97500</c:v>
                </c:pt>
                <c:pt idx="925">
                  <c:v>-95400</c:v>
                </c:pt>
                <c:pt idx="926">
                  <c:v>-91900</c:v>
                </c:pt>
                <c:pt idx="927">
                  <c:v>-83400</c:v>
                </c:pt>
                <c:pt idx="928">
                  <c:v>-85900</c:v>
                </c:pt>
                <c:pt idx="929">
                  <c:v>-87300</c:v>
                </c:pt>
                <c:pt idx="930">
                  <c:v>-83400</c:v>
                </c:pt>
                <c:pt idx="931">
                  <c:v>-73900</c:v>
                </c:pt>
                <c:pt idx="932">
                  <c:v>-64200</c:v>
                </c:pt>
                <c:pt idx="933">
                  <c:v>-61100</c:v>
                </c:pt>
                <c:pt idx="934">
                  <c:v>-60980</c:v>
                </c:pt>
                <c:pt idx="935">
                  <c:v>-60780</c:v>
                </c:pt>
                <c:pt idx="936">
                  <c:v>-60180</c:v>
                </c:pt>
                <c:pt idx="937">
                  <c:v>-56080</c:v>
                </c:pt>
                <c:pt idx="938">
                  <c:v>-55180</c:v>
                </c:pt>
                <c:pt idx="939">
                  <c:v>-53380</c:v>
                </c:pt>
                <c:pt idx="940">
                  <c:v>-53280</c:v>
                </c:pt>
                <c:pt idx="941">
                  <c:v>-54280</c:v>
                </c:pt>
                <c:pt idx="942">
                  <c:v>-54080</c:v>
                </c:pt>
                <c:pt idx="943">
                  <c:v>-53680</c:v>
                </c:pt>
                <c:pt idx="944">
                  <c:v>-62680</c:v>
                </c:pt>
                <c:pt idx="945">
                  <c:v>-56480</c:v>
                </c:pt>
                <c:pt idx="946">
                  <c:v>-57880</c:v>
                </c:pt>
                <c:pt idx="947">
                  <c:v>-56480</c:v>
                </c:pt>
                <c:pt idx="948">
                  <c:v>-63980</c:v>
                </c:pt>
                <c:pt idx="949">
                  <c:v>-59980</c:v>
                </c:pt>
                <c:pt idx="950">
                  <c:v>-57380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Hogs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5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-600</c:v>
                </c:pt>
                <c:pt idx="7">
                  <c:v>400</c:v>
                </c:pt>
                <c:pt idx="8">
                  <c:v>-1380</c:v>
                </c:pt>
                <c:pt idx="9">
                  <c:v>3920</c:v>
                </c:pt>
                <c:pt idx="10">
                  <c:v>3820</c:v>
                </c:pt>
                <c:pt idx="11">
                  <c:v>4320</c:v>
                </c:pt>
                <c:pt idx="12">
                  <c:v>7120</c:v>
                </c:pt>
                <c:pt idx="13">
                  <c:v>3420</c:v>
                </c:pt>
                <c:pt idx="14">
                  <c:v>5420</c:v>
                </c:pt>
                <c:pt idx="15">
                  <c:v>4020</c:v>
                </c:pt>
                <c:pt idx="16">
                  <c:v>7780</c:v>
                </c:pt>
                <c:pt idx="17">
                  <c:v>24680</c:v>
                </c:pt>
                <c:pt idx="18">
                  <c:v>22260</c:v>
                </c:pt>
                <c:pt idx="19">
                  <c:v>24360</c:v>
                </c:pt>
                <c:pt idx="20">
                  <c:v>22160</c:v>
                </c:pt>
                <c:pt idx="21">
                  <c:v>24360</c:v>
                </c:pt>
                <c:pt idx="22">
                  <c:v>29260</c:v>
                </c:pt>
                <c:pt idx="23">
                  <c:v>28660</c:v>
                </c:pt>
                <c:pt idx="24">
                  <c:v>28760</c:v>
                </c:pt>
                <c:pt idx="25">
                  <c:v>32560</c:v>
                </c:pt>
                <c:pt idx="26">
                  <c:v>24240</c:v>
                </c:pt>
                <c:pt idx="27">
                  <c:v>22460</c:v>
                </c:pt>
                <c:pt idx="28">
                  <c:v>21960</c:v>
                </c:pt>
                <c:pt idx="29">
                  <c:v>22160</c:v>
                </c:pt>
                <c:pt idx="30">
                  <c:v>24060</c:v>
                </c:pt>
                <c:pt idx="31">
                  <c:v>24360</c:v>
                </c:pt>
                <c:pt idx="32">
                  <c:v>23880</c:v>
                </c:pt>
                <c:pt idx="33">
                  <c:v>23380</c:v>
                </c:pt>
                <c:pt idx="34">
                  <c:v>23580</c:v>
                </c:pt>
                <c:pt idx="35">
                  <c:v>20420</c:v>
                </c:pt>
                <c:pt idx="36">
                  <c:v>21840</c:v>
                </c:pt>
                <c:pt idx="37">
                  <c:v>22540</c:v>
                </c:pt>
                <c:pt idx="38">
                  <c:v>22540</c:v>
                </c:pt>
                <c:pt idx="39">
                  <c:v>22240</c:v>
                </c:pt>
                <c:pt idx="40">
                  <c:v>22040</c:v>
                </c:pt>
                <c:pt idx="41">
                  <c:v>22840</c:v>
                </c:pt>
                <c:pt idx="42">
                  <c:v>22240</c:v>
                </c:pt>
                <c:pt idx="43">
                  <c:v>20660</c:v>
                </c:pt>
                <c:pt idx="44">
                  <c:v>21220</c:v>
                </c:pt>
                <c:pt idx="45">
                  <c:v>20980</c:v>
                </c:pt>
                <c:pt idx="46">
                  <c:v>22680</c:v>
                </c:pt>
                <c:pt idx="47">
                  <c:v>11800</c:v>
                </c:pt>
                <c:pt idx="48">
                  <c:v>11400</c:v>
                </c:pt>
                <c:pt idx="49">
                  <c:v>16000</c:v>
                </c:pt>
                <c:pt idx="50">
                  <c:v>13540</c:v>
                </c:pt>
                <c:pt idx="51">
                  <c:v>23740</c:v>
                </c:pt>
                <c:pt idx="52">
                  <c:v>21340</c:v>
                </c:pt>
                <c:pt idx="53">
                  <c:v>35880</c:v>
                </c:pt>
                <c:pt idx="54">
                  <c:v>38680</c:v>
                </c:pt>
                <c:pt idx="55">
                  <c:v>64900</c:v>
                </c:pt>
                <c:pt idx="56">
                  <c:v>69680</c:v>
                </c:pt>
                <c:pt idx="57">
                  <c:v>60380</c:v>
                </c:pt>
                <c:pt idx="58">
                  <c:v>63180</c:v>
                </c:pt>
                <c:pt idx="59">
                  <c:v>60080</c:v>
                </c:pt>
                <c:pt idx="60">
                  <c:v>40820</c:v>
                </c:pt>
                <c:pt idx="61">
                  <c:v>38800</c:v>
                </c:pt>
                <c:pt idx="62">
                  <c:v>39780</c:v>
                </c:pt>
                <c:pt idx="63">
                  <c:v>39080</c:v>
                </c:pt>
                <c:pt idx="64">
                  <c:v>41900</c:v>
                </c:pt>
                <c:pt idx="65">
                  <c:v>38120</c:v>
                </c:pt>
                <c:pt idx="66">
                  <c:v>40020</c:v>
                </c:pt>
                <c:pt idx="67">
                  <c:v>43980</c:v>
                </c:pt>
                <c:pt idx="68">
                  <c:v>40440</c:v>
                </c:pt>
                <c:pt idx="69">
                  <c:v>40220</c:v>
                </c:pt>
                <c:pt idx="70">
                  <c:v>39880</c:v>
                </c:pt>
                <c:pt idx="71">
                  <c:v>39880</c:v>
                </c:pt>
                <c:pt idx="72">
                  <c:v>39880</c:v>
                </c:pt>
                <c:pt idx="73">
                  <c:v>39400</c:v>
                </c:pt>
                <c:pt idx="74">
                  <c:v>38920</c:v>
                </c:pt>
                <c:pt idx="75">
                  <c:v>40820</c:v>
                </c:pt>
                <c:pt idx="76">
                  <c:v>48420</c:v>
                </c:pt>
                <c:pt idx="77">
                  <c:v>51100</c:v>
                </c:pt>
                <c:pt idx="78">
                  <c:v>45880</c:v>
                </c:pt>
                <c:pt idx="79">
                  <c:v>41880</c:v>
                </c:pt>
                <c:pt idx="80">
                  <c:v>42580</c:v>
                </c:pt>
                <c:pt idx="81">
                  <c:v>51160</c:v>
                </c:pt>
                <c:pt idx="82">
                  <c:v>55160</c:v>
                </c:pt>
                <c:pt idx="83">
                  <c:v>57740</c:v>
                </c:pt>
                <c:pt idx="84">
                  <c:v>58040</c:v>
                </c:pt>
                <c:pt idx="85">
                  <c:v>58540</c:v>
                </c:pt>
                <c:pt idx="86">
                  <c:v>59840</c:v>
                </c:pt>
                <c:pt idx="87">
                  <c:v>59940</c:v>
                </c:pt>
                <c:pt idx="88">
                  <c:v>59840</c:v>
                </c:pt>
                <c:pt idx="89">
                  <c:v>57340</c:v>
                </c:pt>
                <c:pt idx="90">
                  <c:v>57700</c:v>
                </c:pt>
                <c:pt idx="91">
                  <c:v>59260</c:v>
                </c:pt>
                <c:pt idx="92">
                  <c:v>46940</c:v>
                </c:pt>
                <c:pt idx="93">
                  <c:v>39380</c:v>
                </c:pt>
                <c:pt idx="94">
                  <c:v>46200</c:v>
                </c:pt>
                <c:pt idx="95">
                  <c:v>72900</c:v>
                </c:pt>
                <c:pt idx="96">
                  <c:v>64380</c:v>
                </c:pt>
                <c:pt idx="97">
                  <c:v>66880</c:v>
                </c:pt>
                <c:pt idx="98">
                  <c:v>56400</c:v>
                </c:pt>
                <c:pt idx="99">
                  <c:v>57060</c:v>
                </c:pt>
                <c:pt idx="100">
                  <c:v>58280</c:v>
                </c:pt>
                <c:pt idx="101">
                  <c:v>73080</c:v>
                </c:pt>
                <c:pt idx="102">
                  <c:v>72520</c:v>
                </c:pt>
                <c:pt idx="103">
                  <c:v>75220</c:v>
                </c:pt>
                <c:pt idx="104">
                  <c:v>76220</c:v>
                </c:pt>
                <c:pt idx="105">
                  <c:v>74920</c:v>
                </c:pt>
                <c:pt idx="106">
                  <c:v>75620</c:v>
                </c:pt>
                <c:pt idx="107">
                  <c:v>77720</c:v>
                </c:pt>
                <c:pt idx="108">
                  <c:v>77720</c:v>
                </c:pt>
                <c:pt idx="109">
                  <c:v>79500</c:v>
                </c:pt>
                <c:pt idx="110">
                  <c:v>82200</c:v>
                </c:pt>
                <c:pt idx="111">
                  <c:v>82800</c:v>
                </c:pt>
                <c:pt idx="112">
                  <c:v>86400</c:v>
                </c:pt>
                <c:pt idx="113">
                  <c:v>89280</c:v>
                </c:pt>
                <c:pt idx="114">
                  <c:v>89280</c:v>
                </c:pt>
                <c:pt idx="115">
                  <c:v>89280</c:v>
                </c:pt>
                <c:pt idx="116">
                  <c:v>89280</c:v>
                </c:pt>
                <c:pt idx="117">
                  <c:v>89280</c:v>
                </c:pt>
                <c:pt idx="118">
                  <c:v>88800</c:v>
                </c:pt>
                <c:pt idx="119">
                  <c:v>89400</c:v>
                </c:pt>
                <c:pt idx="120">
                  <c:v>90640</c:v>
                </c:pt>
                <c:pt idx="121">
                  <c:v>90480</c:v>
                </c:pt>
                <c:pt idx="122">
                  <c:v>93280</c:v>
                </c:pt>
                <c:pt idx="123">
                  <c:v>93280</c:v>
                </c:pt>
                <c:pt idx="124">
                  <c:v>96560</c:v>
                </c:pt>
                <c:pt idx="125">
                  <c:v>95860</c:v>
                </c:pt>
                <c:pt idx="126">
                  <c:v>95160</c:v>
                </c:pt>
                <c:pt idx="127">
                  <c:v>98160</c:v>
                </c:pt>
                <c:pt idx="128">
                  <c:v>97460</c:v>
                </c:pt>
                <c:pt idx="129">
                  <c:v>97960</c:v>
                </c:pt>
                <c:pt idx="130">
                  <c:v>98640</c:v>
                </c:pt>
                <c:pt idx="131">
                  <c:v>100840</c:v>
                </c:pt>
                <c:pt idx="132">
                  <c:v>101040</c:v>
                </c:pt>
                <c:pt idx="133">
                  <c:v>101240</c:v>
                </c:pt>
                <c:pt idx="134">
                  <c:v>101040</c:v>
                </c:pt>
                <c:pt idx="135">
                  <c:v>101240</c:v>
                </c:pt>
                <c:pt idx="136">
                  <c:v>101440</c:v>
                </c:pt>
                <c:pt idx="137">
                  <c:v>101440</c:v>
                </c:pt>
                <c:pt idx="138">
                  <c:v>101440</c:v>
                </c:pt>
                <c:pt idx="139">
                  <c:v>100960</c:v>
                </c:pt>
                <c:pt idx="140">
                  <c:v>105560</c:v>
                </c:pt>
                <c:pt idx="141">
                  <c:v>103920</c:v>
                </c:pt>
                <c:pt idx="142">
                  <c:v>106120</c:v>
                </c:pt>
                <c:pt idx="143">
                  <c:v>105180</c:v>
                </c:pt>
                <c:pt idx="144">
                  <c:v>105180</c:v>
                </c:pt>
                <c:pt idx="145">
                  <c:v>105180</c:v>
                </c:pt>
                <c:pt idx="146">
                  <c:v>105180</c:v>
                </c:pt>
                <c:pt idx="147">
                  <c:v>105080</c:v>
                </c:pt>
                <c:pt idx="148">
                  <c:v>102280</c:v>
                </c:pt>
                <c:pt idx="149">
                  <c:v>102580</c:v>
                </c:pt>
                <c:pt idx="150">
                  <c:v>98980</c:v>
                </c:pt>
                <c:pt idx="151">
                  <c:v>101380</c:v>
                </c:pt>
                <c:pt idx="152">
                  <c:v>103880</c:v>
                </c:pt>
                <c:pt idx="153">
                  <c:v>107080</c:v>
                </c:pt>
                <c:pt idx="154">
                  <c:v>111180</c:v>
                </c:pt>
                <c:pt idx="155">
                  <c:v>112880</c:v>
                </c:pt>
                <c:pt idx="156">
                  <c:v>111780</c:v>
                </c:pt>
                <c:pt idx="157">
                  <c:v>113280</c:v>
                </c:pt>
                <c:pt idx="158">
                  <c:v>111980</c:v>
                </c:pt>
                <c:pt idx="159">
                  <c:v>115180</c:v>
                </c:pt>
                <c:pt idx="160">
                  <c:v>117080</c:v>
                </c:pt>
                <c:pt idx="161">
                  <c:v>119400</c:v>
                </c:pt>
                <c:pt idx="162">
                  <c:v>116160</c:v>
                </c:pt>
                <c:pt idx="163">
                  <c:v>116460</c:v>
                </c:pt>
                <c:pt idx="164">
                  <c:v>115360</c:v>
                </c:pt>
                <c:pt idx="165">
                  <c:v>116040</c:v>
                </c:pt>
                <c:pt idx="166">
                  <c:v>116500</c:v>
                </c:pt>
                <c:pt idx="167">
                  <c:v>122860</c:v>
                </c:pt>
                <c:pt idx="168">
                  <c:v>120560</c:v>
                </c:pt>
                <c:pt idx="169">
                  <c:v>117720</c:v>
                </c:pt>
                <c:pt idx="170">
                  <c:v>112120</c:v>
                </c:pt>
                <c:pt idx="171">
                  <c:v>113520</c:v>
                </c:pt>
                <c:pt idx="172">
                  <c:v>108280</c:v>
                </c:pt>
                <c:pt idx="173">
                  <c:v>112880</c:v>
                </c:pt>
                <c:pt idx="174">
                  <c:v>109820</c:v>
                </c:pt>
                <c:pt idx="175">
                  <c:v>112220</c:v>
                </c:pt>
                <c:pt idx="176">
                  <c:v>119400</c:v>
                </c:pt>
                <c:pt idx="177">
                  <c:v>116420</c:v>
                </c:pt>
                <c:pt idx="178">
                  <c:v>130820</c:v>
                </c:pt>
                <c:pt idx="179">
                  <c:v>131720</c:v>
                </c:pt>
                <c:pt idx="180">
                  <c:v>130120</c:v>
                </c:pt>
                <c:pt idx="181">
                  <c:v>128720</c:v>
                </c:pt>
                <c:pt idx="182">
                  <c:v>129320</c:v>
                </c:pt>
                <c:pt idx="183">
                  <c:v>129720</c:v>
                </c:pt>
                <c:pt idx="184">
                  <c:v>141420</c:v>
                </c:pt>
                <c:pt idx="185">
                  <c:v>134520</c:v>
                </c:pt>
                <c:pt idx="186">
                  <c:v>136020</c:v>
                </c:pt>
                <c:pt idx="187">
                  <c:v>137800</c:v>
                </c:pt>
                <c:pt idx="188">
                  <c:v>129080</c:v>
                </c:pt>
                <c:pt idx="189">
                  <c:v>130380</c:v>
                </c:pt>
                <c:pt idx="190">
                  <c:v>157320</c:v>
                </c:pt>
                <c:pt idx="191">
                  <c:v>164040</c:v>
                </c:pt>
                <c:pt idx="192">
                  <c:v>155300</c:v>
                </c:pt>
                <c:pt idx="193">
                  <c:v>156500</c:v>
                </c:pt>
                <c:pt idx="194">
                  <c:v>149000</c:v>
                </c:pt>
                <c:pt idx="195">
                  <c:v>139900</c:v>
                </c:pt>
                <c:pt idx="196">
                  <c:v>137640</c:v>
                </c:pt>
                <c:pt idx="197">
                  <c:v>138840</c:v>
                </c:pt>
                <c:pt idx="198">
                  <c:v>140840</c:v>
                </c:pt>
                <c:pt idx="199">
                  <c:v>141840</c:v>
                </c:pt>
                <c:pt idx="200">
                  <c:v>141640</c:v>
                </c:pt>
                <c:pt idx="201">
                  <c:v>136360</c:v>
                </c:pt>
                <c:pt idx="202">
                  <c:v>139780</c:v>
                </c:pt>
                <c:pt idx="203">
                  <c:v>144100</c:v>
                </c:pt>
                <c:pt idx="204">
                  <c:v>144520</c:v>
                </c:pt>
                <c:pt idx="205">
                  <c:v>155400</c:v>
                </c:pt>
                <c:pt idx="206">
                  <c:v>166200</c:v>
                </c:pt>
                <c:pt idx="207">
                  <c:v>163820</c:v>
                </c:pt>
                <c:pt idx="208">
                  <c:v>157620</c:v>
                </c:pt>
                <c:pt idx="209">
                  <c:v>156820</c:v>
                </c:pt>
                <c:pt idx="210">
                  <c:v>164020</c:v>
                </c:pt>
                <c:pt idx="211">
                  <c:v>160620</c:v>
                </c:pt>
                <c:pt idx="212">
                  <c:v>169120</c:v>
                </c:pt>
                <c:pt idx="213">
                  <c:v>174220</c:v>
                </c:pt>
                <c:pt idx="214">
                  <c:v>181000</c:v>
                </c:pt>
                <c:pt idx="215">
                  <c:v>176900</c:v>
                </c:pt>
                <c:pt idx="216">
                  <c:v>165420</c:v>
                </c:pt>
                <c:pt idx="217">
                  <c:v>156200</c:v>
                </c:pt>
                <c:pt idx="218">
                  <c:v>152660</c:v>
                </c:pt>
                <c:pt idx="219">
                  <c:v>152660</c:v>
                </c:pt>
                <c:pt idx="220">
                  <c:v>152060</c:v>
                </c:pt>
                <c:pt idx="221">
                  <c:v>149280</c:v>
                </c:pt>
                <c:pt idx="222">
                  <c:v>149880</c:v>
                </c:pt>
                <c:pt idx="223">
                  <c:v>153280</c:v>
                </c:pt>
                <c:pt idx="224">
                  <c:v>152260</c:v>
                </c:pt>
                <c:pt idx="225">
                  <c:v>144280</c:v>
                </c:pt>
                <c:pt idx="226">
                  <c:v>143060</c:v>
                </c:pt>
                <c:pt idx="227">
                  <c:v>144060</c:v>
                </c:pt>
                <c:pt idx="228">
                  <c:v>143080</c:v>
                </c:pt>
                <c:pt idx="229">
                  <c:v>143420</c:v>
                </c:pt>
                <c:pt idx="230">
                  <c:v>142920</c:v>
                </c:pt>
                <c:pt idx="231">
                  <c:v>143420</c:v>
                </c:pt>
                <c:pt idx="232">
                  <c:v>143820</c:v>
                </c:pt>
                <c:pt idx="233">
                  <c:v>141420</c:v>
                </c:pt>
                <c:pt idx="234">
                  <c:v>141220</c:v>
                </c:pt>
                <c:pt idx="235">
                  <c:v>140560</c:v>
                </c:pt>
                <c:pt idx="236">
                  <c:v>140240</c:v>
                </c:pt>
                <c:pt idx="237">
                  <c:v>139940</c:v>
                </c:pt>
                <c:pt idx="238">
                  <c:v>140440</c:v>
                </c:pt>
                <c:pt idx="239">
                  <c:v>140940</c:v>
                </c:pt>
                <c:pt idx="240">
                  <c:v>139480</c:v>
                </c:pt>
                <c:pt idx="241">
                  <c:v>145280</c:v>
                </c:pt>
                <c:pt idx="242">
                  <c:v>149440</c:v>
                </c:pt>
                <c:pt idx="243">
                  <c:v>152420</c:v>
                </c:pt>
                <c:pt idx="244">
                  <c:v>152300</c:v>
                </c:pt>
                <c:pt idx="245">
                  <c:v>155300</c:v>
                </c:pt>
                <c:pt idx="246">
                  <c:v>155300</c:v>
                </c:pt>
                <c:pt idx="247">
                  <c:v>153600</c:v>
                </c:pt>
                <c:pt idx="248">
                  <c:v>152880</c:v>
                </c:pt>
                <c:pt idx="249">
                  <c:v>154680</c:v>
                </c:pt>
                <c:pt idx="250">
                  <c:v>159980</c:v>
                </c:pt>
                <c:pt idx="251">
                  <c:v>155780</c:v>
                </c:pt>
                <c:pt idx="252">
                  <c:v>155780</c:v>
                </c:pt>
                <c:pt idx="253">
                  <c:v>156580</c:v>
                </c:pt>
                <c:pt idx="254">
                  <c:v>155580</c:v>
                </c:pt>
                <c:pt idx="255">
                  <c:v>160280</c:v>
                </c:pt>
                <c:pt idx="256">
                  <c:v>158580</c:v>
                </c:pt>
                <c:pt idx="257">
                  <c:v>161080</c:v>
                </c:pt>
                <c:pt idx="258">
                  <c:v>158780</c:v>
                </c:pt>
                <c:pt idx="259">
                  <c:v>160880</c:v>
                </c:pt>
                <c:pt idx="260">
                  <c:v>157980</c:v>
                </c:pt>
                <c:pt idx="261">
                  <c:v>151620</c:v>
                </c:pt>
                <c:pt idx="262">
                  <c:v>151500</c:v>
                </c:pt>
                <c:pt idx="263">
                  <c:v>151800</c:v>
                </c:pt>
                <c:pt idx="264">
                  <c:v>151600</c:v>
                </c:pt>
                <c:pt idx="265">
                  <c:v>154460</c:v>
                </c:pt>
                <c:pt idx="266">
                  <c:v>154160</c:v>
                </c:pt>
                <c:pt idx="267">
                  <c:v>155560</c:v>
                </c:pt>
                <c:pt idx="268">
                  <c:v>153160</c:v>
                </c:pt>
                <c:pt idx="269">
                  <c:v>155820</c:v>
                </c:pt>
                <c:pt idx="270">
                  <c:v>148260</c:v>
                </c:pt>
                <c:pt idx="271">
                  <c:v>145160</c:v>
                </c:pt>
                <c:pt idx="272">
                  <c:v>145160</c:v>
                </c:pt>
                <c:pt idx="273">
                  <c:v>144860</c:v>
                </c:pt>
                <c:pt idx="274">
                  <c:v>144760</c:v>
                </c:pt>
                <c:pt idx="275">
                  <c:v>144620</c:v>
                </c:pt>
                <c:pt idx="276">
                  <c:v>145920</c:v>
                </c:pt>
                <c:pt idx="277">
                  <c:v>145820</c:v>
                </c:pt>
                <c:pt idx="278">
                  <c:v>142920</c:v>
                </c:pt>
                <c:pt idx="279">
                  <c:v>146800</c:v>
                </c:pt>
                <c:pt idx="280">
                  <c:v>148100</c:v>
                </c:pt>
                <c:pt idx="281">
                  <c:v>144900</c:v>
                </c:pt>
                <c:pt idx="282">
                  <c:v>143600</c:v>
                </c:pt>
                <c:pt idx="283">
                  <c:v>143900</c:v>
                </c:pt>
                <c:pt idx="284">
                  <c:v>150080</c:v>
                </c:pt>
                <c:pt idx="285">
                  <c:v>147980</c:v>
                </c:pt>
                <c:pt idx="286">
                  <c:v>141420</c:v>
                </c:pt>
                <c:pt idx="287">
                  <c:v>141320</c:v>
                </c:pt>
                <c:pt idx="288">
                  <c:v>141340</c:v>
                </c:pt>
                <c:pt idx="289">
                  <c:v>141500</c:v>
                </c:pt>
                <c:pt idx="290">
                  <c:v>139760</c:v>
                </c:pt>
                <c:pt idx="291">
                  <c:v>140040</c:v>
                </c:pt>
                <c:pt idx="292">
                  <c:v>140540</c:v>
                </c:pt>
                <c:pt idx="293">
                  <c:v>139460</c:v>
                </c:pt>
                <c:pt idx="294">
                  <c:v>137260</c:v>
                </c:pt>
                <c:pt idx="295">
                  <c:v>138280</c:v>
                </c:pt>
                <c:pt idx="296">
                  <c:v>137880</c:v>
                </c:pt>
                <c:pt idx="297">
                  <c:v>141980</c:v>
                </c:pt>
                <c:pt idx="298">
                  <c:v>157420</c:v>
                </c:pt>
                <c:pt idx="299">
                  <c:v>158100</c:v>
                </c:pt>
                <c:pt idx="300">
                  <c:v>172000</c:v>
                </c:pt>
                <c:pt idx="301">
                  <c:v>179660</c:v>
                </c:pt>
                <c:pt idx="302">
                  <c:v>191060</c:v>
                </c:pt>
                <c:pt idx="303">
                  <c:v>202640</c:v>
                </c:pt>
                <c:pt idx="304">
                  <c:v>202940</c:v>
                </c:pt>
                <c:pt idx="305">
                  <c:v>203740</c:v>
                </c:pt>
                <c:pt idx="306">
                  <c:v>203040</c:v>
                </c:pt>
                <c:pt idx="307">
                  <c:v>203740</c:v>
                </c:pt>
                <c:pt idx="308">
                  <c:v>203940</c:v>
                </c:pt>
                <c:pt idx="309">
                  <c:v>204240</c:v>
                </c:pt>
                <c:pt idx="310">
                  <c:v>204240</c:v>
                </c:pt>
                <c:pt idx="311">
                  <c:v>204040</c:v>
                </c:pt>
                <c:pt idx="312">
                  <c:v>204140</c:v>
                </c:pt>
                <c:pt idx="313">
                  <c:v>204240</c:v>
                </c:pt>
                <c:pt idx="314">
                  <c:v>204340</c:v>
                </c:pt>
                <c:pt idx="315">
                  <c:v>204440</c:v>
                </c:pt>
                <c:pt idx="316">
                  <c:v>204340</c:v>
                </c:pt>
                <c:pt idx="317">
                  <c:v>204440</c:v>
                </c:pt>
                <c:pt idx="318">
                  <c:v>204440</c:v>
                </c:pt>
                <c:pt idx="319">
                  <c:v>204440</c:v>
                </c:pt>
                <c:pt idx="320">
                  <c:v>204100</c:v>
                </c:pt>
                <c:pt idx="321">
                  <c:v>204100</c:v>
                </c:pt>
                <c:pt idx="322">
                  <c:v>203980</c:v>
                </c:pt>
                <c:pt idx="323">
                  <c:v>203980</c:v>
                </c:pt>
                <c:pt idx="324">
                  <c:v>203980</c:v>
                </c:pt>
                <c:pt idx="325">
                  <c:v>203740</c:v>
                </c:pt>
                <c:pt idx="326">
                  <c:v>203740</c:v>
                </c:pt>
                <c:pt idx="327">
                  <c:v>203740</c:v>
                </c:pt>
                <c:pt idx="328">
                  <c:v>203740</c:v>
                </c:pt>
                <c:pt idx="329">
                  <c:v>203740</c:v>
                </c:pt>
                <c:pt idx="330">
                  <c:v>203740</c:v>
                </c:pt>
                <c:pt idx="331">
                  <c:v>203740</c:v>
                </c:pt>
                <c:pt idx="332">
                  <c:v>203740</c:v>
                </c:pt>
                <c:pt idx="333">
                  <c:v>203740</c:v>
                </c:pt>
                <c:pt idx="334">
                  <c:v>203260</c:v>
                </c:pt>
                <c:pt idx="335">
                  <c:v>221640</c:v>
                </c:pt>
                <c:pt idx="336">
                  <c:v>217000</c:v>
                </c:pt>
                <c:pt idx="337">
                  <c:v>213360</c:v>
                </c:pt>
                <c:pt idx="338">
                  <c:v>215360</c:v>
                </c:pt>
                <c:pt idx="339">
                  <c:v>220760</c:v>
                </c:pt>
                <c:pt idx="340">
                  <c:v>215920</c:v>
                </c:pt>
                <c:pt idx="341">
                  <c:v>215920</c:v>
                </c:pt>
                <c:pt idx="342">
                  <c:v>215920</c:v>
                </c:pt>
                <c:pt idx="343">
                  <c:v>215920</c:v>
                </c:pt>
                <c:pt idx="344">
                  <c:v>215920</c:v>
                </c:pt>
                <c:pt idx="345">
                  <c:v>215920</c:v>
                </c:pt>
                <c:pt idx="346">
                  <c:v>215920</c:v>
                </c:pt>
                <c:pt idx="347">
                  <c:v>215920</c:v>
                </c:pt>
                <c:pt idx="348">
                  <c:v>215920</c:v>
                </c:pt>
                <c:pt idx="349">
                  <c:v>215800</c:v>
                </c:pt>
                <c:pt idx="350">
                  <c:v>216900</c:v>
                </c:pt>
                <c:pt idx="351">
                  <c:v>212980</c:v>
                </c:pt>
                <c:pt idx="352">
                  <c:v>207820</c:v>
                </c:pt>
                <c:pt idx="353">
                  <c:v>208320</c:v>
                </c:pt>
                <c:pt idx="354">
                  <c:v>203360</c:v>
                </c:pt>
                <c:pt idx="355">
                  <c:v>203360</c:v>
                </c:pt>
                <c:pt idx="356">
                  <c:v>202880</c:v>
                </c:pt>
                <c:pt idx="357">
                  <c:v>201480</c:v>
                </c:pt>
                <c:pt idx="358">
                  <c:v>199280</c:v>
                </c:pt>
                <c:pt idx="359">
                  <c:v>200480</c:v>
                </c:pt>
                <c:pt idx="360">
                  <c:v>197880</c:v>
                </c:pt>
                <c:pt idx="361">
                  <c:v>199800</c:v>
                </c:pt>
                <c:pt idx="362">
                  <c:v>199800</c:v>
                </c:pt>
                <c:pt idx="363">
                  <c:v>199800</c:v>
                </c:pt>
                <c:pt idx="364">
                  <c:v>199800</c:v>
                </c:pt>
                <c:pt idx="365">
                  <c:v>199800</c:v>
                </c:pt>
                <c:pt idx="366">
                  <c:v>199800</c:v>
                </c:pt>
                <c:pt idx="367">
                  <c:v>199800</c:v>
                </c:pt>
                <c:pt idx="368">
                  <c:v>199800</c:v>
                </c:pt>
                <c:pt idx="369">
                  <c:v>199700</c:v>
                </c:pt>
                <c:pt idx="370">
                  <c:v>199800</c:v>
                </c:pt>
                <c:pt idx="371">
                  <c:v>199800</c:v>
                </c:pt>
                <c:pt idx="372">
                  <c:v>199800</c:v>
                </c:pt>
                <c:pt idx="373">
                  <c:v>199700</c:v>
                </c:pt>
                <c:pt idx="374">
                  <c:v>199700</c:v>
                </c:pt>
                <c:pt idx="375">
                  <c:v>199700</c:v>
                </c:pt>
                <c:pt idx="376">
                  <c:v>199800</c:v>
                </c:pt>
                <c:pt idx="377">
                  <c:v>199700</c:v>
                </c:pt>
                <c:pt idx="378">
                  <c:v>199320</c:v>
                </c:pt>
                <c:pt idx="379">
                  <c:v>205200</c:v>
                </c:pt>
                <c:pt idx="380">
                  <c:v>205000</c:v>
                </c:pt>
                <c:pt idx="381">
                  <c:v>204700</c:v>
                </c:pt>
                <c:pt idx="382">
                  <c:v>203780</c:v>
                </c:pt>
                <c:pt idx="383">
                  <c:v>203580</c:v>
                </c:pt>
                <c:pt idx="384">
                  <c:v>206300</c:v>
                </c:pt>
                <c:pt idx="385">
                  <c:v>246500</c:v>
                </c:pt>
                <c:pt idx="386">
                  <c:v>237540</c:v>
                </c:pt>
                <c:pt idx="387">
                  <c:v>243040</c:v>
                </c:pt>
                <c:pt idx="388">
                  <c:v>264220</c:v>
                </c:pt>
                <c:pt idx="389">
                  <c:v>300320</c:v>
                </c:pt>
                <c:pt idx="390">
                  <c:v>252240</c:v>
                </c:pt>
                <c:pt idx="391">
                  <c:v>244240</c:v>
                </c:pt>
                <c:pt idx="392">
                  <c:v>274240</c:v>
                </c:pt>
                <c:pt idx="393">
                  <c:v>278140</c:v>
                </c:pt>
                <c:pt idx="394">
                  <c:v>276440</c:v>
                </c:pt>
                <c:pt idx="395">
                  <c:v>283240</c:v>
                </c:pt>
                <c:pt idx="396">
                  <c:v>316540</c:v>
                </c:pt>
                <c:pt idx="397">
                  <c:v>301460</c:v>
                </c:pt>
                <c:pt idx="398">
                  <c:v>298960</c:v>
                </c:pt>
                <c:pt idx="399">
                  <c:v>309460</c:v>
                </c:pt>
                <c:pt idx="400">
                  <c:v>321980</c:v>
                </c:pt>
                <c:pt idx="401">
                  <c:v>315020</c:v>
                </c:pt>
                <c:pt idx="402">
                  <c:v>300260</c:v>
                </c:pt>
                <c:pt idx="403">
                  <c:v>298420</c:v>
                </c:pt>
                <c:pt idx="404">
                  <c:v>308260</c:v>
                </c:pt>
                <c:pt idx="405">
                  <c:v>290100</c:v>
                </c:pt>
                <c:pt idx="406">
                  <c:v>330200</c:v>
                </c:pt>
                <c:pt idx="407">
                  <c:v>355040</c:v>
                </c:pt>
                <c:pt idx="408">
                  <c:v>347340</c:v>
                </c:pt>
                <c:pt idx="409">
                  <c:v>350040</c:v>
                </c:pt>
                <c:pt idx="410">
                  <c:v>371800</c:v>
                </c:pt>
                <c:pt idx="411">
                  <c:v>406780</c:v>
                </c:pt>
                <c:pt idx="412">
                  <c:v>408460</c:v>
                </c:pt>
                <c:pt idx="413">
                  <c:v>409960</c:v>
                </c:pt>
                <c:pt idx="414">
                  <c:v>411360</c:v>
                </c:pt>
                <c:pt idx="415">
                  <c:v>411960</c:v>
                </c:pt>
                <c:pt idx="416">
                  <c:v>411960</c:v>
                </c:pt>
                <c:pt idx="417">
                  <c:v>411780</c:v>
                </c:pt>
                <c:pt idx="418">
                  <c:v>411980</c:v>
                </c:pt>
                <c:pt idx="419">
                  <c:v>411980</c:v>
                </c:pt>
                <c:pt idx="420">
                  <c:v>411980</c:v>
                </c:pt>
                <c:pt idx="421">
                  <c:v>411980</c:v>
                </c:pt>
                <c:pt idx="422">
                  <c:v>411700</c:v>
                </c:pt>
                <c:pt idx="423">
                  <c:v>412160</c:v>
                </c:pt>
                <c:pt idx="424">
                  <c:v>410160</c:v>
                </c:pt>
                <c:pt idx="425">
                  <c:v>409880</c:v>
                </c:pt>
                <c:pt idx="426">
                  <c:v>424180</c:v>
                </c:pt>
                <c:pt idx="427">
                  <c:v>414380</c:v>
                </c:pt>
                <c:pt idx="428">
                  <c:v>420880</c:v>
                </c:pt>
                <c:pt idx="429">
                  <c:v>417580</c:v>
                </c:pt>
                <c:pt idx="430">
                  <c:v>406640</c:v>
                </c:pt>
                <c:pt idx="431">
                  <c:v>402120</c:v>
                </c:pt>
                <c:pt idx="432">
                  <c:v>404080</c:v>
                </c:pt>
                <c:pt idx="433">
                  <c:v>397100</c:v>
                </c:pt>
                <c:pt idx="434">
                  <c:v>411580</c:v>
                </c:pt>
                <c:pt idx="435">
                  <c:v>411680</c:v>
                </c:pt>
                <c:pt idx="436">
                  <c:v>429580</c:v>
                </c:pt>
                <c:pt idx="437">
                  <c:v>462480</c:v>
                </c:pt>
                <c:pt idx="438">
                  <c:v>513160</c:v>
                </c:pt>
                <c:pt idx="439">
                  <c:v>477240</c:v>
                </c:pt>
                <c:pt idx="440">
                  <c:v>481740</c:v>
                </c:pt>
                <c:pt idx="441">
                  <c:v>485540</c:v>
                </c:pt>
                <c:pt idx="442">
                  <c:v>484840</c:v>
                </c:pt>
                <c:pt idx="443">
                  <c:v>484540</c:v>
                </c:pt>
                <c:pt idx="444">
                  <c:v>484440</c:v>
                </c:pt>
                <c:pt idx="445">
                  <c:v>486140</c:v>
                </c:pt>
                <c:pt idx="446">
                  <c:v>485140</c:v>
                </c:pt>
                <c:pt idx="447">
                  <c:v>479340</c:v>
                </c:pt>
                <c:pt idx="448">
                  <c:v>506040</c:v>
                </c:pt>
                <c:pt idx="449">
                  <c:v>519540</c:v>
                </c:pt>
                <c:pt idx="450">
                  <c:v>520240</c:v>
                </c:pt>
                <c:pt idx="451">
                  <c:v>520340</c:v>
                </c:pt>
                <c:pt idx="452">
                  <c:v>518540</c:v>
                </c:pt>
                <c:pt idx="453">
                  <c:v>519040</c:v>
                </c:pt>
                <c:pt idx="454">
                  <c:v>520640</c:v>
                </c:pt>
                <c:pt idx="455">
                  <c:v>521140</c:v>
                </c:pt>
                <c:pt idx="456">
                  <c:v>521640</c:v>
                </c:pt>
                <c:pt idx="457">
                  <c:v>521020</c:v>
                </c:pt>
                <c:pt idx="458">
                  <c:v>519920</c:v>
                </c:pt>
                <c:pt idx="459">
                  <c:v>521680</c:v>
                </c:pt>
                <c:pt idx="460">
                  <c:v>522080</c:v>
                </c:pt>
                <c:pt idx="461">
                  <c:v>522280</c:v>
                </c:pt>
                <c:pt idx="462">
                  <c:v>522380</c:v>
                </c:pt>
                <c:pt idx="463">
                  <c:v>522380</c:v>
                </c:pt>
                <c:pt idx="464">
                  <c:v>522480</c:v>
                </c:pt>
                <c:pt idx="465">
                  <c:v>522000</c:v>
                </c:pt>
                <c:pt idx="466">
                  <c:v>515820</c:v>
                </c:pt>
                <c:pt idx="467">
                  <c:v>535800</c:v>
                </c:pt>
                <c:pt idx="468">
                  <c:v>530800</c:v>
                </c:pt>
                <c:pt idx="469">
                  <c:v>548900</c:v>
                </c:pt>
                <c:pt idx="470">
                  <c:v>562700</c:v>
                </c:pt>
                <c:pt idx="471">
                  <c:v>538100</c:v>
                </c:pt>
                <c:pt idx="472">
                  <c:v>554400</c:v>
                </c:pt>
                <c:pt idx="473">
                  <c:v>539160</c:v>
                </c:pt>
                <c:pt idx="474">
                  <c:v>550960</c:v>
                </c:pt>
                <c:pt idx="475">
                  <c:v>538260</c:v>
                </c:pt>
                <c:pt idx="476">
                  <c:v>561260</c:v>
                </c:pt>
                <c:pt idx="477">
                  <c:v>586480</c:v>
                </c:pt>
                <c:pt idx="478">
                  <c:v>565040</c:v>
                </c:pt>
                <c:pt idx="479">
                  <c:v>549740</c:v>
                </c:pt>
                <c:pt idx="480">
                  <c:v>560240</c:v>
                </c:pt>
                <c:pt idx="481">
                  <c:v>584540</c:v>
                </c:pt>
                <c:pt idx="482">
                  <c:v>574040</c:v>
                </c:pt>
                <c:pt idx="483">
                  <c:v>540380</c:v>
                </c:pt>
                <c:pt idx="484">
                  <c:v>526580</c:v>
                </c:pt>
                <c:pt idx="485">
                  <c:v>526460</c:v>
                </c:pt>
                <c:pt idx="486">
                  <c:v>527060</c:v>
                </c:pt>
                <c:pt idx="487">
                  <c:v>527020</c:v>
                </c:pt>
                <c:pt idx="488">
                  <c:v>526520</c:v>
                </c:pt>
                <c:pt idx="489">
                  <c:v>526260</c:v>
                </c:pt>
                <c:pt idx="490">
                  <c:v>532460</c:v>
                </c:pt>
                <c:pt idx="491">
                  <c:v>532460</c:v>
                </c:pt>
                <c:pt idx="492">
                  <c:v>537940</c:v>
                </c:pt>
                <c:pt idx="493">
                  <c:v>541040</c:v>
                </c:pt>
                <c:pt idx="494">
                  <c:v>536700</c:v>
                </c:pt>
                <c:pt idx="495">
                  <c:v>539080</c:v>
                </c:pt>
                <c:pt idx="496">
                  <c:v>536660</c:v>
                </c:pt>
                <c:pt idx="497">
                  <c:v>535280</c:v>
                </c:pt>
                <c:pt idx="498">
                  <c:v>548800</c:v>
                </c:pt>
                <c:pt idx="499">
                  <c:v>544100</c:v>
                </c:pt>
                <c:pt idx="500">
                  <c:v>552000</c:v>
                </c:pt>
                <c:pt idx="501">
                  <c:v>565560</c:v>
                </c:pt>
                <c:pt idx="502">
                  <c:v>569860</c:v>
                </c:pt>
                <c:pt idx="503">
                  <c:v>576820</c:v>
                </c:pt>
                <c:pt idx="504">
                  <c:v>578820</c:v>
                </c:pt>
                <c:pt idx="505">
                  <c:v>578220</c:v>
                </c:pt>
                <c:pt idx="506">
                  <c:v>571920</c:v>
                </c:pt>
                <c:pt idx="507">
                  <c:v>569520</c:v>
                </c:pt>
                <c:pt idx="508">
                  <c:v>569040</c:v>
                </c:pt>
                <c:pt idx="509">
                  <c:v>568340</c:v>
                </c:pt>
                <c:pt idx="510">
                  <c:v>577100</c:v>
                </c:pt>
                <c:pt idx="511">
                  <c:v>590500</c:v>
                </c:pt>
                <c:pt idx="512">
                  <c:v>578780</c:v>
                </c:pt>
                <c:pt idx="513">
                  <c:v>579080</c:v>
                </c:pt>
                <c:pt idx="514">
                  <c:v>584960</c:v>
                </c:pt>
                <c:pt idx="515">
                  <c:v>575660</c:v>
                </c:pt>
                <c:pt idx="516">
                  <c:v>576260</c:v>
                </c:pt>
                <c:pt idx="517">
                  <c:v>572440</c:v>
                </c:pt>
                <c:pt idx="518">
                  <c:v>575920</c:v>
                </c:pt>
                <c:pt idx="519">
                  <c:v>567780</c:v>
                </c:pt>
                <c:pt idx="520">
                  <c:v>574500</c:v>
                </c:pt>
                <c:pt idx="521">
                  <c:v>572400</c:v>
                </c:pt>
                <c:pt idx="522">
                  <c:v>572140</c:v>
                </c:pt>
                <c:pt idx="523">
                  <c:v>571040</c:v>
                </c:pt>
                <c:pt idx="524">
                  <c:v>577960</c:v>
                </c:pt>
                <c:pt idx="525">
                  <c:v>587540</c:v>
                </c:pt>
                <c:pt idx="526">
                  <c:v>576340</c:v>
                </c:pt>
                <c:pt idx="527">
                  <c:v>592140</c:v>
                </c:pt>
                <c:pt idx="528">
                  <c:v>591940</c:v>
                </c:pt>
                <c:pt idx="529">
                  <c:v>608680</c:v>
                </c:pt>
                <c:pt idx="530">
                  <c:v>622780</c:v>
                </c:pt>
                <c:pt idx="531">
                  <c:v>614680</c:v>
                </c:pt>
                <c:pt idx="532">
                  <c:v>618280</c:v>
                </c:pt>
                <c:pt idx="533">
                  <c:v>632380</c:v>
                </c:pt>
                <c:pt idx="534">
                  <c:v>634480</c:v>
                </c:pt>
                <c:pt idx="535">
                  <c:v>648280</c:v>
                </c:pt>
                <c:pt idx="536">
                  <c:v>647680</c:v>
                </c:pt>
                <c:pt idx="537">
                  <c:v>648580</c:v>
                </c:pt>
                <c:pt idx="538">
                  <c:v>655480</c:v>
                </c:pt>
                <c:pt idx="539">
                  <c:v>651040</c:v>
                </c:pt>
                <c:pt idx="540">
                  <c:v>653040</c:v>
                </c:pt>
                <c:pt idx="541">
                  <c:v>650440</c:v>
                </c:pt>
                <c:pt idx="542">
                  <c:v>654640</c:v>
                </c:pt>
                <c:pt idx="543">
                  <c:v>655240</c:v>
                </c:pt>
                <c:pt idx="544">
                  <c:v>655440</c:v>
                </c:pt>
                <c:pt idx="545">
                  <c:v>655640</c:v>
                </c:pt>
                <c:pt idx="546">
                  <c:v>655640</c:v>
                </c:pt>
                <c:pt idx="547">
                  <c:v>655640</c:v>
                </c:pt>
                <c:pt idx="548">
                  <c:v>655640</c:v>
                </c:pt>
                <c:pt idx="549">
                  <c:v>655840</c:v>
                </c:pt>
                <c:pt idx="550">
                  <c:v>655840</c:v>
                </c:pt>
                <c:pt idx="551">
                  <c:v>655840</c:v>
                </c:pt>
                <c:pt idx="552">
                  <c:v>655840</c:v>
                </c:pt>
                <c:pt idx="553">
                  <c:v>655360</c:v>
                </c:pt>
                <c:pt idx="554">
                  <c:v>655040</c:v>
                </c:pt>
                <c:pt idx="555">
                  <c:v>657600</c:v>
                </c:pt>
                <c:pt idx="556">
                  <c:v>657900</c:v>
                </c:pt>
                <c:pt idx="557">
                  <c:v>654300</c:v>
                </c:pt>
                <c:pt idx="558">
                  <c:v>654880</c:v>
                </c:pt>
                <c:pt idx="559">
                  <c:v>659740</c:v>
                </c:pt>
                <c:pt idx="560">
                  <c:v>658740</c:v>
                </c:pt>
                <c:pt idx="561">
                  <c:v>658540</c:v>
                </c:pt>
                <c:pt idx="562">
                  <c:v>653000</c:v>
                </c:pt>
                <c:pt idx="563">
                  <c:v>654200</c:v>
                </c:pt>
                <c:pt idx="564">
                  <c:v>648480</c:v>
                </c:pt>
                <c:pt idx="565">
                  <c:v>643720</c:v>
                </c:pt>
                <c:pt idx="566">
                  <c:v>650200</c:v>
                </c:pt>
                <c:pt idx="567">
                  <c:v>650200</c:v>
                </c:pt>
                <c:pt idx="568">
                  <c:v>650200</c:v>
                </c:pt>
                <c:pt idx="569">
                  <c:v>650200</c:v>
                </c:pt>
                <c:pt idx="570">
                  <c:v>651380</c:v>
                </c:pt>
                <c:pt idx="571">
                  <c:v>654000</c:v>
                </c:pt>
                <c:pt idx="572">
                  <c:v>674060</c:v>
                </c:pt>
                <c:pt idx="573">
                  <c:v>671640</c:v>
                </c:pt>
                <c:pt idx="574">
                  <c:v>675100</c:v>
                </c:pt>
                <c:pt idx="575">
                  <c:v>671200</c:v>
                </c:pt>
                <c:pt idx="576">
                  <c:v>689900</c:v>
                </c:pt>
                <c:pt idx="577">
                  <c:v>692000</c:v>
                </c:pt>
                <c:pt idx="578">
                  <c:v>689000</c:v>
                </c:pt>
                <c:pt idx="579">
                  <c:v>680200</c:v>
                </c:pt>
                <c:pt idx="580">
                  <c:v>687200</c:v>
                </c:pt>
                <c:pt idx="581">
                  <c:v>673600</c:v>
                </c:pt>
                <c:pt idx="582">
                  <c:v>662280</c:v>
                </c:pt>
                <c:pt idx="583">
                  <c:v>662480</c:v>
                </c:pt>
                <c:pt idx="584">
                  <c:v>659040</c:v>
                </c:pt>
                <c:pt idx="585">
                  <c:v>656680</c:v>
                </c:pt>
                <c:pt idx="586">
                  <c:v>653680</c:v>
                </c:pt>
                <c:pt idx="587">
                  <c:v>652080</c:v>
                </c:pt>
                <c:pt idx="588">
                  <c:v>651060</c:v>
                </c:pt>
                <c:pt idx="589">
                  <c:v>651060</c:v>
                </c:pt>
                <c:pt idx="590">
                  <c:v>651060</c:v>
                </c:pt>
                <c:pt idx="591">
                  <c:v>650940</c:v>
                </c:pt>
                <c:pt idx="592">
                  <c:v>650740</c:v>
                </c:pt>
                <c:pt idx="593">
                  <c:v>650740</c:v>
                </c:pt>
                <c:pt idx="594">
                  <c:v>650740</c:v>
                </c:pt>
                <c:pt idx="595">
                  <c:v>650740</c:v>
                </c:pt>
                <c:pt idx="596">
                  <c:v>650260</c:v>
                </c:pt>
                <c:pt idx="597">
                  <c:v>665420</c:v>
                </c:pt>
                <c:pt idx="598">
                  <c:v>662780</c:v>
                </c:pt>
                <c:pt idx="599">
                  <c:v>657440</c:v>
                </c:pt>
                <c:pt idx="600">
                  <c:v>662220</c:v>
                </c:pt>
                <c:pt idx="601">
                  <c:v>655220</c:v>
                </c:pt>
                <c:pt idx="602">
                  <c:v>666420</c:v>
                </c:pt>
                <c:pt idx="603">
                  <c:v>670620</c:v>
                </c:pt>
                <c:pt idx="604">
                  <c:v>673220</c:v>
                </c:pt>
                <c:pt idx="605">
                  <c:v>674820</c:v>
                </c:pt>
                <c:pt idx="606">
                  <c:v>682420</c:v>
                </c:pt>
                <c:pt idx="607">
                  <c:v>681620</c:v>
                </c:pt>
                <c:pt idx="608">
                  <c:v>682020</c:v>
                </c:pt>
                <c:pt idx="609">
                  <c:v>685620</c:v>
                </c:pt>
                <c:pt idx="610">
                  <c:v>690620</c:v>
                </c:pt>
                <c:pt idx="611">
                  <c:v>699620</c:v>
                </c:pt>
                <c:pt idx="612">
                  <c:v>696420</c:v>
                </c:pt>
                <c:pt idx="613">
                  <c:v>704820</c:v>
                </c:pt>
                <c:pt idx="614">
                  <c:v>701420</c:v>
                </c:pt>
                <c:pt idx="615">
                  <c:v>708020</c:v>
                </c:pt>
                <c:pt idx="616">
                  <c:v>706820</c:v>
                </c:pt>
                <c:pt idx="617">
                  <c:v>701020</c:v>
                </c:pt>
                <c:pt idx="618">
                  <c:v>694380</c:v>
                </c:pt>
                <c:pt idx="619">
                  <c:v>683640</c:v>
                </c:pt>
                <c:pt idx="620">
                  <c:v>683000</c:v>
                </c:pt>
                <c:pt idx="621">
                  <c:v>683000</c:v>
                </c:pt>
                <c:pt idx="622">
                  <c:v>682760</c:v>
                </c:pt>
                <c:pt idx="623">
                  <c:v>682760</c:v>
                </c:pt>
                <c:pt idx="624">
                  <c:v>681160</c:v>
                </c:pt>
                <c:pt idx="625">
                  <c:v>681360</c:v>
                </c:pt>
                <c:pt idx="626">
                  <c:v>683460</c:v>
                </c:pt>
                <c:pt idx="627">
                  <c:v>685960</c:v>
                </c:pt>
                <c:pt idx="628">
                  <c:v>682560</c:v>
                </c:pt>
                <c:pt idx="629">
                  <c:v>686160</c:v>
                </c:pt>
                <c:pt idx="630">
                  <c:v>685660</c:v>
                </c:pt>
                <c:pt idx="631">
                  <c:v>684360</c:v>
                </c:pt>
                <c:pt idx="632">
                  <c:v>679860</c:v>
                </c:pt>
                <c:pt idx="633">
                  <c:v>679060</c:v>
                </c:pt>
                <c:pt idx="634">
                  <c:v>679060</c:v>
                </c:pt>
                <c:pt idx="635">
                  <c:v>679060</c:v>
                </c:pt>
                <c:pt idx="636">
                  <c:v>679060</c:v>
                </c:pt>
                <c:pt idx="637">
                  <c:v>679060</c:v>
                </c:pt>
                <c:pt idx="638">
                  <c:v>678580</c:v>
                </c:pt>
                <c:pt idx="639">
                  <c:v>675160</c:v>
                </c:pt>
                <c:pt idx="640">
                  <c:v>673460</c:v>
                </c:pt>
                <c:pt idx="641">
                  <c:v>669520</c:v>
                </c:pt>
                <c:pt idx="642">
                  <c:v>668640</c:v>
                </c:pt>
                <c:pt idx="643">
                  <c:v>683080</c:v>
                </c:pt>
                <c:pt idx="644">
                  <c:v>712180</c:v>
                </c:pt>
                <c:pt idx="645">
                  <c:v>705580</c:v>
                </c:pt>
                <c:pt idx="646">
                  <c:v>702640</c:v>
                </c:pt>
                <c:pt idx="647">
                  <c:v>702740</c:v>
                </c:pt>
                <c:pt idx="648">
                  <c:v>696840</c:v>
                </c:pt>
                <c:pt idx="649">
                  <c:v>708440</c:v>
                </c:pt>
                <c:pt idx="650">
                  <c:v>679600</c:v>
                </c:pt>
                <c:pt idx="651">
                  <c:v>673820</c:v>
                </c:pt>
                <c:pt idx="652">
                  <c:v>668420</c:v>
                </c:pt>
                <c:pt idx="653">
                  <c:v>666620</c:v>
                </c:pt>
                <c:pt idx="654">
                  <c:v>667820</c:v>
                </c:pt>
                <c:pt idx="655">
                  <c:v>671020</c:v>
                </c:pt>
                <c:pt idx="656">
                  <c:v>674300</c:v>
                </c:pt>
                <c:pt idx="657">
                  <c:v>670080</c:v>
                </c:pt>
                <c:pt idx="658">
                  <c:v>668280</c:v>
                </c:pt>
                <c:pt idx="659">
                  <c:v>669080</c:v>
                </c:pt>
                <c:pt idx="660">
                  <c:v>675080</c:v>
                </c:pt>
                <c:pt idx="661">
                  <c:v>675920</c:v>
                </c:pt>
                <c:pt idx="662">
                  <c:v>680280</c:v>
                </c:pt>
                <c:pt idx="663">
                  <c:v>675780</c:v>
                </c:pt>
                <c:pt idx="664">
                  <c:v>667480</c:v>
                </c:pt>
                <c:pt idx="665">
                  <c:v>672980</c:v>
                </c:pt>
                <c:pt idx="666">
                  <c:v>694760</c:v>
                </c:pt>
                <c:pt idx="667">
                  <c:v>694240</c:v>
                </c:pt>
                <c:pt idx="668">
                  <c:v>689740</c:v>
                </c:pt>
                <c:pt idx="669">
                  <c:v>688520</c:v>
                </c:pt>
                <c:pt idx="670">
                  <c:v>693320</c:v>
                </c:pt>
                <c:pt idx="671">
                  <c:v>694920</c:v>
                </c:pt>
                <c:pt idx="672">
                  <c:v>695120</c:v>
                </c:pt>
                <c:pt idx="673">
                  <c:v>693720</c:v>
                </c:pt>
                <c:pt idx="674">
                  <c:v>695120</c:v>
                </c:pt>
                <c:pt idx="675">
                  <c:v>696120</c:v>
                </c:pt>
                <c:pt idx="676">
                  <c:v>696120</c:v>
                </c:pt>
                <c:pt idx="677">
                  <c:v>693520</c:v>
                </c:pt>
                <c:pt idx="678">
                  <c:v>692520</c:v>
                </c:pt>
                <c:pt idx="679">
                  <c:v>693080</c:v>
                </c:pt>
                <c:pt idx="680">
                  <c:v>692980</c:v>
                </c:pt>
                <c:pt idx="681">
                  <c:v>694680</c:v>
                </c:pt>
                <c:pt idx="682">
                  <c:v>694520</c:v>
                </c:pt>
                <c:pt idx="683">
                  <c:v>694840</c:v>
                </c:pt>
                <c:pt idx="684">
                  <c:v>700660</c:v>
                </c:pt>
                <c:pt idx="685">
                  <c:v>697660</c:v>
                </c:pt>
                <c:pt idx="686">
                  <c:v>695860</c:v>
                </c:pt>
                <c:pt idx="687">
                  <c:v>692440</c:v>
                </c:pt>
                <c:pt idx="688">
                  <c:v>689600</c:v>
                </c:pt>
                <c:pt idx="689">
                  <c:v>664000</c:v>
                </c:pt>
                <c:pt idx="690">
                  <c:v>658640</c:v>
                </c:pt>
                <c:pt idx="691">
                  <c:v>657640</c:v>
                </c:pt>
                <c:pt idx="692">
                  <c:v>657340</c:v>
                </c:pt>
                <c:pt idx="693">
                  <c:v>655940</c:v>
                </c:pt>
                <c:pt idx="694">
                  <c:v>659140</c:v>
                </c:pt>
                <c:pt idx="695">
                  <c:v>659620</c:v>
                </c:pt>
                <c:pt idx="696">
                  <c:v>666620</c:v>
                </c:pt>
                <c:pt idx="697">
                  <c:v>666720</c:v>
                </c:pt>
                <c:pt idx="698">
                  <c:v>664820</c:v>
                </c:pt>
                <c:pt idx="699">
                  <c:v>665620</c:v>
                </c:pt>
                <c:pt idx="700">
                  <c:v>664620</c:v>
                </c:pt>
                <c:pt idx="701">
                  <c:v>665720</c:v>
                </c:pt>
                <c:pt idx="702">
                  <c:v>664220</c:v>
                </c:pt>
                <c:pt idx="703">
                  <c:v>661840</c:v>
                </c:pt>
                <c:pt idx="704">
                  <c:v>656720</c:v>
                </c:pt>
                <c:pt idx="705">
                  <c:v>663440</c:v>
                </c:pt>
                <c:pt idx="706">
                  <c:v>651340</c:v>
                </c:pt>
                <c:pt idx="707">
                  <c:v>677220</c:v>
                </c:pt>
                <c:pt idx="708">
                  <c:v>674540</c:v>
                </c:pt>
                <c:pt idx="709">
                  <c:v>691140</c:v>
                </c:pt>
                <c:pt idx="710">
                  <c:v>675240</c:v>
                </c:pt>
                <c:pt idx="711">
                  <c:v>668940</c:v>
                </c:pt>
                <c:pt idx="712">
                  <c:v>692420</c:v>
                </c:pt>
                <c:pt idx="713">
                  <c:v>703520</c:v>
                </c:pt>
                <c:pt idx="714">
                  <c:v>688720</c:v>
                </c:pt>
                <c:pt idx="715">
                  <c:v>734920</c:v>
                </c:pt>
                <c:pt idx="716">
                  <c:v>747820</c:v>
                </c:pt>
                <c:pt idx="717">
                  <c:v>723720</c:v>
                </c:pt>
                <c:pt idx="718">
                  <c:v>741520</c:v>
                </c:pt>
                <c:pt idx="719">
                  <c:v>727720</c:v>
                </c:pt>
                <c:pt idx="720">
                  <c:v>750120</c:v>
                </c:pt>
                <c:pt idx="721">
                  <c:v>757320</c:v>
                </c:pt>
                <c:pt idx="722">
                  <c:v>759920</c:v>
                </c:pt>
                <c:pt idx="723">
                  <c:v>758220</c:v>
                </c:pt>
                <c:pt idx="724">
                  <c:v>764720</c:v>
                </c:pt>
                <c:pt idx="725">
                  <c:v>776720</c:v>
                </c:pt>
                <c:pt idx="726">
                  <c:v>784620</c:v>
                </c:pt>
                <c:pt idx="727">
                  <c:v>782540</c:v>
                </c:pt>
                <c:pt idx="728">
                  <c:v>772220</c:v>
                </c:pt>
                <c:pt idx="729">
                  <c:v>772800</c:v>
                </c:pt>
                <c:pt idx="730">
                  <c:v>789240</c:v>
                </c:pt>
                <c:pt idx="731">
                  <c:v>782300</c:v>
                </c:pt>
                <c:pt idx="732">
                  <c:v>777700</c:v>
                </c:pt>
                <c:pt idx="733">
                  <c:v>772860</c:v>
                </c:pt>
                <c:pt idx="734">
                  <c:v>773360</c:v>
                </c:pt>
                <c:pt idx="735">
                  <c:v>790020</c:v>
                </c:pt>
                <c:pt idx="736">
                  <c:v>787180</c:v>
                </c:pt>
                <c:pt idx="737">
                  <c:v>804180</c:v>
                </c:pt>
                <c:pt idx="738">
                  <c:v>807880</c:v>
                </c:pt>
                <c:pt idx="739">
                  <c:v>815560</c:v>
                </c:pt>
                <c:pt idx="740">
                  <c:v>817420</c:v>
                </c:pt>
                <c:pt idx="741">
                  <c:v>819300</c:v>
                </c:pt>
                <c:pt idx="742">
                  <c:v>837300</c:v>
                </c:pt>
                <c:pt idx="743">
                  <c:v>839660</c:v>
                </c:pt>
                <c:pt idx="744">
                  <c:v>846060</c:v>
                </c:pt>
                <c:pt idx="745">
                  <c:v>845540</c:v>
                </c:pt>
                <c:pt idx="746">
                  <c:v>839600</c:v>
                </c:pt>
                <c:pt idx="747">
                  <c:v>837600</c:v>
                </c:pt>
                <c:pt idx="748">
                  <c:v>845000</c:v>
                </c:pt>
                <c:pt idx="749">
                  <c:v>856700</c:v>
                </c:pt>
                <c:pt idx="750">
                  <c:v>847380</c:v>
                </c:pt>
                <c:pt idx="751">
                  <c:v>847380</c:v>
                </c:pt>
                <c:pt idx="752">
                  <c:v>847380</c:v>
                </c:pt>
                <c:pt idx="753">
                  <c:v>847380</c:v>
                </c:pt>
                <c:pt idx="754">
                  <c:v>847140</c:v>
                </c:pt>
                <c:pt idx="755">
                  <c:v>845340</c:v>
                </c:pt>
                <c:pt idx="756">
                  <c:v>848240</c:v>
                </c:pt>
                <c:pt idx="757">
                  <c:v>848340</c:v>
                </c:pt>
                <c:pt idx="758">
                  <c:v>849340</c:v>
                </c:pt>
                <c:pt idx="759">
                  <c:v>847840</c:v>
                </c:pt>
                <c:pt idx="760">
                  <c:v>852180</c:v>
                </c:pt>
                <c:pt idx="761">
                  <c:v>852980</c:v>
                </c:pt>
                <c:pt idx="762">
                  <c:v>856580</c:v>
                </c:pt>
                <c:pt idx="763">
                  <c:v>863080</c:v>
                </c:pt>
                <c:pt idx="764">
                  <c:v>867780</c:v>
                </c:pt>
                <c:pt idx="765">
                  <c:v>867680</c:v>
                </c:pt>
                <c:pt idx="766">
                  <c:v>865480</c:v>
                </c:pt>
                <c:pt idx="767">
                  <c:v>866180</c:v>
                </c:pt>
                <c:pt idx="768">
                  <c:v>866500</c:v>
                </c:pt>
                <c:pt idx="769">
                  <c:v>868020</c:v>
                </c:pt>
                <c:pt idx="770">
                  <c:v>867760</c:v>
                </c:pt>
                <c:pt idx="771">
                  <c:v>867660</c:v>
                </c:pt>
                <c:pt idx="772">
                  <c:v>886360</c:v>
                </c:pt>
                <c:pt idx="773">
                  <c:v>878340</c:v>
                </c:pt>
                <c:pt idx="774">
                  <c:v>878740</c:v>
                </c:pt>
                <c:pt idx="775">
                  <c:v>875940</c:v>
                </c:pt>
                <c:pt idx="776">
                  <c:v>870140</c:v>
                </c:pt>
                <c:pt idx="777">
                  <c:v>865040</c:v>
                </c:pt>
                <c:pt idx="778">
                  <c:v>865340</c:v>
                </c:pt>
                <c:pt idx="779">
                  <c:v>862880</c:v>
                </c:pt>
                <c:pt idx="780">
                  <c:v>862880</c:v>
                </c:pt>
                <c:pt idx="781">
                  <c:v>862400</c:v>
                </c:pt>
                <c:pt idx="782">
                  <c:v>862500</c:v>
                </c:pt>
                <c:pt idx="783">
                  <c:v>861100</c:v>
                </c:pt>
                <c:pt idx="784">
                  <c:v>859020</c:v>
                </c:pt>
                <c:pt idx="785">
                  <c:v>858660</c:v>
                </c:pt>
                <c:pt idx="786">
                  <c:v>860260</c:v>
                </c:pt>
                <c:pt idx="787">
                  <c:v>863360</c:v>
                </c:pt>
                <c:pt idx="788">
                  <c:v>860660</c:v>
                </c:pt>
                <c:pt idx="789">
                  <c:v>863960</c:v>
                </c:pt>
                <c:pt idx="790">
                  <c:v>853640</c:v>
                </c:pt>
                <c:pt idx="791">
                  <c:v>853300</c:v>
                </c:pt>
                <c:pt idx="792">
                  <c:v>853300</c:v>
                </c:pt>
                <c:pt idx="793">
                  <c:v>853060</c:v>
                </c:pt>
                <c:pt idx="794">
                  <c:v>855760</c:v>
                </c:pt>
                <c:pt idx="795">
                  <c:v>856640</c:v>
                </c:pt>
                <c:pt idx="796">
                  <c:v>854440</c:v>
                </c:pt>
                <c:pt idx="797">
                  <c:v>864140</c:v>
                </c:pt>
                <c:pt idx="798">
                  <c:v>857840</c:v>
                </c:pt>
                <c:pt idx="799">
                  <c:v>860340</c:v>
                </c:pt>
                <c:pt idx="800">
                  <c:v>865340</c:v>
                </c:pt>
                <c:pt idx="801">
                  <c:v>874840</c:v>
                </c:pt>
                <c:pt idx="802">
                  <c:v>872640</c:v>
                </c:pt>
                <c:pt idx="803">
                  <c:v>877740</c:v>
                </c:pt>
                <c:pt idx="804">
                  <c:v>874020</c:v>
                </c:pt>
                <c:pt idx="805">
                  <c:v>870120</c:v>
                </c:pt>
                <c:pt idx="806">
                  <c:v>871320</c:v>
                </c:pt>
                <c:pt idx="807">
                  <c:v>873220</c:v>
                </c:pt>
                <c:pt idx="808">
                  <c:v>872720</c:v>
                </c:pt>
                <c:pt idx="809">
                  <c:v>873120</c:v>
                </c:pt>
                <c:pt idx="810">
                  <c:v>872920</c:v>
                </c:pt>
                <c:pt idx="811">
                  <c:v>873420</c:v>
                </c:pt>
                <c:pt idx="812">
                  <c:v>875420</c:v>
                </c:pt>
                <c:pt idx="813">
                  <c:v>875460</c:v>
                </c:pt>
                <c:pt idx="814">
                  <c:v>876360</c:v>
                </c:pt>
                <c:pt idx="815">
                  <c:v>873360</c:v>
                </c:pt>
                <c:pt idx="816">
                  <c:v>878260</c:v>
                </c:pt>
                <c:pt idx="817">
                  <c:v>879260</c:v>
                </c:pt>
                <c:pt idx="818">
                  <c:v>864980</c:v>
                </c:pt>
                <c:pt idx="819">
                  <c:v>865380</c:v>
                </c:pt>
                <c:pt idx="820">
                  <c:v>866680</c:v>
                </c:pt>
                <c:pt idx="821">
                  <c:v>869140</c:v>
                </c:pt>
                <c:pt idx="822">
                  <c:v>869420</c:v>
                </c:pt>
                <c:pt idx="823">
                  <c:v>869220</c:v>
                </c:pt>
                <c:pt idx="824">
                  <c:v>869020</c:v>
                </c:pt>
                <c:pt idx="825">
                  <c:v>869000</c:v>
                </c:pt>
                <c:pt idx="826">
                  <c:v>867500</c:v>
                </c:pt>
                <c:pt idx="827">
                  <c:v>866880</c:v>
                </c:pt>
                <c:pt idx="828">
                  <c:v>867040</c:v>
                </c:pt>
                <c:pt idx="829">
                  <c:v>863520</c:v>
                </c:pt>
                <c:pt idx="830">
                  <c:v>862180</c:v>
                </c:pt>
                <c:pt idx="831">
                  <c:v>867900</c:v>
                </c:pt>
                <c:pt idx="832">
                  <c:v>871300</c:v>
                </c:pt>
                <c:pt idx="833">
                  <c:v>867600</c:v>
                </c:pt>
                <c:pt idx="834">
                  <c:v>854060</c:v>
                </c:pt>
                <c:pt idx="835">
                  <c:v>855460</c:v>
                </c:pt>
                <c:pt idx="836">
                  <c:v>864960</c:v>
                </c:pt>
                <c:pt idx="837">
                  <c:v>860020</c:v>
                </c:pt>
                <c:pt idx="838">
                  <c:v>860920</c:v>
                </c:pt>
                <c:pt idx="839">
                  <c:v>842040</c:v>
                </c:pt>
                <c:pt idx="840">
                  <c:v>844020</c:v>
                </c:pt>
                <c:pt idx="841">
                  <c:v>843420</c:v>
                </c:pt>
                <c:pt idx="842">
                  <c:v>842420</c:v>
                </c:pt>
                <c:pt idx="843">
                  <c:v>843620</c:v>
                </c:pt>
                <c:pt idx="844">
                  <c:v>844520</c:v>
                </c:pt>
                <c:pt idx="845">
                  <c:v>843120</c:v>
                </c:pt>
                <c:pt idx="846">
                  <c:v>838600</c:v>
                </c:pt>
                <c:pt idx="847">
                  <c:v>836100</c:v>
                </c:pt>
                <c:pt idx="848">
                  <c:v>834860</c:v>
                </c:pt>
                <c:pt idx="849">
                  <c:v>834860</c:v>
                </c:pt>
                <c:pt idx="850">
                  <c:v>835440</c:v>
                </c:pt>
                <c:pt idx="851">
                  <c:v>834440</c:v>
                </c:pt>
                <c:pt idx="852">
                  <c:v>836940</c:v>
                </c:pt>
                <c:pt idx="853">
                  <c:v>839240</c:v>
                </c:pt>
                <c:pt idx="854">
                  <c:v>843540</c:v>
                </c:pt>
                <c:pt idx="855">
                  <c:v>840740</c:v>
                </c:pt>
                <c:pt idx="856">
                  <c:v>842140</c:v>
                </c:pt>
                <c:pt idx="857">
                  <c:v>839460</c:v>
                </c:pt>
                <c:pt idx="858">
                  <c:v>847220</c:v>
                </c:pt>
                <c:pt idx="859">
                  <c:v>846220</c:v>
                </c:pt>
                <c:pt idx="860">
                  <c:v>847580</c:v>
                </c:pt>
                <c:pt idx="861">
                  <c:v>851560</c:v>
                </c:pt>
                <c:pt idx="862">
                  <c:v>850140</c:v>
                </c:pt>
                <c:pt idx="863">
                  <c:v>850940</c:v>
                </c:pt>
                <c:pt idx="864">
                  <c:v>851840</c:v>
                </c:pt>
                <c:pt idx="865">
                  <c:v>851560</c:v>
                </c:pt>
                <c:pt idx="866">
                  <c:v>848960</c:v>
                </c:pt>
                <c:pt idx="867">
                  <c:v>847100</c:v>
                </c:pt>
                <c:pt idx="868">
                  <c:v>850300</c:v>
                </c:pt>
                <c:pt idx="869">
                  <c:v>857700</c:v>
                </c:pt>
                <c:pt idx="870">
                  <c:v>859200</c:v>
                </c:pt>
                <c:pt idx="871">
                  <c:v>852900</c:v>
                </c:pt>
                <c:pt idx="872">
                  <c:v>857000</c:v>
                </c:pt>
                <c:pt idx="873">
                  <c:v>849500</c:v>
                </c:pt>
                <c:pt idx="874">
                  <c:v>842260</c:v>
                </c:pt>
                <c:pt idx="875">
                  <c:v>843960</c:v>
                </c:pt>
                <c:pt idx="876">
                  <c:v>850040</c:v>
                </c:pt>
                <c:pt idx="877">
                  <c:v>852240</c:v>
                </c:pt>
                <c:pt idx="878">
                  <c:v>847100</c:v>
                </c:pt>
                <c:pt idx="879">
                  <c:v>851100</c:v>
                </c:pt>
                <c:pt idx="880">
                  <c:v>850500</c:v>
                </c:pt>
                <c:pt idx="881">
                  <c:v>845600</c:v>
                </c:pt>
                <c:pt idx="882">
                  <c:v>843600</c:v>
                </c:pt>
                <c:pt idx="883">
                  <c:v>840560</c:v>
                </c:pt>
                <c:pt idx="884">
                  <c:v>841360</c:v>
                </c:pt>
                <c:pt idx="885">
                  <c:v>840760</c:v>
                </c:pt>
                <c:pt idx="886">
                  <c:v>839940</c:v>
                </c:pt>
                <c:pt idx="887">
                  <c:v>839940</c:v>
                </c:pt>
                <c:pt idx="888">
                  <c:v>840140</c:v>
                </c:pt>
                <c:pt idx="889">
                  <c:v>840240</c:v>
                </c:pt>
                <c:pt idx="890">
                  <c:v>842240</c:v>
                </c:pt>
                <c:pt idx="891">
                  <c:v>843620</c:v>
                </c:pt>
                <c:pt idx="892">
                  <c:v>849020</c:v>
                </c:pt>
                <c:pt idx="893">
                  <c:v>851620</c:v>
                </c:pt>
                <c:pt idx="894">
                  <c:v>854020</c:v>
                </c:pt>
                <c:pt idx="895">
                  <c:v>850920</c:v>
                </c:pt>
                <c:pt idx="896">
                  <c:v>851120</c:v>
                </c:pt>
                <c:pt idx="897">
                  <c:v>856620</c:v>
                </c:pt>
                <c:pt idx="898">
                  <c:v>851820</c:v>
                </c:pt>
                <c:pt idx="899">
                  <c:v>849220</c:v>
                </c:pt>
                <c:pt idx="900">
                  <c:v>847640</c:v>
                </c:pt>
                <c:pt idx="901">
                  <c:v>842740</c:v>
                </c:pt>
                <c:pt idx="902">
                  <c:v>836680</c:v>
                </c:pt>
                <c:pt idx="903">
                  <c:v>829400</c:v>
                </c:pt>
                <c:pt idx="904">
                  <c:v>829800</c:v>
                </c:pt>
                <c:pt idx="905">
                  <c:v>829800</c:v>
                </c:pt>
                <c:pt idx="906">
                  <c:v>829800</c:v>
                </c:pt>
                <c:pt idx="907">
                  <c:v>829800</c:v>
                </c:pt>
                <c:pt idx="908">
                  <c:v>829800</c:v>
                </c:pt>
                <c:pt idx="909">
                  <c:v>836900</c:v>
                </c:pt>
                <c:pt idx="910">
                  <c:v>837400</c:v>
                </c:pt>
                <c:pt idx="911">
                  <c:v>839500</c:v>
                </c:pt>
                <c:pt idx="912">
                  <c:v>841700</c:v>
                </c:pt>
                <c:pt idx="913">
                  <c:v>841800</c:v>
                </c:pt>
                <c:pt idx="914">
                  <c:v>835100</c:v>
                </c:pt>
                <c:pt idx="915">
                  <c:v>848300</c:v>
                </c:pt>
                <c:pt idx="916">
                  <c:v>846100</c:v>
                </c:pt>
                <c:pt idx="917">
                  <c:v>851900</c:v>
                </c:pt>
                <c:pt idx="918">
                  <c:v>856180</c:v>
                </c:pt>
                <c:pt idx="919">
                  <c:v>858680</c:v>
                </c:pt>
                <c:pt idx="920">
                  <c:v>857140</c:v>
                </c:pt>
                <c:pt idx="921">
                  <c:v>857140</c:v>
                </c:pt>
                <c:pt idx="922">
                  <c:v>857140</c:v>
                </c:pt>
                <c:pt idx="923">
                  <c:v>856660</c:v>
                </c:pt>
                <c:pt idx="924">
                  <c:v>856660</c:v>
                </c:pt>
                <c:pt idx="925">
                  <c:v>856540</c:v>
                </c:pt>
                <c:pt idx="926">
                  <c:v>854520</c:v>
                </c:pt>
                <c:pt idx="927">
                  <c:v>854520</c:v>
                </c:pt>
                <c:pt idx="928">
                  <c:v>854520</c:v>
                </c:pt>
                <c:pt idx="929">
                  <c:v>854520</c:v>
                </c:pt>
                <c:pt idx="930">
                  <c:v>854520</c:v>
                </c:pt>
                <c:pt idx="931">
                  <c:v>854520</c:v>
                </c:pt>
                <c:pt idx="932">
                  <c:v>854520</c:v>
                </c:pt>
                <c:pt idx="933">
                  <c:v>854520</c:v>
                </c:pt>
                <c:pt idx="934">
                  <c:v>854520</c:v>
                </c:pt>
                <c:pt idx="935">
                  <c:v>854520</c:v>
                </c:pt>
                <c:pt idx="936">
                  <c:v>854520</c:v>
                </c:pt>
                <c:pt idx="937">
                  <c:v>854520</c:v>
                </c:pt>
                <c:pt idx="938">
                  <c:v>854520</c:v>
                </c:pt>
                <c:pt idx="939">
                  <c:v>854520</c:v>
                </c:pt>
                <c:pt idx="940">
                  <c:v>854520</c:v>
                </c:pt>
                <c:pt idx="941">
                  <c:v>854520</c:v>
                </c:pt>
                <c:pt idx="942">
                  <c:v>854520</c:v>
                </c:pt>
                <c:pt idx="943">
                  <c:v>854040</c:v>
                </c:pt>
                <c:pt idx="944">
                  <c:v>853920</c:v>
                </c:pt>
                <c:pt idx="945">
                  <c:v>848800</c:v>
                </c:pt>
                <c:pt idx="946">
                  <c:v>848800</c:v>
                </c:pt>
                <c:pt idx="947">
                  <c:v>848800</c:v>
                </c:pt>
                <c:pt idx="948">
                  <c:v>848800</c:v>
                </c:pt>
                <c:pt idx="949">
                  <c:v>848800</c:v>
                </c:pt>
                <c:pt idx="950">
                  <c:v>847600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Hogs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5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51"/>
                <c:pt idx="0">
                  <c:v>0</c:v>
                </c:pt>
                <c:pt idx="1">
                  <c:v>-700</c:v>
                </c:pt>
                <c:pt idx="2">
                  <c:v>2500</c:v>
                </c:pt>
                <c:pt idx="3">
                  <c:v>1400</c:v>
                </c:pt>
                <c:pt idx="4">
                  <c:v>2500</c:v>
                </c:pt>
                <c:pt idx="5">
                  <c:v>1100</c:v>
                </c:pt>
                <c:pt idx="6">
                  <c:v>-5500</c:v>
                </c:pt>
                <c:pt idx="7">
                  <c:v>-5900</c:v>
                </c:pt>
                <c:pt idx="8">
                  <c:v>-6500</c:v>
                </c:pt>
                <c:pt idx="9">
                  <c:v>-2900</c:v>
                </c:pt>
                <c:pt idx="10">
                  <c:v>-2700</c:v>
                </c:pt>
                <c:pt idx="11">
                  <c:v>-2400</c:v>
                </c:pt>
                <c:pt idx="12">
                  <c:v>-700</c:v>
                </c:pt>
                <c:pt idx="13">
                  <c:v>-2100</c:v>
                </c:pt>
                <c:pt idx="14">
                  <c:v>-1500</c:v>
                </c:pt>
                <c:pt idx="15">
                  <c:v>-1300</c:v>
                </c:pt>
                <c:pt idx="16">
                  <c:v>-400</c:v>
                </c:pt>
                <c:pt idx="17">
                  <c:v>5400</c:v>
                </c:pt>
                <c:pt idx="18">
                  <c:v>4800</c:v>
                </c:pt>
                <c:pt idx="19">
                  <c:v>5500</c:v>
                </c:pt>
                <c:pt idx="20">
                  <c:v>4700</c:v>
                </c:pt>
                <c:pt idx="21">
                  <c:v>5200</c:v>
                </c:pt>
                <c:pt idx="22">
                  <c:v>6900</c:v>
                </c:pt>
                <c:pt idx="23">
                  <c:v>6880</c:v>
                </c:pt>
                <c:pt idx="24">
                  <c:v>6480</c:v>
                </c:pt>
                <c:pt idx="25">
                  <c:v>8980</c:v>
                </c:pt>
                <c:pt idx="26">
                  <c:v>5380</c:v>
                </c:pt>
                <c:pt idx="27">
                  <c:v>4380</c:v>
                </c:pt>
                <c:pt idx="28">
                  <c:v>3280</c:v>
                </c:pt>
                <c:pt idx="29">
                  <c:v>2580</c:v>
                </c:pt>
                <c:pt idx="30">
                  <c:v>4780</c:v>
                </c:pt>
                <c:pt idx="31">
                  <c:v>5780</c:v>
                </c:pt>
                <c:pt idx="32">
                  <c:v>6980</c:v>
                </c:pt>
                <c:pt idx="33">
                  <c:v>6480</c:v>
                </c:pt>
                <c:pt idx="34">
                  <c:v>6880</c:v>
                </c:pt>
                <c:pt idx="35">
                  <c:v>2580</c:v>
                </c:pt>
                <c:pt idx="36">
                  <c:v>-420</c:v>
                </c:pt>
                <c:pt idx="37">
                  <c:v>580</c:v>
                </c:pt>
                <c:pt idx="38">
                  <c:v>-1720</c:v>
                </c:pt>
                <c:pt idx="39">
                  <c:v>-1720</c:v>
                </c:pt>
                <c:pt idx="40">
                  <c:v>-2820</c:v>
                </c:pt>
                <c:pt idx="41">
                  <c:v>-4620</c:v>
                </c:pt>
                <c:pt idx="42">
                  <c:v>-5520</c:v>
                </c:pt>
                <c:pt idx="43">
                  <c:v>-4920</c:v>
                </c:pt>
                <c:pt idx="44">
                  <c:v>-6920</c:v>
                </c:pt>
                <c:pt idx="45">
                  <c:v>-11520</c:v>
                </c:pt>
                <c:pt idx="46">
                  <c:v>-13820</c:v>
                </c:pt>
                <c:pt idx="47">
                  <c:v>-1720</c:v>
                </c:pt>
                <c:pt idx="48">
                  <c:v>-2420</c:v>
                </c:pt>
                <c:pt idx="49">
                  <c:v>-5420</c:v>
                </c:pt>
                <c:pt idx="50">
                  <c:v>-3620</c:v>
                </c:pt>
                <c:pt idx="51">
                  <c:v>-7120</c:v>
                </c:pt>
                <c:pt idx="52">
                  <c:v>-6920</c:v>
                </c:pt>
                <c:pt idx="53">
                  <c:v>-11320</c:v>
                </c:pt>
                <c:pt idx="54">
                  <c:v>-11820</c:v>
                </c:pt>
                <c:pt idx="55">
                  <c:v>-16620</c:v>
                </c:pt>
                <c:pt idx="56">
                  <c:v>-19020</c:v>
                </c:pt>
                <c:pt idx="57">
                  <c:v>-16720</c:v>
                </c:pt>
                <c:pt idx="58">
                  <c:v>-17320</c:v>
                </c:pt>
                <c:pt idx="59">
                  <c:v>-16620</c:v>
                </c:pt>
                <c:pt idx="60">
                  <c:v>-11520</c:v>
                </c:pt>
                <c:pt idx="61">
                  <c:v>-9920</c:v>
                </c:pt>
                <c:pt idx="62">
                  <c:v>-7620</c:v>
                </c:pt>
                <c:pt idx="63">
                  <c:v>-7820</c:v>
                </c:pt>
                <c:pt idx="64">
                  <c:v>-5040</c:v>
                </c:pt>
                <c:pt idx="65">
                  <c:v>-5840</c:v>
                </c:pt>
                <c:pt idx="66">
                  <c:v>-4240</c:v>
                </c:pt>
                <c:pt idx="67">
                  <c:v>-1540</c:v>
                </c:pt>
                <c:pt idx="68">
                  <c:v>-9440</c:v>
                </c:pt>
                <c:pt idx="69">
                  <c:v>-6440</c:v>
                </c:pt>
                <c:pt idx="70">
                  <c:v>-6540</c:v>
                </c:pt>
                <c:pt idx="71">
                  <c:v>-5240</c:v>
                </c:pt>
                <c:pt idx="72">
                  <c:v>-3540</c:v>
                </c:pt>
                <c:pt idx="73">
                  <c:v>-1040</c:v>
                </c:pt>
                <c:pt idx="74">
                  <c:v>-4540</c:v>
                </c:pt>
                <c:pt idx="75">
                  <c:v>-2740</c:v>
                </c:pt>
                <c:pt idx="76">
                  <c:v>2260</c:v>
                </c:pt>
                <c:pt idx="77">
                  <c:v>3860</c:v>
                </c:pt>
                <c:pt idx="78">
                  <c:v>2260</c:v>
                </c:pt>
                <c:pt idx="79">
                  <c:v>-840</c:v>
                </c:pt>
                <c:pt idx="80">
                  <c:v>-40</c:v>
                </c:pt>
                <c:pt idx="81">
                  <c:v>5060</c:v>
                </c:pt>
                <c:pt idx="82">
                  <c:v>7960</c:v>
                </c:pt>
                <c:pt idx="83">
                  <c:v>10960</c:v>
                </c:pt>
                <c:pt idx="84">
                  <c:v>9560</c:v>
                </c:pt>
                <c:pt idx="85">
                  <c:v>11060</c:v>
                </c:pt>
                <c:pt idx="86">
                  <c:v>12760</c:v>
                </c:pt>
                <c:pt idx="87">
                  <c:v>12960</c:v>
                </c:pt>
                <c:pt idx="88">
                  <c:v>11360</c:v>
                </c:pt>
                <c:pt idx="89">
                  <c:v>6960</c:v>
                </c:pt>
                <c:pt idx="90">
                  <c:v>8160</c:v>
                </c:pt>
                <c:pt idx="91">
                  <c:v>8060</c:v>
                </c:pt>
                <c:pt idx="92">
                  <c:v>4460</c:v>
                </c:pt>
                <c:pt idx="93">
                  <c:v>2660</c:v>
                </c:pt>
                <c:pt idx="94">
                  <c:v>4260</c:v>
                </c:pt>
                <c:pt idx="95">
                  <c:v>12260</c:v>
                </c:pt>
                <c:pt idx="96">
                  <c:v>8760</c:v>
                </c:pt>
                <c:pt idx="97">
                  <c:v>12760</c:v>
                </c:pt>
                <c:pt idx="98">
                  <c:v>6960</c:v>
                </c:pt>
                <c:pt idx="99">
                  <c:v>9960</c:v>
                </c:pt>
                <c:pt idx="100">
                  <c:v>12560</c:v>
                </c:pt>
                <c:pt idx="101">
                  <c:v>19360</c:v>
                </c:pt>
                <c:pt idx="102">
                  <c:v>17760</c:v>
                </c:pt>
                <c:pt idx="103">
                  <c:v>20560</c:v>
                </c:pt>
                <c:pt idx="104">
                  <c:v>21160</c:v>
                </c:pt>
                <c:pt idx="105">
                  <c:v>20360</c:v>
                </c:pt>
                <c:pt idx="106">
                  <c:v>20760</c:v>
                </c:pt>
                <c:pt idx="107">
                  <c:v>22460</c:v>
                </c:pt>
                <c:pt idx="108">
                  <c:v>23060</c:v>
                </c:pt>
                <c:pt idx="109">
                  <c:v>24040</c:v>
                </c:pt>
                <c:pt idx="110">
                  <c:v>26940</c:v>
                </c:pt>
                <c:pt idx="111">
                  <c:v>27440</c:v>
                </c:pt>
                <c:pt idx="112">
                  <c:v>31040</c:v>
                </c:pt>
                <c:pt idx="113">
                  <c:v>33540</c:v>
                </c:pt>
                <c:pt idx="114">
                  <c:v>39140</c:v>
                </c:pt>
                <c:pt idx="115">
                  <c:v>42540</c:v>
                </c:pt>
                <c:pt idx="116">
                  <c:v>45440</c:v>
                </c:pt>
                <c:pt idx="117">
                  <c:v>48040</c:v>
                </c:pt>
                <c:pt idx="118">
                  <c:v>50240</c:v>
                </c:pt>
                <c:pt idx="119">
                  <c:v>49640</c:v>
                </c:pt>
                <c:pt idx="120">
                  <c:v>54340</c:v>
                </c:pt>
                <c:pt idx="121">
                  <c:v>57340</c:v>
                </c:pt>
                <c:pt idx="122">
                  <c:v>58840</c:v>
                </c:pt>
                <c:pt idx="123">
                  <c:v>56640</c:v>
                </c:pt>
                <c:pt idx="124">
                  <c:v>61540</c:v>
                </c:pt>
                <c:pt idx="125">
                  <c:v>59340</c:v>
                </c:pt>
                <c:pt idx="126">
                  <c:v>57540</c:v>
                </c:pt>
                <c:pt idx="127">
                  <c:v>64340</c:v>
                </c:pt>
                <c:pt idx="128">
                  <c:v>61840</c:v>
                </c:pt>
                <c:pt idx="129">
                  <c:v>61720</c:v>
                </c:pt>
                <c:pt idx="130">
                  <c:v>61320</c:v>
                </c:pt>
                <c:pt idx="131">
                  <c:v>64420</c:v>
                </c:pt>
                <c:pt idx="132">
                  <c:v>65920</c:v>
                </c:pt>
                <c:pt idx="133">
                  <c:v>66720</c:v>
                </c:pt>
                <c:pt idx="134">
                  <c:v>63120</c:v>
                </c:pt>
                <c:pt idx="135">
                  <c:v>62120</c:v>
                </c:pt>
                <c:pt idx="136">
                  <c:v>65120</c:v>
                </c:pt>
                <c:pt idx="137">
                  <c:v>66920</c:v>
                </c:pt>
                <c:pt idx="138">
                  <c:v>66520</c:v>
                </c:pt>
                <c:pt idx="139">
                  <c:v>67120</c:v>
                </c:pt>
                <c:pt idx="140">
                  <c:v>69720</c:v>
                </c:pt>
                <c:pt idx="141">
                  <c:v>68720</c:v>
                </c:pt>
                <c:pt idx="142">
                  <c:v>71120</c:v>
                </c:pt>
                <c:pt idx="143">
                  <c:v>69920</c:v>
                </c:pt>
                <c:pt idx="144">
                  <c:v>72220</c:v>
                </c:pt>
                <c:pt idx="145">
                  <c:v>79820</c:v>
                </c:pt>
                <c:pt idx="146">
                  <c:v>79020</c:v>
                </c:pt>
                <c:pt idx="147">
                  <c:v>78720</c:v>
                </c:pt>
                <c:pt idx="148">
                  <c:v>75620</c:v>
                </c:pt>
                <c:pt idx="149">
                  <c:v>76420</c:v>
                </c:pt>
                <c:pt idx="150">
                  <c:v>72120</c:v>
                </c:pt>
                <c:pt idx="151">
                  <c:v>75620</c:v>
                </c:pt>
                <c:pt idx="152">
                  <c:v>78000</c:v>
                </c:pt>
                <c:pt idx="153">
                  <c:v>81400</c:v>
                </c:pt>
                <c:pt idx="154">
                  <c:v>85500</c:v>
                </c:pt>
                <c:pt idx="155">
                  <c:v>87200</c:v>
                </c:pt>
                <c:pt idx="156">
                  <c:v>86200</c:v>
                </c:pt>
                <c:pt idx="157">
                  <c:v>87700</c:v>
                </c:pt>
                <c:pt idx="158">
                  <c:v>86400</c:v>
                </c:pt>
                <c:pt idx="159">
                  <c:v>89500</c:v>
                </c:pt>
                <c:pt idx="160">
                  <c:v>91500</c:v>
                </c:pt>
                <c:pt idx="161">
                  <c:v>94300</c:v>
                </c:pt>
                <c:pt idx="162">
                  <c:v>89400</c:v>
                </c:pt>
                <c:pt idx="163">
                  <c:v>89500</c:v>
                </c:pt>
                <c:pt idx="164">
                  <c:v>86700</c:v>
                </c:pt>
                <c:pt idx="165">
                  <c:v>89100</c:v>
                </c:pt>
                <c:pt idx="166">
                  <c:v>85000</c:v>
                </c:pt>
                <c:pt idx="167">
                  <c:v>80200</c:v>
                </c:pt>
                <c:pt idx="168">
                  <c:v>82100</c:v>
                </c:pt>
                <c:pt idx="169">
                  <c:v>85300</c:v>
                </c:pt>
                <c:pt idx="170">
                  <c:v>88600</c:v>
                </c:pt>
                <c:pt idx="171">
                  <c:v>86300</c:v>
                </c:pt>
                <c:pt idx="172">
                  <c:v>90600</c:v>
                </c:pt>
                <c:pt idx="173">
                  <c:v>93200</c:v>
                </c:pt>
                <c:pt idx="174">
                  <c:v>91600</c:v>
                </c:pt>
                <c:pt idx="175">
                  <c:v>93200</c:v>
                </c:pt>
                <c:pt idx="176">
                  <c:v>99100</c:v>
                </c:pt>
                <c:pt idx="177">
                  <c:v>99100</c:v>
                </c:pt>
                <c:pt idx="178">
                  <c:v>105800</c:v>
                </c:pt>
                <c:pt idx="179">
                  <c:v>105800</c:v>
                </c:pt>
                <c:pt idx="180">
                  <c:v>104600</c:v>
                </c:pt>
                <c:pt idx="181">
                  <c:v>103600</c:v>
                </c:pt>
                <c:pt idx="182">
                  <c:v>104500</c:v>
                </c:pt>
                <c:pt idx="183">
                  <c:v>104200</c:v>
                </c:pt>
                <c:pt idx="184">
                  <c:v>110200</c:v>
                </c:pt>
                <c:pt idx="185">
                  <c:v>105800</c:v>
                </c:pt>
                <c:pt idx="186">
                  <c:v>107900</c:v>
                </c:pt>
                <c:pt idx="187">
                  <c:v>107300</c:v>
                </c:pt>
                <c:pt idx="188">
                  <c:v>101700</c:v>
                </c:pt>
                <c:pt idx="189">
                  <c:v>102400</c:v>
                </c:pt>
                <c:pt idx="190">
                  <c:v>114000</c:v>
                </c:pt>
                <c:pt idx="191">
                  <c:v>115800</c:v>
                </c:pt>
                <c:pt idx="192">
                  <c:v>112900</c:v>
                </c:pt>
                <c:pt idx="193">
                  <c:v>113700</c:v>
                </c:pt>
                <c:pt idx="194">
                  <c:v>110000</c:v>
                </c:pt>
                <c:pt idx="195">
                  <c:v>105580</c:v>
                </c:pt>
                <c:pt idx="196">
                  <c:v>104780</c:v>
                </c:pt>
                <c:pt idx="197">
                  <c:v>106180</c:v>
                </c:pt>
                <c:pt idx="198">
                  <c:v>108880</c:v>
                </c:pt>
                <c:pt idx="199">
                  <c:v>108580</c:v>
                </c:pt>
                <c:pt idx="200">
                  <c:v>106980</c:v>
                </c:pt>
                <c:pt idx="201">
                  <c:v>100680</c:v>
                </c:pt>
                <c:pt idx="202">
                  <c:v>102680</c:v>
                </c:pt>
                <c:pt idx="203">
                  <c:v>104280</c:v>
                </c:pt>
                <c:pt idx="204">
                  <c:v>104480</c:v>
                </c:pt>
                <c:pt idx="205">
                  <c:v>110080</c:v>
                </c:pt>
                <c:pt idx="206">
                  <c:v>114480</c:v>
                </c:pt>
                <c:pt idx="207">
                  <c:v>113980</c:v>
                </c:pt>
                <c:pt idx="208">
                  <c:v>110080</c:v>
                </c:pt>
                <c:pt idx="209">
                  <c:v>109480</c:v>
                </c:pt>
                <c:pt idx="210">
                  <c:v>113680</c:v>
                </c:pt>
                <c:pt idx="211">
                  <c:v>111980</c:v>
                </c:pt>
                <c:pt idx="212">
                  <c:v>117680</c:v>
                </c:pt>
                <c:pt idx="213">
                  <c:v>120880</c:v>
                </c:pt>
                <c:pt idx="214">
                  <c:v>127080</c:v>
                </c:pt>
                <c:pt idx="215">
                  <c:v>125080</c:v>
                </c:pt>
                <c:pt idx="216">
                  <c:v>120080</c:v>
                </c:pt>
                <c:pt idx="217">
                  <c:v>116080</c:v>
                </c:pt>
                <c:pt idx="218">
                  <c:v>113380</c:v>
                </c:pt>
                <c:pt idx="219">
                  <c:v>113480</c:v>
                </c:pt>
                <c:pt idx="220">
                  <c:v>112480</c:v>
                </c:pt>
                <c:pt idx="221">
                  <c:v>109680</c:v>
                </c:pt>
                <c:pt idx="222">
                  <c:v>109880</c:v>
                </c:pt>
                <c:pt idx="223">
                  <c:v>111780</c:v>
                </c:pt>
                <c:pt idx="224">
                  <c:v>111080</c:v>
                </c:pt>
                <c:pt idx="225">
                  <c:v>107680</c:v>
                </c:pt>
                <c:pt idx="226">
                  <c:v>104280</c:v>
                </c:pt>
                <c:pt idx="227">
                  <c:v>101680</c:v>
                </c:pt>
                <c:pt idx="228">
                  <c:v>103280</c:v>
                </c:pt>
                <c:pt idx="229">
                  <c:v>101880</c:v>
                </c:pt>
                <c:pt idx="230">
                  <c:v>101280</c:v>
                </c:pt>
                <c:pt idx="231">
                  <c:v>103280</c:v>
                </c:pt>
                <c:pt idx="232">
                  <c:v>103780</c:v>
                </c:pt>
                <c:pt idx="233">
                  <c:v>101680</c:v>
                </c:pt>
                <c:pt idx="234">
                  <c:v>101080</c:v>
                </c:pt>
                <c:pt idx="235">
                  <c:v>101480</c:v>
                </c:pt>
                <c:pt idx="236">
                  <c:v>103280</c:v>
                </c:pt>
                <c:pt idx="237">
                  <c:v>101580</c:v>
                </c:pt>
                <c:pt idx="238">
                  <c:v>101280</c:v>
                </c:pt>
                <c:pt idx="239">
                  <c:v>103260</c:v>
                </c:pt>
                <c:pt idx="240">
                  <c:v>98260</c:v>
                </c:pt>
                <c:pt idx="241">
                  <c:v>94660</c:v>
                </c:pt>
                <c:pt idx="242">
                  <c:v>89460</c:v>
                </c:pt>
                <c:pt idx="243">
                  <c:v>87060</c:v>
                </c:pt>
                <c:pt idx="244">
                  <c:v>85460</c:v>
                </c:pt>
                <c:pt idx="245">
                  <c:v>82560</c:v>
                </c:pt>
                <c:pt idx="246">
                  <c:v>82560</c:v>
                </c:pt>
                <c:pt idx="247">
                  <c:v>84160</c:v>
                </c:pt>
                <c:pt idx="248">
                  <c:v>84060</c:v>
                </c:pt>
                <c:pt idx="249">
                  <c:v>81960</c:v>
                </c:pt>
                <c:pt idx="250">
                  <c:v>77760</c:v>
                </c:pt>
                <c:pt idx="251">
                  <c:v>80960</c:v>
                </c:pt>
                <c:pt idx="252">
                  <c:v>80760</c:v>
                </c:pt>
                <c:pt idx="253">
                  <c:v>79860</c:v>
                </c:pt>
                <c:pt idx="254">
                  <c:v>80560</c:v>
                </c:pt>
                <c:pt idx="255">
                  <c:v>77060</c:v>
                </c:pt>
                <c:pt idx="256">
                  <c:v>78360</c:v>
                </c:pt>
                <c:pt idx="257">
                  <c:v>76760</c:v>
                </c:pt>
                <c:pt idx="258">
                  <c:v>78360</c:v>
                </c:pt>
                <c:pt idx="259">
                  <c:v>76560</c:v>
                </c:pt>
                <c:pt idx="260">
                  <c:v>77360</c:v>
                </c:pt>
                <c:pt idx="261">
                  <c:v>81360</c:v>
                </c:pt>
                <c:pt idx="262">
                  <c:v>83160</c:v>
                </c:pt>
                <c:pt idx="263">
                  <c:v>82160</c:v>
                </c:pt>
                <c:pt idx="264">
                  <c:v>81660</c:v>
                </c:pt>
                <c:pt idx="265">
                  <c:v>76460</c:v>
                </c:pt>
                <c:pt idx="266">
                  <c:v>77660</c:v>
                </c:pt>
                <c:pt idx="267">
                  <c:v>76360</c:v>
                </c:pt>
                <c:pt idx="268">
                  <c:v>78760</c:v>
                </c:pt>
                <c:pt idx="269">
                  <c:v>76660</c:v>
                </c:pt>
                <c:pt idx="270">
                  <c:v>79360</c:v>
                </c:pt>
                <c:pt idx="271">
                  <c:v>83060</c:v>
                </c:pt>
                <c:pt idx="272">
                  <c:v>82960</c:v>
                </c:pt>
                <c:pt idx="273">
                  <c:v>80460</c:v>
                </c:pt>
                <c:pt idx="274">
                  <c:v>79060</c:v>
                </c:pt>
                <c:pt idx="275">
                  <c:v>78860</c:v>
                </c:pt>
                <c:pt idx="276">
                  <c:v>77560</c:v>
                </c:pt>
                <c:pt idx="277">
                  <c:v>77360</c:v>
                </c:pt>
                <c:pt idx="278">
                  <c:v>81760</c:v>
                </c:pt>
                <c:pt idx="279">
                  <c:v>78160</c:v>
                </c:pt>
                <c:pt idx="280">
                  <c:v>76260</c:v>
                </c:pt>
                <c:pt idx="281">
                  <c:v>80760</c:v>
                </c:pt>
                <c:pt idx="282">
                  <c:v>80060</c:v>
                </c:pt>
                <c:pt idx="283">
                  <c:v>79360</c:v>
                </c:pt>
                <c:pt idx="284">
                  <c:v>74540</c:v>
                </c:pt>
                <c:pt idx="285">
                  <c:v>75940</c:v>
                </c:pt>
                <c:pt idx="286">
                  <c:v>80840</c:v>
                </c:pt>
                <c:pt idx="287">
                  <c:v>81140</c:v>
                </c:pt>
                <c:pt idx="288">
                  <c:v>81640</c:v>
                </c:pt>
                <c:pt idx="289">
                  <c:v>80740</c:v>
                </c:pt>
                <c:pt idx="290">
                  <c:v>79640</c:v>
                </c:pt>
                <c:pt idx="291">
                  <c:v>80640</c:v>
                </c:pt>
                <c:pt idx="292">
                  <c:v>80140</c:v>
                </c:pt>
                <c:pt idx="293">
                  <c:v>81140</c:v>
                </c:pt>
                <c:pt idx="294">
                  <c:v>84340</c:v>
                </c:pt>
                <c:pt idx="295">
                  <c:v>85840</c:v>
                </c:pt>
                <c:pt idx="296">
                  <c:v>85840</c:v>
                </c:pt>
                <c:pt idx="297">
                  <c:v>87440</c:v>
                </c:pt>
                <c:pt idx="298">
                  <c:v>93740</c:v>
                </c:pt>
                <c:pt idx="299">
                  <c:v>93940</c:v>
                </c:pt>
                <c:pt idx="300">
                  <c:v>98140</c:v>
                </c:pt>
                <c:pt idx="301">
                  <c:v>101940</c:v>
                </c:pt>
                <c:pt idx="302">
                  <c:v>112240</c:v>
                </c:pt>
                <c:pt idx="303">
                  <c:v>124040</c:v>
                </c:pt>
                <c:pt idx="304">
                  <c:v>129340</c:v>
                </c:pt>
                <c:pt idx="305">
                  <c:v>143340</c:v>
                </c:pt>
                <c:pt idx="306">
                  <c:v>138040</c:v>
                </c:pt>
                <c:pt idx="307">
                  <c:v>146340</c:v>
                </c:pt>
                <c:pt idx="308">
                  <c:v>148040</c:v>
                </c:pt>
                <c:pt idx="309">
                  <c:v>160240</c:v>
                </c:pt>
                <c:pt idx="310">
                  <c:v>163840</c:v>
                </c:pt>
                <c:pt idx="311">
                  <c:v>160540</c:v>
                </c:pt>
                <c:pt idx="312">
                  <c:v>171940</c:v>
                </c:pt>
                <c:pt idx="313">
                  <c:v>174540</c:v>
                </c:pt>
                <c:pt idx="314">
                  <c:v>183340</c:v>
                </c:pt>
                <c:pt idx="315">
                  <c:v>190240</c:v>
                </c:pt>
                <c:pt idx="316">
                  <c:v>194040</c:v>
                </c:pt>
                <c:pt idx="317">
                  <c:v>197940</c:v>
                </c:pt>
                <c:pt idx="318">
                  <c:v>198040</c:v>
                </c:pt>
                <c:pt idx="319">
                  <c:v>195940</c:v>
                </c:pt>
                <c:pt idx="320">
                  <c:v>183240</c:v>
                </c:pt>
                <c:pt idx="321">
                  <c:v>188440</c:v>
                </c:pt>
                <c:pt idx="322">
                  <c:v>198540</c:v>
                </c:pt>
                <c:pt idx="323">
                  <c:v>197840</c:v>
                </c:pt>
                <c:pt idx="324">
                  <c:v>200140</c:v>
                </c:pt>
                <c:pt idx="325">
                  <c:v>207420</c:v>
                </c:pt>
                <c:pt idx="326">
                  <c:v>204620</c:v>
                </c:pt>
                <c:pt idx="327">
                  <c:v>199520</c:v>
                </c:pt>
                <c:pt idx="328">
                  <c:v>188320</c:v>
                </c:pt>
                <c:pt idx="329">
                  <c:v>197420</c:v>
                </c:pt>
                <c:pt idx="330">
                  <c:v>189620</c:v>
                </c:pt>
                <c:pt idx="331">
                  <c:v>197120</c:v>
                </c:pt>
                <c:pt idx="332">
                  <c:v>196820</c:v>
                </c:pt>
                <c:pt idx="333">
                  <c:v>195820</c:v>
                </c:pt>
                <c:pt idx="334">
                  <c:v>195120</c:v>
                </c:pt>
                <c:pt idx="335">
                  <c:v>195820</c:v>
                </c:pt>
                <c:pt idx="336">
                  <c:v>201220</c:v>
                </c:pt>
                <c:pt idx="337">
                  <c:v>205520</c:v>
                </c:pt>
                <c:pt idx="338">
                  <c:v>202620</c:v>
                </c:pt>
                <c:pt idx="339">
                  <c:v>195320</c:v>
                </c:pt>
                <c:pt idx="340">
                  <c:v>198120</c:v>
                </c:pt>
                <c:pt idx="341">
                  <c:v>209620</c:v>
                </c:pt>
                <c:pt idx="342">
                  <c:v>207920</c:v>
                </c:pt>
                <c:pt idx="343">
                  <c:v>201920</c:v>
                </c:pt>
                <c:pt idx="344">
                  <c:v>203120</c:v>
                </c:pt>
                <c:pt idx="345">
                  <c:v>206620</c:v>
                </c:pt>
                <c:pt idx="346">
                  <c:v>197120</c:v>
                </c:pt>
                <c:pt idx="347">
                  <c:v>195620</c:v>
                </c:pt>
                <c:pt idx="348">
                  <c:v>194620</c:v>
                </c:pt>
                <c:pt idx="349">
                  <c:v>193320</c:v>
                </c:pt>
                <c:pt idx="350">
                  <c:v>197420</c:v>
                </c:pt>
                <c:pt idx="351">
                  <c:v>189920</c:v>
                </c:pt>
                <c:pt idx="352">
                  <c:v>185320</c:v>
                </c:pt>
                <c:pt idx="353">
                  <c:v>185520</c:v>
                </c:pt>
                <c:pt idx="354">
                  <c:v>180920</c:v>
                </c:pt>
                <c:pt idx="355">
                  <c:v>183220</c:v>
                </c:pt>
                <c:pt idx="356">
                  <c:v>182820</c:v>
                </c:pt>
                <c:pt idx="357">
                  <c:v>182320</c:v>
                </c:pt>
                <c:pt idx="358">
                  <c:v>179620</c:v>
                </c:pt>
                <c:pt idx="359">
                  <c:v>182620</c:v>
                </c:pt>
                <c:pt idx="360">
                  <c:v>179420</c:v>
                </c:pt>
                <c:pt idx="361">
                  <c:v>184220</c:v>
                </c:pt>
                <c:pt idx="362">
                  <c:v>175320</c:v>
                </c:pt>
                <c:pt idx="363">
                  <c:v>171220</c:v>
                </c:pt>
                <c:pt idx="364">
                  <c:v>173020</c:v>
                </c:pt>
                <c:pt idx="365">
                  <c:v>169820</c:v>
                </c:pt>
                <c:pt idx="366">
                  <c:v>162520</c:v>
                </c:pt>
                <c:pt idx="367">
                  <c:v>159920</c:v>
                </c:pt>
                <c:pt idx="368">
                  <c:v>157620</c:v>
                </c:pt>
                <c:pt idx="369">
                  <c:v>157000</c:v>
                </c:pt>
                <c:pt idx="370">
                  <c:v>158500</c:v>
                </c:pt>
                <c:pt idx="371">
                  <c:v>154100</c:v>
                </c:pt>
                <c:pt idx="372">
                  <c:v>157500</c:v>
                </c:pt>
                <c:pt idx="373">
                  <c:v>163400</c:v>
                </c:pt>
                <c:pt idx="374">
                  <c:v>161100</c:v>
                </c:pt>
                <c:pt idx="375">
                  <c:v>165600</c:v>
                </c:pt>
                <c:pt idx="376">
                  <c:v>167500</c:v>
                </c:pt>
                <c:pt idx="377">
                  <c:v>168100</c:v>
                </c:pt>
                <c:pt idx="378">
                  <c:v>167800</c:v>
                </c:pt>
                <c:pt idx="379">
                  <c:v>157000</c:v>
                </c:pt>
                <c:pt idx="380">
                  <c:v>159300</c:v>
                </c:pt>
                <c:pt idx="381">
                  <c:v>161500</c:v>
                </c:pt>
                <c:pt idx="382">
                  <c:v>171500</c:v>
                </c:pt>
                <c:pt idx="383">
                  <c:v>172300</c:v>
                </c:pt>
                <c:pt idx="384">
                  <c:v>173000</c:v>
                </c:pt>
                <c:pt idx="385">
                  <c:v>180800</c:v>
                </c:pt>
                <c:pt idx="386">
                  <c:v>178400</c:v>
                </c:pt>
                <c:pt idx="387">
                  <c:v>180100</c:v>
                </c:pt>
                <c:pt idx="388">
                  <c:v>183900</c:v>
                </c:pt>
                <c:pt idx="389">
                  <c:v>190100</c:v>
                </c:pt>
                <c:pt idx="390">
                  <c:v>182980</c:v>
                </c:pt>
                <c:pt idx="391">
                  <c:v>182280</c:v>
                </c:pt>
                <c:pt idx="392">
                  <c:v>187380</c:v>
                </c:pt>
                <c:pt idx="393">
                  <c:v>187980</c:v>
                </c:pt>
                <c:pt idx="394">
                  <c:v>187480</c:v>
                </c:pt>
                <c:pt idx="395">
                  <c:v>188480</c:v>
                </c:pt>
                <c:pt idx="396">
                  <c:v>193580</c:v>
                </c:pt>
                <c:pt idx="397">
                  <c:v>192080</c:v>
                </c:pt>
                <c:pt idx="398">
                  <c:v>191280</c:v>
                </c:pt>
                <c:pt idx="399">
                  <c:v>193580</c:v>
                </c:pt>
                <c:pt idx="400">
                  <c:v>195980</c:v>
                </c:pt>
                <c:pt idx="401">
                  <c:v>195780</c:v>
                </c:pt>
                <c:pt idx="402">
                  <c:v>187480</c:v>
                </c:pt>
                <c:pt idx="403">
                  <c:v>181180</c:v>
                </c:pt>
                <c:pt idx="404">
                  <c:v>173380</c:v>
                </c:pt>
                <c:pt idx="405">
                  <c:v>182780</c:v>
                </c:pt>
                <c:pt idx="406">
                  <c:v>171080</c:v>
                </c:pt>
                <c:pt idx="407">
                  <c:v>164080</c:v>
                </c:pt>
                <c:pt idx="408">
                  <c:v>168180</c:v>
                </c:pt>
                <c:pt idx="409">
                  <c:v>167480</c:v>
                </c:pt>
                <c:pt idx="410">
                  <c:v>158980</c:v>
                </c:pt>
                <c:pt idx="411">
                  <c:v>147480</c:v>
                </c:pt>
                <c:pt idx="412">
                  <c:v>145780</c:v>
                </c:pt>
                <c:pt idx="413">
                  <c:v>144360</c:v>
                </c:pt>
                <c:pt idx="414">
                  <c:v>140960</c:v>
                </c:pt>
                <c:pt idx="415">
                  <c:v>135360</c:v>
                </c:pt>
                <c:pt idx="416">
                  <c:v>137460</c:v>
                </c:pt>
                <c:pt idx="417">
                  <c:v>132960</c:v>
                </c:pt>
                <c:pt idx="418">
                  <c:v>130960</c:v>
                </c:pt>
                <c:pt idx="419">
                  <c:v>129460</c:v>
                </c:pt>
                <c:pt idx="420">
                  <c:v>129060</c:v>
                </c:pt>
                <c:pt idx="421">
                  <c:v>132860</c:v>
                </c:pt>
                <c:pt idx="422">
                  <c:v>131760</c:v>
                </c:pt>
                <c:pt idx="423">
                  <c:v>132160</c:v>
                </c:pt>
                <c:pt idx="424">
                  <c:v>132460</c:v>
                </c:pt>
                <c:pt idx="425">
                  <c:v>130360</c:v>
                </c:pt>
                <c:pt idx="426">
                  <c:v>121160</c:v>
                </c:pt>
                <c:pt idx="427">
                  <c:v>127560</c:v>
                </c:pt>
                <c:pt idx="428">
                  <c:v>123160</c:v>
                </c:pt>
                <c:pt idx="429">
                  <c:v>125460</c:v>
                </c:pt>
                <c:pt idx="430">
                  <c:v>131660</c:v>
                </c:pt>
                <c:pt idx="431">
                  <c:v>135360</c:v>
                </c:pt>
                <c:pt idx="432">
                  <c:v>133760</c:v>
                </c:pt>
                <c:pt idx="433">
                  <c:v>143960</c:v>
                </c:pt>
                <c:pt idx="434">
                  <c:v>151660</c:v>
                </c:pt>
                <c:pt idx="435">
                  <c:v>151460</c:v>
                </c:pt>
                <c:pt idx="436">
                  <c:v>155260</c:v>
                </c:pt>
                <c:pt idx="437">
                  <c:v>162260</c:v>
                </c:pt>
                <c:pt idx="438">
                  <c:v>174560</c:v>
                </c:pt>
                <c:pt idx="439">
                  <c:v>165660</c:v>
                </c:pt>
                <c:pt idx="440">
                  <c:v>173460</c:v>
                </c:pt>
                <c:pt idx="441">
                  <c:v>180260</c:v>
                </c:pt>
                <c:pt idx="442">
                  <c:v>176860</c:v>
                </c:pt>
                <c:pt idx="443">
                  <c:v>176960</c:v>
                </c:pt>
                <c:pt idx="444">
                  <c:v>175460</c:v>
                </c:pt>
                <c:pt idx="445">
                  <c:v>180260</c:v>
                </c:pt>
                <c:pt idx="446">
                  <c:v>175660</c:v>
                </c:pt>
                <c:pt idx="447">
                  <c:v>163260</c:v>
                </c:pt>
                <c:pt idx="448">
                  <c:v>175660</c:v>
                </c:pt>
                <c:pt idx="449">
                  <c:v>181160</c:v>
                </c:pt>
                <c:pt idx="450">
                  <c:v>182760</c:v>
                </c:pt>
                <c:pt idx="451">
                  <c:v>181960</c:v>
                </c:pt>
                <c:pt idx="452">
                  <c:v>173860</c:v>
                </c:pt>
                <c:pt idx="453">
                  <c:v>177860</c:v>
                </c:pt>
                <c:pt idx="454">
                  <c:v>181260</c:v>
                </c:pt>
                <c:pt idx="455">
                  <c:v>181660</c:v>
                </c:pt>
                <c:pt idx="456">
                  <c:v>181640</c:v>
                </c:pt>
                <c:pt idx="457">
                  <c:v>179140</c:v>
                </c:pt>
                <c:pt idx="458">
                  <c:v>174340</c:v>
                </c:pt>
                <c:pt idx="459">
                  <c:v>180540</c:v>
                </c:pt>
                <c:pt idx="460">
                  <c:v>181840</c:v>
                </c:pt>
                <c:pt idx="461">
                  <c:v>185040</c:v>
                </c:pt>
                <c:pt idx="462">
                  <c:v>189840</c:v>
                </c:pt>
                <c:pt idx="463">
                  <c:v>189440</c:v>
                </c:pt>
                <c:pt idx="464">
                  <c:v>188540</c:v>
                </c:pt>
                <c:pt idx="465">
                  <c:v>189940</c:v>
                </c:pt>
                <c:pt idx="466">
                  <c:v>177740</c:v>
                </c:pt>
                <c:pt idx="467">
                  <c:v>171440</c:v>
                </c:pt>
                <c:pt idx="468">
                  <c:v>173340</c:v>
                </c:pt>
                <c:pt idx="469">
                  <c:v>167940</c:v>
                </c:pt>
                <c:pt idx="470">
                  <c:v>163340</c:v>
                </c:pt>
                <c:pt idx="471">
                  <c:v>170540</c:v>
                </c:pt>
                <c:pt idx="472">
                  <c:v>164340</c:v>
                </c:pt>
                <c:pt idx="473">
                  <c:v>168240</c:v>
                </c:pt>
                <c:pt idx="474">
                  <c:v>166640</c:v>
                </c:pt>
                <c:pt idx="475">
                  <c:v>170240</c:v>
                </c:pt>
                <c:pt idx="476">
                  <c:v>163040</c:v>
                </c:pt>
                <c:pt idx="477">
                  <c:v>157940</c:v>
                </c:pt>
                <c:pt idx="478">
                  <c:v>162140</c:v>
                </c:pt>
                <c:pt idx="479">
                  <c:v>165340</c:v>
                </c:pt>
                <c:pt idx="480">
                  <c:v>163140</c:v>
                </c:pt>
                <c:pt idx="481">
                  <c:v>157740</c:v>
                </c:pt>
                <c:pt idx="482">
                  <c:v>159340</c:v>
                </c:pt>
                <c:pt idx="483">
                  <c:v>167240</c:v>
                </c:pt>
                <c:pt idx="484">
                  <c:v>169840</c:v>
                </c:pt>
                <c:pt idx="485">
                  <c:v>169440</c:v>
                </c:pt>
                <c:pt idx="486">
                  <c:v>173640</c:v>
                </c:pt>
                <c:pt idx="487">
                  <c:v>176540</c:v>
                </c:pt>
                <c:pt idx="488">
                  <c:v>181940</c:v>
                </c:pt>
                <c:pt idx="489">
                  <c:v>180940</c:v>
                </c:pt>
                <c:pt idx="490">
                  <c:v>177840</c:v>
                </c:pt>
                <c:pt idx="491">
                  <c:v>177340</c:v>
                </c:pt>
                <c:pt idx="492">
                  <c:v>173840</c:v>
                </c:pt>
                <c:pt idx="493">
                  <c:v>172540</c:v>
                </c:pt>
                <c:pt idx="494">
                  <c:v>174640</c:v>
                </c:pt>
                <c:pt idx="495">
                  <c:v>173040</c:v>
                </c:pt>
                <c:pt idx="496">
                  <c:v>174140</c:v>
                </c:pt>
                <c:pt idx="497">
                  <c:v>174540</c:v>
                </c:pt>
                <c:pt idx="498">
                  <c:v>168940</c:v>
                </c:pt>
                <c:pt idx="499">
                  <c:v>170620</c:v>
                </c:pt>
                <c:pt idx="500">
                  <c:v>167620</c:v>
                </c:pt>
                <c:pt idx="501">
                  <c:v>164120</c:v>
                </c:pt>
                <c:pt idx="502">
                  <c:v>161120</c:v>
                </c:pt>
                <c:pt idx="503">
                  <c:v>157320</c:v>
                </c:pt>
                <c:pt idx="504">
                  <c:v>157020</c:v>
                </c:pt>
                <c:pt idx="505">
                  <c:v>157020</c:v>
                </c:pt>
                <c:pt idx="506">
                  <c:v>159420</c:v>
                </c:pt>
                <c:pt idx="507">
                  <c:v>159620</c:v>
                </c:pt>
                <c:pt idx="508">
                  <c:v>159820</c:v>
                </c:pt>
                <c:pt idx="509">
                  <c:v>158820</c:v>
                </c:pt>
                <c:pt idx="510">
                  <c:v>153620</c:v>
                </c:pt>
                <c:pt idx="511">
                  <c:v>148020</c:v>
                </c:pt>
                <c:pt idx="512">
                  <c:v>153820</c:v>
                </c:pt>
                <c:pt idx="513">
                  <c:v>151920</c:v>
                </c:pt>
                <c:pt idx="514">
                  <c:v>148320</c:v>
                </c:pt>
                <c:pt idx="515">
                  <c:v>152820</c:v>
                </c:pt>
                <c:pt idx="516">
                  <c:v>151020</c:v>
                </c:pt>
                <c:pt idx="517">
                  <c:v>152520</c:v>
                </c:pt>
                <c:pt idx="518">
                  <c:v>149520</c:v>
                </c:pt>
                <c:pt idx="519">
                  <c:v>153320</c:v>
                </c:pt>
                <c:pt idx="520">
                  <c:v>150820</c:v>
                </c:pt>
                <c:pt idx="521">
                  <c:v>151920</c:v>
                </c:pt>
                <c:pt idx="522">
                  <c:v>150520</c:v>
                </c:pt>
                <c:pt idx="523">
                  <c:v>151620</c:v>
                </c:pt>
                <c:pt idx="524">
                  <c:v>145220</c:v>
                </c:pt>
                <c:pt idx="525">
                  <c:v>140020</c:v>
                </c:pt>
                <c:pt idx="526">
                  <c:v>143020</c:v>
                </c:pt>
                <c:pt idx="527">
                  <c:v>138020</c:v>
                </c:pt>
                <c:pt idx="528">
                  <c:v>139820</c:v>
                </c:pt>
                <c:pt idx="529">
                  <c:v>132720</c:v>
                </c:pt>
                <c:pt idx="530">
                  <c:v>127320</c:v>
                </c:pt>
                <c:pt idx="531">
                  <c:v>131020</c:v>
                </c:pt>
                <c:pt idx="532">
                  <c:v>129220</c:v>
                </c:pt>
                <c:pt idx="533">
                  <c:v>123420</c:v>
                </c:pt>
                <c:pt idx="534">
                  <c:v>122420</c:v>
                </c:pt>
                <c:pt idx="535">
                  <c:v>113220</c:v>
                </c:pt>
                <c:pt idx="536">
                  <c:v>114620</c:v>
                </c:pt>
                <c:pt idx="537">
                  <c:v>110520</c:v>
                </c:pt>
                <c:pt idx="538">
                  <c:v>101920</c:v>
                </c:pt>
                <c:pt idx="539">
                  <c:v>110920</c:v>
                </c:pt>
                <c:pt idx="540">
                  <c:v>107420</c:v>
                </c:pt>
                <c:pt idx="541">
                  <c:v>113320</c:v>
                </c:pt>
                <c:pt idx="542">
                  <c:v>100220</c:v>
                </c:pt>
                <c:pt idx="543">
                  <c:v>97620</c:v>
                </c:pt>
                <c:pt idx="544">
                  <c:v>92100</c:v>
                </c:pt>
                <c:pt idx="545">
                  <c:v>94300</c:v>
                </c:pt>
                <c:pt idx="546">
                  <c:v>86500</c:v>
                </c:pt>
                <c:pt idx="547">
                  <c:v>80000</c:v>
                </c:pt>
                <c:pt idx="548">
                  <c:v>82200</c:v>
                </c:pt>
                <c:pt idx="549">
                  <c:v>72900</c:v>
                </c:pt>
                <c:pt idx="550">
                  <c:v>74500</c:v>
                </c:pt>
                <c:pt idx="551">
                  <c:v>71500</c:v>
                </c:pt>
                <c:pt idx="552">
                  <c:v>73400</c:v>
                </c:pt>
                <c:pt idx="553">
                  <c:v>74000</c:v>
                </c:pt>
                <c:pt idx="554">
                  <c:v>74500</c:v>
                </c:pt>
                <c:pt idx="555">
                  <c:v>66600</c:v>
                </c:pt>
                <c:pt idx="556">
                  <c:v>66200</c:v>
                </c:pt>
                <c:pt idx="557">
                  <c:v>77300</c:v>
                </c:pt>
                <c:pt idx="558">
                  <c:v>80500</c:v>
                </c:pt>
                <c:pt idx="559">
                  <c:v>84600</c:v>
                </c:pt>
                <c:pt idx="560">
                  <c:v>83600</c:v>
                </c:pt>
                <c:pt idx="561">
                  <c:v>86700</c:v>
                </c:pt>
                <c:pt idx="562">
                  <c:v>79600</c:v>
                </c:pt>
                <c:pt idx="563">
                  <c:v>81900</c:v>
                </c:pt>
                <c:pt idx="564">
                  <c:v>79500</c:v>
                </c:pt>
                <c:pt idx="565">
                  <c:v>73500</c:v>
                </c:pt>
                <c:pt idx="566">
                  <c:v>82800</c:v>
                </c:pt>
                <c:pt idx="567">
                  <c:v>78000</c:v>
                </c:pt>
                <c:pt idx="568">
                  <c:v>74500</c:v>
                </c:pt>
                <c:pt idx="569">
                  <c:v>74300</c:v>
                </c:pt>
                <c:pt idx="570">
                  <c:v>73000</c:v>
                </c:pt>
                <c:pt idx="571">
                  <c:v>66800</c:v>
                </c:pt>
                <c:pt idx="572">
                  <c:v>58400</c:v>
                </c:pt>
                <c:pt idx="573">
                  <c:v>58600</c:v>
                </c:pt>
                <c:pt idx="574">
                  <c:v>57500</c:v>
                </c:pt>
                <c:pt idx="575">
                  <c:v>58100</c:v>
                </c:pt>
                <c:pt idx="576">
                  <c:v>52300</c:v>
                </c:pt>
                <c:pt idx="577">
                  <c:v>42100</c:v>
                </c:pt>
                <c:pt idx="578">
                  <c:v>43300</c:v>
                </c:pt>
                <c:pt idx="579">
                  <c:v>47700</c:v>
                </c:pt>
                <c:pt idx="580">
                  <c:v>45100</c:v>
                </c:pt>
                <c:pt idx="581">
                  <c:v>48200</c:v>
                </c:pt>
                <c:pt idx="582">
                  <c:v>54300</c:v>
                </c:pt>
                <c:pt idx="583">
                  <c:v>54200</c:v>
                </c:pt>
                <c:pt idx="584">
                  <c:v>56000</c:v>
                </c:pt>
                <c:pt idx="585">
                  <c:v>58000</c:v>
                </c:pt>
                <c:pt idx="586">
                  <c:v>60680</c:v>
                </c:pt>
                <c:pt idx="587">
                  <c:v>61980</c:v>
                </c:pt>
                <c:pt idx="588">
                  <c:v>63080</c:v>
                </c:pt>
                <c:pt idx="589">
                  <c:v>63180</c:v>
                </c:pt>
                <c:pt idx="590">
                  <c:v>60780</c:v>
                </c:pt>
                <c:pt idx="591">
                  <c:v>60680</c:v>
                </c:pt>
                <c:pt idx="592">
                  <c:v>59680</c:v>
                </c:pt>
                <c:pt idx="593">
                  <c:v>60280</c:v>
                </c:pt>
                <c:pt idx="594">
                  <c:v>62780</c:v>
                </c:pt>
                <c:pt idx="595">
                  <c:v>62480</c:v>
                </c:pt>
                <c:pt idx="596">
                  <c:v>61580</c:v>
                </c:pt>
                <c:pt idx="597">
                  <c:v>63580</c:v>
                </c:pt>
                <c:pt idx="598">
                  <c:v>62780</c:v>
                </c:pt>
                <c:pt idx="599">
                  <c:v>60580</c:v>
                </c:pt>
                <c:pt idx="600">
                  <c:v>70080</c:v>
                </c:pt>
                <c:pt idx="601">
                  <c:v>63180</c:v>
                </c:pt>
                <c:pt idx="602">
                  <c:v>73080</c:v>
                </c:pt>
                <c:pt idx="603">
                  <c:v>76080</c:v>
                </c:pt>
                <c:pt idx="604">
                  <c:v>77880</c:v>
                </c:pt>
                <c:pt idx="605">
                  <c:v>78880</c:v>
                </c:pt>
                <c:pt idx="606">
                  <c:v>83580</c:v>
                </c:pt>
                <c:pt idx="607">
                  <c:v>85080</c:v>
                </c:pt>
                <c:pt idx="608">
                  <c:v>84080</c:v>
                </c:pt>
                <c:pt idx="609">
                  <c:v>86780</c:v>
                </c:pt>
                <c:pt idx="610">
                  <c:v>91080</c:v>
                </c:pt>
                <c:pt idx="611">
                  <c:v>95180</c:v>
                </c:pt>
                <c:pt idx="612">
                  <c:v>93280</c:v>
                </c:pt>
                <c:pt idx="613">
                  <c:v>97980</c:v>
                </c:pt>
                <c:pt idx="614">
                  <c:v>95680</c:v>
                </c:pt>
                <c:pt idx="615">
                  <c:v>98980</c:v>
                </c:pt>
                <c:pt idx="616">
                  <c:v>98880</c:v>
                </c:pt>
                <c:pt idx="617">
                  <c:v>94980</c:v>
                </c:pt>
                <c:pt idx="618">
                  <c:v>92480</c:v>
                </c:pt>
                <c:pt idx="619">
                  <c:v>87680</c:v>
                </c:pt>
                <c:pt idx="620">
                  <c:v>88080</c:v>
                </c:pt>
                <c:pt idx="621">
                  <c:v>88680</c:v>
                </c:pt>
                <c:pt idx="622">
                  <c:v>95180</c:v>
                </c:pt>
                <c:pt idx="623">
                  <c:v>93680</c:v>
                </c:pt>
                <c:pt idx="624">
                  <c:v>91880</c:v>
                </c:pt>
                <c:pt idx="625">
                  <c:v>92080</c:v>
                </c:pt>
                <c:pt idx="626">
                  <c:v>94380</c:v>
                </c:pt>
                <c:pt idx="627">
                  <c:v>97080</c:v>
                </c:pt>
                <c:pt idx="628">
                  <c:v>92280</c:v>
                </c:pt>
                <c:pt idx="629">
                  <c:v>96760</c:v>
                </c:pt>
                <c:pt idx="630">
                  <c:v>95760</c:v>
                </c:pt>
                <c:pt idx="631">
                  <c:v>93660</c:v>
                </c:pt>
                <c:pt idx="632">
                  <c:v>88260</c:v>
                </c:pt>
                <c:pt idx="633">
                  <c:v>87460</c:v>
                </c:pt>
                <c:pt idx="634">
                  <c:v>86060</c:v>
                </c:pt>
                <c:pt idx="635">
                  <c:v>83860</c:v>
                </c:pt>
                <c:pt idx="636">
                  <c:v>84160</c:v>
                </c:pt>
                <c:pt idx="637">
                  <c:v>84660</c:v>
                </c:pt>
                <c:pt idx="638">
                  <c:v>84960</c:v>
                </c:pt>
                <c:pt idx="639">
                  <c:v>79760</c:v>
                </c:pt>
                <c:pt idx="640">
                  <c:v>80060</c:v>
                </c:pt>
                <c:pt idx="641">
                  <c:v>82760</c:v>
                </c:pt>
                <c:pt idx="642">
                  <c:v>83160</c:v>
                </c:pt>
                <c:pt idx="643">
                  <c:v>76260</c:v>
                </c:pt>
                <c:pt idx="644">
                  <c:v>68760</c:v>
                </c:pt>
                <c:pt idx="645">
                  <c:v>69160</c:v>
                </c:pt>
                <c:pt idx="646">
                  <c:v>70760</c:v>
                </c:pt>
                <c:pt idx="647">
                  <c:v>69860</c:v>
                </c:pt>
                <c:pt idx="648">
                  <c:v>72060</c:v>
                </c:pt>
                <c:pt idx="649">
                  <c:v>67860</c:v>
                </c:pt>
                <c:pt idx="650">
                  <c:v>78360</c:v>
                </c:pt>
                <c:pt idx="651">
                  <c:v>80640</c:v>
                </c:pt>
                <c:pt idx="652">
                  <c:v>87640</c:v>
                </c:pt>
                <c:pt idx="653">
                  <c:v>86340</c:v>
                </c:pt>
                <c:pt idx="654">
                  <c:v>87140</c:v>
                </c:pt>
                <c:pt idx="655">
                  <c:v>88240</c:v>
                </c:pt>
                <c:pt idx="656">
                  <c:v>90140</c:v>
                </c:pt>
                <c:pt idx="657">
                  <c:v>87640</c:v>
                </c:pt>
                <c:pt idx="658">
                  <c:v>87340</c:v>
                </c:pt>
                <c:pt idx="659">
                  <c:v>87740</c:v>
                </c:pt>
                <c:pt idx="660">
                  <c:v>91240</c:v>
                </c:pt>
                <c:pt idx="661">
                  <c:v>93240</c:v>
                </c:pt>
                <c:pt idx="662">
                  <c:v>94740</c:v>
                </c:pt>
                <c:pt idx="663">
                  <c:v>94840</c:v>
                </c:pt>
                <c:pt idx="664">
                  <c:v>92140</c:v>
                </c:pt>
                <c:pt idx="665">
                  <c:v>94040</c:v>
                </c:pt>
                <c:pt idx="666">
                  <c:v>105340</c:v>
                </c:pt>
                <c:pt idx="667">
                  <c:v>105340</c:v>
                </c:pt>
                <c:pt idx="668">
                  <c:v>103040</c:v>
                </c:pt>
                <c:pt idx="669">
                  <c:v>101340</c:v>
                </c:pt>
                <c:pt idx="670">
                  <c:v>107140</c:v>
                </c:pt>
                <c:pt idx="671">
                  <c:v>111440</c:v>
                </c:pt>
                <c:pt idx="672">
                  <c:v>111640</c:v>
                </c:pt>
                <c:pt idx="673">
                  <c:v>105640</c:v>
                </c:pt>
                <c:pt idx="674">
                  <c:v>109820</c:v>
                </c:pt>
                <c:pt idx="675">
                  <c:v>116220</c:v>
                </c:pt>
                <c:pt idx="676">
                  <c:v>113320</c:v>
                </c:pt>
                <c:pt idx="677">
                  <c:v>104820</c:v>
                </c:pt>
                <c:pt idx="678">
                  <c:v>101920</c:v>
                </c:pt>
                <c:pt idx="679">
                  <c:v>99720</c:v>
                </c:pt>
                <c:pt idx="680">
                  <c:v>99720</c:v>
                </c:pt>
                <c:pt idx="681">
                  <c:v>102320</c:v>
                </c:pt>
                <c:pt idx="682">
                  <c:v>106620</c:v>
                </c:pt>
                <c:pt idx="683">
                  <c:v>106820</c:v>
                </c:pt>
                <c:pt idx="684">
                  <c:v>109720</c:v>
                </c:pt>
                <c:pt idx="685">
                  <c:v>108220</c:v>
                </c:pt>
                <c:pt idx="686">
                  <c:v>108620</c:v>
                </c:pt>
                <c:pt idx="687">
                  <c:v>104620</c:v>
                </c:pt>
                <c:pt idx="688">
                  <c:v>97820</c:v>
                </c:pt>
                <c:pt idx="689">
                  <c:v>107720</c:v>
                </c:pt>
                <c:pt idx="690">
                  <c:v>113820</c:v>
                </c:pt>
                <c:pt idx="691">
                  <c:v>111720</c:v>
                </c:pt>
                <c:pt idx="692">
                  <c:v>111720</c:v>
                </c:pt>
                <c:pt idx="693">
                  <c:v>109920</c:v>
                </c:pt>
                <c:pt idx="694">
                  <c:v>115620</c:v>
                </c:pt>
                <c:pt idx="695">
                  <c:v>116520</c:v>
                </c:pt>
                <c:pt idx="696">
                  <c:v>123120</c:v>
                </c:pt>
                <c:pt idx="697">
                  <c:v>122620</c:v>
                </c:pt>
                <c:pt idx="698">
                  <c:v>120620</c:v>
                </c:pt>
                <c:pt idx="699">
                  <c:v>121520</c:v>
                </c:pt>
                <c:pt idx="700">
                  <c:v>119820</c:v>
                </c:pt>
                <c:pt idx="701">
                  <c:v>120220</c:v>
                </c:pt>
                <c:pt idx="702">
                  <c:v>119220</c:v>
                </c:pt>
                <c:pt idx="703">
                  <c:v>114620</c:v>
                </c:pt>
                <c:pt idx="704">
                  <c:v>112420</c:v>
                </c:pt>
                <c:pt idx="705">
                  <c:v>122320</c:v>
                </c:pt>
                <c:pt idx="706">
                  <c:v>117620</c:v>
                </c:pt>
                <c:pt idx="707">
                  <c:v>128620</c:v>
                </c:pt>
                <c:pt idx="708">
                  <c:v>127520</c:v>
                </c:pt>
                <c:pt idx="709">
                  <c:v>131320</c:v>
                </c:pt>
                <c:pt idx="710">
                  <c:v>128020</c:v>
                </c:pt>
                <c:pt idx="711">
                  <c:v>126420</c:v>
                </c:pt>
                <c:pt idx="712">
                  <c:v>130520</c:v>
                </c:pt>
                <c:pt idx="713">
                  <c:v>131220</c:v>
                </c:pt>
                <c:pt idx="714">
                  <c:v>129320</c:v>
                </c:pt>
                <c:pt idx="715">
                  <c:v>137020</c:v>
                </c:pt>
                <c:pt idx="716">
                  <c:v>139420</c:v>
                </c:pt>
                <c:pt idx="717">
                  <c:v>134900</c:v>
                </c:pt>
                <c:pt idx="718">
                  <c:v>137900</c:v>
                </c:pt>
                <c:pt idx="719">
                  <c:v>135400</c:v>
                </c:pt>
                <c:pt idx="720">
                  <c:v>139200</c:v>
                </c:pt>
                <c:pt idx="721">
                  <c:v>140400</c:v>
                </c:pt>
                <c:pt idx="722">
                  <c:v>140600</c:v>
                </c:pt>
                <c:pt idx="723">
                  <c:v>140200</c:v>
                </c:pt>
                <c:pt idx="724">
                  <c:v>141400</c:v>
                </c:pt>
                <c:pt idx="725">
                  <c:v>143500</c:v>
                </c:pt>
                <c:pt idx="726">
                  <c:v>144700</c:v>
                </c:pt>
                <c:pt idx="727">
                  <c:v>145200</c:v>
                </c:pt>
                <c:pt idx="728">
                  <c:v>140900</c:v>
                </c:pt>
                <c:pt idx="729">
                  <c:v>143400</c:v>
                </c:pt>
                <c:pt idx="730">
                  <c:v>150400</c:v>
                </c:pt>
                <c:pt idx="731">
                  <c:v>146300</c:v>
                </c:pt>
                <c:pt idx="732">
                  <c:v>145300</c:v>
                </c:pt>
                <c:pt idx="733">
                  <c:v>132000</c:v>
                </c:pt>
                <c:pt idx="734">
                  <c:v>132800</c:v>
                </c:pt>
                <c:pt idx="735">
                  <c:v>122700</c:v>
                </c:pt>
                <c:pt idx="736">
                  <c:v>123300</c:v>
                </c:pt>
                <c:pt idx="737">
                  <c:v>115800</c:v>
                </c:pt>
                <c:pt idx="738">
                  <c:v>115600</c:v>
                </c:pt>
                <c:pt idx="739">
                  <c:v>110000</c:v>
                </c:pt>
                <c:pt idx="740">
                  <c:v>110400</c:v>
                </c:pt>
                <c:pt idx="741">
                  <c:v>107900</c:v>
                </c:pt>
                <c:pt idx="742">
                  <c:v>99500</c:v>
                </c:pt>
                <c:pt idx="743">
                  <c:v>98600</c:v>
                </c:pt>
                <c:pt idx="744">
                  <c:v>93500</c:v>
                </c:pt>
                <c:pt idx="745">
                  <c:v>91900</c:v>
                </c:pt>
                <c:pt idx="746">
                  <c:v>102300</c:v>
                </c:pt>
                <c:pt idx="747">
                  <c:v>105300</c:v>
                </c:pt>
                <c:pt idx="748">
                  <c:v>97300</c:v>
                </c:pt>
                <c:pt idx="749">
                  <c:v>85200</c:v>
                </c:pt>
                <c:pt idx="750">
                  <c:v>94400</c:v>
                </c:pt>
                <c:pt idx="751">
                  <c:v>95400</c:v>
                </c:pt>
                <c:pt idx="752">
                  <c:v>98900</c:v>
                </c:pt>
                <c:pt idx="753">
                  <c:v>105300</c:v>
                </c:pt>
                <c:pt idx="754">
                  <c:v>108800</c:v>
                </c:pt>
                <c:pt idx="755">
                  <c:v>108300</c:v>
                </c:pt>
                <c:pt idx="756">
                  <c:v>110900</c:v>
                </c:pt>
                <c:pt idx="757">
                  <c:v>112000</c:v>
                </c:pt>
                <c:pt idx="758">
                  <c:v>113600</c:v>
                </c:pt>
                <c:pt idx="759">
                  <c:v>112100</c:v>
                </c:pt>
                <c:pt idx="760">
                  <c:v>116780</c:v>
                </c:pt>
                <c:pt idx="761">
                  <c:v>116080</c:v>
                </c:pt>
                <c:pt idx="762">
                  <c:v>112880</c:v>
                </c:pt>
                <c:pt idx="763">
                  <c:v>105980</c:v>
                </c:pt>
                <c:pt idx="764">
                  <c:v>101580</c:v>
                </c:pt>
                <c:pt idx="765">
                  <c:v>101680</c:v>
                </c:pt>
                <c:pt idx="766">
                  <c:v>103680</c:v>
                </c:pt>
                <c:pt idx="767">
                  <c:v>103080</c:v>
                </c:pt>
                <c:pt idx="768">
                  <c:v>101980</c:v>
                </c:pt>
                <c:pt idx="769">
                  <c:v>100080</c:v>
                </c:pt>
                <c:pt idx="770">
                  <c:v>96880</c:v>
                </c:pt>
                <c:pt idx="771">
                  <c:v>91280</c:v>
                </c:pt>
                <c:pt idx="772">
                  <c:v>82180</c:v>
                </c:pt>
                <c:pt idx="773">
                  <c:v>85780</c:v>
                </c:pt>
                <c:pt idx="774">
                  <c:v>84980</c:v>
                </c:pt>
                <c:pt idx="775">
                  <c:v>87280</c:v>
                </c:pt>
                <c:pt idx="776">
                  <c:v>90480</c:v>
                </c:pt>
                <c:pt idx="777">
                  <c:v>93580</c:v>
                </c:pt>
                <c:pt idx="778">
                  <c:v>93180</c:v>
                </c:pt>
                <c:pt idx="779">
                  <c:v>96280</c:v>
                </c:pt>
                <c:pt idx="780">
                  <c:v>94680</c:v>
                </c:pt>
                <c:pt idx="781">
                  <c:v>97580</c:v>
                </c:pt>
                <c:pt idx="782">
                  <c:v>97880</c:v>
                </c:pt>
                <c:pt idx="783">
                  <c:v>97480</c:v>
                </c:pt>
                <c:pt idx="784">
                  <c:v>95480</c:v>
                </c:pt>
                <c:pt idx="785">
                  <c:v>103880</c:v>
                </c:pt>
                <c:pt idx="786">
                  <c:v>102080</c:v>
                </c:pt>
                <c:pt idx="787">
                  <c:v>97980</c:v>
                </c:pt>
                <c:pt idx="788">
                  <c:v>99680</c:v>
                </c:pt>
                <c:pt idx="789">
                  <c:v>96080</c:v>
                </c:pt>
                <c:pt idx="790">
                  <c:v>104780</c:v>
                </c:pt>
                <c:pt idx="791">
                  <c:v>105180</c:v>
                </c:pt>
                <c:pt idx="792">
                  <c:v>108080</c:v>
                </c:pt>
                <c:pt idx="793">
                  <c:v>105380</c:v>
                </c:pt>
                <c:pt idx="794">
                  <c:v>109280</c:v>
                </c:pt>
                <c:pt idx="795">
                  <c:v>110480</c:v>
                </c:pt>
                <c:pt idx="796">
                  <c:v>109580</c:v>
                </c:pt>
                <c:pt idx="797">
                  <c:v>114080</c:v>
                </c:pt>
                <c:pt idx="798">
                  <c:v>111380</c:v>
                </c:pt>
                <c:pt idx="799">
                  <c:v>111880</c:v>
                </c:pt>
                <c:pt idx="800">
                  <c:v>115280</c:v>
                </c:pt>
                <c:pt idx="801">
                  <c:v>120280</c:v>
                </c:pt>
                <c:pt idx="802">
                  <c:v>119580</c:v>
                </c:pt>
                <c:pt idx="803">
                  <c:v>121980</c:v>
                </c:pt>
                <c:pt idx="804">
                  <c:v>120460</c:v>
                </c:pt>
                <c:pt idx="805">
                  <c:v>115860</c:v>
                </c:pt>
                <c:pt idx="806">
                  <c:v>117060</c:v>
                </c:pt>
                <c:pt idx="807">
                  <c:v>119760</c:v>
                </c:pt>
                <c:pt idx="808">
                  <c:v>119060</c:v>
                </c:pt>
                <c:pt idx="809">
                  <c:v>119060</c:v>
                </c:pt>
                <c:pt idx="810">
                  <c:v>119060</c:v>
                </c:pt>
                <c:pt idx="811">
                  <c:v>119660</c:v>
                </c:pt>
                <c:pt idx="812">
                  <c:v>121260</c:v>
                </c:pt>
                <c:pt idx="813">
                  <c:v>122660</c:v>
                </c:pt>
                <c:pt idx="814">
                  <c:v>123460</c:v>
                </c:pt>
                <c:pt idx="815">
                  <c:v>123060</c:v>
                </c:pt>
                <c:pt idx="816">
                  <c:v>123860</c:v>
                </c:pt>
                <c:pt idx="817">
                  <c:v>125460</c:v>
                </c:pt>
                <c:pt idx="818">
                  <c:v>117060</c:v>
                </c:pt>
                <c:pt idx="819">
                  <c:v>118660</c:v>
                </c:pt>
                <c:pt idx="820">
                  <c:v>120460</c:v>
                </c:pt>
                <c:pt idx="821">
                  <c:v>126060</c:v>
                </c:pt>
                <c:pt idx="822">
                  <c:v>126560</c:v>
                </c:pt>
                <c:pt idx="823">
                  <c:v>124960</c:v>
                </c:pt>
                <c:pt idx="824">
                  <c:v>120660</c:v>
                </c:pt>
                <c:pt idx="825">
                  <c:v>122160</c:v>
                </c:pt>
                <c:pt idx="826">
                  <c:v>122360</c:v>
                </c:pt>
                <c:pt idx="827">
                  <c:v>121960</c:v>
                </c:pt>
                <c:pt idx="828">
                  <c:v>125260</c:v>
                </c:pt>
                <c:pt idx="829">
                  <c:v>121260</c:v>
                </c:pt>
                <c:pt idx="830">
                  <c:v>120360</c:v>
                </c:pt>
                <c:pt idx="831">
                  <c:v>127960</c:v>
                </c:pt>
                <c:pt idx="832">
                  <c:v>130760</c:v>
                </c:pt>
                <c:pt idx="833">
                  <c:v>129360</c:v>
                </c:pt>
                <c:pt idx="834">
                  <c:v>123560</c:v>
                </c:pt>
                <c:pt idx="835">
                  <c:v>124560</c:v>
                </c:pt>
                <c:pt idx="836">
                  <c:v>127360</c:v>
                </c:pt>
                <c:pt idx="837">
                  <c:v>125560</c:v>
                </c:pt>
                <c:pt idx="838">
                  <c:v>126560</c:v>
                </c:pt>
                <c:pt idx="839">
                  <c:v>119260</c:v>
                </c:pt>
                <c:pt idx="840">
                  <c:v>121060</c:v>
                </c:pt>
                <c:pt idx="841">
                  <c:v>120260</c:v>
                </c:pt>
                <c:pt idx="842">
                  <c:v>119360</c:v>
                </c:pt>
                <c:pt idx="843">
                  <c:v>120560</c:v>
                </c:pt>
                <c:pt idx="844">
                  <c:v>122160</c:v>
                </c:pt>
                <c:pt idx="845">
                  <c:v>121860</c:v>
                </c:pt>
                <c:pt idx="846">
                  <c:v>118360</c:v>
                </c:pt>
                <c:pt idx="847">
                  <c:v>114660</c:v>
                </c:pt>
                <c:pt idx="848">
                  <c:v>112540</c:v>
                </c:pt>
                <c:pt idx="849">
                  <c:v>112640</c:v>
                </c:pt>
                <c:pt idx="850">
                  <c:v>111240</c:v>
                </c:pt>
                <c:pt idx="851">
                  <c:v>111440</c:v>
                </c:pt>
                <c:pt idx="852">
                  <c:v>110240</c:v>
                </c:pt>
                <c:pt idx="853">
                  <c:v>108940</c:v>
                </c:pt>
                <c:pt idx="854">
                  <c:v>107040</c:v>
                </c:pt>
                <c:pt idx="855">
                  <c:v>108240</c:v>
                </c:pt>
                <c:pt idx="856">
                  <c:v>107440</c:v>
                </c:pt>
                <c:pt idx="857">
                  <c:v>108640</c:v>
                </c:pt>
                <c:pt idx="858">
                  <c:v>110840</c:v>
                </c:pt>
                <c:pt idx="859">
                  <c:v>111440</c:v>
                </c:pt>
                <c:pt idx="860">
                  <c:v>114240</c:v>
                </c:pt>
                <c:pt idx="861">
                  <c:v>119540</c:v>
                </c:pt>
                <c:pt idx="862">
                  <c:v>119040</c:v>
                </c:pt>
                <c:pt idx="863">
                  <c:v>117640</c:v>
                </c:pt>
                <c:pt idx="864">
                  <c:v>113740</c:v>
                </c:pt>
                <c:pt idx="865">
                  <c:v>112740</c:v>
                </c:pt>
                <c:pt idx="866">
                  <c:v>118240</c:v>
                </c:pt>
                <c:pt idx="867">
                  <c:v>123040</c:v>
                </c:pt>
                <c:pt idx="868">
                  <c:v>127340</c:v>
                </c:pt>
                <c:pt idx="869">
                  <c:v>131440</c:v>
                </c:pt>
                <c:pt idx="870">
                  <c:v>131840</c:v>
                </c:pt>
                <c:pt idx="871">
                  <c:v>127940</c:v>
                </c:pt>
                <c:pt idx="872">
                  <c:v>130240</c:v>
                </c:pt>
                <c:pt idx="873">
                  <c:v>125340</c:v>
                </c:pt>
                <c:pt idx="874">
                  <c:v>121440</c:v>
                </c:pt>
                <c:pt idx="875">
                  <c:v>123640</c:v>
                </c:pt>
                <c:pt idx="876">
                  <c:v>131240</c:v>
                </c:pt>
                <c:pt idx="877">
                  <c:v>133940</c:v>
                </c:pt>
                <c:pt idx="878">
                  <c:v>127240</c:v>
                </c:pt>
                <c:pt idx="879">
                  <c:v>132040</c:v>
                </c:pt>
                <c:pt idx="880">
                  <c:v>131140</c:v>
                </c:pt>
                <c:pt idx="881">
                  <c:v>125840</c:v>
                </c:pt>
                <c:pt idx="882">
                  <c:v>123940</c:v>
                </c:pt>
                <c:pt idx="883">
                  <c:v>120740</c:v>
                </c:pt>
                <c:pt idx="884">
                  <c:v>116940</c:v>
                </c:pt>
                <c:pt idx="885">
                  <c:v>118140</c:v>
                </c:pt>
                <c:pt idx="886">
                  <c:v>121540</c:v>
                </c:pt>
                <c:pt idx="887">
                  <c:v>121240</c:v>
                </c:pt>
                <c:pt idx="888">
                  <c:v>121540</c:v>
                </c:pt>
                <c:pt idx="889">
                  <c:v>123240</c:v>
                </c:pt>
                <c:pt idx="890">
                  <c:v>123640</c:v>
                </c:pt>
                <c:pt idx="891">
                  <c:v>125020</c:v>
                </c:pt>
                <c:pt idx="892">
                  <c:v>127620</c:v>
                </c:pt>
                <c:pt idx="893">
                  <c:v>128420</c:v>
                </c:pt>
                <c:pt idx="894">
                  <c:v>130320</c:v>
                </c:pt>
                <c:pt idx="895">
                  <c:v>128720</c:v>
                </c:pt>
                <c:pt idx="896">
                  <c:v>128820</c:v>
                </c:pt>
                <c:pt idx="897">
                  <c:v>131420</c:v>
                </c:pt>
                <c:pt idx="898">
                  <c:v>129120</c:v>
                </c:pt>
                <c:pt idx="899">
                  <c:v>127820</c:v>
                </c:pt>
                <c:pt idx="900">
                  <c:v>127320</c:v>
                </c:pt>
                <c:pt idx="901">
                  <c:v>128420</c:v>
                </c:pt>
                <c:pt idx="902">
                  <c:v>126520</c:v>
                </c:pt>
                <c:pt idx="903">
                  <c:v>122320</c:v>
                </c:pt>
                <c:pt idx="904">
                  <c:v>123120</c:v>
                </c:pt>
                <c:pt idx="905">
                  <c:v>122320</c:v>
                </c:pt>
                <c:pt idx="906">
                  <c:v>116220</c:v>
                </c:pt>
                <c:pt idx="907">
                  <c:v>113820</c:v>
                </c:pt>
                <c:pt idx="908">
                  <c:v>113720</c:v>
                </c:pt>
                <c:pt idx="909">
                  <c:v>110120</c:v>
                </c:pt>
                <c:pt idx="910">
                  <c:v>110720</c:v>
                </c:pt>
                <c:pt idx="911">
                  <c:v>109420</c:v>
                </c:pt>
                <c:pt idx="912">
                  <c:v>108620</c:v>
                </c:pt>
                <c:pt idx="913">
                  <c:v>105900</c:v>
                </c:pt>
                <c:pt idx="914">
                  <c:v>109300</c:v>
                </c:pt>
                <c:pt idx="915">
                  <c:v>106100</c:v>
                </c:pt>
                <c:pt idx="916">
                  <c:v>104200</c:v>
                </c:pt>
                <c:pt idx="917">
                  <c:v>101100</c:v>
                </c:pt>
                <c:pt idx="918">
                  <c:v>98800</c:v>
                </c:pt>
                <c:pt idx="919">
                  <c:v>96400</c:v>
                </c:pt>
                <c:pt idx="920">
                  <c:v>97700</c:v>
                </c:pt>
                <c:pt idx="921">
                  <c:v>98000</c:v>
                </c:pt>
                <c:pt idx="922">
                  <c:v>98700</c:v>
                </c:pt>
                <c:pt idx="923">
                  <c:v>97300</c:v>
                </c:pt>
                <c:pt idx="924">
                  <c:v>97500</c:v>
                </c:pt>
                <c:pt idx="925">
                  <c:v>95400</c:v>
                </c:pt>
                <c:pt idx="926">
                  <c:v>91900</c:v>
                </c:pt>
                <c:pt idx="927">
                  <c:v>83400</c:v>
                </c:pt>
                <c:pt idx="928">
                  <c:v>85900</c:v>
                </c:pt>
                <c:pt idx="929">
                  <c:v>87300</c:v>
                </c:pt>
                <c:pt idx="930">
                  <c:v>83400</c:v>
                </c:pt>
                <c:pt idx="931">
                  <c:v>73900</c:v>
                </c:pt>
                <c:pt idx="932">
                  <c:v>64200</c:v>
                </c:pt>
                <c:pt idx="933">
                  <c:v>61100</c:v>
                </c:pt>
                <c:pt idx="934">
                  <c:v>60980</c:v>
                </c:pt>
                <c:pt idx="935">
                  <c:v>60780</c:v>
                </c:pt>
                <c:pt idx="936">
                  <c:v>60180</c:v>
                </c:pt>
                <c:pt idx="937">
                  <c:v>56080</c:v>
                </c:pt>
                <c:pt idx="938">
                  <c:v>55180</c:v>
                </c:pt>
                <c:pt idx="939">
                  <c:v>53380</c:v>
                </c:pt>
                <c:pt idx="940">
                  <c:v>53280</c:v>
                </c:pt>
                <c:pt idx="941">
                  <c:v>54280</c:v>
                </c:pt>
                <c:pt idx="942">
                  <c:v>54080</c:v>
                </c:pt>
                <c:pt idx="943">
                  <c:v>53680</c:v>
                </c:pt>
                <c:pt idx="944">
                  <c:v>62680</c:v>
                </c:pt>
                <c:pt idx="945">
                  <c:v>56480</c:v>
                </c:pt>
                <c:pt idx="946">
                  <c:v>57880</c:v>
                </c:pt>
                <c:pt idx="947">
                  <c:v>56480</c:v>
                </c:pt>
                <c:pt idx="948">
                  <c:v>63980</c:v>
                </c:pt>
                <c:pt idx="949">
                  <c:v>59980</c:v>
                </c:pt>
                <c:pt idx="950">
                  <c:v>57380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Hogs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5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51"/>
                <c:pt idx="0">
                  <c:v>0</c:v>
                </c:pt>
                <c:pt idx="1">
                  <c:v>700</c:v>
                </c:pt>
                <c:pt idx="2">
                  <c:v>-2500</c:v>
                </c:pt>
                <c:pt idx="3">
                  <c:v>-1400</c:v>
                </c:pt>
                <c:pt idx="4">
                  <c:v>-2500</c:v>
                </c:pt>
                <c:pt idx="5">
                  <c:v>-1100</c:v>
                </c:pt>
                <c:pt idx="6">
                  <c:v>5500</c:v>
                </c:pt>
                <c:pt idx="7">
                  <c:v>5900</c:v>
                </c:pt>
                <c:pt idx="8">
                  <c:v>6500</c:v>
                </c:pt>
                <c:pt idx="9">
                  <c:v>2900</c:v>
                </c:pt>
                <c:pt idx="10">
                  <c:v>2700</c:v>
                </c:pt>
                <c:pt idx="11">
                  <c:v>2400</c:v>
                </c:pt>
                <c:pt idx="12">
                  <c:v>700</c:v>
                </c:pt>
                <c:pt idx="13">
                  <c:v>2100</c:v>
                </c:pt>
                <c:pt idx="14">
                  <c:v>1500</c:v>
                </c:pt>
                <c:pt idx="15">
                  <c:v>1300</c:v>
                </c:pt>
                <c:pt idx="16">
                  <c:v>400</c:v>
                </c:pt>
                <c:pt idx="17">
                  <c:v>-5400</c:v>
                </c:pt>
                <c:pt idx="18">
                  <c:v>-4800</c:v>
                </c:pt>
                <c:pt idx="19">
                  <c:v>-5500</c:v>
                </c:pt>
                <c:pt idx="20">
                  <c:v>-4700</c:v>
                </c:pt>
                <c:pt idx="21">
                  <c:v>-5200</c:v>
                </c:pt>
                <c:pt idx="22">
                  <c:v>-6900</c:v>
                </c:pt>
                <c:pt idx="23">
                  <c:v>-6880</c:v>
                </c:pt>
                <c:pt idx="24">
                  <c:v>-6480</c:v>
                </c:pt>
                <c:pt idx="25">
                  <c:v>-8980</c:v>
                </c:pt>
                <c:pt idx="26">
                  <c:v>-5380</c:v>
                </c:pt>
                <c:pt idx="27">
                  <c:v>-4380</c:v>
                </c:pt>
                <c:pt idx="28">
                  <c:v>-3280</c:v>
                </c:pt>
                <c:pt idx="29">
                  <c:v>-2580</c:v>
                </c:pt>
                <c:pt idx="30">
                  <c:v>-4780</c:v>
                </c:pt>
                <c:pt idx="31">
                  <c:v>-5780</c:v>
                </c:pt>
                <c:pt idx="32">
                  <c:v>-6980</c:v>
                </c:pt>
                <c:pt idx="33">
                  <c:v>-6480</c:v>
                </c:pt>
                <c:pt idx="34">
                  <c:v>-6880</c:v>
                </c:pt>
                <c:pt idx="35">
                  <c:v>-2580</c:v>
                </c:pt>
                <c:pt idx="36">
                  <c:v>420</c:v>
                </c:pt>
                <c:pt idx="37">
                  <c:v>-580</c:v>
                </c:pt>
                <c:pt idx="38">
                  <c:v>1720</c:v>
                </c:pt>
                <c:pt idx="39">
                  <c:v>1720</c:v>
                </c:pt>
                <c:pt idx="40">
                  <c:v>2820</c:v>
                </c:pt>
                <c:pt idx="41">
                  <c:v>4620</c:v>
                </c:pt>
                <c:pt idx="42">
                  <c:v>5520</c:v>
                </c:pt>
                <c:pt idx="43">
                  <c:v>4920</c:v>
                </c:pt>
                <c:pt idx="44">
                  <c:v>6920</c:v>
                </c:pt>
                <c:pt idx="45">
                  <c:v>11520</c:v>
                </c:pt>
                <c:pt idx="46">
                  <c:v>13820</c:v>
                </c:pt>
                <c:pt idx="47">
                  <c:v>1720</c:v>
                </c:pt>
                <c:pt idx="48">
                  <c:v>2420</c:v>
                </c:pt>
                <c:pt idx="49">
                  <c:v>5420</c:v>
                </c:pt>
                <c:pt idx="50">
                  <c:v>3620</c:v>
                </c:pt>
                <c:pt idx="51">
                  <c:v>7120</c:v>
                </c:pt>
                <c:pt idx="52">
                  <c:v>6920</c:v>
                </c:pt>
                <c:pt idx="53">
                  <c:v>11320</c:v>
                </c:pt>
                <c:pt idx="54">
                  <c:v>11820</c:v>
                </c:pt>
                <c:pt idx="55">
                  <c:v>16620</c:v>
                </c:pt>
                <c:pt idx="56">
                  <c:v>19020</c:v>
                </c:pt>
                <c:pt idx="57">
                  <c:v>16720</c:v>
                </c:pt>
                <c:pt idx="58">
                  <c:v>17320</c:v>
                </c:pt>
                <c:pt idx="59">
                  <c:v>16620</c:v>
                </c:pt>
                <c:pt idx="60">
                  <c:v>11520</c:v>
                </c:pt>
                <c:pt idx="61">
                  <c:v>9920</c:v>
                </c:pt>
                <c:pt idx="62">
                  <c:v>7620</c:v>
                </c:pt>
                <c:pt idx="63">
                  <c:v>7820</c:v>
                </c:pt>
                <c:pt idx="64">
                  <c:v>5040</c:v>
                </c:pt>
                <c:pt idx="65">
                  <c:v>5840</c:v>
                </c:pt>
                <c:pt idx="66">
                  <c:v>4240</c:v>
                </c:pt>
                <c:pt idx="67">
                  <c:v>1540</c:v>
                </c:pt>
                <c:pt idx="68">
                  <c:v>9440</c:v>
                </c:pt>
                <c:pt idx="69">
                  <c:v>6440</c:v>
                </c:pt>
                <c:pt idx="70">
                  <c:v>6540</c:v>
                </c:pt>
                <c:pt idx="71">
                  <c:v>5240</c:v>
                </c:pt>
                <c:pt idx="72">
                  <c:v>3540</c:v>
                </c:pt>
                <c:pt idx="73">
                  <c:v>1040</c:v>
                </c:pt>
                <c:pt idx="74">
                  <c:v>4540</c:v>
                </c:pt>
                <c:pt idx="75">
                  <c:v>2740</c:v>
                </c:pt>
                <c:pt idx="76">
                  <c:v>-2260</c:v>
                </c:pt>
                <c:pt idx="77">
                  <c:v>-3860</c:v>
                </c:pt>
                <c:pt idx="78">
                  <c:v>-2260</c:v>
                </c:pt>
                <c:pt idx="79">
                  <c:v>840</c:v>
                </c:pt>
                <c:pt idx="80">
                  <c:v>40</c:v>
                </c:pt>
                <c:pt idx="81">
                  <c:v>-5060</c:v>
                </c:pt>
                <c:pt idx="82">
                  <c:v>-7960</c:v>
                </c:pt>
                <c:pt idx="83">
                  <c:v>-10960</c:v>
                </c:pt>
                <c:pt idx="84">
                  <c:v>-9560</c:v>
                </c:pt>
                <c:pt idx="85">
                  <c:v>-11060</c:v>
                </c:pt>
                <c:pt idx="86">
                  <c:v>-12760</c:v>
                </c:pt>
                <c:pt idx="87">
                  <c:v>-12960</c:v>
                </c:pt>
                <c:pt idx="88">
                  <c:v>-11360</c:v>
                </c:pt>
                <c:pt idx="89">
                  <c:v>-6960</c:v>
                </c:pt>
                <c:pt idx="90">
                  <c:v>-8160</c:v>
                </c:pt>
                <c:pt idx="91">
                  <c:v>-8060</c:v>
                </c:pt>
                <c:pt idx="92">
                  <c:v>-4460</c:v>
                </c:pt>
                <c:pt idx="93">
                  <c:v>-2660</c:v>
                </c:pt>
                <c:pt idx="94">
                  <c:v>-4260</c:v>
                </c:pt>
                <c:pt idx="95">
                  <c:v>-12260</c:v>
                </c:pt>
                <c:pt idx="96">
                  <c:v>-8760</c:v>
                </c:pt>
                <c:pt idx="97">
                  <c:v>-12760</c:v>
                </c:pt>
                <c:pt idx="98">
                  <c:v>-6960</c:v>
                </c:pt>
                <c:pt idx="99">
                  <c:v>-9960</c:v>
                </c:pt>
                <c:pt idx="100">
                  <c:v>-12560</c:v>
                </c:pt>
                <c:pt idx="101">
                  <c:v>-19360</c:v>
                </c:pt>
                <c:pt idx="102">
                  <c:v>-17760</c:v>
                </c:pt>
                <c:pt idx="103">
                  <c:v>-20560</c:v>
                </c:pt>
                <c:pt idx="104">
                  <c:v>-21160</c:v>
                </c:pt>
                <c:pt idx="105">
                  <c:v>-20360</c:v>
                </c:pt>
                <c:pt idx="106">
                  <c:v>-20760</c:v>
                </c:pt>
                <c:pt idx="107">
                  <c:v>-22460</c:v>
                </c:pt>
                <c:pt idx="108">
                  <c:v>-23060</c:v>
                </c:pt>
                <c:pt idx="109">
                  <c:v>-24040</c:v>
                </c:pt>
                <c:pt idx="110">
                  <c:v>-26940</c:v>
                </c:pt>
                <c:pt idx="111">
                  <c:v>-27440</c:v>
                </c:pt>
                <c:pt idx="112">
                  <c:v>-31040</c:v>
                </c:pt>
                <c:pt idx="113">
                  <c:v>-33540</c:v>
                </c:pt>
                <c:pt idx="114">
                  <c:v>-39140</c:v>
                </c:pt>
                <c:pt idx="115">
                  <c:v>-42540</c:v>
                </c:pt>
                <c:pt idx="116">
                  <c:v>-45440</c:v>
                </c:pt>
                <c:pt idx="117">
                  <c:v>-48040</c:v>
                </c:pt>
                <c:pt idx="118">
                  <c:v>-50240</c:v>
                </c:pt>
                <c:pt idx="119">
                  <c:v>-49640</c:v>
                </c:pt>
                <c:pt idx="120">
                  <c:v>-54340</c:v>
                </c:pt>
                <c:pt idx="121">
                  <c:v>-57340</c:v>
                </c:pt>
                <c:pt idx="122">
                  <c:v>-58840</c:v>
                </c:pt>
                <c:pt idx="123">
                  <c:v>-56640</c:v>
                </c:pt>
                <c:pt idx="124">
                  <c:v>-61540</c:v>
                </c:pt>
                <c:pt idx="125">
                  <c:v>-59340</c:v>
                </c:pt>
                <c:pt idx="126">
                  <c:v>-57540</c:v>
                </c:pt>
                <c:pt idx="127">
                  <c:v>-64340</c:v>
                </c:pt>
                <c:pt idx="128">
                  <c:v>-61840</c:v>
                </c:pt>
                <c:pt idx="129">
                  <c:v>-61720</c:v>
                </c:pt>
                <c:pt idx="130">
                  <c:v>-61320</c:v>
                </c:pt>
                <c:pt idx="131">
                  <c:v>-64420</c:v>
                </c:pt>
                <c:pt idx="132">
                  <c:v>-65920</c:v>
                </c:pt>
                <c:pt idx="133">
                  <c:v>-66720</c:v>
                </c:pt>
                <c:pt idx="134">
                  <c:v>-63120</c:v>
                </c:pt>
                <c:pt idx="135">
                  <c:v>-62120</c:v>
                </c:pt>
                <c:pt idx="136">
                  <c:v>-65120</c:v>
                </c:pt>
                <c:pt idx="137">
                  <c:v>-66920</c:v>
                </c:pt>
                <c:pt idx="138">
                  <c:v>-66520</c:v>
                </c:pt>
                <c:pt idx="139">
                  <c:v>-67120</c:v>
                </c:pt>
                <c:pt idx="140">
                  <c:v>-69720</c:v>
                </c:pt>
                <c:pt idx="141">
                  <c:v>-68720</c:v>
                </c:pt>
                <c:pt idx="142">
                  <c:v>-71120</c:v>
                </c:pt>
                <c:pt idx="143">
                  <c:v>-69920</c:v>
                </c:pt>
                <c:pt idx="144">
                  <c:v>-72220</c:v>
                </c:pt>
                <c:pt idx="145">
                  <c:v>-79820</c:v>
                </c:pt>
                <c:pt idx="146">
                  <c:v>-79020</c:v>
                </c:pt>
                <c:pt idx="147">
                  <c:v>-78720</c:v>
                </c:pt>
                <c:pt idx="148">
                  <c:v>-75620</c:v>
                </c:pt>
                <c:pt idx="149">
                  <c:v>-76420</c:v>
                </c:pt>
                <c:pt idx="150">
                  <c:v>-72120</c:v>
                </c:pt>
                <c:pt idx="151">
                  <c:v>-75620</c:v>
                </c:pt>
                <c:pt idx="152">
                  <c:v>-78000</c:v>
                </c:pt>
                <c:pt idx="153">
                  <c:v>-81400</c:v>
                </c:pt>
                <c:pt idx="154">
                  <c:v>-85500</c:v>
                </c:pt>
                <c:pt idx="155">
                  <c:v>-87200</c:v>
                </c:pt>
                <c:pt idx="156">
                  <c:v>-86200</c:v>
                </c:pt>
                <c:pt idx="157">
                  <c:v>-87700</c:v>
                </c:pt>
                <c:pt idx="158">
                  <c:v>-86400</c:v>
                </c:pt>
                <c:pt idx="159">
                  <c:v>-89500</c:v>
                </c:pt>
                <c:pt idx="160">
                  <c:v>-91500</c:v>
                </c:pt>
                <c:pt idx="161">
                  <c:v>-94300</c:v>
                </c:pt>
                <c:pt idx="162">
                  <c:v>-89400</c:v>
                </c:pt>
                <c:pt idx="163">
                  <c:v>-89500</c:v>
                </c:pt>
                <c:pt idx="164">
                  <c:v>-86700</c:v>
                </c:pt>
                <c:pt idx="165">
                  <c:v>-89100</c:v>
                </c:pt>
                <c:pt idx="166">
                  <c:v>-85000</c:v>
                </c:pt>
                <c:pt idx="167">
                  <c:v>-80200</c:v>
                </c:pt>
                <c:pt idx="168">
                  <c:v>-82100</c:v>
                </c:pt>
                <c:pt idx="169">
                  <c:v>-85300</c:v>
                </c:pt>
                <c:pt idx="170">
                  <c:v>-88600</c:v>
                </c:pt>
                <c:pt idx="171">
                  <c:v>-86300</c:v>
                </c:pt>
                <c:pt idx="172">
                  <c:v>-90600</c:v>
                </c:pt>
                <c:pt idx="173">
                  <c:v>-93200</c:v>
                </c:pt>
                <c:pt idx="174">
                  <c:v>-91600</c:v>
                </c:pt>
                <c:pt idx="175">
                  <c:v>-93200</c:v>
                </c:pt>
                <c:pt idx="176">
                  <c:v>-99100</c:v>
                </c:pt>
                <c:pt idx="177">
                  <c:v>-99100</c:v>
                </c:pt>
                <c:pt idx="178">
                  <c:v>-105800</c:v>
                </c:pt>
                <c:pt idx="179">
                  <c:v>-105800</c:v>
                </c:pt>
                <c:pt idx="180">
                  <c:v>-104600</c:v>
                </c:pt>
                <c:pt idx="181">
                  <c:v>-103600</c:v>
                </c:pt>
                <c:pt idx="182">
                  <c:v>-104500</c:v>
                </c:pt>
                <c:pt idx="183">
                  <c:v>-104200</c:v>
                </c:pt>
                <c:pt idx="184">
                  <c:v>-110200</c:v>
                </c:pt>
                <c:pt idx="185">
                  <c:v>-105800</c:v>
                </c:pt>
                <c:pt idx="186">
                  <c:v>-107900</c:v>
                </c:pt>
                <c:pt idx="187">
                  <c:v>-107300</c:v>
                </c:pt>
                <c:pt idx="188">
                  <c:v>-101700</c:v>
                </c:pt>
                <c:pt idx="189">
                  <c:v>-102400</c:v>
                </c:pt>
                <c:pt idx="190">
                  <c:v>-114000</c:v>
                </c:pt>
                <c:pt idx="191">
                  <c:v>-115800</c:v>
                </c:pt>
                <c:pt idx="192">
                  <c:v>-112900</c:v>
                </c:pt>
                <c:pt idx="193">
                  <c:v>-113700</c:v>
                </c:pt>
                <c:pt idx="194">
                  <c:v>-110000</c:v>
                </c:pt>
                <c:pt idx="195">
                  <c:v>-105580</c:v>
                </c:pt>
                <c:pt idx="196">
                  <c:v>-104780</c:v>
                </c:pt>
                <c:pt idx="197">
                  <c:v>-106180</c:v>
                </c:pt>
                <c:pt idx="198">
                  <c:v>-108880</c:v>
                </c:pt>
                <c:pt idx="199">
                  <c:v>-108580</c:v>
                </c:pt>
                <c:pt idx="200">
                  <c:v>-106980</c:v>
                </c:pt>
                <c:pt idx="201">
                  <c:v>-100680</c:v>
                </c:pt>
                <c:pt idx="202">
                  <c:v>-102680</c:v>
                </c:pt>
                <c:pt idx="203">
                  <c:v>-104280</c:v>
                </c:pt>
                <c:pt idx="204">
                  <c:v>-104480</c:v>
                </c:pt>
                <c:pt idx="205">
                  <c:v>-110080</c:v>
                </c:pt>
                <c:pt idx="206">
                  <c:v>-114480</c:v>
                </c:pt>
                <c:pt idx="207">
                  <c:v>-113980</c:v>
                </c:pt>
                <c:pt idx="208">
                  <c:v>-110080</c:v>
                </c:pt>
                <c:pt idx="209">
                  <c:v>-109480</c:v>
                </c:pt>
                <c:pt idx="210">
                  <c:v>-113680</c:v>
                </c:pt>
                <c:pt idx="211">
                  <c:v>-111980</c:v>
                </c:pt>
                <c:pt idx="212">
                  <c:v>-117680</c:v>
                </c:pt>
                <c:pt idx="213">
                  <c:v>-120880</c:v>
                </c:pt>
                <c:pt idx="214">
                  <c:v>-127080</c:v>
                </c:pt>
                <c:pt idx="215">
                  <c:v>-125080</c:v>
                </c:pt>
                <c:pt idx="216">
                  <c:v>-120080</c:v>
                </c:pt>
                <c:pt idx="217">
                  <c:v>-116080</c:v>
                </c:pt>
                <c:pt idx="218">
                  <c:v>-113380</c:v>
                </c:pt>
                <c:pt idx="219">
                  <c:v>-113480</c:v>
                </c:pt>
                <c:pt idx="220">
                  <c:v>-112480</c:v>
                </c:pt>
                <c:pt idx="221">
                  <c:v>-109680</c:v>
                </c:pt>
                <c:pt idx="222">
                  <c:v>-109880</c:v>
                </c:pt>
                <c:pt idx="223">
                  <c:v>-111780</c:v>
                </c:pt>
                <c:pt idx="224">
                  <c:v>-111080</c:v>
                </c:pt>
                <c:pt idx="225">
                  <c:v>-107680</c:v>
                </c:pt>
                <c:pt idx="226">
                  <c:v>-104280</c:v>
                </c:pt>
                <c:pt idx="227">
                  <c:v>-101680</c:v>
                </c:pt>
                <c:pt idx="228">
                  <c:v>-103280</c:v>
                </c:pt>
                <c:pt idx="229">
                  <c:v>-101880</c:v>
                </c:pt>
                <c:pt idx="230">
                  <c:v>-101280</c:v>
                </c:pt>
                <c:pt idx="231">
                  <c:v>-103280</c:v>
                </c:pt>
                <c:pt idx="232">
                  <c:v>-103780</c:v>
                </c:pt>
                <c:pt idx="233">
                  <c:v>-101680</c:v>
                </c:pt>
                <c:pt idx="234">
                  <c:v>-101080</c:v>
                </c:pt>
                <c:pt idx="235">
                  <c:v>-101480</c:v>
                </c:pt>
                <c:pt idx="236">
                  <c:v>-103280</c:v>
                </c:pt>
                <c:pt idx="237">
                  <c:v>-101580</c:v>
                </c:pt>
                <c:pt idx="238">
                  <c:v>-101280</c:v>
                </c:pt>
                <c:pt idx="239">
                  <c:v>-103260</c:v>
                </c:pt>
                <c:pt idx="240">
                  <c:v>-98260</c:v>
                </c:pt>
                <c:pt idx="241">
                  <c:v>-94660</c:v>
                </c:pt>
                <c:pt idx="242">
                  <c:v>-89460</c:v>
                </c:pt>
                <c:pt idx="243">
                  <c:v>-87060</c:v>
                </c:pt>
                <c:pt idx="244">
                  <c:v>-85460</c:v>
                </c:pt>
                <c:pt idx="245">
                  <c:v>-82560</c:v>
                </c:pt>
                <c:pt idx="246">
                  <c:v>-82560</c:v>
                </c:pt>
                <c:pt idx="247">
                  <c:v>-84160</c:v>
                </c:pt>
                <c:pt idx="248">
                  <c:v>-84060</c:v>
                </c:pt>
                <c:pt idx="249">
                  <c:v>-81960</c:v>
                </c:pt>
                <c:pt idx="250">
                  <c:v>-77760</c:v>
                </c:pt>
                <c:pt idx="251">
                  <c:v>-80960</c:v>
                </c:pt>
                <c:pt idx="252">
                  <c:v>-80760</c:v>
                </c:pt>
                <c:pt idx="253">
                  <c:v>-79860</c:v>
                </c:pt>
                <c:pt idx="254">
                  <c:v>-80560</c:v>
                </c:pt>
                <c:pt idx="255">
                  <c:v>-77060</c:v>
                </c:pt>
                <c:pt idx="256">
                  <c:v>-78360</c:v>
                </c:pt>
                <c:pt idx="257">
                  <c:v>-76760</c:v>
                </c:pt>
                <c:pt idx="258">
                  <c:v>-78360</c:v>
                </c:pt>
                <c:pt idx="259">
                  <c:v>-76560</c:v>
                </c:pt>
                <c:pt idx="260">
                  <c:v>-77360</c:v>
                </c:pt>
                <c:pt idx="261">
                  <c:v>-81360</c:v>
                </c:pt>
                <c:pt idx="262">
                  <c:v>-83160</c:v>
                </c:pt>
                <c:pt idx="263">
                  <c:v>-82160</c:v>
                </c:pt>
                <c:pt idx="264">
                  <c:v>-81660</c:v>
                </c:pt>
                <c:pt idx="265">
                  <c:v>-76460</c:v>
                </c:pt>
                <c:pt idx="266">
                  <c:v>-77660</c:v>
                </c:pt>
                <c:pt idx="267">
                  <c:v>-76360</c:v>
                </c:pt>
                <c:pt idx="268">
                  <c:v>-78760</c:v>
                </c:pt>
                <c:pt idx="269">
                  <c:v>-76660</c:v>
                </c:pt>
                <c:pt idx="270">
                  <c:v>-79360</c:v>
                </c:pt>
                <c:pt idx="271">
                  <c:v>-83060</c:v>
                </c:pt>
                <c:pt idx="272">
                  <c:v>-82960</c:v>
                </c:pt>
                <c:pt idx="273">
                  <c:v>-80460</c:v>
                </c:pt>
                <c:pt idx="274">
                  <c:v>-79060</c:v>
                </c:pt>
                <c:pt idx="275">
                  <c:v>-78860</c:v>
                </c:pt>
                <c:pt idx="276">
                  <c:v>-77560</c:v>
                </c:pt>
                <c:pt idx="277">
                  <c:v>-77360</c:v>
                </c:pt>
                <c:pt idx="278">
                  <c:v>-81760</c:v>
                </c:pt>
                <c:pt idx="279">
                  <c:v>-78160</c:v>
                </c:pt>
                <c:pt idx="280">
                  <c:v>-76260</c:v>
                </c:pt>
                <c:pt idx="281">
                  <c:v>-80760</c:v>
                </c:pt>
                <c:pt idx="282">
                  <c:v>-80060</c:v>
                </c:pt>
                <c:pt idx="283">
                  <c:v>-79360</c:v>
                </c:pt>
                <c:pt idx="284">
                  <c:v>-74540</c:v>
                </c:pt>
                <c:pt idx="285">
                  <c:v>-75940</c:v>
                </c:pt>
                <c:pt idx="286">
                  <c:v>-80840</c:v>
                </c:pt>
                <c:pt idx="287">
                  <c:v>-81140</c:v>
                </c:pt>
                <c:pt idx="288">
                  <c:v>-81640</c:v>
                </c:pt>
                <c:pt idx="289">
                  <c:v>-80740</c:v>
                </c:pt>
                <c:pt idx="290">
                  <c:v>-79640</c:v>
                </c:pt>
                <c:pt idx="291">
                  <c:v>-80640</c:v>
                </c:pt>
                <c:pt idx="292">
                  <c:v>-80140</c:v>
                </c:pt>
                <c:pt idx="293">
                  <c:v>-81140</c:v>
                </c:pt>
                <c:pt idx="294">
                  <c:v>-84340</c:v>
                </c:pt>
                <c:pt idx="295">
                  <c:v>-85840</c:v>
                </c:pt>
                <c:pt idx="296">
                  <c:v>-85840</c:v>
                </c:pt>
                <c:pt idx="297">
                  <c:v>-87440</c:v>
                </c:pt>
                <c:pt idx="298">
                  <c:v>-93740</c:v>
                </c:pt>
                <c:pt idx="299">
                  <c:v>-93940</c:v>
                </c:pt>
                <c:pt idx="300">
                  <c:v>-98140</c:v>
                </c:pt>
                <c:pt idx="301">
                  <c:v>-101940</c:v>
                </c:pt>
                <c:pt idx="302">
                  <c:v>-112240</c:v>
                </c:pt>
                <c:pt idx="303">
                  <c:v>-124040</c:v>
                </c:pt>
                <c:pt idx="304">
                  <c:v>-129340</c:v>
                </c:pt>
                <c:pt idx="305">
                  <c:v>-143340</c:v>
                </c:pt>
                <c:pt idx="306">
                  <c:v>-138040</c:v>
                </c:pt>
                <c:pt idx="307">
                  <c:v>-146340</c:v>
                </c:pt>
                <c:pt idx="308">
                  <c:v>-148040</c:v>
                </c:pt>
                <c:pt idx="309">
                  <c:v>-160240</c:v>
                </c:pt>
                <c:pt idx="310">
                  <c:v>-163840</c:v>
                </c:pt>
                <c:pt idx="311">
                  <c:v>-160540</c:v>
                </c:pt>
                <c:pt idx="312">
                  <c:v>-171940</c:v>
                </c:pt>
                <c:pt idx="313">
                  <c:v>-174540</c:v>
                </c:pt>
                <c:pt idx="314">
                  <c:v>-183340</c:v>
                </c:pt>
                <c:pt idx="315">
                  <c:v>-190240</c:v>
                </c:pt>
                <c:pt idx="316">
                  <c:v>-194040</c:v>
                </c:pt>
                <c:pt idx="317">
                  <c:v>-197940</c:v>
                </c:pt>
                <c:pt idx="318">
                  <c:v>-198040</c:v>
                </c:pt>
                <c:pt idx="319">
                  <c:v>-195940</c:v>
                </c:pt>
                <c:pt idx="320">
                  <c:v>-183240</c:v>
                </c:pt>
                <c:pt idx="321">
                  <c:v>-188440</c:v>
                </c:pt>
                <c:pt idx="322">
                  <c:v>-198540</c:v>
                </c:pt>
                <c:pt idx="323">
                  <c:v>-197840</c:v>
                </c:pt>
                <c:pt idx="324">
                  <c:v>-200140</c:v>
                </c:pt>
                <c:pt idx="325">
                  <c:v>-207420</c:v>
                </c:pt>
                <c:pt idx="326">
                  <c:v>-204620</c:v>
                </c:pt>
                <c:pt idx="327">
                  <c:v>-199520</c:v>
                </c:pt>
                <c:pt idx="328">
                  <c:v>-188320</c:v>
                </c:pt>
                <c:pt idx="329">
                  <c:v>-197420</c:v>
                </c:pt>
                <c:pt idx="330">
                  <c:v>-189620</c:v>
                </c:pt>
                <c:pt idx="331">
                  <c:v>-197120</c:v>
                </c:pt>
                <c:pt idx="332">
                  <c:v>-196820</c:v>
                </c:pt>
                <c:pt idx="333">
                  <c:v>-195820</c:v>
                </c:pt>
                <c:pt idx="334">
                  <c:v>-195120</c:v>
                </c:pt>
                <c:pt idx="335">
                  <c:v>-195820</c:v>
                </c:pt>
                <c:pt idx="336">
                  <c:v>-201220</c:v>
                </c:pt>
                <c:pt idx="337">
                  <c:v>-205520</c:v>
                </c:pt>
                <c:pt idx="338">
                  <c:v>-202620</c:v>
                </c:pt>
                <c:pt idx="339">
                  <c:v>-195320</c:v>
                </c:pt>
                <c:pt idx="340">
                  <c:v>-198120</c:v>
                </c:pt>
                <c:pt idx="341">
                  <c:v>-209620</c:v>
                </c:pt>
                <c:pt idx="342">
                  <c:v>-207920</c:v>
                </c:pt>
                <c:pt idx="343">
                  <c:v>-201920</c:v>
                </c:pt>
                <c:pt idx="344">
                  <c:v>-203120</c:v>
                </c:pt>
                <c:pt idx="345">
                  <c:v>-206620</c:v>
                </c:pt>
                <c:pt idx="346">
                  <c:v>-197120</c:v>
                </c:pt>
                <c:pt idx="347">
                  <c:v>-195620</c:v>
                </c:pt>
                <c:pt idx="348">
                  <c:v>-194620</c:v>
                </c:pt>
                <c:pt idx="349">
                  <c:v>-193320</c:v>
                </c:pt>
                <c:pt idx="350">
                  <c:v>-197420</c:v>
                </c:pt>
                <c:pt idx="351">
                  <c:v>-189920</c:v>
                </c:pt>
                <c:pt idx="352">
                  <c:v>-185320</c:v>
                </c:pt>
                <c:pt idx="353">
                  <c:v>-185520</c:v>
                </c:pt>
                <c:pt idx="354">
                  <c:v>-180920</c:v>
                </c:pt>
                <c:pt idx="355">
                  <c:v>-183220</c:v>
                </c:pt>
                <c:pt idx="356">
                  <c:v>-182820</c:v>
                </c:pt>
                <c:pt idx="357">
                  <c:v>-182320</c:v>
                </c:pt>
                <c:pt idx="358">
                  <c:v>-179620</c:v>
                </c:pt>
                <c:pt idx="359">
                  <c:v>-182620</c:v>
                </c:pt>
                <c:pt idx="360">
                  <c:v>-179420</c:v>
                </c:pt>
                <c:pt idx="361">
                  <c:v>-184220</c:v>
                </c:pt>
                <c:pt idx="362">
                  <c:v>-175320</c:v>
                </c:pt>
                <c:pt idx="363">
                  <c:v>-171220</c:v>
                </c:pt>
                <c:pt idx="364">
                  <c:v>-173020</c:v>
                </c:pt>
                <c:pt idx="365">
                  <c:v>-169820</c:v>
                </c:pt>
                <c:pt idx="366">
                  <c:v>-162520</c:v>
                </c:pt>
                <c:pt idx="367">
                  <c:v>-159920</c:v>
                </c:pt>
                <c:pt idx="368">
                  <c:v>-157620</c:v>
                </c:pt>
                <c:pt idx="369">
                  <c:v>-157000</c:v>
                </c:pt>
                <c:pt idx="370">
                  <c:v>-158500</c:v>
                </c:pt>
                <c:pt idx="371">
                  <c:v>-154100</c:v>
                </c:pt>
                <c:pt idx="372">
                  <c:v>-157500</c:v>
                </c:pt>
                <c:pt idx="373">
                  <c:v>-163400</c:v>
                </c:pt>
                <c:pt idx="374">
                  <c:v>-161100</c:v>
                </c:pt>
                <c:pt idx="375">
                  <c:v>-165600</c:v>
                </c:pt>
                <c:pt idx="376">
                  <c:v>-167500</c:v>
                </c:pt>
                <c:pt idx="377">
                  <c:v>-168100</c:v>
                </c:pt>
                <c:pt idx="378">
                  <c:v>-167800</c:v>
                </c:pt>
                <c:pt idx="379">
                  <c:v>-157000</c:v>
                </c:pt>
                <c:pt idx="380">
                  <c:v>-159300</c:v>
                </c:pt>
                <c:pt idx="381">
                  <c:v>-161500</c:v>
                </c:pt>
                <c:pt idx="382">
                  <c:v>-171500</c:v>
                </c:pt>
                <c:pt idx="383">
                  <c:v>-172300</c:v>
                </c:pt>
                <c:pt idx="384">
                  <c:v>-173000</c:v>
                </c:pt>
                <c:pt idx="385">
                  <c:v>-180800</c:v>
                </c:pt>
                <c:pt idx="386">
                  <c:v>-178400</c:v>
                </c:pt>
                <c:pt idx="387">
                  <c:v>-180100</c:v>
                </c:pt>
                <c:pt idx="388">
                  <c:v>-183900</c:v>
                </c:pt>
                <c:pt idx="389">
                  <c:v>-190100</c:v>
                </c:pt>
                <c:pt idx="390">
                  <c:v>-182980</c:v>
                </c:pt>
                <c:pt idx="391">
                  <c:v>-182280</c:v>
                </c:pt>
                <c:pt idx="392">
                  <c:v>-187380</c:v>
                </c:pt>
                <c:pt idx="393">
                  <c:v>-187980</c:v>
                </c:pt>
                <c:pt idx="394">
                  <c:v>-187480</c:v>
                </c:pt>
                <c:pt idx="395">
                  <c:v>-188480</c:v>
                </c:pt>
                <c:pt idx="396">
                  <c:v>-193580</c:v>
                </c:pt>
                <c:pt idx="397">
                  <c:v>-192080</c:v>
                </c:pt>
                <c:pt idx="398">
                  <c:v>-191280</c:v>
                </c:pt>
                <c:pt idx="399">
                  <c:v>-193580</c:v>
                </c:pt>
                <c:pt idx="400">
                  <c:v>-195980</c:v>
                </c:pt>
                <c:pt idx="401">
                  <c:v>-195780</c:v>
                </c:pt>
                <c:pt idx="402">
                  <c:v>-187480</c:v>
                </c:pt>
                <c:pt idx="403">
                  <c:v>-181180</c:v>
                </c:pt>
                <c:pt idx="404">
                  <c:v>-173380</c:v>
                </c:pt>
                <c:pt idx="405">
                  <c:v>-182780</c:v>
                </c:pt>
                <c:pt idx="406">
                  <c:v>-171080</c:v>
                </c:pt>
                <c:pt idx="407">
                  <c:v>-164080</c:v>
                </c:pt>
                <c:pt idx="408">
                  <c:v>-168180</c:v>
                </c:pt>
                <c:pt idx="409">
                  <c:v>-167480</c:v>
                </c:pt>
                <c:pt idx="410">
                  <c:v>-158980</c:v>
                </c:pt>
                <c:pt idx="411">
                  <c:v>-147480</c:v>
                </c:pt>
                <c:pt idx="412">
                  <c:v>-145780</c:v>
                </c:pt>
                <c:pt idx="413">
                  <c:v>-144360</c:v>
                </c:pt>
                <c:pt idx="414">
                  <c:v>-140960</c:v>
                </c:pt>
                <c:pt idx="415">
                  <c:v>-135360</c:v>
                </c:pt>
                <c:pt idx="416">
                  <c:v>-137460</c:v>
                </c:pt>
                <c:pt idx="417">
                  <c:v>-132960</c:v>
                </c:pt>
                <c:pt idx="418">
                  <c:v>-130960</c:v>
                </c:pt>
                <c:pt idx="419">
                  <c:v>-129460</c:v>
                </c:pt>
                <c:pt idx="420">
                  <c:v>-129060</c:v>
                </c:pt>
                <c:pt idx="421">
                  <c:v>-132860</c:v>
                </c:pt>
                <c:pt idx="422">
                  <c:v>-131760</c:v>
                </c:pt>
                <c:pt idx="423">
                  <c:v>-132160</c:v>
                </c:pt>
                <c:pt idx="424">
                  <c:v>-132460</c:v>
                </c:pt>
                <c:pt idx="425">
                  <c:v>-130360</c:v>
                </c:pt>
                <c:pt idx="426">
                  <c:v>-121160</c:v>
                </c:pt>
                <c:pt idx="427">
                  <c:v>-127560</c:v>
                </c:pt>
                <c:pt idx="428">
                  <c:v>-123160</c:v>
                </c:pt>
                <c:pt idx="429">
                  <c:v>-125460</c:v>
                </c:pt>
                <c:pt idx="430">
                  <c:v>-131660</c:v>
                </c:pt>
                <c:pt idx="431">
                  <c:v>-135360</c:v>
                </c:pt>
                <c:pt idx="432">
                  <c:v>-133760</c:v>
                </c:pt>
                <c:pt idx="433">
                  <c:v>-143960</c:v>
                </c:pt>
                <c:pt idx="434">
                  <c:v>-151660</c:v>
                </c:pt>
                <c:pt idx="435">
                  <c:v>-151460</c:v>
                </c:pt>
                <c:pt idx="436">
                  <c:v>-155260</c:v>
                </c:pt>
                <c:pt idx="437">
                  <c:v>-162260</c:v>
                </c:pt>
                <c:pt idx="438">
                  <c:v>-174560</c:v>
                </c:pt>
                <c:pt idx="439">
                  <c:v>-165660</c:v>
                </c:pt>
                <c:pt idx="440">
                  <c:v>-173460</c:v>
                </c:pt>
                <c:pt idx="441">
                  <c:v>-180260</c:v>
                </c:pt>
                <c:pt idx="442">
                  <c:v>-176860</c:v>
                </c:pt>
                <c:pt idx="443">
                  <c:v>-176960</c:v>
                </c:pt>
                <c:pt idx="444">
                  <c:v>-175460</c:v>
                </c:pt>
                <c:pt idx="445">
                  <c:v>-180260</c:v>
                </c:pt>
                <c:pt idx="446">
                  <c:v>-175660</c:v>
                </c:pt>
                <c:pt idx="447">
                  <c:v>-163260</c:v>
                </c:pt>
                <c:pt idx="448">
                  <c:v>-175660</c:v>
                </c:pt>
                <c:pt idx="449">
                  <c:v>-181160</c:v>
                </c:pt>
                <c:pt idx="450">
                  <c:v>-182760</c:v>
                </c:pt>
                <c:pt idx="451">
                  <c:v>-181960</c:v>
                </c:pt>
                <c:pt idx="452">
                  <c:v>-173860</c:v>
                </c:pt>
                <c:pt idx="453">
                  <c:v>-177860</c:v>
                </c:pt>
                <c:pt idx="454">
                  <c:v>-181260</c:v>
                </c:pt>
                <c:pt idx="455">
                  <c:v>-181660</c:v>
                </c:pt>
                <c:pt idx="456">
                  <c:v>-181640</c:v>
                </c:pt>
                <c:pt idx="457">
                  <c:v>-179140</c:v>
                </c:pt>
                <c:pt idx="458">
                  <c:v>-174340</c:v>
                </c:pt>
                <c:pt idx="459">
                  <c:v>-180540</c:v>
                </c:pt>
                <c:pt idx="460">
                  <c:v>-181840</c:v>
                </c:pt>
                <c:pt idx="461">
                  <c:v>-185040</c:v>
                </c:pt>
                <c:pt idx="462">
                  <c:v>-189840</c:v>
                </c:pt>
                <c:pt idx="463">
                  <c:v>-189440</c:v>
                </c:pt>
                <c:pt idx="464">
                  <c:v>-188540</c:v>
                </c:pt>
                <c:pt idx="465">
                  <c:v>-189940</c:v>
                </c:pt>
                <c:pt idx="466">
                  <c:v>-177740</c:v>
                </c:pt>
                <c:pt idx="467">
                  <c:v>-171440</c:v>
                </c:pt>
                <c:pt idx="468">
                  <c:v>-173340</c:v>
                </c:pt>
                <c:pt idx="469">
                  <c:v>-167940</c:v>
                </c:pt>
                <c:pt idx="470">
                  <c:v>-163340</c:v>
                </c:pt>
                <c:pt idx="471">
                  <c:v>-170540</c:v>
                </c:pt>
                <c:pt idx="472">
                  <c:v>-164340</c:v>
                </c:pt>
                <c:pt idx="473">
                  <c:v>-168240</c:v>
                </c:pt>
                <c:pt idx="474">
                  <c:v>-166640</c:v>
                </c:pt>
                <c:pt idx="475">
                  <c:v>-170240</c:v>
                </c:pt>
                <c:pt idx="476">
                  <c:v>-163040</c:v>
                </c:pt>
                <c:pt idx="477">
                  <c:v>-157940</c:v>
                </c:pt>
                <c:pt idx="478">
                  <c:v>-162140</c:v>
                </c:pt>
                <c:pt idx="479">
                  <c:v>-165340</c:v>
                </c:pt>
                <c:pt idx="480">
                  <c:v>-163140</c:v>
                </c:pt>
                <c:pt idx="481">
                  <c:v>-157740</c:v>
                </c:pt>
                <c:pt idx="482">
                  <c:v>-159340</c:v>
                </c:pt>
                <c:pt idx="483">
                  <c:v>-167240</c:v>
                </c:pt>
                <c:pt idx="484">
                  <c:v>-169840</c:v>
                </c:pt>
                <c:pt idx="485">
                  <c:v>-169440</c:v>
                </c:pt>
                <c:pt idx="486">
                  <c:v>-173640</c:v>
                </c:pt>
                <c:pt idx="487">
                  <c:v>-176540</c:v>
                </c:pt>
                <c:pt idx="488">
                  <c:v>-181940</c:v>
                </c:pt>
                <c:pt idx="489">
                  <c:v>-180940</c:v>
                </c:pt>
                <c:pt idx="490">
                  <c:v>-177840</c:v>
                </c:pt>
                <c:pt idx="491">
                  <c:v>-177340</c:v>
                </c:pt>
                <c:pt idx="492">
                  <c:v>-173840</c:v>
                </c:pt>
                <c:pt idx="493">
                  <c:v>-172540</c:v>
                </c:pt>
                <c:pt idx="494">
                  <c:v>-174640</c:v>
                </c:pt>
                <c:pt idx="495">
                  <c:v>-173040</c:v>
                </c:pt>
                <c:pt idx="496">
                  <c:v>-174140</c:v>
                </c:pt>
                <c:pt idx="497">
                  <c:v>-174540</c:v>
                </c:pt>
                <c:pt idx="498">
                  <c:v>-168940</c:v>
                </c:pt>
                <c:pt idx="499">
                  <c:v>-170620</c:v>
                </c:pt>
                <c:pt idx="500">
                  <c:v>-167620</c:v>
                </c:pt>
                <c:pt idx="501">
                  <c:v>-164120</c:v>
                </c:pt>
                <c:pt idx="502">
                  <c:v>-161120</c:v>
                </c:pt>
                <c:pt idx="503">
                  <c:v>-157320</c:v>
                </c:pt>
                <c:pt idx="504">
                  <c:v>-157020</c:v>
                </c:pt>
                <c:pt idx="505">
                  <c:v>-157020</c:v>
                </c:pt>
                <c:pt idx="506">
                  <c:v>-159420</c:v>
                </c:pt>
                <c:pt idx="507">
                  <c:v>-159620</c:v>
                </c:pt>
                <c:pt idx="508">
                  <c:v>-159820</c:v>
                </c:pt>
                <c:pt idx="509">
                  <c:v>-158820</c:v>
                </c:pt>
                <c:pt idx="510">
                  <c:v>-153620</c:v>
                </c:pt>
                <c:pt idx="511">
                  <c:v>-148020</c:v>
                </c:pt>
                <c:pt idx="512">
                  <c:v>-153820</c:v>
                </c:pt>
                <c:pt idx="513">
                  <c:v>-151920</c:v>
                </c:pt>
                <c:pt idx="514">
                  <c:v>-148320</c:v>
                </c:pt>
                <c:pt idx="515">
                  <c:v>-152820</c:v>
                </c:pt>
                <c:pt idx="516">
                  <c:v>-151020</c:v>
                </c:pt>
                <c:pt idx="517">
                  <c:v>-152520</c:v>
                </c:pt>
                <c:pt idx="518">
                  <c:v>-149520</c:v>
                </c:pt>
                <c:pt idx="519">
                  <c:v>-153320</c:v>
                </c:pt>
                <c:pt idx="520">
                  <c:v>-150820</c:v>
                </c:pt>
                <c:pt idx="521">
                  <c:v>-151920</c:v>
                </c:pt>
                <c:pt idx="522">
                  <c:v>-150520</c:v>
                </c:pt>
                <c:pt idx="523">
                  <c:v>-151620</c:v>
                </c:pt>
                <c:pt idx="524">
                  <c:v>-145220</c:v>
                </c:pt>
                <c:pt idx="525">
                  <c:v>-140020</c:v>
                </c:pt>
                <c:pt idx="526">
                  <c:v>-143020</c:v>
                </c:pt>
                <c:pt idx="527">
                  <c:v>-138020</c:v>
                </c:pt>
                <c:pt idx="528">
                  <c:v>-139820</c:v>
                </c:pt>
                <c:pt idx="529">
                  <c:v>-132720</c:v>
                </c:pt>
                <c:pt idx="530">
                  <c:v>-127320</c:v>
                </c:pt>
                <c:pt idx="531">
                  <c:v>-131020</c:v>
                </c:pt>
                <c:pt idx="532">
                  <c:v>-129220</c:v>
                </c:pt>
                <c:pt idx="533">
                  <c:v>-123420</c:v>
                </c:pt>
                <c:pt idx="534">
                  <c:v>-122420</c:v>
                </c:pt>
                <c:pt idx="535">
                  <c:v>-113220</c:v>
                </c:pt>
                <c:pt idx="536">
                  <c:v>-114620</c:v>
                </c:pt>
                <c:pt idx="537">
                  <c:v>-110520</c:v>
                </c:pt>
                <c:pt idx="538">
                  <c:v>-101920</c:v>
                </c:pt>
                <c:pt idx="539">
                  <c:v>-110920</c:v>
                </c:pt>
                <c:pt idx="540">
                  <c:v>-107420</c:v>
                </c:pt>
                <c:pt idx="541">
                  <c:v>-113320</c:v>
                </c:pt>
                <c:pt idx="542">
                  <c:v>-100220</c:v>
                </c:pt>
                <c:pt idx="543">
                  <c:v>-97620</c:v>
                </c:pt>
                <c:pt idx="544">
                  <c:v>-92100</c:v>
                </c:pt>
                <c:pt idx="545">
                  <c:v>-94300</c:v>
                </c:pt>
                <c:pt idx="546">
                  <c:v>-86500</c:v>
                </c:pt>
                <c:pt idx="547">
                  <c:v>-80000</c:v>
                </c:pt>
                <c:pt idx="548">
                  <c:v>-82200</c:v>
                </c:pt>
                <c:pt idx="549">
                  <c:v>-72900</c:v>
                </c:pt>
                <c:pt idx="550">
                  <c:v>-74500</c:v>
                </c:pt>
                <c:pt idx="551">
                  <c:v>-71500</c:v>
                </c:pt>
                <c:pt idx="552">
                  <c:v>-73400</c:v>
                </c:pt>
                <c:pt idx="553">
                  <c:v>-74000</c:v>
                </c:pt>
                <c:pt idx="554">
                  <c:v>-74500</c:v>
                </c:pt>
                <c:pt idx="555">
                  <c:v>-66600</c:v>
                </c:pt>
                <c:pt idx="556">
                  <c:v>-66200</c:v>
                </c:pt>
                <c:pt idx="557">
                  <c:v>-77300</c:v>
                </c:pt>
                <c:pt idx="558">
                  <c:v>-80500</c:v>
                </c:pt>
                <c:pt idx="559">
                  <c:v>-84600</c:v>
                </c:pt>
                <c:pt idx="560">
                  <c:v>-83600</c:v>
                </c:pt>
                <c:pt idx="561">
                  <c:v>-86700</c:v>
                </c:pt>
                <c:pt idx="562">
                  <c:v>-79600</c:v>
                </c:pt>
                <c:pt idx="563">
                  <c:v>-81900</c:v>
                </c:pt>
                <c:pt idx="564">
                  <c:v>-79500</c:v>
                </c:pt>
                <c:pt idx="565">
                  <c:v>-73500</c:v>
                </c:pt>
                <c:pt idx="566">
                  <c:v>-82800</c:v>
                </c:pt>
                <c:pt idx="567">
                  <c:v>-78000</c:v>
                </c:pt>
                <c:pt idx="568">
                  <c:v>-74500</c:v>
                </c:pt>
                <c:pt idx="569">
                  <c:v>-74300</c:v>
                </c:pt>
                <c:pt idx="570">
                  <c:v>-73000</c:v>
                </c:pt>
                <c:pt idx="571">
                  <c:v>-66800</c:v>
                </c:pt>
                <c:pt idx="572">
                  <c:v>-58400</c:v>
                </c:pt>
                <c:pt idx="573">
                  <c:v>-58600</c:v>
                </c:pt>
                <c:pt idx="574">
                  <c:v>-57500</c:v>
                </c:pt>
                <c:pt idx="575">
                  <c:v>-58100</c:v>
                </c:pt>
                <c:pt idx="576">
                  <c:v>-52300</c:v>
                </c:pt>
                <c:pt idx="577">
                  <c:v>-42100</c:v>
                </c:pt>
                <c:pt idx="578">
                  <c:v>-43300</c:v>
                </c:pt>
                <c:pt idx="579">
                  <c:v>-47700</c:v>
                </c:pt>
                <c:pt idx="580">
                  <c:v>-45100</c:v>
                </c:pt>
                <c:pt idx="581">
                  <c:v>-48200</c:v>
                </c:pt>
                <c:pt idx="582">
                  <c:v>-54300</c:v>
                </c:pt>
                <c:pt idx="583">
                  <c:v>-54200</c:v>
                </c:pt>
                <c:pt idx="584">
                  <c:v>-56000</c:v>
                </c:pt>
                <c:pt idx="585">
                  <c:v>-58000</c:v>
                </c:pt>
                <c:pt idx="586">
                  <c:v>-60680</c:v>
                </c:pt>
                <c:pt idx="587">
                  <c:v>-61980</c:v>
                </c:pt>
                <c:pt idx="588">
                  <c:v>-63080</c:v>
                </c:pt>
                <c:pt idx="589">
                  <c:v>-63180</c:v>
                </c:pt>
                <c:pt idx="590">
                  <c:v>-60780</c:v>
                </c:pt>
                <c:pt idx="591">
                  <c:v>-60680</c:v>
                </c:pt>
                <c:pt idx="592">
                  <c:v>-59680</c:v>
                </c:pt>
                <c:pt idx="593">
                  <c:v>-60280</c:v>
                </c:pt>
                <c:pt idx="594">
                  <c:v>-62780</c:v>
                </c:pt>
                <c:pt idx="595">
                  <c:v>-62480</c:v>
                </c:pt>
                <c:pt idx="596">
                  <c:v>-61580</c:v>
                </c:pt>
                <c:pt idx="597">
                  <c:v>-63580</c:v>
                </c:pt>
                <c:pt idx="598">
                  <c:v>-62780</c:v>
                </c:pt>
                <c:pt idx="599">
                  <c:v>-60580</c:v>
                </c:pt>
                <c:pt idx="600">
                  <c:v>-70080</c:v>
                </c:pt>
                <c:pt idx="601">
                  <c:v>-63180</c:v>
                </c:pt>
                <c:pt idx="602">
                  <c:v>-73080</c:v>
                </c:pt>
                <c:pt idx="603">
                  <c:v>-76080</c:v>
                </c:pt>
                <c:pt idx="604">
                  <c:v>-77880</c:v>
                </c:pt>
                <c:pt idx="605">
                  <c:v>-78880</c:v>
                </c:pt>
                <c:pt idx="606">
                  <c:v>-83580</c:v>
                </c:pt>
                <c:pt idx="607">
                  <c:v>-85080</c:v>
                </c:pt>
                <c:pt idx="608">
                  <c:v>-84080</c:v>
                </c:pt>
                <c:pt idx="609">
                  <c:v>-86780</c:v>
                </c:pt>
                <c:pt idx="610">
                  <c:v>-91080</c:v>
                </c:pt>
                <c:pt idx="611">
                  <c:v>-95180</c:v>
                </c:pt>
                <c:pt idx="612">
                  <c:v>-93280</c:v>
                </c:pt>
                <c:pt idx="613">
                  <c:v>-97980</c:v>
                </c:pt>
                <c:pt idx="614">
                  <c:v>-95680</c:v>
                </c:pt>
                <c:pt idx="615">
                  <c:v>-98980</c:v>
                </c:pt>
                <c:pt idx="616">
                  <c:v>-98880</c:v>
                </c:pt>
                <c:pt idx="617">
                  <c:v>-94980</c:v>
                </c:pt>
                <c:pt idx="618">
                  <c:v>-92480</c:v>
                </c:pt>
                <c:pt idx="619">
                  <c:v>-87680</c:v>
                </c:pt>
                <c:pt idx="620">
                  <c:v>-88080</c:v>
                </c:pt>
                <c:pt idx="621">
                  <c:v>-88680</c:v>
                </c:pt>
                <c:pt idx="622">
                  <c:v>-95180</c:v>
                </c:pt>
                <c:pt idx="623">
                  <c:v>-93680</c:v>
                </c:pt>
                <c:pt idx="624">
                  <c:v>-91880</c:v>
                </c:pt>
                <c:pt idx="625">
                  <c:v>-92080</c:v>
                </c:pt>
                <c:pt idx="626">
                  <c:v>-94380</c:v>
                </c:pt>
                <c:pt idx="627">
                  <c:v>-97080</c:v>
                </c:pt>
                <c:pt idx="628">
                  <c:v>-92280</c:v>
                </c:pt>
                <c:pt idx="629">
                  <c:v>-96760</c:v>
                </c:pt>
                <c:pt idx="630">
                  <c:v>-95760</c:v>
                </c:pt>
                <c:pt idx="631">
                  <c:v>-93660</c:v>
                </c:pt>
                <c:pt idx="632">
                  <c:v>-88260</c:v>
                </c:pt>
                <c:pt idx="633">
                  <c:v>-87460</c:v>
                </c:pt>
                <c:pt idx="634">
                  <c:v>-86060</c:v>
                </c:pt>
                <c:pt idx="635">
                  <c:v>-83860</c:v>
                </c:pt>
                <c:pt idx="636">
                  <c:v>-84160</c:v>
                </c:pt>
                <c:pt idx="637">
                  <c:v>-84660</c:v>
                </c:pt>
                <c:pt idx="638">
                  <c:v>-84960</c:v>
                </c:pt>
                <c:pt idx="639">
                  <c:v>-79760</c:v>
                </c:pt>
                <c:pt idx="640">
                  <c:v>-80060</c:v>
                </c:pt>
                <c:pt idx="641">
                  <c:v>-82760</c:v>
                </c:pt>
                <c:pt idx="642">
                  <c:v>-83160</c:v>
                </c:pt>
                <c:pt idx="643">
                  <c:v>-76260</c:v>
                </c:pt>
                <c:pt idx="644">
                  <c:v>-68760</c:v>
                </c:pt>
                <c:pt idx="645">
                  <c:v>-69160</c:v>
                </c:pt>
                <c:pt idx="646">
                  <c:v>-70760</c:v>
                </c:pt>
                <c:pt idx="647">
                  <c:v>-69860</c:v>
                </c:pt>
                <c:pt idx="648">
                  <c:v>-72060</c:v>
                </c:pt>
                <c:pt idx="649">
                  <c:v>-67860</c:v>
                </c:pt>
                <c:pt idx="650">
                  <c:v>-78360</c:v>
                </c:pt>
                <c:pt idx="651">
                  <c:v>-80640</c:v>
                </c:pt>
                <c:pt idx="652">
                  <c:v>-87640</c:v>
                </c:pt>
                <c:pt idx="653">
                  <c:v>-86340</c:v>
                </c:pt>
                <c:pt idx="654">
                  <c:v>-87140</c:v>
                </c:pt>
                <c:pt idx="655">
                  <c:v>-88240</c:v>
                </c:pt>
                <c:pt idx="656">
                  <c:v>-90140</c:v>
                </c:pt>
                <c:pt idx="657">
                  <c:v>-87640</c:v>
                </c:pt>
                <c:pt idx="658">
                  <c:v>-87340</c:v>
                </c:pt>
                <c:pt idx="659">
                  <c:v>-87740</c:v>
                </c:pt>
                <c:pt idx="660">
                  <c:v>-91240</c:v>
                </c:pt>
                <c:pt idx="661">
                  <c:v>-93240</c:v>
                </c:pt>
                <c:pt idx="662">
                  <c:v>-94740</c:v>
                </c:pt>
                <c:pt idx="663">
                  <c:v>-94840</c:v>
                </c:pt>
                <c:pt idx="664">
                  <c:v>-92140</c:v>
                </c:pt>
                <c:pt idx="665">
                  <c:v>-94040</c:v>
                </c:pt>
                <c:pt idx="666">
                  <c:v>-105340</c:v>
                </c:pt>
                <c:pt idx="667">
                  <c:v>-105340</c:v>
                </c:pt>
                <c:pt idx="668">
                  <c:v>-103040</c:v>
                </c:pt>
                <c:pt idx="669">
                  <c:v>-101340</c:v>
                </c:pt>
                <c:pt idx="670">
                  <c:v>-107140</c:v>
                </c:pt>
                <c:pt idx="671">
                  <c:v>-111440</c:v>
                </c:pt>
                <c:pt idx="672">
                  <c:v>-111640</c:v>
                </c:pt>
                <c:pt idx="673">
                  <c:v>-105640</c:v>
                </c:pt>
                <c:pt idx="674">
                  <c:v>-109820</c:v>
                </c:pt>
                <c:pt idx="675">
                  <c:v>-116220</c:v>
                </c:pt>
                <c:pt idx="676">
                  <c:v>-113320</c:v>
                </c:pt>
                <c:pt idx="677">
                  <c:v>-104820</c:v>
                </c:pt>
                <c:pt idx="678">
                  <c:v>-101920</c:v>
                </c:pt>
                <c:pt idx="679">
                  <c:v>-99720</c:v>
                </c:pt>
                <c:pt idx="680">
                  <c:v>-99720</c:v>
                </c:pt>
                <c:pt idx="681">
                  <c:v>-102320</c:v>
                </c:pt>
                <c:pt idx="682">
                  <c:v>-106620</c:v>
                </c:pt>
                <c:pt idx="683">
                  <c:v>-106820</c:v>
                </c:pt>
                <c:pt idx="684">
                  <c:v>-109720</c:v>
                </c:pt>
                <c:pt idx="685">
                  <c:v>-108220</c:v>
                </c:pt>
                <c:pt idx="686">
                  <c:v>-108620</c:v>
                </c:pt>
                <c:pt idx="687">
                  <c:v>-104620</c:v>
                </c:pt>
                <c:pt idx="688">
                  <c:v>-97820</c:v>
                </c:pt>
                <c:pt idx="689">
                  <c:v>-107720</c:v>
                </c:pt>
                <c:pt idx="690">
                  <c:v>-113820</c:v>
                </c:pt>
                <c:pt idx="691">
                  <c:v>-111720</c:v>
                </c:pt>
                <c:pt idx="692">
                  <c:v>-111720</c:v>
                </c:pt>
                <c:pt idx="693">
                  <c:v>-109920</c:v>
                </c:pt>
                <c:pt idx="694">
                  <c:v>-115620</c:v>
                </c:pt>
                <c:pt idx="695">
                  <c:v>-116520</c:v>
                </c:pt>
                <c:pt idx="696">
                  <c:v>-123120</c:v>
                </c:pt>
                <c:pt idx="697">
                  <c:v>-122620</c:v>
                </c:pt>
                <c:pt idx="698">
                  <c:v>-120620</c:v>
                </c:pt>
                <c:pt idx="699">
                  <c:v>-121520</c:v>
                </c:pt>
                <c:pt idx="700">
                  <c:v>-119820</c:v>
                </c:pt>
                <c:pt idx="701">
                  <c:v>-120220</c:v>
                </c:pt>
                <c:pt idx="702">
                  <c:v>-119220</c:v>
                </c:pt>
                <c:pt idx="703">
                  <c:v>-114620</c:v>
                </c:pt>
                <c:pt idx="704">
                  <c:v>-112420</c:v>
                </c:pt>
                <c:pt idx="705">
                  <c:v>-122320</c:v>
                </c:pt>
                <c:pt idx="706">
                  <c:v>-117620</c:v>
                </c:pt>
                <c:pt idx="707">
                  <c:v>-128620</c:v>
                </c:pt>
                <c:pt idx="708">
                  <c:v>-127520</c:v>
                </c:pt>
                <c:pt idx="709">
                  <c:v>-131320</c:v>
                </c:pt>
                <c:pt idx="710">
                  <c:v>-128020</c:v>
                </c:pt>
                <c:pt idx="711">
                  <c:v>-126420</c:v>
                </c:pt>
                <c:pt idx="712">
                  <c:v>-130520</c:v>
                </c:pt>
                <c:pt idx="713">
                  <c:v>-131220</c:v>
                </c:pt>
                <c:pt idx="714">
                  <c:v>-129320</c:v>
                </c:pt>
                <c:pt idx="715">
                  <c:v>-137020</c:v>
                </c:pt>
                <c:pt idx="716">
                  <c:v>-139420</c:v>
                </c:pt>
                <c:pt idx="717">
                  <c:v>-134900</c:v>
                </c:pt>
                <c:pt idx="718">
                  <c:v>-137900</c:v>
                </c:pt>
                <c:pt idx="719">
                  <c:v>-135400</c:v>
                </c:pt>
                <c:pt idx="720">
                  <c:v>-139200</c:v>
                </c:pt>
                <c:pt idx="721">
                  <c:v>-140400</c:v>
                </c:pt>
                <c:pt idx="722">
                  <c:v>-140600</c:v>
                </c:pt>
                <c:pt idx="723">
                  <c:v>-140200</c:v>
                </c:pt>
                <c:pt idx="724">
                  <c:v>-141400</c:v>
                </c:pt>
                <c:pt idx="725">
                  <c:v>-143500</c:v>
                </c:pt>
                <c:pt idx="726">
                  <c:v>-144700</c:v>
                </c:pt>
                <c:pt idx="727">
                  <c:v>-145200</c:v>
                </c:pt>
                <c:pt idx="728">
                  <c:v>-140900</c:v>
                </c:pt>
                <c:pt idx="729">
                  <c:v>-143400</c:v>
                </c:pt>
                <c:pt idx="730">
                  <c:v>-150400</c:v>
                </c:pt>
                <c:pt idx="731">
                  <c:v>-146300</c:v>
                </c:pt>
                <c:pt idx="732">
                  <c:v>-145300</c:v>
                </c:pt>
                <c:pt idx="733">
                  <c:v>-132000</c:v>
                </c:pt>
                <c:pt idx="734">
                  <c:v>-132800</c:v>
                </c:pt>
                <c:pt idx="735">
                  <c:v>-122700</c:v>
                </c:pt>
                <c:pt idx="736">
                  <c:v>-123300</c:v>
                </c:pt>
                <c:pt idx="737">
                  <c:v>-115800</c:v>
                </c:pt>
                <c:pt idx="738">
                  <c:v>-115600</c:v>
                </c:pt>
                <c:pt idx="739">
                  <c:v>-110000</c:v>
                </c:pt>
                <c:pt idx="740">
                  <c:v>-110400</c:v>
                </c:pt>
                <c:pt idx="741">
                  <c:v>-107900</c:v>
                </c:pt>
                <c:pt idx="742">
                  <c:v>-99500</c:v>
                </c:pt>
                <c:pt idx="743">
                  <c:v>-98600</c:v>
                </c:pt>
                <c:pt idx="744">
                  <c:v>-93500</c:v>
                </c:pt>
                <c:pt idx="745">
                  <c:v>-91900</c:v>
                </c:pt>
                <c:pt idx="746">
                  <c:v>-102300</c:v>
                </c:pt>
                <c:pt idx="747">
                  <c:v>-105300</c:v>
                </c:pt>
                <c:pt idx="748">
                  <c:v>-97300</c:v>
                </c:pt>
                <c:pt idx="749">
                  <c:v>-85200</c:v>
                </c:pt>
                <c:pt idx="750">
                  <c:v>-94400</c:v>
                </c:pt>
                <c:pt idx="751">
                  <c:v>-95400</c:v>
                </c:pt>
                <c:pt idx="752">
                  <c:v>-98900</c:v>
                </c:pt>
                <c:pt idx="753">
                  <c:v>-105300</c:v>
                </c:pt>
                <c:pt idx="754">
                  <c:v>-108800</c:v>
                </c:pt>
                <c:pt idx="755">
                  <c:v>-108300</c:v>
                </c:pt>
                <c:pt idx="756">
                  <c:v>-110900</c:v>
                </c:pt>
                <c:pt idx="757">
                  <c:v>-112000</c:v>
                </c:pt>
                <c:pt idx="758">
                  <c:v>-113600</c:v>
                </c:pt>
                <c:pt idx="759">
                  <c:v>-112100</c:v>
                </c:pt>
                <c:pt idx="760">
                  <c:v>-116780</c:v>
                </c:pt>
                <c:pt idx="761">
                  <c:v>-116080</c:v>
                </c:pt>
                <c:pt idx="762">
                  <c:v>-112880</c:v>
                </c:pt>
                <c:pt idx="763">
                  <c:v>-105980</c:v>
                </c:pt>
                <c:pt idx="764">
                  <c:v>-101580</c:v>
                </c:pt>
                <c:pt idx="765">
                  <c:v>-101680</c:v>
                </c:pt>
                <c:pt idx="766">
                  <c:v>-103680</c:v>
                </c:pt>
                <c:pt idx="767">
                  <c:v>-103080</c:v>
                </c:pt>
                <c:pt idx="768">
                  <c:v>-101980</c:v>
                </c:pt>
                <c:pt idx="769">
                  <c:v>-100080</c:v>
                </c:pt>
                <c:pt idx="770">
                  <c:v>-96880</c:v>
                </c:pt>
                <c:pt idx="771">
                  <c:v>-91280</c:v>
                </c:pt>
                <c:pt idx="772">
                  <c:v>-82180</c:v>
                </c:pt>
                <c:pt idx="773">
                  <c:v>-85780</c:v>
                </c:pt>
                <c:pt idx="774">
                  <c:v>-84980</c:v>
                </c:pt>
                <c:pt idx="775">
                  <c:v>-87280</c:v>
                </c:pt>
                <c:pt idx="776">
                  <c:v>-90480</c:v>
                </c:pt>
                <c:pt idx="777">
                  <c:v>-93580</c:v>
                </c:pt>
                <c:pt idx="778">
                  <c:v>-93180</c:v>
                </c:pt>
                <c:pt idx="779">
                  <c:v>-96280</c:v>
                </c:pt>
                <c:pt idx="780">
                  <c:v>-94680</c:v>
                </c:pt>
                <c:pt idx="781">
                  <c:v>-97580</c:v>
                </c:pt>
                <c:pt idx="782">
                  <c:v>-97880</c:v>
                </c:pt>
                <c:pt idx="783">
                  <c:v>-97480</c:v>
                </c:pt>
                <c:pt idx="784">
                  <c:v>-95480</c:v>
                </c:pt>
                <c:pt idx="785">
                  <c:v>-103880</c:v>
                </c:pt>
                <c:pt idx="786">
                  <c:v>-102080</c:v>
                </c:pt>
                <c:pt idx="787">
                  <c:v>-97980</c:v>
                </c:pt>
                <c:pt idx="788">
                  <c:v>-99680</c:v>
                </c:pt>
                <c:pt idx="789">
                  <c:v>-96080</c:v>
                </c:pt>
                <c:pt idx="790">
                  <c:v>-104780</c:v>
                </c:pt>
                <c:pt idx="791">
                  <c:v>-105180</c:v>
                </c:pt>
                <c:pt idx="792">
                  <c:v>-108080</c:v>
                </c:pt>
                <c:pt idx="793">
                  <c:v>-105380</c:v>
                </c:pt>
                <c:pt idx="794">
                  <c:v>-109280</c:v>
                </c:pt>
                <c:pt idx="795">
                  <c:v>-110480</c:v>
                </c:pt>
                <c:pt idx="796">
                  <c:v>-109580</c:v>
                </c:pt>
                <c:pt idx="797">
                  <c:v>-114080</c:v>
                </c:pt>
                <c:pt idx="798">
                  <c:v>-111380</c:v>
                </c:pt>
                <c:pt idx="799">
                  <c:v>-111880</c:v>
                </c:pt>
                <c:pt idx="800">
                  <c:v>-115280</c:v>
                </c:pt>
                <c:pt idx="801">
                  <c:v>-120280</c:v>
                </c:pt>
                <c:pt idx="802">
                  <c:v>-119580</c:v>
                </c:pt>
                <c:pt idx="803">
                  <c:v>-121980</c:v>
                </c:pt>
                <c:pt idx="804">
                  <c:v>-120460</c:v>
                </c:pt>
                <c:pt idx="805">
                  <c:v>-115860</c:v>
                </c:pt>
                <c:pt idx="806">
                  <c:v>-117060</c:v>
                </c:pt>
                <c:pt idx="807">
                  <c:v>-119760</c:v>
                </c:pt>
                <c:pt idx="808">
                  <c:v>-119060</c:v>
                </c:pt>
                <c:pt idx="809">
                  <c:v>-119060</c:v>
                </c:pt>
                <c:pt idx="810">
                  <c:v>-119060</c:v>
                </c:pt>
                <c:pt idx="811">
                  <c:v>-119660</c:v>
                </c:pt>
                <c:pt idx="812">
                  <c:v>-121260</c:v>
                </c:pt>
                <c:pt idx="813">
                  <c:v>-122660</c:v>
                </c:pt>
                <c:pt idx="814">
                  <c:v>-123460</c:v>
                </c:pt>
                <c:pt idx="815">
                  <c:v>-123060</c:v>
                </c:pt>
                <c:pt idx="816">
                  <c:v>-123860</c:v>
                </c:pt>
                <c:pt idx="817">
                  <c:v>-125460</c:v>
                </c:pt>
                <c:pt idx="818">
                  <c:v>-117060</c:v>
                </c:pt>
                <c:pt idx="819">
                  <c:v>-118660</c:v>
                </c:pt>
                <c:pt idx="820">
                  <c:v>-120460</c:v>
                </c:pt>
                <c:pt idx="821">
                  <c:v>-126060</c:v>
                </c:pt>
                <c:pt idx="822">
                  <c:v>-126560</c:v>
                </c:pt>
                <c:pt idx="823">
                  <c:v>-124960</c:v>
                </c:pt>
                <c:pt idx="824">
                  <c:v>-120660</c:v>
                </c:pt>
                <c:pt idx="825">
                  <c:v>-122160</c:v>
                </c:pt>
                <c:pt idx="826">
                  <c:v>-122360</c:v>
                </c:pt>
                <c:pt idx="827">
                  <c:v>-121960</c:v>
                </c:pt>
                <c:pt idx="828">
                  <c:v>-125260</c:v>
                </c:pt>
                <c:pt idx="829">
                  <c:v>-121260</c:v>
                </c:pt>
                <c:pt idx="830">
                  <c:v>-120360</c:v>
                </c:pt>
                <c:pt idx="831">
                  <c:v>-127960</c:v>
                </c:pt>
                <c:pt idx="832">
                  <c:v>-130760</c:v>
                </c:pt>
                <c:pt idx="833">
                  <c:v>-129360</c:v>
                </c:pt>
                <c:pt idx="834">
                  <c:v>-123560</c:v>
                </c:pt>
                <c:pt idx="835">
                  <c:v>-124560</c:v>
                </c:pt>
                <c:pt idx="836">
                  <c:v>-127360</c:v>
                </c:pt>
                <c:pt idx="837">
                  <c:v>-125560</c:v>
                </c:pt>
                <c:pt idx="838">
                  <c:v>-126560</c:v>
                </c:pt>
                <c:pt idx="839">
                  <c:v>-119260</c:v>
                </c:pt>
                <c:pt idx="840">
                  <c:v>-121060</c:v>
                </c:pt>
                <c:pt idx="841">
                  <c:v>-120260</c:v>
                </c:pt>
                <c:pt idx="842">
                  <c:v>-119360</c:v>
                </c:pt>
                <c:pt idx="843">
                  <c:v>-120560</c:v>
                </c:pt>
                <c:pt idx="844">
                  <c:v>-122160</c:v>
                </c:pt>
                <c:pt idx="845">
                  <c:v>-121860</c:v>
                </c:pt>
                <c:pt idx="846">
                  <c:v>-118360</c:v>
                </c:pt>
                <c:pt idx="847">
                  <c:v>-114660</c:v>
                </c:pt>
                <c:pt idx="848">
                  <c:v>-112540</c:v>
                </c:pt>
                <c:pt idx="849">
                  <c:v>-112640</c:v>
                </c:pt>
                <c:pt idx="850">
                  <c:v>-111240</c:v>
                </c:pt>
                <c:pt idx="851">
                  <c:v>-111440</c:v>
                </c:pt>
                <c:pt idx="852">
                  <c:v>-110240</c:v>
                </c:pt>
                <c:pt idx="853">
                  <c:v>-108940</c:v>
                </c:pt>
                <c:pt idx="854">
                  <c:v>-107040</c:v>
                </c:pt>
                <c:pt idx="855">
                  <c:v>-108240</c:v>
                </c:pt>
                <c:pt idx="856">
                  <c:v>-107440</c:v>
                </c:pt>
                <c:pt idx="857">
                  <c:v>-108640</c:v>
                </c:pt>
                <c:pt idx="858">
                  <c:v>-110840</c:v>
                </c:pt>
                <c:pt idx="859">
                  <c:v>-111440</c:v>
                </c:pt>
                <c:pt idx="860">
                  <c:v>-114240</c:v>
                </c:pt>
                <c:pt idx="861">
                  <c:v>-119540</c:v>
                </c:pt>
                <c:pt idx="862">
                  <c:v>-119040</c:v>
                </c:pt>
                <c:pt idx="863">
                  <c:v>-117640</c:v>
                </c:pt>
                <c:pt idx="864">
                  <c:v>-113740</c:v>
                </c:pt>
                <c:pt idx="865">
                  <c:v>-112740</c:v>
                </c:pt>
                <c:pt idx="866">
                  <c:v>-118240</c:v>
                </c:pt>
                <c:pt idx="867">
                  <c:v>-123040</c:v>
                </c:pt>
                <c:pt idx="868">
                  <c:v>-127340</c:v>
                </c:pt>
                <c:pt idx="869">
                  <c:v>-131440</c:v>
                </c:pt>
                <c:pt idx="870">
                  <c:v>-131840</c:v>
                </c:pt>
                <c:pt idx="871">
                  <c:v>-127940</c:v>
                </c:pt>
                <c:pt idx="872">
                  <c:v>-130240</c:v>
                </c:pt>
                <c:pt idx="873">
                  <c:v>-125340</c:v>
                </c:pt>
                <c:pt idx="874">
                  <c:v>-121440</c:v>
                </c:pt>
                <c:pt idx="875">
                  <c:v>-123640</c:v>
                </c:pt>
                <c:pt idx="876">
                  <c:v>-131240</c:v>
                </c:pt>
                <c:pt idx="877">
                  <c:v>-133940</c:v>
                </c:pt>
                <c:pt idx="878">
                  <c:v>-127240</c:v>
                </c:pt>
                <c:pt idx="879">
                  <c:v>-132040</c:v>
                </c:pt>
                <c:pt idx="880">
                  <c:v>-131140</c:v>
                </c:pt>
                <c:pt idx="881">
                  <c:v>-125840</c:v>
                </c:pt>
                <c:pt idx="882">
                  <c:v>-123940</c:v>
                </c:pt>
                <c:pt idx="883">
                  <c:v>-120740</c:v>
                </c:pt>
                <c:pt idx="884">
                  <c:v>-116940</c:v>
                </c:pt>
                <c:pt idx="885">
                  <c:v>-118140</c:v>
                </c:pt>
                <c:pt idx="886">
                  <c:v>-121540</c:v>
                </c:pt>
                <c:pt idx="887">
                  <c:v>-121240</c:v>
                </c:pt>
                <c:pt idx="888">
                  <c:v>-121540</c:v>
                </c:pt>
                <c:pt idx="889">
                  <c:v>-123240</c:v>
                </c:pt>
                <c:pt idx="890">
                  <c:v>-123640</c:v>
                </c:pt>
                <c:pt idx="891">
                  <c:v>-125020</c:v>
                </c:pt>
                <c:pt idx="892">
                  <c:v>-127620</c:v>
                </c:pt>
                <c:pt idx="893">
                  <c:v>-128420</c:v>
                </c:pt>
                <c:pt idx="894">
                  <c:v>-130320</c:v>
                </c:pt>
                <c:pt idx="895">
                  <c:v>-128720</c:v>
                </c:pt>
                <c:pt idx="896">
                  <c:v>-128820</c:v>
                </c:pt>
                <c:pt idx="897">
                  <c:v>-131420</c:v>
                </c:pt>
                <c:pt idx="898">
                  <c:v>-129120</c:v>
                </c:pt>
                <c:pt idx="899">
                  <c:v>-127820</c:v>
                </c:pt>
                <c:pt idx="900">
                  <c:v>-127320</c:v>
                </c:pt>
                <c:pt idx="901">
                  <c:v>-128420</c:v>
                </c:pt>
                <c:pt idx="902">
                  <c:v>-126520</c:v>
                </c:pt>
                <c:pt idx="903">
                  <c:v>-122320</c:v>
                </c:pt>
                <c:pt idx="904">
                  <c:v>-123120</c:v>
                </c:pt>
                <c:pt idx="905">
                  <c:v>-122320</c:v>
                </c:pt>
                <c:pt idx="906">
                  <c:v>-116220</c:v>
                </c:pt>
                <c:pt idx="907">
                  <c:v>-113820</c:v>
                </c:pt>
                <c:pt idx="908">
                  <c:v>-113720</c:v>
                </c:pt>
                <c:pt idx="909">
                  <c:v>-110120</c:v>
                </c:pt>
                <c:pt idx="910">
                  <c:v>-110720</c:v>
                </c:pt>
                <c:pt idx="911">
                  <c:v>-109420</c:v>
                </c:pt>
                <c:pt idx="912">
                  <c:v>-108620</c:v>
                </c:pt>
                <c:pt idx="913">
                  <c:v>-105900</c:v>
                </c:pt>
                <c:pt idx="914">
                  <c:v>-109300</c:v>
                </c:pt>
                <c:pt idx="915">
                  <c:v>-106100</c:v>
                </c:pt>
                <c:pt idx="916">
                  <c:v>-104200</c:v>
                </c:pt>
                <c:pt idx="917">
                  <c:v>-101100</c:v>
                </c:pt>
                <c:pt idx="918">
                  <c:v>-98800</c:v>
                </c:pt>
                <c:pt idx="919">
                  <c:v>-96400</c:v>
                </c:pt>
                <c:pt idx="920">
                  <c:v>-97700</c:v>
                </c:pt>
                <c:pt idx="921">
                  <c:v>-98000</c:v>
                </c:pt>
                <c:pt idx="922">
                  <c:v>-98700</c:v>
                </c:pt>
                <c:pt idx="923">
                  <c:v>-97300</c:v>
                </c:pt>
                <c:pt idx="924">
                  <c:v>-97500</c:v>
                </c:pt>
                <c:pt idx="925">
                  <c:v>-95400</c:v>
                </c:pt>
                <c:pt idx="926">
                  <c:v>-91900</c:v>
                </c:pt>
                <c:pt idx="927">
                  <c:v>-83400</c:v>
                </c:pt>
                <c:pt idx="928">
                  <c:v>-85900</c:v>
                </c:pt>
                <c:pt idx="929">
                  <c:v>-87300</c:v>
                </c:pt>
                <c:pt idx="930">
                  <c:v>-83400</c:v>
                </c:pt>
                <c:pt idx="931">
                  <c:v>-73900</c:v>
                </c:pt>
                <c:pt idx="932">
                  <c:v>-64200</c:v>
                </c:pt>
                <c:pt idx="933">
                  <c:v>-61100</c:v>
                </c:pt>
                <c:pt idx="934">
                  <c:v>-60980</c:v>
                </c:pt>
                <c:pt idx="935">
                  <c:v>-60780</c:v>
                </c:pt>
                <c:pt idx="936">
                  <c:v>-60180</c:v>
                </c:pt>
                <c:pt idx="937">
                  <c:v>-56080</c:v>
                </c:pt>
                <c:pt idx="938">
                  <c:v>-55180</c:v>
                </c:pt>
                <c:pt idx="939">
                  <c:v>-53380</c:v>
                </c:pt>
                <c:pt idx="940">
                  <c:v>-53280</c:v>
                </c:pt>
                <c:pt idx="941">
                  <c:v>-54280</c:v>
                </c:pt>
                <c:pt idx="942">
                  <c:v>-54080</c:v>
                </c:pt>
                <c:pt idx="943">
                  <c:v>-53680</c:v>
                </c:pt>
                <c:pt idx="944">
                  <c:v>-62680</c:v>
                </c:pt>
                <c:pt idx="945">
                  <c:v>-56480</c:v>
                </c:pt>
                <c:pt idx="946">
                  <c:v>-57880</c:v>
                </c:pt>
                <c:pt idx="947">
                  <c:v>-56480</c:v>
                </c:pt>
                <c:pt idx="948">
                  <c:v>-63980</c:v>
                </c:pt>
                <c:pt idx="949">
                  <c:v>-59980</c:v>
                </c:pt>
                <c:pt idx="950">
                  <c:v>-57380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51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  <c:pt idx="908">
                  <c:v>42545</c:v>
                </c:pt>
                <c:pt idx="909">
                  <c:v>42548</c:v>
                </c:pt>
                <c:pt idx="910">
                  <c:v>42549</c:v>
                </c:pt>
                <c:pt idx="911">
                  <c:v>42550</c:v>
                </c:pt>
                <c:pt idx="912">
                  <c:v>42551</c:v>
                </c:pt>
                <c:pt idx="913">
                  <c:v>42552</c:v>
                </c:pt>
                <c:pt idx="914">
                  <c:v>42555</c:v>
                </c:pt>
                <c:pt idx="915">
                  <c:v>42556</c:v>
                </c:pt>
                <c:pt idx="916">
                  <c:v>42557</c:v>
                </c:pt>
                <c:pt idx="917">
                  <c:v>42558</c:v>
                </c:pt>
                <c:pt idx="918">
                  <c:v>42559</c:v>
                </c:pt>
                <c:pt idx="919">
                  <c:v>42562</c:v>
                </c:pt>
                <c:pt idx="920">
                  <c:v>42563</c:v>
                </c:pt>
                <c:pt idx="921">
                  <c:v>42564</c:v>
                </c:pt>
                <c:pt idx="922">
                  <c:v>42565</c:v>
                </c:pt>
                <c:pt idx="923">
                  <c:v>42566</c:v>
                </c:pt>
                <c:pt idx="924">
                  <c:v>42569</c:v>
                </c:pt>
                <c:pt idx="925">
                  <c:v>42570</c:v>
                </c:pt>
                <c:pt idx="926">
                  <c:v>42571</c:v>
                </c:pt>
                <c:pt idx="927">
                  <c:v>42572</c:v>
                </c:pt>
                <c:pt idx="928">
                  <c:v>42573</c:v>
                </c:pt>
                <c:pt idx="929">
                  <c:v>42576</c:v>
                </c:pt>
                <c:pt idx="930">
                  <c:v>42577</c:v>
                </c:pt>
                <c:pt idx="931">
                  <c:v>42578</c:v>
                </c:pt>
                <c:pt idx="932">
                  <c:v>42579</c:v>
                </c:pt>
                <c:pt idx="933">
                  <c:v>42580</c:v>
                </c:pt>
                <c:pt idx="934">
                  <c:v>42583</c:v>
                </c:pt>
                <c:pt idx="935">
                  <c:v>42584</c:v>
                </c:pt>
                <c:pt idx="936">
                  <c:v>42585</c:v>
                </c:pt>
                <c:pt idx="937">
                  <c:v>42586</c:v>
                </c:pt>
                <c:pt idx="938">
                  <c:v>42587</c:v>
                </c:pt>
                <c:pt idx="939">
                  <c:v>42590</c:v>
                </c:pt>
                <c:pt idx="940">
                  <c:v>42591</c:v>
                </c:pt>
                <c:pt idx="941">
                  <c:v>42592</c:v>
                </c:pt>
                <c:pt idx="942">
                  <c:v>42593</c:v>
                </c:pt>
                <c:pt idx="943">
                  <c:v>42594</c:v>
                </c:pt>
                <c:pt idx="944">
                  <c:v>42597</c:v>
                </c:pt>
                <c:pt idx="945">
                  <c:v>42598</c:v>
                </c:pt>
                <c:pt idx="946">
                  <c:v>42599</c:v>
                </c:pt>
                <c:pt idx="947">
                  <c:v>42600</c:v>
                </c:pt>
                <c:pt idx="948">
                  <c:v>42601</c:v>
                </c:pt>
                <c:pt idx="949">
                  <c:v>42604</c:v>
                </c:pt>
                <c:pt idx="950">
                  <c:v>42605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951"/>
                <c:pt idx="0">
                  <c:v>0</c:v>
                </c:pt>
                <c:pt idx="1">
                  <c:v>-700</c:v>
                </c:pt>
                <c:pt idx="2">
                  <c:v>2500</c:v>
                </c:pt>
                <c:pt idx="3">
                  <c:v>1400</c:v>
                </c:pt>
                <c:pt idx="4">
                  <c:v>2500</c:v>
                </c:pt>
                <c:pt idx="5">
                  <c:v>1100</c:v>
                </c:pt>
                <c:pt idx="6">
                  <c:v>-6100</c:v>
                </c:pt>
                <c:pt idx="7">
                  <c:v>-5500</c:v>
                </c:pt>
                <c:pt idx="8">
                  <c:v>-7880</c:v>
                </c:pt>
                <c:pt idx="9">
                  <c:v>1020</c:v>
                </c:pt>
                <c:pt idx="10">
                  <c:v>1120</c:v>
                </c:pt>
                <c:pt idx="11">
                  <c:v>1920</c:v>
                </c:pt>
                <c:pt idx="12">
                  <c:v>6420</c:v>
                </c:pt>
                <c:pt idx="13">
                  <c:v>1320</c:v>
                </c:pt>
                <c:pt idx="14">
                  <c:v>3920</c:v>
                </c:pt>
                <c:pt idx="15">
                  <c:v>2720</c:v>
                </c:pt>
                <c:pt idx="16">
                  <c:v>7380</c:v>
                </c:pt>
                <c:pt idx="17">
                  <c:v>30080</c:v>
                </c:pt>
                <c:pt idx="18">
                  <c:v>27060</c:v>
                </c:pt>
                <c:pt idx="19">
                  <c:v>29860</c:v>
                </c:pt>
                <c:pt idx="20">
                  <c:v>26860</c:v>
                </c:pt>
                <c:pt idx="21">
                  <c:v>29560</c:v>
                </c:pt>
                <c:pt idx="22">
                  <c:v>36160</c:v>
                </c:pt>
                <c:pt idx="23">
                  <c:v>35540</c:v>
                </c:pt>
                <c:pt idx="24">
                  <c:v>35240</c:v>
                </c:pt>
                <c:pt idx="25">
                  <c:v>41540</c:v>
                </c:pt>
                <c:pt idx="26">
                  <c:v>29620</c:v>
                </c:pt>
                <c:pt idx="27">
                  <c:v>26840</c:v>
                </c:pt>
                <c:pt idx="28">
                  <c:v>25240</c:v>
                </c:pt>
                <c:pt idx="29">
                  <c:v>24740</c:v>
                </c:pt>
                <c:pt idx="30">
                  <c:v>28840</c:v>
                </c:pt>
                <c:pt idx="31">
                  <c:v>30140</c:v>
                </c:pt>
                <c:pt idx="32">
                  <c:v>30860</c:v>
                </c:pt>
                <c:pt idx="33">
                  <c:v>29860</c:v>
                </c:pt>
                <c:pt idx="34">
                  <c:v>30460</c:v>
                </c:pt>
                <c:pt idx="35">
                  <c:v>23000</c:v>
                </c:pt>
                <c:pt idx="36">
                  <c:v>21420</c:v>
                </c:pt>
                <c:pt idx="37">
                  <c:v>23120</c:v>
                </c:pt>
                <c:pt idx="38">
                  <c:v>20820</c:v>
                </c:pt>
                <c:pt idx="39">
                  <c:v>20520</c:v>
                </c:pt>
                <c:pt idx="40">
                  <c:v>19220</c:v>
                </c:pt>
                <c:pt idx="41">
                  <c:v>18220</c:v>
                </c:pt>
                <c:pt idx="42">
                  <c:v>16720</c:v>
                </c:pt>
                <c:pt idx="43">
                  <c:v>15740</c:v>
                </c:pt>
                <c:pt idx="44">
                  <c:v>14300</c:v>
                </c:pt>
                <c:pt idx="45">
                  <c:v>9460</c:v>
                </c:pt>
                <c:pt idx="46">
                  <c:v>8860</c:v>
                </c:pt>
                <c:pt idx="47">
                  <c:v>10080</c:v>
                </c:pt>
                <c:pt idx="48">
                  <c:v>8980</c:v>
                </c:pt>
                <c:pt idx="49">
                  <c:v>10580</c:v>
                </c:pt>
                <c:pt idx="50">
                  <c:v>9920</c:v>
                </c:pt>
                <c:pt idx="51">
                  <c:v>16620</c:v>
                </c:pt>
                <c:pt idx="52">
                  <c:v>14420</c:v>
                </c:pt>
                <c:pt idx="53">
                  <c:v>24560</c:v>
                </c:pt>
                <c:pt idx="54">
                  <c:v>26860</c:v>
                </c:pt>
                <c:pt idx="55">
                  <c:v>48280</c:v>
                </c:pt>
                <c:pt idx="56">
                  <c:v>50660</c:v>
                </c:pt>
                <c:pt idx="57">
                  <c:v>43660</c:v>
                </c:pt>
                <c:pt idx="58">
                  <c:v>45860</c:v>
                </c:pt>
                <c:pt idx="59">
                  <c:v>43460</c:v>
                </c:pt>
                <c:pt idx="60">
                  <c:v>29300</c:v>
                </c:pt>
                <c:pt idx="61">
                  <c:v>28880</c:v>
                </c:pt>
                <c:pt idx="62">
                  <c:v>32160</c:v>
                </c:pt>
                <c:pt idx="63">
                  <c:v>31260</c:v>
                </c:pt>
                <c:pt idx="64">
                  <c:v>36860</c:v>
                </c:pt>
                <c:pt idx="65">
                  <c:v>32280</c:v>
                </c:pt>
                <c:pt idx="66">
                  <c:v>35780</c:v>
                </c:pt>
                <c:pt idx="67">
                  <c:v>42440</c:v>
                </c:pt>
                <c:pt idx="68">
                  <c:v>31000</c:v>
                </c:pt>
                <c:pt idx="69">
                  <c:v>33780</c:v>
                </c:pt>
                <c:pt idx="70">
                  <c:v>33340</c:v>
                </c:pt>
                <c:pt idx="71">
                  <c:v>34640</c:v>
                </c:pt>
                <c:pt idx="72">
                  <c:v>36340</c:v>
                </c:pt>
                <c:pt idx="73">
                  <c:v>38360</c:v>
                </c:pt>
                <c:pt idx="74">
                  <c:v>34380</c:v>
                </c:pt>
                <c:pt idx="75">
                  <c:v>38080</c:v>
                </c:pt>
                <c:pt idx="76">
                  <c:v>50680</c:v>
                </c:pt>
                <c:pt idx="77">
                  <c:v>54960</c:v>
                </c:pt>
                <c:pt idx="78">
                  <c:v>48140</c:v>
                </c:pt>
                <c:pt idx="79">
                  <c:v>41040</c:v>
                </c:pt>
                <c:pt idx="80">
                  <c:v>42540</c:v>
                </c:pt>
                <c:pt idx="81">
                  <c:v>56220</c:v>
                </c:pt>
                <c:pt idx="82">
                  <c:v>63120</c:v>
                </c:pt>
                <c:pt idx="83">
                  <c:v>68700</c:v>
                </c:pt>
                <c:pt idx="84">
                  <c:v>67600</c:v>
                </c:pt>
                <c:pt idx="85">
                  <c:v>69600</c:v>
                </c:pt>
                <c:pt idx="86">
                  <c:v>72600</c:v>
                </c:pt>
                <c:pt idx="87">
                  <c:v>72900</c:v>
                </c:pt>
                <c:pt idx="88">
                  <c:v>71200</c:v>
                </c:pt>
                <c:pt idx="89">
                  <c:v>64300</c:v>
                </c:pt>
                <c:pt idx="90">
                  <c:v>65860</c:v>
                </c:pt>
                <c:pt idx="91">
                  <c:v>67320</c:v>
                </c:pt>
                <c:pt idx="92">
                  <c:v>51400</c:v>
                </c:pt>
                <c:pt idx="93">
                  <c:v>42040</c:v>
                </c:pt>
                <c:pt idx="94">
                  <c:v>50460</c:v>
                </c:pt>
                <c:pt idx="95">
                  <c:v>85160</c:v>
                </c:pt>
                <c:pt idx="96">
                  <c:v>73140</c:v>
                </c:pt>
                <c:pt idx="97">
                  <c:v>79640</c:v>
                </c:pt>
                <c:pt idx="98">
                  <c:v>63360</c:v>
                </c:pt>
                <c:pt idx="99">
                  <c:v>67020</c:v>
                </c:pt>
                <c:pt idx="100">
                  <c:v>70840</c:v>
                </c:pt>
                <c:pt idx="101">
                  <c:v>92440</c:v>
                </c:pt>
                <c:pt idx="102">
                  <c:v>90280</c:v>
                </c:pt>
                <c:pt idx="103">
                  <c:v>95780</c:v>
                </c:pt>
                <c:pt idx="104">
                  <c:v>97380</c:v>
                </c:pt>
                <c:pt idx="105">
                  <c:v>95280</c:v>
                </c:pt>
                <c:pt idx="106">
                  <c:v>96380</c:v>
                </c:pt>
                <c:pt idx="107">
                  <c:v>100180</c:v>
                </c:pt>
                <c:pt idx="108">
                  <c:v>100780</c:v>
                </c:pt>
                <c:pt idx="109">
                  <c:v>103540</c:v>
                </c:pt>
                <c:pt idx="110">
                  <c:v>109140</c:v>
                </c:pt>
                <c:pt idx="111">
                  <c:v>110240</c:v>
                </c:pt>
                <c:pt idx="112">
                  <c:v>117440</c:v>
                </c:pt>
                <c:pt idx="113">
                  <c:v>122820</c:v>
                </c:pt>
                <c:pt idx="114">
                  <c:v>128420</c:v>
                </c:pt>
                <c:pt idx="115">
                  <c:v>131820</c:v>
                </c:pt>
                <c:pt idx="116">
                  <c:v>134720</c:v>
                </c:pt>
                <c:pt idx="117">
                  <c:v>137320</c:v>
                </c:pt>
                <c:pt idx="118">
                  <c:v>139040</c:v>
                </c:pt>
                <c:pt idx="119">
                  <c:v>139040</c:v>
                </c:pt>
                <c:pt idx="120">
                  <c:v>144980</c:v>
                </c:pt>
                <c:pt idx="121">
                  <c:v>147820</c:v>
                </c:pt>
                <c:pt idx="122">
                  <c:v>152120</c:v>
                </c:pt>
                <c:pt idx="123">
                  <c:v>149920</c:v>
                </c:pt>
                <c:pt idx="124">
                  <c:v>158100</c:v>
                </c:pt>
                <c:pt idx="125">
                  <c:v>155200</c:v>
                </c:pt>
                <c:pt idx="126">
                  <c:v>152700</c:v>
                </c:pt>
                <c:pt idx="127">
                  <c:v>162500</c:v>
                </c:pt>
                <c:pt idx="128">
                  <c:v>159300</c:v>
                </c:pt>
                <c:pt idx="129">
                  <c:v>159680</c:v>
                </c:pt>
                <c:pt idx="130">
                  <c:v>159960</c:v>
                </c:pt>
                <c:pt idx="131">
                  <c:v>165260</c:v>
                </c:pt>
                <c:pt idx="132">
                  <c:v>166960</c:v>
                </c:pt>
                <c:pt idx="133">
                  <c:v>167960</c:v>
                </c:pt>
                <c:pt idx="134">
                  <c:v>164160</c:v>
                </c:pt>
                <c:pt idx="135">
                  <c:v>163360</c:v>
                </c:pt>
                <c:pt idx="136">
                  <c:v>166560</c:v>
                </c:pt>
                <c:pt idx="137">
                  <c:v>168360</c:v>
                </c:pt>
                <c:pt idx="138">
                  <c:v>167960</c:v>
                </c:pt>
                <c:pt idx="139">
                  <c:v>168080</c:v>
                </c:pt>
                <c:pt idx="140">
                  <c:v>175280</c:v>
                </c:pt>
                <c:pt idx="141">
                  <c:v>172640</c:v>
                </c:pt>
                <c:pt idx="142">
                  <c:v>177240</c:v>
                </c:pt>
                <c:pt idx="143">
                  <c:v>175100</c:v>
                </c:pt>
                <c:pt idx="144">
                  <c:v>177400</c:v>
                </c:pt>
                <c:pt idx="145">
                  <c:v>185000</c:v>
                </c:pt>
                <c:pt idx="146">
                  <c:v>184200</c:v>
                </c:pt>
                <c:pt idx="147">
                  <c:v>183800</c:v>
                </c:pt>
                <c:pt idx="148">
                  <c:v>177900</c:v>
                </c:pt>
                <c:pt idx="149">
                  <c:v>179000</c:v>
                </c:pt>
                <c:pt idx="150">
                  <c:v>171100</c:v>
                </c:pt>
                <c:pt idx="151">
                  <c:v>177000</c:v>
                </c:pt>
                <c:pt idx="152">
                  <c:v>181880</c:v>
                </c:pt>
                <c:pt idx="153">
                  <c:v>188480</c:v>
                </c:pt>
                <c:pt idx="154">
                  <c:v>196680</c:v>
                </c:pt>
                <c:pt idx="155">
                  <c:v>200080</c:v>
                </c:pt>
                <c:pt idx="156">
                  <c:v>197980</c:v>
                </c:pt>
                <c:pt idx="157">
                  <c:v>200980</c:v>
                </c:pt>
                <c:pt idx="158">
                  <c:v>198380</c:v>
                </c:pt>
                <c:pt idx="159">
                  <c:v>204680</c:v>
                </c:pt>
                <c:pt idx="160">
                  <c:v>208580</c:v>
                </c:pt>
                <c:pt idx="161">
                  <c:v>213700</c:v>
                </c:pt>
                <c:pt idx="162">
                  <c:v>205560</c:v>
                </c:pt>
                <c:pt idx="163">
                  <c:v>205960</c:v>
                </c:pt>
                <c:pt idx="164">
                  <c:v>202060</c:v>
                </c:pt>
                <c:pt idx="165">
                  <c:v>205140</c:v>
                </c:pt>
                <c:pt idx="166">
                  <c:v>201500</c:v>
                </c:pt>
                <c:pt idx="167">
                  <c:v>203060</c:v>
                </c:pt>
                <c:pt idx="168">
                  <c:v>202660</c:v>
                </c:pt>
                <c:pt idx="169">
                  <c:v>203020</c:v>
                </c:pt>
                <c:pt idx="170">
                  <c:v>200720</c:v>
                </c:pt>
                <c:pt idx="171">
                  <c:v>199820</c:v>
                </c:pt>
                <c:pt idx="172">
                  <c:v>198880</c:v>
                </c:pt>
                <c:pt idx="173">
                  <c:v>206080</c:v>
                </c:pt>
                <c:pt idx="174">
                  <c:v>201420</c:v>
                </c:pt>
                <c:pt idx="175">
                  <c:v>205420</c:v>
                </c:pt>
                <c:pt idx="176">
                  <c:v>218500</c:v>
                </c:pt>
                <c:pt idx="177">
                  <c:v>215520</c:v>
                </c:pt>
                <c:pt idx="178">
                  <c:v>236620</c:v>
                </c:pt>
                <c:pt idx="179">
                  <c:v>237520</c:v>
                </c:pt>
                <c:pt idx="180">
                  <c:v>234720</c:v>
                </c:pt>
                <c:pt idx="181">
                  <c:v>232320</c:v>
                </c:pt>
                <c:pt idx="182">
                  <c:v>233820</c:v>
                </c:pt>
                <c:pt idx="183">
                  <c:v>233920</c:v>
                </c:pt>
                <c:pt idx="184">
                  <c:v>251620</c:v>
                </c:pt>
                <c:pt idx="185">
                  <c:v>240320</c:v>
                </c:pt>
                <c:pt idx="186">
                  <c:v>243920</c:v>
                </c:pt>
                <c:pt idx="187">
                  <c:v>245100</c:v>
                </c:pt>
                <c:pt idx="188">
                  <c:v>230780</c:v>
                </c:pt>
                <c:pt idx="189">
                  <c:v>232780</c:v>
                </c:pt>
                <c:pt idx="190">
                  <c:v>271320</c:v>
                </c:pt>
                <c:pt idx="191">
                  <c:v>279840</c:v>
                </c:pt>
                <c:pt idx="192">
                  <c:v>268200</c:v>
                </c:pt>
                <c:pt idx="193">
                  <c:v>270200</c:v>
                </c:pt>
                <c:pt idx="194">
                  <c:v>259000</c:v>
                </c:pt>
                <c:pt idx="195">
                  <c:v>245480</c:v>
                </c:pt>
                <c:pt idx="196">
                  <c:v>242420</c:v>
                </c:pt>
                <c:pt idx="197">
                  <c:v>245020</c:v>
                </c:pt>
                <c:pt idx="198">
                  <c:v>249720</c:v>
                </c:pt>
                <c:pt idx="199">
                  <c:v>250420</c:v>
                </c:pt>
                <c:pt idx="200">
                  <c:v>248620</c:v>
                </c:pt>
                <c:pt idx="201">
                  <c:v>237040</c:v>
                </c:pt>
                <c:pt idx="202">
                  <c:v>242460</c:v>
                </c:pt>
                <c:pt idx="203">
                  <c:v>248380</c:v>
                </c:pt>
                <c:pt idx="204">
                  <c:v>249000</c:v>
                </c:pt>
                <c:pt idx="205">
                  <c:v>265480</c:v>
                </c:pt>
                <c:pt idx="206">
                  <c:v>280680</c:v>
                </c:pt>
                <c:pt idx="207">
                  <c:v>277800</c:v>
                </c:pt>
                <c:pt idx="208">
                  <c:v>267700</c:v>
                </c:pt>
                <c:pt idx="209">
                  <c:v>266300</c:v>
                </c:pt>
                <c:pt idx="210">
                  <c:v>277700</c:v>
                </c:pt>
                <c:pt idx="211">
                  <c:v>272600</c:v>
                </c:pt>
                <c:pt idx="212">
                  <c:v>286800</c:v>
                </c:pt>
                <c:pt idx="213">
                  <c:v>295100</c:v>
                </c:pt>
                <c:pt idx="214">
                  <c:v>308080</c:v>
                </c:pt>
                <c:pt idx="215">
                  <c:v>301980</c:v>
                </c:pt>
                <c:pt idx="216">
                  <c:v>285500</c:v>
                </c:pt>
                <c:pt idx="217">
                  <c:v>272280</c:v>
                </c:pt>
                <c:pt idx="218">
                  <c:v>266040</c:v>
                </c:pt>
                <c:pt idx="219">
                  <c:v>266140</c:v>
                </c:pt>
                <c:pt idx="220">
                  <c:v>264540</c:v>
                </c:pt>
                <c:pt idx="221">
                  <c:v>258960</c:v>
                </c:pt>
                <c:pt idx="222">
                  <c:v>259760</c:v>
                </c:pt>
                <c:pt idx="223">
                  <c:v>265060</c:v>
                </c:pt>
                <c:pt idx="224">
                  <c:v>263340</c:v>
                </c:pt>
                <c:pt idx="225">
                  <c:v>251960</c:v>
                </c:pt>
                <c:pt idx="226">
                  <c:v>247340</c:v>
                </c:pt>
                <c:pt idx="227">
                  <c:v>245740</c:v>
                </c:pt>
                <c:pt idx="228">
                  <c:v>246360</c:v>
                </c:pt>
                <c:pt idx="229">
                  <c:v>245300</c:v>
                </c:pt>
                <c:pt idx="230">
                  <c:v>244200</c:v>
                </c:pt>
                <c:pt idx="231">
                  <c:v>246700</c:v>
                </c:pt>
                <c:pt idx="232">
                  <c:v>247600</c:v>
                </c:pt>
                <c:pt idx="233">
                  <c:v>243100</c:v>
                </c:pt>
                <c:pt idx="234">
                  <c:v>242300</c:v>
                </c:pt>
                <c:pt idx="235">
                  <c:v>242040</c:v>
                </c:pt>
                <c:pt idx="236">
                  <c:v>243520</c:v>
                </c:pt>
                <c:pt idx="237">
                  <c:v>241520</c:v>
                </c:pt>
                <c:pt idx="238">
                  <c:v>241720</c:v>
                </c:pt>
                <c:pt idx="239">
                  <c:v>244200</c:v>
                </c:pt>
                <c:pt idx="240">
                  <c:v>237740</c:v>
                </c:pt>
                <c:pt idx="241">
                  <c:v>239940</c:v>
                </c:pt>
                <c:pt idx="242">
                  <c:v>238900</c:v>
                </c:pt>
                <c:pt idx="243">
                  <c:v>239480</c:v>
                </c:pt>
                <c:pt idx="244">
                  <c:v>237760</c:v>
                </c:pt>
                <c:pt idx="245">
                  <c:v>237860</c:v>
                </c:pt>
                <c:pt idx="246">
                  <c:v>237860</c:v>
                </c:pt>
                <c:pt idx="247">
                  <c:v>237760</c:v>
                </c:pt>
                <c:pt idx="248">
                  <c:v>236940</c:v>
                </c:pt>
                <c:pt idx="249">
                  <c:v>236640</c:v>
                </c:pt>
                <c:pt idx="250">
                  <c:v>237740</c:v>
                </c:pt>
                <c:pt idx="251">
                  <c:v>236740</c:v>
                </c:pt>
                <c:pt idx="252">
                  <c:v>236540</c:v>
                </c:pt>
                <c:pt idx="253">
                  <c:v>236440</c:v>
                </c:pt>
                <c:pt idx="254">
                  <c:v>236140</c:v>
                </c:pt>
                <c:pt idx="255">
                  <c:v>237340</c:v>
                </c:pt>
                <c:pt idx="256">
                  <c:v>236940</c:v>
                </c:pt>
                <c:pt idx="257">
                  <c:v>237840</c:v>
                </c:pt>
                <c:pt idx="258">
                  <c:v>237140</c:v>
                </c:pt>
                <c:pt idx="259">
                  <c:v>237440</c:v>
                </c:pt>
                <c:pt idx="260">
                  <c:v>235340</c:v>
                </c:pt>
                <c:pt idx="261">
                  <c:v>232980</c:v>
                </c:pt>
                <c:pt idx="262">
                  <c:v>234660</c:v>
                </c:pt>
                <c:pt idx="263">
                  <c:v>233960</c:v>
                </c:pt>
                <c:pt idx="264">
                  <c:v>233260</c:v>
                </c:pt>
                <c:pt idx="265">
                  <c:v>230920</c:v>
                </c:pt>
                <c:pt idx="266">
                  <c:v>231820</c:v>
                </c:pt>
                <c:pt idx="267">
                  <c:v>231920</c:v>
                </c:pt>
                <c:pt idx="268">
                  <c:v>231920</c:v>
                </c:pt>
                <c:pt idx="269">
                  <c:v>232480</c:v>
                </c:pt>
                <c:pt idx="270">
                  <c:v>227620</c:v>
                </c:pt>
                <c:pt idx="271">
                  <c:v>228220</c:v>
                </c:pt>
                <c:pt idx="272">
                  <c:v>228120</c:v>
                </c:pt>
                <c:pt idx="273">
                  <c:v>225320</c:v>
                </c:pt>
                <c:pt idx="274">
                  <c:v>223820</c:v>
                </c:pt>
                <c:pt idx="275">
                  <c:v>223480</c:v>
                </c:pt>
                <c:pt idx="276">
                  <c:v>223480</c:v>
                </c:pt>
                <c:pt idx="277">
                  <c:v>223180</c:v>
                </c:pt>
                <c:pt idx="278">
                  <c:v>224680</c:v>
                </c:pt>
                <c:pt idx="279">
                  <c:v>224960</c:v>
                </c:pt>
                <c:pt idx="280">
                  <c:v>224360</c:v>
                </c:pt>
                <c:pt idx="281">
                  <c:v>225660</c:v>
                </c:pt>
                <c:pt idx="282">
                  <c:v>223660</c:v>
                </c:pt>
                <c:pt idx="283">
                  <c:v>223260</c:v>
                </c:pt>
                <c:pt idx="284">
                  <c:v>224620</c:v>
                </c:pt>
                <c:pt idx="285">
                  <c:v>223920</c:v>
                </c:pt>
                <c:pt idx="286">
                  <c:v>222260</c:v>
                </c:pt>
                <c:pt idx="287">
                  <c:v>222460</c:v>
                </c:pt>
                <c:pt idx="288">
                  <c:v>222980</c:v>
                </c:pt>
                <c:pt idx="289">
                  <c:v>222240</c:v>
                </c:pt>
                <c:pt idx="290">
                  <c:v>219400</c:v>
                </c:pt>
                <c:pt idx="291">
                  <c:v>220680</c:v>
                </c:pt>
                <c:pt idx="292">
                  <c:v>220680</c:v>
                </c:pt>
                <c:pt idx="293">
                  <c:v>220600</c:v>
                </c:pt>
                <c:pt idx="294">
                  <c:v>221600</c:v>
                </c:pt>
                <c:pt idx="295">
                  <c:v>224120</c:v>
                </c:pt>
                <c:pt idx="296">
                  <c:v>223720</c:v>
                </c:pt>
                <c:pt idx="297">
                  <c:v>229420</c:v>
                </c:pt>
                <c:pt idx="298">
                  <c:v>251160</c:v>
                </c:pt>
                <c:pt idx="299">
                  <c:v>252040</c:v>
                </c:pt>
                <c:pt idx="300">
                  <c:v>270140</c:v>
                </c:pt>
                <c:pt idx="301">
                  <c:v>281600</c:v>
                </c:pt>
                <c:pt idx="302">
                  <c:v>303300</c:v>
                </c:pt>
                <c:pt idx="303">
                  <c:v>326680</c:v>
                </c:pt>
                <c:pt idx="304">
                  <c:v>332280</c:v>
                </c:pt>
                <c:pt idx="305">
                  <c:v>347080</c:v>
                </c:pt>
                <c:pt idx="306">
                  <c:v>341080</c:v>
                </c:pt>
                <c:pt idx="307">
                  <c:v>350080</c:v>
                </c:pt>
                <c:pt idx="308">
                  <c:v>351980</c:v>
                </c:pt>
                <c:pt idx="309">
                  <c:v>364480</c:v>
                </c:pt>
                <c:pt idx="310">
                  <c:v>368080</c:v>
                </c:pt>
                <c:pt idx="311">
                  <c:v>364580</c:v>
                </c:pt>
                <c:pt idx="312">
                  <c:v>376080</c:v>
                </c:pt>
                <c:pt idx="313">
                  <c:v>378780</c:v>
                </c:pt>
                <c:pt idx="314">
                  <c:v>387680</c:v>
                </c:pt>
                <c:pt idx="315">
                  <c:v>394680</c:v>
                </c:pt>
                <c:pt idx="316">
                  <c:v>398380</c:v>
                </c:pt>
                <c:pt idx="317">
                  <c:v>402380</c:v>
                </c:pt>
                <c:pt idx="318">
                  <c:v>402480</c:v>
                </c:pt>
                <c:pt idx="319">
                  <c:v>400380</c:v>
                </c:pt>
                <c:pt idx="320">
                  <c:v>387340</c:v>
                </c:pt>
                <c:pt idx="321">
                  <c:v>392540</c:v>
                </c:pt>
                <c:pt idx="322">
                  <c:v>402520</c:v>
                </c:pt>
                <c:pt idx="323">
                  <c:v>401820</c:v>
                </c:pt>
                <c:pt idx="324">
                  <c:v>404120</c:v>
                </c:pt>
                <c:pt idx="325">
                  <c:v>411160</c:v>
                </c:pt>
                <c:pt idx="326">
                  <c:v>408360</c:v>
                </c:pt>
                <c:pt idx="327">
                  <c:v>403260</c:v>
                </c:pt>
                <c:pt idx="328">
                  <c:v>392060</c:v>
                </c:pt>
                <c:pt idx="329">
                  <c:v>401160</c:v>
                </c:pt>
                <c:pt idx="330">
                  <c:v>393360</c:v>
                </c:pt>
                <c:pt idx="331">
                  <c:v>400860</c:v>
                </c:pt>
                <c:pt idx="332">
                  <c:v>400560</c:v>
                </c:pt>
                <c:pt idx="333">
                  <c:v>399560</c:v>
                </c:pt>
                <c:pt idx="334">
                  <c:v>398380</c:v>
                </c:pt>
                <c:pt idx="335">
                  <c:v>417460</c:v>
                </c:pt>
                <c:pt idx="336">
                  <c:v>418220</c:v>
                </c:pt>
                <c:pt idx="337">
                  <c:v>418880</c:v>
                </c:pt>
                <c:pt idx="338">
                  <c:v>417980</c:v>
                </c:pt>
                <c:pt idx="339">
                  <c:v>416080</c:v>
                </c:pt>
                <c:pt idx="340">
                  <c:v>414040</c:v>
                </c:pt>
                <c:pt idx="341">
                  <c:v>425540</c:v>
                </c:pt>
                <c:pt idx="342">
                  <c:v>423840</c:v>
                </c:pt>
                <c:pt idx="343">
                  <c:v>417840</c:v>
                </c:pt>
                <c:pt idx="344">
                  <c:v>419040</c:v>
                </c:pt>
                <c:pt idx="345">
                  <c:v>422540</c:v>
                </c:pt>
                <c:pt idx="346">
                  <c:v>413040</c:v>
                </c:pt>
                <c:pt idx="347">
                  <c:v>411540</c:v>
                </c:pt>
                <c:pt idx="348">
                  <c:v>410540</c:v>
                </c:pt>
                <c:pt idx="349">
                  <c:v>409120</c:v>
                </c:pt>
                <c:pt idx="350">
                  <c:v>414320</c:v>
                </c:pt>
                <c:pt idx="351">
                  <c:v>402900</c:v>
                </c:pt>
                <c:pt idx="352">
                  <c:v>393140</c:v>
                </c:pt>
                <c:pt idx="353">
                  <c:v>393840</c:v>
                </c:pt>
                <c:pt idx="354">
                  <c:v>384280</c:v>
                </c:pt>
                <c:pt idx="355">
                  <c:v>386580</c:v>
                </c:pt>
                <c:pt idx="356">
                  <c:v>385700</c:v>
                </c:pt>
                <c:pt idx="357">
                  <c:v>383800</c:v>
                </c:pt>
                <c:pt idx="358">
                  <c:v>378900</c:v>
                </c:pt>
                <c:pt idx="359">
                  <c:v>383100</c:v>
                </c:pt>
                <c:pt idx="360">
                  <c:v>377300</c:v>
                </c:pt>
                <c:pt idx="361">
                  <c:v>384020</c:v>
                </c:pt>
                <c:pt idx="362">
                  <c:v>375120</c:v>
                </c:pt>
                <c:pt idx="363">
                  <c:v>371020</c:v>
                </c:pt>
                <c:pt idx="364">
                  <c:v>372820</c:v>
                </c:pt>
                <c:pt idx="365">
                  <c:v>369620</c:v>
                </c:pt>
                <c:pt idx="366">
                  <c:v>362320</c:v>
                </c:pt>
                <c:pt idx="367">
                  <c:v>359720</c:v>
                </c:pt>
                <c:pt idx="368">
                  <c:v>357420</c:v>
                </c:pt>
                <c:pt idx="369">
                  <c:v>356700</c:v>
                </c:pt>
                <c:pt idx="370">
                  <c:v>358300</c:v>
                </c:pt>
                <c:pt idx="371">
                  <c:v>353900</c:v>
                </c:pt>
                <c:pt idx="372">
                  <c:v>357300</c:v>
                </c:pt>
                <c:pt idx="373">
                  <c:v>363100</c:v>
                </c:pt>
                <c:pt idx="374">
                  <c:v>360800</c:v>
                </c:pt>
                <c:pt idx="375">
                  <c:v>365300</c:v>
                </c:pt>
                <c:pt idx="376">
                  <c:v>367300</c:v>
                </c:pt>
                <c:pt idx="377">
                  <c:v>367800</c:v>
                </c:pt>
                <c:pt idx="378">
                  <c:v>367120</c:v>
                </c:pt>
                <c:pt idx="379">
                  <c:v>362200</c:v>
                </c:pt>
                <c:pt idx="380">
                  <c:v>364300</c:v>
                </c:pt>
                <c:pt idx="381">
                  <c:v>366200</c:v>
                </c:pt>
                <c:pt idx="382">
                  <c:v>375280</c:v>
                </c:pt>
                <c:pt idx="383">
                  <c:v>375880</c:v>
                </c:pt>
                <c:pt idx="384">
                  <c:v>379300</c:v>
                </c:pt>
                <c:pt idx="385">
                  <c:v>427300</c:v>
                </c:pt>
                <c:pt idx="386">
                  <c:v>415940</c:v>
                </c:pt>
                <c:pt idx="387">
                  <c:v>423140</c:v>
                </c:pt>
                <c:pt idx="388">
                  <c:v>448120</c:v>
                </c:pt>
                <c:pt idx="389">
                  <c:v>490420</c:v>
                </c:pt>
                <c:pt idx="390">
                  <c:v>435220</c:v>
                </c:pt>
                <c:pt idx="391">
                  <c:v>426520</c:v>
                </c:pt>
                <c:pt idx="392">
                  <c:v>461620</c:v>
                </c:pt>
                <c:pt idx="393">
                  <c:v>466120</c:v>
                </c:pt>
                <c:pt idx="394">
                  <c:v>463920</c:v>
                </c:pt>
                <c:pt idx="395">
                  <c:v>471720</c:v>
                </c:pt>
                <c:pt idx="396">
                  <c:v>510120</c:v>
                </c:pt>
                <c:pt idx="397">
                  <c:v>493540</c:v>
                </c:pt>
                <c:pt idx="398">
                  <c:v>490240</c:v>
                </c:pt>
                <c:pt idx="399">
                  <c:v>503040</c:v>
                </c:pt>
                <c:pt idx="400">
                  <c:v>517960</c:v>
                </c:pt>
                <c:pt idx="401">
                  <c:v>510800</c:v>
                </c:pt>
                <c:pt idx="402">
                  <c:v>487740</c:v>
                </c:pt>
                <c:pt idx="403">
                  <c:v>479600</c:v>
                </c:pt>
                <c:pt idx="404">
                  <c:v>481640</c:v>
                </c:pt>
                <c:pt idx="405">
                  <c:v>472880</c:v>
                </c:pt>
                <c:pt idx="406">
                  <c:v>501280</c:v>
                </c:pt>
                <c:pt idx="407">
                  <c:v>519120</c:v>
                </c:pt>
                <c:pt idx="408">
                  <c:v>515520</c:v>
                </c:pt>
                <c:pt idx="409">
                  <c:v>517520</c:v>
                </c:pt>
                <c:pt idx="410">
                  <c:v>530780</c:v>
                </c:pt>
                <c:pt idx="411">
                  <c:v>554260</c:v>
                </c:pt>
                <c:pt idx="412">
                  <c:v>554240</c:v>
                </c:pt>
                <c:pt idx="413">
                  <c:v>554320</c:v>
                </c:pt>
                <c:pt idx="414">
                  <c:v>552320</c:v>
                </c:pt>
                <c:pt idx="415">
                  <c:v>547320</c:v>
                </c:pt>
                <c:pt idx="416">
                  <c:v>549420</c:v>
                </c:pt>
                <c:pt idx="417">
                  <c:v>544740</c:v>
                </c:pt>
                <c:pt idx="418">
                  <c:v>542940</c:v>
                </c:pt>
                <c:pt idx="419">
                  <c:v>541440</c:v>
                </c:pt>
                <c:pt idx="420">
                  <c:v>541040</c:v>
                </c:pt>
                <c:pt idx="421">
                  <c:v>544840</c:v>
                </c:pt>
                <c:pt idx="422">
                  <c:v>543460</c:v>
                </c:pt>
                <c:pt idx="423">
                  <c:v>544320</c:v>
                </c:pt>
                <c:pt idx="424">
                  <c:v>542620</c:v>
                </c:pt>
                <c:pt idx="425">
                  <c:v>540240</c:v>
                </c:pt>
                <c:pt idx="426">
                  <c:v>545340</c:v>
                </c:pt>
                <c:pt idx="427">
                  <c:v>541940</c:v>
                </c:pt>
                <c:pt idx="428">
                  <c:v>544040</c:v>
                </c:pt>
                <c:pt idx="429">
                  <c:v>543040</c:v>
                </c:pt>
                <c:pt idx="430">
                  <c:v>538300</c:v>
                </c:pt>
                <c:pt idx="431">
                  <c:v>537480</c:v>
                </c:pt>
                <c:pt idx="432">
                  <c:v>537840</c:v>
                </c:pt>
                <c:pt idx="433">
                  <c:v>541060</c:v>
                </c:pt>
                <c:pt idx="434">
                  <c:v>563240</c:v>
                </c:pt>
                <c:pt idx="435">
                  <c:v>563140</c:v>
                </c:pt>
                <c:pt idx="436">
                  <c:v>584840</c:v>
                </c:pt>
                <c:pt idx="437">
                  <c:v>624740</c:v>
                </c:pt>
                <c:pt idx="438">
                  <c:v>687720</c:v>
                </c:pt>
                <c:pt idx="439">
                  <c:v>642900</c:v>
                </c:pt>
                <c:pt idx="440">
                  <c:v>655200</c:v>
                </c:pt>
                <c:pt idx="441">
                  <c:v>665800</c:v>
                </c:pt>
                <c:pt idx="442">
                  <c:v>661700</c:v>
                </c:pt>
                <c:pt idx="443">
                  <c:v>661500</c:v>
                </c:pt>
                <c:pt idx="444">
                  <c:v>659900</c:v>
                </c:pt>
                <c:pt idx="445">
                  <c:v>666400</c:v>
                </c:pt>
                <c:pt idx="446">
                  <c:v>660800</c:v>
                </c:pt>
                <c:pt idx="447">
                  <c:v>642600</c:v>
                </c:pt>
                <c:pt idx="448">
                  <c:v>681700</c:v>
                </c:pt>
                <c:pt idx="449">
                  <c:v>700700</c:v>
                </c:pt>
                <c:pt idx="450">
                  <c:v>703000</c:v>
                </c:pt>
                <c:pt idx="451">
                  <c:v>702300</c:v>
                </c:pt>
                <c:pt idx="452">
                  <c:v>692400</c:v>
                </c:pt>
                <c:pt idx="453">
                  <c:v>696900</c:v>
                </c:pt>
                <c:pt idx="454">
                  <c:v>701900</c:v>
                </c:pt>
                <c:pt idx="455">
                  <c:v>702800</c:v>
                </c:pt>
                <c:pt idx="456">
                  <c:v>703280</c:v>
                </c:pt>
                <c:pt idx="457">
                  <c:v>700160</c:v>
                </c:pt>
                <c:pt idx="458">
                  <c:v>694260</c:v>
                </c:pt>
                <c:pt idx="459">
                  <c:v>702220</c:v>
                </c:pt>
                <c:pt idx="460">
                  <c:v>703920</c:v>
                </c:pt>
                <c:pt idx="461">
                  <c:v>707320</c:v>
                </c:pt>
                <c:pt idx="462">
                  <c:v>712220</c:v>
                </c:pt>
                <c:pt idx="463">
                  <c:v>711820</c:v>
                </c:pt>
                <c:pt idx="464">
                  <c:v>711020</c:v>
                </c:pt>
                <c:pt idx="465">
                  <c:v>711940</c:v>
                </c:pt>
                <c:pt idx="466">
                  <c:v>693560</c:v>
                </c:pt>
                <c:pt idx="467">
                  <c:v>707240</c:v>
                </c:pt>
                <c:pt idx="468">
                  <c:v>704140</c:v>
                </c:pt>
                <c:pt idx="469">
                  <c:v>716840</c:v>
                </c:pt>
                <c:pt idx="470">
                  <c:v>726040</c:v>
                </c:pt>
                <c:pt idx="471">
                  <c:v>708640</c:v>
                </c:pt>
                <c:pt idx="472">
                  <c:v>718740</c:v>
                </c:pt>
                <c:pt idx="473">
                  <c:v>707400</c:v>
                </c:pt>
                <c:pt idx="474">
                  <c:v>717600</c:v>
                </c:pt>
                <c:pt idx="475">
                  <c:v>708500</c:v>
                </c:pt>
                <c:pt idx="476">
                  <c:v>724300</c:v>
                </c:pt>
                <c:pt idx="477">
                  <c:v>744420</c:v>
                </c:pt>
                <c:pt idx="478">
                  <c:v>727180</c:v>
                </c:pt>
                <c:pt idx="479">
                  <c:v>715080</c:v>
                </c:pt>
                <c:pt idx="480">
                  <c:v>723380</c:v>
                </c:pt>
                <c:pt idx="481">
                  <c:v>742280</c:v>
                </c:pt>
                <c:pt idx="482">
                  <c:v>733380</c:v>
                </c:pt>
                <c:pt idx="483">
                  <c:v>707620</c:v>
                </c:pt>
                <c:pt idx="484">
                  <c:v>696420</c:v>
                </c:pt>
                <c:pt idx="485">
                  <c:v>695900</c:v>
                </c:pt>
                <c:pt idx="486">
                  <c:v>700700</c:v>
                </c:pt>
                <c:pt idx="487">
                  <c:v>703560</c:v>
                </c:pt>
                <c:pt idx="488">
                  <c:v>708460</c:v>
                </c:pt>
                <c:pt idx="489">
                  <c:v>707200</c:v>
                </c:pt>
                <c:pt idx="490">
                  <c:v>710300</c:v>
                </c:pt>
                <c:pt idx="491">
                  <c:v>709800</c:v>
                </c:pt>
                <c:pt idx="492">
                  <c:v>711780</c:v>
                </c:pt>
                <c:pt idx="493">
                  <c:v>713580</c:v>
                </c:pt>
                <c:pt idx="494">
                  <c:v>711340</c:v>
                </c:pt>
                <c:pt idx="495">
                  <c:v>712120</c:v>
                </c:pt>
                <c:pt idx="496">
                  <c:v>710800</c:v>
                </c:pt>
                <c:pt idx="497">
                  <c:v>709820</c:v>
                </c:pt>
                <c:pt idx="498">
                  <c:v>717740</c:v>
                </c:pt>
                <c:pt idx="499">
                  <c:v>714720</c:v>
                </c:pt>
                <c:pt idx="500">
                  <c:v>719620</c:v>
                </c:pt>
                <c:pt idx="501">
                  <c:v>729680</c:v>
                </c:pt>
                <c:pt idx="502">
                  <c:v>730980</c:v>
                </c:pt>
                <c:pt idx="503">
                  <c:v>734140</c:v>
                </c:pt>
                <c:pt idx="504">
                  <c:v>735840</c:v>
                </c:pt>
                <c:pt idx="505">
                  <c:v>735240</c:v>
                </c:pt>
                <c:pt idx="506">
                  <c:v>731340</c:v>
                </c:pt>
                <c:pt idx="507">
                  <c:v>729140</c:v>
                </c:pt>
                <c:pt idx="508">
                  <c:v>728860</c:v>
                </c:pt>
                <c:pt idx="509">
                  <c:v>727160</c:v>
                </c:pt>
                <c:pt idx="510">
                  <c:v>730720</c:v>
                </c:pt>
                <c:pt idx="511">
                  <c:v>738520</c:v>
                </c:pt>
                <c:pt idx="512">
                  <c:v>732600</c:v>
                </c:pt>
                <c:pt idx="513">
                  <c:v>731000</c:v>
                </c:pt>
                <c:pt idx="514">
                  <c:v>733280</c:v>
                </c:pt>
                <c:pt idx="515">
                  <c:v>728480</c:v>
                </c:pt>
                <c:pt idx="516">
                  <c:v>727280</c:v>
                </c:pt>
                <c:pt idx="517">
                  <c:v>724960</c:v>
                </c:pt>
                <c:pt idx="518">
                  <c:v>725440</c:v>
                </c:pt>
                <c:pt idx="519">
                  <c:v>721100</c:v>
                </c:pt>
                <c:pt idx="520">
                  <c:v>725320</c:v>
                </c:pt>
                <c:pt idx="521">
                  <c:v>724320</c:v>
                </c:pt>
                <c:pt idx="522">
                  <c:v>722660</c:v>
                </c:pt>
                <c:pt idx="523">
                  <c:v>722660</c:v>
                </c:pt>
                <c:pt idx="524">
                  <c:v>723180</c:v>
                </c:pt>
                <c:pt idx="525">
                  <c:v>727560</c:v>
                </c:pt>
                <c:pt idx="526">
                  <c:v>719360</c:v>
                </c:pt>
                <c:pt idx="527">
                  <c:v>730160</c:v>
                </c:pt>
                <c:pt idx="528">
                  <c:v>731760</c:v>
                </c:pt>
                <c:pt idx="529">
                  <c:v>741400</c:v>
                </c:pt>
                <c:pt idx="530">
                  <c:v>750100</c:v>
                </c:pt>
                <c:pt idx="531">
                  <c:v>745700</c:v>
                </c:pt>
                <c:pt idx="532">
                  <c:v>747500</c:v>
                </c:pt>
                <c:pt idx="533">
                  <c:v>755800</c:v>
                </c:pt>
                <c:pt idx="534">
                  <c:v>756900</c:v>
                </c:pt>
                <c:pt idx="535">
                  <c:v>761500</c:v>
                </c:pt>
                <c:pt idx="536">
                  <c:v>762300</c:v>
                </c:pt>
                <c:pt idx="537">
                  <c:v>759100</c:v>
                </c:pt>
                <c:pt idx="538">
                  <c:v>757400</c:v>
                </c:pt>
                <c:pt idx="539">
                  <c:v>761960</c:v>
                </c:pt>
                <c:pt idx="540">
                  <c:v>760460</c:v>
                </c:pt>
                <c:pt idx="541">
                  <c:v>763760</c:v>
                </c:pt>
                <c:pt idx="542">
                  <c:v>754860</c:v>
                </c:pt>
                <c:pt idx="543">
                  <c:v>752860</c:v>
                </c:pt>
                <c:pt idx="544">
                  <c:v>747540</c:v>
                </c:pt>
                <c:pt idx="545">
                  <c:v>749940</c:v>
                </c:pt>
                <c:pt idx="546">
                  <c:v>742140</c:v>
                </c:pt>
                <c:pt idx="547">
                  <c:v>735640</c:v>
                </c:pt>
                <c:pt idx="548">
                  <c:v>737840</c:v>
                </c:pt>
                <c:pt idx="549">
                  <c:v>728740</c:v>
                </c:pt>
                <c:pt idx="550">
                  <c:v>730340</c:v>
                </c:pt>
                <c:pt idx="551">
                  <c:v>727340</c:v>
                </c:pt>
                <c:pt idx="552">
                  <c:v>729240</c:v>
                </c:pt>
                <c:pt idx="553">
                  <c:v>729360</c:v>
                </c:pt>
                <c:pt idx="554">
                  <c:v>729540</c:v>
                </c:pt>
                <c:pt idx="555">
                  <c:v>724200</c:v>
                </c:pt>
                <c:pt idx="556">
                  <c:v>724100</c:v>
                </c:pt>
                <c:pt idx="557">
                  <c:v>731600</c:v>
                </c:pt>
                <c:pt idx="558">
                  <c:v>735380</c:v>
                </c:pt>
                <c:pt idx="559">
                  <c:v>744340</c:v>
                </c:pt>
                <c:pt idx="560">
                  <c:v>742340</c:v>
                </c:pt>
                <c:pt idx="561">
                  <c:v>745240</c:v>
                </c:pt>
                <c:pt idx="562">
                  <c:v>732600</c:v>
                </c:pt>
                <c:pt idx="563">
                  <c:v>736100</c:v>
                </c:pt>
                <c:pt idx="564">
                  <c:v>727980</c:v>
                </c:pt>
                <c:pt idx="565">
                  <c:v>717220</c:v>
                </c:pt>
                <c:pt idx="566">
                  <c:v>733000</c:v>
                </c:pt>
                <c:pt idx="567">
                  <c:v>728200</c:v>
                </c:pt>
                <c:pt idx="568">
                  <c:v>724700</c:v>
                </c:pt>
                <c:pt idx="569">
                  <c:v>724500</c:v>
                </c:pt>
                <c:pt idx="570">
                  <c:v>724380</c:v>
                </c:pt>
                <c:pt idx="571">
                  <c:v>720800</c:v>
                </c:pt>
                <c:pt idx="572">
                  <c:v>732460</c:v>
                </c:pt>
                <c:pt idx="573">
                  <c:v>730240</c:v>
                </c:pt>
                <c:pt idx="574">
                  <c:v>732600</c:v>
                </c:pt>
                <c:pt idx="575">
                  <c:v>729300</c:v>
                </c:pt>
                <c:pt idx="576">
                  <c:v>742200</c:v>
                </c:pt>
                <c:pt idx="577">
                  <c:v>734100</c:v>
                </c:pt>
                <c:pt idx="578">
                  <c:v>732300</c:v>
                </c:pt>
                <c:pt idx="579">
                  <c:v>727900</c:v>
                </c:pt>
                <c:pt idx="580">
                  <c:v>732300</c:v>
                </c:pt>
                <c:pt idx="581">
                  <c:v>721800</c:v>
                </c:pt>
                <c:pt idx="582">
                  <c:v>716580</c:v>
                </c:pt>
                <c:pt idx="583">
                  <c:v>716680</c:v>
                </c:pt>
                <c:pt idx="584">
                  <c:v>715040</c:v>
                </c:pt>
                <c:pt idx="585">
                  <c:v>714680</c:v>
                </c:pt>
                <c:pt idx="586">
                  <c:v>714360</c:v>
                </c:pt>
                <c:pt idx="587">
                  <c:v>714060</c:v>
                </c:pt>
                <c:pt idx="588">
                  <c:v>714140</c:v>
                </c:pt>
                <c:pt idx="589">
                  <c:v>714240</c:v>
                </c:pt>
                <c:pt idx="590">
                  <c:v>711840</c:v>
                </c:pt>
                <c:pt idx="591">
                  <c:v>711620</c:v>
                </c:pt>
                <c:pt idx="592">
                  <c:v>710420</c:v>
                </c:pt>
                <c:pt idx="593">
                  <c:v>711020</c:v>
                </c:pt>
                <c:pt idx="594">
                  <c:v>713520</c:v>
                </c:pt>
                <c:pt idx="595">
                  <c:v>713220</c:v>
                </c:pt>
                <c:pt idx="596">
                  <c:v>711840</c:v>
                </c:pt>
                <c:pt idx="597">
                  <c:v>729000</c:v>
                </c:pt>
                <c:pt idx="598">
                  <c:v>725560</c:v>
                </c:pt>
                <c:pt idx="599">
                  <c:v>718020</c:v>
                </c:pt>
                <c:pt idx="600">
                  <c:v>732300</c:v>
                </c:pt>
                <c:pt idx="601">
                  <c:v>718400</c:v>
                </c:pt>
                <c:pt idx="602">
                  <c:v>739500</c:v>
                </c:pt>
                <c:pt idx="603">
                  <c:v>746700</c:v>
                </c:pt>
                <c:pt idx="604">
                  <c:v>751100</c:v>
                </c:pt>
                <c:pt idx="605">
                  <c:v>753700</c:v>
                </c:pt>
                <c:pt idx="606">
                  <c:v>766000</c:v>
                </c:pt>
                <c:pt idx="607">
                  <c:v>766700</c:v>
                </c:pt>
                <c:pt idx="608">
                  <c:v>766100</c:v>
                </c:pt>
                <c:pt idx="609">
                  <c:v>772400</c:v>
                </c:pt>
                <c:pt idx="610">
                  <c:v>781700</c:v>
                </c:pt>
                <c:pt idx="611">
                  <c:v>794800</c:v>
                </c:pt>
                <c:pt idx="612">
                  <c:v>789700</c:v>
                </c:pt>
                <c:pt idx="613">
                  <c:v>802800</c:v>
                </c:pt>
                <c:pt idx="614">
                  <c:v>797100</c:v>
                </c:pt>
                <c:pt idx="615">
                  <c:v>807000</c:v>
                </c:pt>
                <c:pt idx="616">
                  <c:v>805700</c:v>
                </c:pt>
                <c:pt idx="617">
                  <c:v>796000</c:v>
                </c:pt>
                <c:pt idx="618">
                  <c:v>786860</c:v>
                </c:pt>
                <c:pt idx="619">
                  <c:v>771320</c:v>
                </c:pt>
                <c:pt idx="620">
                  <c:v>771080</c:v>
                </c:pt>
                <c:pt idx="621">
                  <c:v>771680</c:v>
                </c:pt>
                <c:pt idx="622">
                  <c:v>777940</c:v>
                </c:pt>
                <c:pt idx="623">
                  <c:v>776440</c:v>
                </c:pt>
                <c:pt idx="624">
                  <c:v>773040</c:v>
                </c:pt>
                <c:pt idx="625">
                  <c:v>773440</c:v>
                </c:pt>
                <c:pt idx="626">
                  <c:v>777840</c:v>
                </c:pt>
                <c:pt idx="627">
                  <c:v>783040</c:v>
                </c:pt>
                <c:pt idx="628">
                  <c:v>774840</c:v>
                </c:pt>
                <c:pt idx="629">
                  <c:v>782920</c:v>
                </c:pt>
                <c:pt idx="630">
                  <c:v>781420</c:v>
                </c:pt>
                <c:pt idx="631">
                  <c:v>778020</c:v>
                </c:pt>
                <c:pt idx="632">
                  <c:v>768120</c:v>
                </c:pt>
                <c:pt idx="633">
                  <c:v>766520</c:v>
                </c:pt>
                <c:pt idx="634">
                  <c:v>765120</c:v>
                </c:pt>
                <c:pt idx="635">
                  <c:v>762920</c:v>
                </c:pt>
                <c:pt idx="636">
                  <c:v>763220</c:v>
                </c:pt>
                <c:pt idx="637">
                  <c:v>763720</c:v>
                </c:pt>
                <c:pt idx="638">
                  <c:v>763540</c:v>
                </c:pt>
                <c:pt idx="639">
                  <c:v>754920</c:v>
                </c:pt>
                <c:pt idx="640">
                  <c:v>753520</c:v>
                </c:pt>
                <c:pt idx="641">
                  <c:v>752280</c:v>
                </c:pt>
                <c:pt idx="642">
                  <c:v>751800</c:v>
                </c:pt>
                <c:pt idx="643">
                  <c:v>759340</c:v>
                </c:pt>
                <c:pt idx="644">
                  <c:v>780940</c:v>
                </c:pt>
                <c:pt idx="645">
                  <c:v>774740</c:v>
                </c:pt>
                <c:pt idx="646">
                  <c:v>773400</c:v>
                </c:pt>
                <c:pt idx="647">
                  <c:v>772600</c:v>
                </c:pt>
                <c:pt idx="648">
                  <c:v>768900</c:v>
                </c:pt>
                <c:pt idx="649">
                  <c:v>776300</c:v>
                </c:pt>
                <c:pt idx="650">
                  <c:v>757960</c:v>
                </c:pt>
                <c:pt idx="651">
                  <c:v>754460</c:v>
                </c:pt>
                <c:pt idx="652">
                  <c:v>756060</c:v>
                </c:pt>
                <c:pt idx="653">
                  <c:v>752960</c:v>
                </c:pt>
                <c:pt idx="654">
                  <c:v>754960</c:v>
                </c:pt>
                <c:pt idx="655">
                  <c:v>759260</c:v>
                </c:pt>
                <c:pt idx="656">
                  <c:v>764440</c:v>
                </c:pt>
                <c:pt idx="657">
                  <c:v>757720</c:v>
                </c:pt>
                <c:pt idx="658">
                  <c:v>755620</c:v>
                </c:pt>
                <c:pt idx="659">
                  <c:v>756820</c:v>
                </c:pt>
                <c:pt idx="660">
                  <c:v>766320</c:v>
                </c:pt>
                <c:pt idx="661">
                  <c:v>769160</c:v>
                </c:pt>
                <c:pt idx="662">
                  <c:v>775020</c:v>
                </c:pt>
                <c:pt idx="663">
                  <c:v>770620</c:v>
                </c:pt>
                <c:pt idx="664">
                  <c:v>759620</c:v>
                </c:pt>
                <c:pt idx="665">
                  <c:v>767020</c:v>
                </c:pt>
                <c:pt idx="666">
                  <c:v>800100</c:v>
                </c:pt>
                <c:pt idx="667">
                  <c:v>799580</c:v>
                </c:pt>
                <c:pt idx="668">
                  <c:v>792780</c:v>
                </c:pt>
                <c:pt idx="669">
                  <c:v>789860</c:v>
                </c:pt>
                <c:pt idx="670">
                  <c:v>800460</c:v>
                </c:pt>
                <c:pt idx="671">
                  <c:v>806360</c:v>
                </c:pt>
                <c:pt idx="672">
                  <c:v>806760</c:v>
                </c:pt>
                <c:pt idx="673">
                  <c:v>799360</c:v>
                </c:pt>
                <c:pt idx="674">
                  <c:v>804940</c:v>
                </c:pt>
                <c:pt idx="675">
                  <c:v>812340</c:v>
                </c:pt>
                <c:pt idx="676">
                  <c:v>809440</c:v>
                </c:pt>
                <c:pt idx="677">
                  <c:v>798340</c:v>
                </c:pt>
                <c:pt idx="678">
                  <c:v>794440</c:v>
                </c:pt>
                <c:pt idx="679">
                  <c:v>792800</c:v>
                </c:pt>
                <c:pt idx="680">
                  <c:v>792700</c:v>
                </c:pt>
                <c:pt idx="681">
                  <c:v>797000</c:v>
                </c:pt>
                <c:pt idx="682">
                  <c:v>801140</c:v>
                </c:pt>
                <c:pt idx="683">
                  <c:v>801660</c:v>
                </c:pt>
                <c:pt idx="684">
                  <c:v>810380</c:v>
                </c:pt>
                <c:pt idx="685">
                  <c:v>805880</c:v>
                </c:pt>
                <c:pt idx="686">
                  <c:v>804480</c:v>
                </c:pt>
                <c:pt idx="687">
                  <c:v>797060</c:v>
                </c:pt>
                <c:pt idx="688">
                  <c:v>787420</c:v>
                </c:pt>
                <c:pt idx="689">
                  <c:v>771720</c:v>
                </c:pt>
                <c:pt idx="690">
                  <c:v>772460</c:v>
                </c:pt>
                <c:pt idx="691">
                  <c:v>769360</c:v>
                </c:pt>
                <c:pt idx="692">
                  <c:v>769060</c:v>
                </c:pt>
                <c:pt idx="693">
                  <c:v>765860</c:v>
                </c:pt>
                <c:pt idx="694">
                  <c:v>774760</c:v>
                </c:pt>
                <c:pt idx="695">
                  <c:v>776140</c:v>
                </c:pt>
                <c:pt idx="696">
                  <c:v>789740</c:v>
                </c:pt>
                <c:pt idx="697">
                  <c:v>789340</c:v>
                </c:pt>
                <c:pt idx="698">
                  <c:v>785440</c:v>
                </c:pt>
                <c:pt idx="699">
                  <c:v>787140</c:v>
                </c:pt>
                <c:pt idx="700">
                  <c:v>784440</c:v>
                </c:pt>
                <c:pt idx="701">
                  <c:v>785940</c:v>
                </c:pt>
                <c:pt idx="702">
                  <c:v>783440</c:v>
                </c:pt>
                <c:pt idx="703">
                  <c:v>776460</c:v>
                </c:pt>
                <c:pt idx="704">
                  <c:v>769140</c:v>
                </c:pt>
                <c:pt idx="705">
                  <c:v>785760</c:v>
                </c:pt>
                <c:pt idx="706">
                  <c:v>768960</c:v>
                </c:pt>
                <c:pt idx="707">
                  <c:v>805840</c:v>
                </c:pt>
                <c:pt idx="708">
                  <c:v>802060</c:v>
                </c:pt>
                <c:pt idx="709">
                  <c:v>822460</c:v>
                </c:pt>
                <c:pt idx="710">
                  <c:v>803260</c:v>
                </c:pt>
                <c:pt idx="711">
                  <c:v>795360</c:v>
                </c:pt>
                <c:pt idx="712">
                  <c:v>822940</c:v>
                </c:pt>
                <c:pt idx="713">
                  <c:v>834740</c:v>
                </c:pt>
                <c:pt idx="714">
                  <c:v>818040</c:v>
                </c:pt>
                <c:pt idx="715">
                  <c:v>871940</c:v>
                </c:pt>
                <c:pt idx="716">
                  <c:v>887240</c:v>
                </c:pt>
                <c:pt idx="717">
                  <c:v>858620</c:v>
                </c:pt>
                <c:pt idx="718">
                  <c:v>879420</c:v>
                </c:pt>
                <c:pt idx="719">
                  <c:v>863120</c:v>
                </c:pt>
                <c:pt idx="720">
                  <c:v>889320</c:v>
                </c:pt>
                <c:pt idx="721">
                  <c:v>897720</c:v>
                </c:pt>
                <c:pt idx="722">
                  <c:v>900520</c:v>
                </c:pt>
                <c:pt idx="723">
                  <c:v>898420</c:v>
                </c:pt>
                <c:pt idx="724">
                  <c:v>906120</c:v>
                </c:pt>
                <c:pt idx="725">
                  <c:v>920220</c:v>
                </c:pt>
                <c:pt idx="726">
                  <c:v>929320</c:v>
                </c:pt>
                <c:pt idx="727">
                  <c:v>927740</c:v>
                </c:pt>
                <c:pt idx="728">
                  <c:v>913120</c:v>
                </c:pt>
                <c:pt idx="729">
                  <c:v>916200</c:v>
                </c:pt>
                <c:pt idx="730">
                  <c:v>939640</c:v>
                </c:pt>
                <c:pt idx="731">
                  <c:v>928600</c:v>
                </c:pt>
                <c:pt idx="732">
                  <c:v>923000</c:v>
                </c:pt>
                <c:pt idx="733">
                  <c:v>904860</c:v>
                </c:pt>
                <c:pt idx="734">
                  <c:v>906160</c:v>
                </c:pt>
                <c:pt idx="735">
                  <c:v>912720</c:v>
                </c:pt>
                <c:pt idx="736">
                  <c:v>910480</c:v>
                </c:pt>
                <c:pt idx="737">
                  <c:v>919980</c:v>
                </c:pt>
                <c:pt idx="738">
                  <c:v>923480</c:v>
                </c:pt>
                <c:pt idx="739">
                  <c:v>925560</c:v>
                </c:pt>
                <c:pt idx="740">
                  <c:v>927820</c:v>
                </c:pt>
                <c:pt idx="741">
                  <c:v>927200</c:v>
                </c:pt>
                <c:pt idx="742">
                  <c:v>936800</c:v>
                </c:pt>
                <c:pt idx="743">
                  <c:v>938260</c:v>
                </c:pt>
                <c:pt idx="744">
                  <c:v>939560</c:v>
                </c:pt>
                <c:pt idx="745">
                  <c:v>937440</c:v>
                </c:pt>
                <c:pt idx="746">
                  <c:v>941900</c:v>
                </c:pt>
                <c:pt idx="747">
                  <c:v>942900</c:v>
                </c:pt>
                <c:pt idx="748">
                  <c:v>942300</c:v>
                </c:pt>
                <c:pt idx="749">
                  <c:v>941900</c:v>
                </c:pt>
                <c:pt idx="750">
                  <c:v>941780</c:v>
                </c:pt>
                <c:pt idx="751">
                  <c:v>942780</c:v>
                </c:pt>
                <c:pt idx="752">
                  <c:v>946280</c:v>
                </c:pt>
                <c:pt idx="753">
                  <c:v>952680</c:v>
                </c:pt>
                <c:pt idx="754">
                  <c:v>955940</c:v>
                </c:pt>
                <c:pt idx="755">
                  <c:v>953640</c:v>
                </c:pt>
                <c:pt idx="756">
                  <c:v>959140</c:v>
                </c:pt>
                <c:pt idx="757">
                  <c:v>960340</c:v>
                </c:pt>
                <c:pt idx="758">
                  <c:v>962940</c:v>
                </c:pt>
                <c:pt idx="759">
                  <c:v>959940</c:v>
                </c:pt>
                <c:pt idx="760">
                  <c:v>968960</c:v>
                </c:pt>
                <c:pt idx="761">
                  <c:v>969060</c:v>
                </c:pt>
                <c:pt idx="762">
                  <c:v>969460</c:v>
                </c:pt>
                <c:pt idx="763">
                  <c:v>969060</c:v>
                </c:pt>
                <c:pt idx="764">
                  <c:v>969360</c:v>
                </c:pt>
                <c:pt idx="765">
                  <c:v>969360</c:v>
                </c:pt>
                <c:pt idx="766">
                  <c:v>969160</c:v>
                </c:pt>
                <c:pt idx="767">
                  <c:v>969260</c:v>
                </c:pt>
                <c:pt idx="768">
                  <c:v>968480</c:v>
                </c:pt>
                <c:pt idx="769">
                  <c:v>968100</c:v>
                </c:pt>
                <c:pt idx="770">
                  <c:v>964640</c:v>
                </c:pt>
                <c:pt idx="771">
                  <c:v>958940</c:v>
                </c:pt>
                <c:pt idx="772">
                  <c:v>968540</c:v>
                </c:pt>
                <c:pt idx="773">
                  <c:v>964120</c:v>
                </c:pt>
                <c:pt idx="774">
                  <c:v>963720</c:v>
                </c:pt>
                <c:pt idx="775">
                  <c:v>963220</c:v>
                </c:pt>
                <c:pt idx="776">
                  <c:v>960620</c:v>
                </c:pt>
                <c:pt idx="777">
                  <c:v>958620</c:v>
                </c:pt>
                <c:pt idx="778">
                  <c:v>958520</c:v>
                </c:pt>
                <c:pt idx="779">
                  <c:v>959160</c:v>
                </c:pt>
                <c:pt idx="780">
                  <c:v>957560</c:v>
                </c:pt>
                <c:pt idx="781">
                  <c:v>959980</c:v>
                </c:pt>
                <c:pt idx="782">
                  <c:v>960380</c:v>
                </c:pt>
                <c:pt idx="783">
                  <c:v>958580</c:v>
                </c:pt>
                <c:pt idx="784">
                  <c:v>954500</c:v>
                </c:pt>
                <c:pt idx="785">
                  <c:v>962540</c:v>
                </c:pt>
                <c:pt idx="786">
                  <c:v>962340</c:v>
                </c:pt>
                <c:pt idx="787">
                  <c:v>961340</c:v>
                </c:pt>
                <c:pt idx="788">
                  <c:v>960340</c:v>
                </c:pt>
                <c:pt idx="789">
                  <c:v>960040</c:v>
                </c:pt>
                <c:pt idx="790">
                  <c:v>958420</c:v>
                </c:pt>
                <c:pt idx="791">
                  <c:v>958480</c:v>
                </c:pt>
                <c:pt idx="792">
                  <c:v>961380</c:v>
                </c:pt>
                <c:pt idx="793">
                  <c:v>958440</c:v>
                </c:pt>
                <c:pt idx="794">
                  <c:v>965040</c:v>
                </c:pt>
                <c:pt idx="795">
                  <c:v>967120</c:v>
                </c:pt>
                <c:pt idx="796">
                  <c:v>964020</c:v>
                </c:pt>
                <c:pt idx="797">
                  <c:v>978220</c:v>
                </c:pt>
                <c:pt idx="798">
                  <c:v>969220</c:v>
                </c:pt>
                <c:pt idx="799">
                  <c:v>972220</c:v>
                </c:pt>
                <c:pt idx="800">
                  <c:v>980620</c:v>
                </c:pt>
                <c:pt idx="801">
                  <c:v>995120</c:v>
                </c:pt>
                <c:pt idx="802">
                  <c:v>992220</c:v>
                </c:pt>
                <c:pt idx="803">
                  <c:v>999720</c:v>
                </c:pt>
                <c:pt idx="804">
                  <c:v>994480</c:v>
                </c:pt>
                <c:pt idx="805">
                  <c:v>985980</c:v>
                </c:pt>
                <c:pt idx="806">
                  <c:v>988380</c:v>
                </c:pt>
                <c:pt idx="807">
                  <c:v>992980</c:v>
                </c:pt>
                <c:pt idx="808">
                  <c:v>991780</c:v>
                </c:pt>
                <c:pt idx="809">
                  <c:v>992180</c:v>
                </c:pt>
                <c:pt idx="810">
                  <c:v>991980</c:v>
                </c:pt>
                <c:pt idx="811">
                  <c:v>993080</c:v>
                </c:pt>
                <c:pt idx="812">
                  <c:v>996680</c:v>
                </c:pt>
                <c:pt idx="813">
                  <c:v>998120</c:v>
                </c:pt>
                <c:pt idx="814">
                  <c:v>999820</c:v>
                </c:pt>
                <c:pt idx="815">
                  <c:v>996420</c:v>
                </c:pt>
                <c:pt idx="816">
                  <c:v>1002120</c:v>
                </c:pt>
                <c:pt idx="817">
                  <c:v>1004720</c:v>
                </c:pt>
                <c:pt idx="818">
                  <c:v>982040</c:v>
                </c:pt>
                <c:pt idx="819">
                  <c:v>984040</c:v>
                </c:pt>
                <c:pt idx="820">
                  <c:v>987140</c:v>
                </c:pt>
                <c:pt idx="821">
                  <c:v>995200</c:v>
                </c:pt>
                <c:pt idx="822">
                  <c:v>995980</c:v>
                </c:pt>
                <c:pt idx="823">
                  <c:v>994180</c:v>
                </c:pt>
                <c:pt idx="824">
                  <c:v>989680</c:v>
                </c:pt>
                <c:pt idx="825">
                  <c:v>991160</c:v>
                </c:pt>
                <c:pt idx="826">
                  <c:v>989860</c:v>
                </c:pt>
                <c:pt idx="827">
                  <c:v>988840</c:v>
                </c:pt>
                <c:pt idx="828">
                  <c:v>992300</c:v>
                </c:pt>
                <c:pt idx="829">
                  <c:v>984780</c:v>
                </c:pt>
                <c:pt idx="830">
                  <c:v>982540</c:v>
                </c:pt>
                <c:pt idx="831">
                  <c:v>995860</c:v>
                </c:pt>
                <c:pt idx="832">
                  <c:v>1002060</c:v>
                </c:pt>
                <c:pt idx="833">
                  <c:v>996960</c:v>
                </c:pt>
                <c:pt idx="834">
                  <c:v>977620</c:v>
                </c:pt>
                <c:pt idx="835">
                  <c:v>980020</c:v>
                </c:pt>
                <c:pt idx="836">
                  <c:v>992320</c:v>
                </c:pt>
                <c:pt idx="837">
                  <c:v>985580</c:v>
                </c:pt>
                <c:pt idx="838">
                  <c:v>987480</c:v>
                </c:pt>
                <c:pt idx="839">
                  <c:v>961300</c:v>
                </c:pt>
                <c:pt idx="840">
                  <c:v>965080</c:v>
                </c:pt>
                <c:pt idx="841">
                  <c:v>963680</c:v>
                </c:pt>
                <c:pt idx="842">
                  <c:v>961780</c:v>
                </c:pt>
                <c:pt idx="843">
                  <c:v>964180</c:v>
                </c:pt>
                <c:pt idx="844">
                  <c:v>966680</c:v>
                </c:pt>
                <c:pt idx="845">
                  <c:v>964980</c:v>
                </c:pt>
                <c:pt idx="846">
                  <c:v>956960</c:v>
                </c:pt>
                <c:pt idx="847">
                  <c:v>950760</c:v>
                </c:pt>
                <c:pt idx="848">
                  <c:v>947400</c:v>
                </c:pt>
                <c:pt idx="849">
                  <c:v>947500</c:v>
                </c:pt>
                <c:pt idx="850">
                  <c:v>946680</c:v>
                </c:pt>
                <c:pt idx="851">
                  <c:v>945880</c:v>
                </c:pt>
                <c:pt idx="852">
                  <c:v>947180</c:v>
                </c:pt>
                <c:pt idx="853">
                  <c:v>948180</c:v>
                </c:pt>
                <c:pt idx="854">
                  <c:v>950580</c:v>
                </c:pt>
                <c:pt idx="855">
                  <c:v>948980</c:v>
                </c:pt>
                <c:pt idx="856">
                  <c:v>949580</c:v>
                </c:pt>
                <c:pt idx="857">
                  <c:v>948100</c:v>
                </c:pt>
                <c:pt idx="858">
                  <c:v>958060</c:v>
                </c:pt>
                <c:pt idx="859">
                  <c:v>957660</c:v>
                </c:pt>
                <c:pt idx="860">
                  <c:v>961820</c:v>
                </c:pt>
                <c:pt idx="861">
                  <c:v>971100</c:v>
                </c:pt>
                <c:pt idx="862">
                  <c:v>969180</c:v>
                </c:pt>
                <c:pt idx="863">
                  <c:v>968580</c:v>
                </c:pt>
                <c:pt idx="864">
                  <c:v>965580</c:v>
                </c:pt>
                <c:pt idx="865">
                  <c:v>964300</c:v>
                </c:pt>
                <c:pt idx="866">
                  <c:v>967200</c:v>
                </c:pt>
                <c:pt idx="867">
                  <c:v>970140</c:v>
                </c:pt>
                <c:pt idx="868">
                  <c:v>977640</c:v>
                </c:pt>
                <c:pt idx="869">
                  <c:v>989140</c:v>
                </c:pt>
                <c:pt idx="870">
                  <c:v>991040</c:v>
                </c:pt>
                <c:pt idx="871">
                  <c:v>980840</c:v>
                </c:pt>
                <c:pt idx="872">
                  <c:v>987240</c:v>
                </c:pt>
                <c:pt idx="873">
                  <c:v>974840</c:v>
                </c:pt>
                <c:pt idx="874">
                  <c:v>963700</c:v>
                </c:pt>
                <c:pt idx="875">
                  <c:v>967600</c:v>
                </c:pt>
                <c:pt idx="876">
                  <c:v>981280</c:v>
                </c:pt>
                <c:pt idx="877">
                  <c:v>986180</c:v>
                </c:pt>
                <c:pt idx="878">
                  <c:v>974340</c:v>
                </c:pt>
                <c:pt idx="879">
                  <c:v>983140</c:v>
                </c:pt>
                <c:pt idx="880">
                  <c:v>981640</c:v>
                </c:pt>
                <c:pt idx="881">
                  <c:v>971440</c:v>
                </c:pt>
                <c:pt idx="882">
                  <c:v>967540</c:v>
                </c:pt>
                <c:pt idx="883">
                  <c:v>961300</c:v>
                </c:pt>
                <c:pt idx="884">
                  <c:v>958300</c:v>
                </c:pt>
                <c:pt idx="885">
                  <c:v>958900</c:v>
                </c:pt>
                <c:pt idx="886">
                  <c:v>961480</c:v>
                </c:pt>
                <c:pt idx="887">
                  <c:v>961180</c:v>
                </c:pt>
                <c:pt idx="888">
                  <c:v>961680</c:v>
                </c:pt>
                <c:pt idx="889">
                  <c:v>963480</c:v>
                </c:pt>
                <c:pt idx="890">
                  <c:v>965880</c:v>
                </c:pt>
                <c:pt idx="891">
                  <c:v>968640</c:v>
                </c:pt>
                <c:pt idx="892">
                  <c:v>976640</c:v>
                </c:pt>
                <c:pt idx="893">
                  <c:v>980040</c:v>
                </c:pt>
                <c:pt idx="894">
                  <c:v>984340</c:v>
                </c:pt>
                <c:pt idx="895">
                  <c:v>979640</c:v>
                </c:pt>
                <c:pt idx="896">
                  <c:v>979940</c:v>
                </c:pt>
                <c:pt idx="897">
                  <c:v>988040</c:v>
                </c:pt>
                <c:pt idx="898">
                  <c:v>980940</c:v>
                </c:pt>
                <c:pt idx="899">
                  <c:v>977040</c:v>
                </c:pt>
                <c:pt idx="900">
                  <c:v>974960</c:v>
                </c:pt>
                <c:pt idx="901">
                  <c:v>971160</c:v>
                </c:pt>
                <c:pt idx="902">
                  <c:v>963200</c:v>
                </c:pt>
                <c:pt idx="903">
                  <c:v>951720</c:v>
                </c:pt>
                <c:pt idx="904">
                  <c:v>952920</c:v>
                </c:pt>
                <c:pt idx="905">
                  <c:v>952120</c:v>
                </c:pt>
                <c:pt idx="906">
                  <c:v>946020</c:v>
                </c:pt>
                <c:pt idx="907">
                  <c:v>943620</c:v>
                </c:pt>
                <c:pt idx="908">
                  <c:v>943520</c:v>
                </c:pt>
                <c:pt idx="909">
                  <c:v>947020</c:v>
                </c:pt>
                <c:pt idx="910">
                  <c:v>948120</c:v>
                </c:pt>
                <c:pt idx="911">
                  <c:v>948920</c:v>
                </c:pt>
                <c:pt idx="912">
                  <c:v>950320</c:v>
                </c:pt>
                <c:pt idx="913">
                  <c:v>947700</c:v>
                </c:pt>
                <c:pt idx="914">
                  <c:v>944400</c:v>
                </c:pt>
                <c:pt idx="915">
                  <c:v>954400</c:v>
                </c:pt>
                <c:pt idx="916">
                  <c:v>950300</c:v>
                </c:pt>
                <c:pt idx="917">
                  <c:v>953000</c:v>
                </c:pt>
                <c:pt idx="918">
                  <c:v>954980</c:v>
                </c:pt>
                <c:pt idx="919">
                  <c:v>955080</c:v>
                </c:pt>
                <c:pt idx="920">
                  <c:v>954840</c:v>
                </c:pt>
                <c:pt idx="921">
                  <c:v>955140</c:v>
                </c:pt>
                <c:pt idx="922">
                  <c:v>955840</c:v>
                </c:pt>
                <c:pt idx="923">
                  <c:v>953960</c:v>
                </c:pt>
                <c:pt idx="924">
                  <c:v>954160</c:v>
                </c:pt>
                <c:pt idx="925">
                  <c:v>951940</c:v>
                </c:pt>
                <c:pt idx="926">
                  <c:v>946420</c:v>
                </c:pt>
                <c:pt idx="927">
                  <c:v>937920</c:v>
                </c:pt>
                <c:pt idx="928">
                  <c:v>940420</c:v>
                </c:pt>
                <c:pt idx="929">
                  <c:v>941820</c:v>
                </c:pt>
                <c:pt idx="930">
                  <c:v>937920</c:v>
                </c:pt>
                <c:pt idx="931">
                  <c:v>928420</c:v>
                </c:pt>
                <c:pt idx="932">
                  <c:v>918720</c:v>
                </c:pt>
                <c:pt idx="933">
                  <c:v>915620</c:v>
                </c:pt>
                <c:pt idx="934">
                  <c:v>915500</c:v>
                </c:pt>
                <c:pt idx="935">
                  <c:v>915300</c:v>
                </c:pt>
                <c:pt idx="936">
                  <c:v>914700</c:v>
                </c:pt>
                <c:pt idx="937">
                  <c:v>910600</c:v>
                </c:pt>
                <c:pt idx="938">
                  <c:v>909700</c:v>
                </c:pt>
                <c:pt idx="939">
                  <c:v>907900</c:v>
                </c:pt>
                <c:pt idx="940">
                  <c:v>907800</c:v>
                </c:pt>
                <c:pt idx="941">
                  <c:v>908800</c:v>
                </c:pt>
                <c:pt idx="942">
                  <c:v>908600</c:v>
                </c:pt>
                <c:pt idx="943">
                  <c:v>907720</c:v>
                </c:pt>
                <c:pt idx="944">
                  <c:v>916600</c:v>
                </c:pt>
                <c:pt idx="945">
                  <c:v>905280</c:v>
                </c:pt>
                <c:pt idx="946">
                  <c:v>906680</c:v>
                </c:pt>
                <c:pt idx="947">
                  <c:v>905280</c:v>
                </c:pt>
                <c:pt idx="948">
                  <c:v>912780</c:v>
                </c:pt>
                <c:pt idx="949">
                  <c:v>908780</c:v>
                </c:pt>
                <c:pt idx="950">
                  <c:v>904980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7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7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7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963"/>
  <sheetViews>
    <sheetView tabSelected="1" workbookViewId="0">
      <selection activeCell="B3" sqref="B3"/>
    </sheetView>
  </sheetViews>
  <sheetFormatPr defaultRowHeight="15" x14ac:dyDescent="0.25"/>
  <cols>
    <col min="1" max="1" width="18" bestFit="1" customWidth="1"/>
    <col min="2" max="2" width="15.7109375" bestFit="1" customWidth="1"/>
    <col min="3" max="4" width="10.7109375" bestFit="1" customWidth="1"/>
    <col min="5" max="5" width="12.5703125" style="10" bestFit="1" customWidth="1"/>
    <col min="6" max="6" width="10.7109375" bestFit="1" customWidth="1"/>
    <col min="8" max="8" width="10.7109375" bestFit="1" customWidth="1"/>
    <col min="9" max="9" width="13" bestFit="1" customWidth="1"/>
    <col min="10" max="10" width="12.28515625" bestFit="1" customWidth="1"/>
    <col min="11" max="11" width="12.85546875" style="9" customWidth="1"/>
  </cols>
  <sheetData>
    <row r="1" spans="1:12" ht="30" customHeight="1" x14ac:dyDescent="0.25">
      <c r="B1" s="4" t="s">
        <v>28</v>
      </c>
    </row>
    <row r="2" spans="1:12" x14ac:dyDescent="0.25">
      <c r="A2" t="s">
        <v>7</v>
      </c>
      <c r="B2" t="s">
        <v>44</v>
      </c>
      <c r="D2" s="1"/>
      <c r="F2" s="1"/>
    </row>
    <row r="3" spans="1:12" ht="15.75" thickBot="1" x14ac:dyDescent="0.3">
      <c r="A3" t="s">
        <v>23</v>
      </c>
      <c r="B3" t="s">
        <v>44</v>
      </c>
      <c r="C3" s="1"/>
      <c r="D3" s="1"/>
      <c r="F3" s="1"/>
    </row>
    <row r="4" spans="1:12" x14ac:dyDescent="0.25">
      <c r="A4" s="1" t="s">
        <v>0</v>
      </c>
      <c r="B4" s="2">
        <f>VLOOKUP(B3,DHP,2,FALSE)</f>
        <v>176</v>
      </c>
      <c r="C4" s="1" t="s">
        <v>28</v>
      </c>
      <c r="D4" s="1"/>
      <c r="F4" s="1"/>
    </row>
    <row r="5" spans="1:12" ht="15.75" thickBot="1" x14ac:dyDescent="0.3">
      <c r="A5" t="s">
        <v>1</v>
      </c>
      <c r="B5" s="3">
        <f>VLOOKUP(B2,Outright,2,FALSE)</f>
        <v>450</v>
      </c>
      <c r="C5" s="1" t="s">
        <v>28</v>
      </c>
      <c r="D5" s="1"/>
      <c r="F5" s="1"/>
    </row>
    <row r="6" spans="1:12" x14ac:dyDescent="0.25">
      <c r="A6" t="s">
        <v>2</v>
      </c>
      <c r="C6" s="1"/>
      <c r="D6" s="1"/>
      <c r="F6" s="1"/>
    </row>
    <row r="7" spans="1:12" ht="15.75" thickBot="1" x14ac:dyDescent="0.3">
      <c r="A7" s="1" t="s">
        <v>4</v>
      </c>
      <c r="B7">
        <v>0</v>
      </c>
      <c r="C7" s="1"/>
      <c r="D7" s="1"/>
      <c r="F7" s="1"/>
    </row>
    <row r="8" spans="1:12" x14ac:dyDescent="0.25">
      <c r="A8" s="1" t="s">
        <v>3</v>
      </c>
      <c r="B8" s="2">
        <v>10</v>
      </c>
      <c r="C8" s="1" t="s">
        <v>28</v>
      </c>
      <c r="D8" s="1"/>
      <c r="F8" s="1"/>
    </row>
    <row r="9" spans="1:12" ht="15.75" thickBot="1" x14ac:dyDescent="0.3">
      <c r="A9" s="1" t="s">
        <v>27</v>
      </c>
      <c r="B9" s="3">
        <v>10</v>
      </c>
      <c r="C9" s="1" t="s">
        <v>28</v>
      </c>
      <c r="D9" s="1"/>
      <c r="F9" s="1"/>
    </row>
    <row r="10" spans="1:12" x14ac:dyDescent="0.25">
      <c r="A10" s="1" t="s">
        <v>8</v>
      </c>
      <c r="B10">
        <v>0</v>
      </c>
      <c r="C10" s="1" t="s">
        <v>42</v>
      </c>
      <c r="D10" s="1"/>
      <c r="F10" s="1"/>
    </row>
    <row r="11" spans="1:12" x14ac:dyDescent="0.25">
      <c r="A11" s="1"/>
      <c r="C11" s="1"/>
      <c r="D11" s="1"/>
      <c r="F11" s="1"/>
      <c r="G11">
        <v>951</v>
      </c>
      <c r="H11" t="s">
        <v>6</v>
      </c>
      <c r="I11" t="str">
        <f xml:space="preserve"> dhpName</f>
        <v>Hogs</v>
      </c>
      <c r="J11" t="str">
        <f xml:space="preserve"> CONCATENATE("Long ", underlyingName," Futures")</f>
        <v>Long Hogs Futures</v>
      </c>
      <c r="K11" s="9" t="str">
        <f xml:space="preserve"> CONCATENATE("Short ", underlyingName," Futures")</f>
        <v>Short Hogs Futures</v>
      </c>
      <c r="L11" t="s">
        <v>5</v>
      </c>
    </row>
    <row r="12" spans="1:12" x14ac:dyDescent="0.25">
      <c r="A12" s="1"/>
      <c r="C12" s="1"/>
      <c r="D12" s="1">
        <v>41275</v>
      </c>
      <c r="E12" s="10">
        <v>30000</v>
      </c>
      <c r="F12" s="1">
        <v>41275</v>
      </c>
      <c r="G12">
        <v>5570</v>
      </c>
      <c r="H12" s="1">
        <f t="shared" ref="H12" si="0">D12</f>
        <v>41275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I12+J12</f>
        <v>0</v>
      </c>
    </row>
    <row r="13" spans="1:12" x14ac:dyDescent="0.25">
      <c r="A13" s="1"/>
      <c r="C13" s="1"/>
      <c r="D13" s="1">
        <v>41276</v>
      </c>
      <c r="E13" s="10">
        <v>30000</v>
      </c>
      <c r="F13" s="1">
        <v>41276</v>
      </c>
      <c r="G13">
        <v>5500</v>
      </c>
      <c r="H13" s="1">
        <f t="shared" ref="H13:H76" si="1">D13</f>
        <v>41276</v>
      </c>
      <c r="I13">
        <f>IF(AND(MyRowHidden(ROW())=FALSE,MyRowHidden(ROW()-1)=TRUE),0,(E13-E12)*unitsOfDHp+I12)</f>
        <v>0</v>
      </c>
      <c r="J13">
        <f>IF(AND(MyRowHidden(ROW())=FALSE,MyRowHidden(ROW()-1)=TRUE),0,(G13-G12)*unitsOfExo+J12)</f>
        <v>-700</v>
      </c>
      <c r="K13" s="9">
        <f t="shared" ref="K13:K76" si="2">-(J13-J12)+K12</f>
        <v>700</v>
      </c>
      <c r="L13">
        <f t="shared" ref="L13:L76" si="3">I13+J13</f>
        <v>-700</v>
      </c>
    </row>
    <row r="14" spans="1:12" x14ac:dyDescent="0.25">
      <c r="A14" s="1"/>
      <c r="C14" s="1"/>
      <c r="D14" s="1">
        <v>41277</v>
      </c>
      <c r="E14" s="10">
        <v>30000</v>
      </c>
      <c r="F14" s="1">
        <v>41277</v>
      </c>
      <c r="G14">
        <v>5820</v>
      </c>
      <c r="H14" s="1">
        <f t="shared" si="1"/>
        <v>41277</v>
      </c>
      <c r="I14">
        <f>IF(AND(MyRowHidden(ROW())=FALSE,MyRowHidden(ROW()-1)=TRUE),0,(E14-E13)*unitsOfDHp+I13)</f>
        <v>0</v>
      </c>
      <c r="J14">
        <f>IF(AND(MyRowHidden(ROW())=FALSE,MyRowHidden(ROW()-1)=TRUE),0,(G14-G13)*unitsOfExo+J13)</f>
        <v>2500</v>
      </c>
      <c r="K14" s="9">
        <f t="shared" si="2"/>
        <v>-2500</v>
      </c>
      <c r="L14">
        <f t="shared" si="3"/>
        <v>2500</v>
      </c>
    </row>
    <row r="15" spans="1:12" x14ac:dyDescent="0.25">
      <c r="A15" s="6">
        <f>unitsOfDHp*B15</f>
        <v>220000</v>
      </c>
      <c r="B15" s="5">
        <v>22000</v>
      </c>
      <c r="C15" s="1"/>
      <c r="D15" s="1">
        <v>41278</v>
      </c>
      <c r="E15" s="10">
        <v>30000</v>
      </c>
      <c r="F15" s="1">
        <v>41278</v>
      </c>
      <c r="G15">
        <v>5710</v>
      </c>
      <c r="H15" s="1">
        <f t="shared" si="1"/>
        <v>41278</v>
      </c>
      <c r="I15">
        <f>IF(AND(MyRowHidden(ROW())=FALSE,MyRowHidden(ROW()-1)=TRUE),0,(E15-E14)*unitsOfDHp+I14)</f>
        <v>0</v>
      </c>
      <c r="J15">
        <f>IF(AND(MyRowHidden(ROW())=FALSE,MyRowHidden(ROW()-1)=TRUE),0,(G15-G14)*unitsOfExo+J14)</f>
        <v>1400</v>
      </c>
      <c r="K15" s="9">
        <f t="shared" si="2"/>
        <v>-1400</v>
      </c>
      <c r="L15">
        <f t="shared" si="3"/>
        <v>1400</v>
      </c>
    </row>
    <row r="16" spans="1:12" x14ac:dyDescent="0.25">
      <c r="A16" s="1"/>
      <c r="C16" s="1"/>
      <c r="D16" s="1">
        <v>41281</v>
      </c>
      <c r="E16" s="10">
        <v>30000</v>
      </c>
      <c r="F16" s="1">
        <v>41281</v>
      </c>
      <c r="G16">
        <v>5820</v>
      </c>
      <c r="H16" s="1">
        <f t="shared" si="1"/>
        <v>41281</v>
      </c>
      <c r="I16">
        <f>IF(AND(MyRowHidden(ROW())=FALSE,MyRowHidden(ROW()-1)=TRUE),0,(E16-E15)*unitsOfDHp+I15)</f>
        <v>0</v>
      </c>
      <c r="J16">
        <f>IF(AND(MyRowHidden(ROW())=FALSE,MyRowHidden(ROW()-1)=TRUE),0,(G16-G15)*unitsOfExo+J15)</f>
        <v>2500</v>
      </c>
      <c r="K16" s="9">
        <f t="shared" si="2"/>
        <v>-2500</v>
      </c>
      <c r="L16">
        <f t="shared" si="3"/>
        <v>2500</v>
      </c>
    </row>
    <row r="17" spans="1:12" x14ac:dyDescent="0.25">
      <c r="A17" s="6">
        <f>unitsOfExo*B17</f>
        <v>33000</v>
      </c>
      <c r="B17">
        <f>825*4</f>
        <v>3300</v>
      </c>
      <c r="C17" s="1"/>
      <c r="D17" s="1">
        <v>41282</v>
      </c>
      <c r="E17" s="10">
        <v>30000</v>
      </c>
      <c r="F17" s="1">
        <v>41282</v>
      </c>
      <c r="G17">
        <v>5680</v>
      </c>
      <c r="H17" s="1">
        <f t="shared" si="1"/>
        <v>41282</v>
      </c>
      <c r="I17">
        <f>IF(AND(MyRowHidden(ROW())=FALSE,MyRowHidden(ROW()-1)=TRUE),0,(E17-E16)*unitsOfDHp+I16)</f>
        <v>0</v>
      </c>
      <c r="J17">
        <f>IF(AND(MyRowHidden(ROW())=FALSE,MyRowHidden(ROW()-1)=TRUE),0,(G17-G16)*unitsOfExo+J16)</f>
        <v>1100</v>
      </c>
      <c r="K17" s="9">
        <f t="shared" si="2"/>
        <v>-1100</v>
      </c>
      <c r="L17">
        <f t="shared" si="3"/>
        <v>1100</v>
      </c>
    </row>
    <row r="18" spans="1:12" x14ac:dyDescent="0.25">
      <c r="A18" s="6">
        <f>100*B18</f>
        <v>75000</v>
      </c>
      <c r="B18">
        <v>750</v>
      </c>
      <c r="C18" s="1"/>
      <c r="D18" s="1">
        <v>41283</v>
      </c>
      <c r="E18" s="10">
        <v>29940</v>
      </c>
      <c r="F18" s="1">
        <v>41283</v>
      </c>
      <c r="G18">
        <v>5020</v>
      </c>
      <c r="H18" s="1">
        <f t="shared" si="1"/>
        <v>41283</v>
      </c>
      <c r="I18">
        <f>IF(AND(MyRowHidden(ROW())=FALSE,MyRowHidden(ROW()-1)=TRUE),0,(E18-E17)*unitsOfDHp+I17)</f>
        <v>-600</v>
      </c>
      <c r="J18">
        <f>IF(AND(MyRowHidden(ROW())=FALSE,MyRowHidden(ROW()-1)=TRUE),0,(G18-G17)*unitsOfExo+J17)</f>
        <v>-5500</v>
      </c>
      <c r="K18" s="9">
        <f t="shared" si="2"/>
        <v>5500</v>
      </c>
      <c r="L18">
        <f t="shared" si="3"/>
        <v>-6100</v>
      </c>
    </row>
    <row r="19" spans="1:12" x14ac:dyDescent="0.25">
      <c r="A19" s="7">
        <f>A17-A18</f>
        <v>-42000</v>
      </c>
      <c r="C19" s="1"/>
      <c r="D19" s="1">
        <v>41284</v>
      </c>
      <c r="E19" s="10">
        <v>30040</v>
      </c>
      <c r="F19" s="1">
        <v>41284</v>
      </c>
      <c r="G19">
        <v>4980</v>
      </c>
      <c r="H19" s="1">
        <f t="shared" si="1"/>
        <v>41284</v>
      </c>
      <c r="I19">
        <f>IF(AND(MyRowHidden(ROW())=FALSE,MyRowHidden(ROW()-1)=TRUE),0,(E19-E18)*unitsOfDHp+I18)</f>
        <v>400</v>
      </c>
      <c r="J19">
        <f>IF(AND(MyRowHidden(ROW())=FALSE,MyRowHidden(ROW()-1)=TRUE),0,(G19-G18)*unitsOfExo+J18)</f>
        <v>-5900</v>
      </c>
      <c r="K19" s="9">
        <f t="shared" si="2"/>
        <v>5900</v>
      </c>
      <c r="L19">
        <f t="shared" si="3"/>
        <v>-5500</v>
      </c>
    </row>
    <row r="20" spans="1:12" x14ac:dyDescent="0.25">
      <c r="A20" s="1"/>
      <c r="C20" s="1"/>
      <c r="D20" s="1">
        <v>41285</v>
      </c>
      <c r="E20" s="10">
        <v>29862</v>
      </c>
      <c r="F20" s="1">
        <v>41285</v>
      </c>
      <c r="G20">
        <v>4920</v>
      </c>
      <c r="H20" s="1">
        <f t="shared" si="1"/>
        <v>41285</v>
      </c>
      <c r="I20">
        <f>IF(AND(MyRowHidden(ROW())=FALSE,MyRowHidden(ROW()-1)=TRUE),0,(E20-E19)*unitsOfDHp+I19)</f>
        <v>-1380</v>
      </c>
      <c r="J20">
        <f>IF(AND(MyRowHidden(ROW())=FALSE,MyRowHidden(ROW()-1)=TRUE),0,(G20-G19)*unitsOfExo+J19)</f>
        <v>-6500</v>
      </c>
      <c r="K20" s="9">
        <f t="shared" si="2"/>
        <v>6500</v>
      </c>
      <c r="L20">
        <f t="shared" si="3"/>
        <v>-7880</v>
      </c>
    </row>
    <row r="21" spans="1:12" x14ac:dyDescent="0.25">
      <c r="A21" s="1"/>
      <c r="C21" s="1"/>
      <c r="D21" s="1">
        <v>41288</v>
      </c>
      <c r="E21" s="10">
        <v>30392</v>
      </c>
      <c r="F21" s="1">
        <v>41288</v>
      </c>
      <c r="G21">
        <v>5280</v>
      </c>
      <c r="H21" s="1">
        <f t="shared" si="1"/>
        <v>41288</v>
      </c>
      <c r="I21">
        <f>IF(AND(MyRowHidden(ROW())=FALSE,MyRowHidden(ROW()-1)=TRUE),0,(E21-E20)*unitsOfDHp+I20)</f>
        <v>3920</v>
      </c>
      <c r="J21">
        <f>IF(AND(MyRowHidden(ROW())=FALSE,MyRowHidden(ROW()-1)=TRUE),0,(G21-G20)*unitsOfExo+J20)</f>
        <v>-2900</v>
      </c>
      <c r="K21" s="9">
        <f t="shared" si="2"/>
        <v>2900</v>
      </c>
      <c r="L21">
        <f t="shared" si="3"/>
        <v>1020</v>
      </c>
    </row>
    <row r="22" spans="1:12" x14ac:dyDescent="0.25">
      <c r="A22" s="8">
        <f>1500000/A19</f>
        <v>-35.714285714285715</v>
      </c>
      <c r="C22" s="1"/>
      <c r="D22" s="1">
        <v>41289</v>
      </c>
      <c r="E22" s="10">
        <v>30382</v>
      </c>
      <c r="F22" s="1">
        <v>41289</v>
      </c>
      <c r="G22">
        <v>5300</v>
      </c>
      <c r="H22" s="1">
        <f t="shared" si="1"/>
        <v>41289</v>
      </c>
      <c r="I22">
        <f>IF(AND(MyRowHidden(ROW())=FALSE,MyRowHidden(ROW()-1)=TRUE),0,(E22-E21)*unitsOfDHp+I21)</f>
        <v>3820</v>
      </c>
      <c r="J22">
        <f>IF(AND(MyRowHidden(ROW())=FALSE,MyRowHidden(ROW()-1)=TRUE),0,(G22-G21)*unitsOfExo+J21)</f>
        <v>-2700</v>
      </c>
      <c r="K22" s="9">
        <f t="shared" si="2"/>
        <v>2700</v>
      </c>
      <c r="L22">
        <f t="shared" si="3"/>
        <v>1120</v>
      </c>
    </row>
    <row r="23" spans="1:12" x14ac:dyDescent="0.25">
      <c r="A23" s="8">
        <f>A19*A22</f>
        <v>1500000</v>
      </c>
      <c r="C23" s="1"/>
      <c r="D23" s="1">
        <v>41290</v>
      </c>
      <c r="E23" s="10">
        <v>30432</v>
      </c>
      <c r="F23" s="1">
        <v>41290</v>
      </c>
      <c r="G23">
        <v>5330</v>
      </c>
      <c r="H23" s="1">
        <f t="shared" si="1"/>
        <v>41290</v>
      </c>
      <c r="I23">
        <f>IF(AND(MyRowHidden(ROW())=FALSE,MyRowHidden(ROW()-1)=TRUE),0,(E23-E22)*unitsOfDHp+I22)</f>
        <v>4320</v>
      </c>
      <c r="J23">
        <f>IF(AND(MyRowHidden(ROW())=FALSE,MyRowHidden(ROW()-1)=TRUE),0,(G23-G22)*unitsOfExo+J22)</f>
        <v>-2400</v>
      </c>
      <c r="K23" s="9">
        <f t="shared" si="2"/>
        <v>2400</v>
      </c>
      <c r="L23">
        <f t="shared" si="3"/>
        <v>1920</v>
      </c>
    </row>
    <row r="24" spans="1:12" x14ac:dyDescent="0.25">
      <c r="A24" s="1"/>
      <c r="C24" s="1"/>
      <c r="D24" s="1">
        <v>41291</v>
      </c>
      <c r="E24" s="10">
        <v>30712</v>
      </c>
      <c r="F24" s="1">
        <v>41291</v>
      </c>
      <c r="G24">
        <v>5500</v>
      </c>
      <c r="H24" s="1">
        <f t="shared" si="1"/>
        <v>41291</v>
      </c>
      <c r="I24">
        <f>IF(AND(MyRowHidden(ROW())=FALSE,MyRowHidden(ROW()-1)=TRUE),0,(E24-E23)*unitsOfDHp+I23)</f>
        <v>7120</v>
      </c>
      <c r="J24">
        <f>IF(AND(MyRowHidden(ROW())=FALSE,MyRowHidden(ROW()-1)=TRUE),0,(G24-G23)*unitsOfExo+J23)</f>
        <v>-700</v>
      </c>
      <c r="K24" s="9">
        <f t="shared" si="2"/>
        <v>700</v>
      </c>
      <c r="L24">
        <f t="shared" si="3"/>
        <v>6420</v>
      </c>
    </row>
    <row r="25" spans="1:12" x14ac:dyDescent="0.25">
      <c r="A25" s="1"/>
      <c r="C25" s="1"/>
      <c r="D25" s="1">
        <v>41292</v>
      </c>
      <c r="E25" s="10">
        <v>30342</v>
      </c>
      <c r="F25" s="1">
        <v>41292</v>
      </c>
      <c r="G25">
        <v>5360</v>
      </c>
      <c r="H25" s="1">
        <f t="shared" si="1"/>
        <v>41292</v>
      </c>
      <c r="I25">
        <f>IF(AND(MyRowHidden(ROW())=FALSE,MyRowHidden(ROW()-1)=TRUE),0,(E25-E24)*unitsOfDHp+I24)</f>
        <v>3420</v>
      </c>
      <c r="J25">
        <f>IF(AND(MyRowHidden(ROW())=FALSE,MyRowHidden(ROW()-1)=TRUE),0,(G25-G24)*unitsOfExo+J24)</f>
        <v>-2100</v>
      </c>
      <c r="K25" s="9">
        <f t="shared" si="2"/>
        <v>2100</v>
      </c>
      <c r="L25">
        <f t="shared" si="3"/>
        <v>1320</v>
      </c>
    </row>
    <row r="26" spans="1:12" x14ac:dyDescent="0.25">
      <c r="A26" s="1"/>
      <c r="C26" s="1"/>
      <c r="D26" s="1">
        <v>41295</v>
      </c>
      <c r="E26" s="10">
        <v>30542</v>
      </c>
      <c r="F26" s="1">
        <v>41295</v>
      </c>
      <c r="G26">
        <v>5420</v>
      </c>
      <c r="H26" s="1">
        <f t="shared" si="1"/>
        <v>41295</v>
      </c>
      <c r="I26">
        <f>IF(AND(MyRowHidden(ROW())=FALSE,MyRowHidden(ROW()-1)=TRUE),0,(E26-E25)*unitsOfDHp+I25)</f>
        <v>5420</v>
      </c>
      <c r="J26">
        <f>IF(AND(MyRowHidden(ROW())=FALSE,MyRowHidden(ROW()-1)=TRUE),0,(G26-G25)*unitsOfExo+J25)</f>
        <v>-1500</v>
      </c>
      <c r="K26" s="9">
        <f t="shared" si="2"/>
        <v>1500</v>
      </c>
      <c r="L26">
        <f t="shared" si="3"/>
        <v>3920</v>
      </c>
    </row>
    <row r="27" spans="1:12" x14ac:dyDescent="0.25">
      <c r="A27" s="1"/>
      <c r="C27" s="1"/>
      <c r="D27" s="1">
        <v>41296</v>
      </c>
      <c r="E27" s="10">
        <v>30402</v>
      </c>
      <c r="F27" s="1">
        <v>41296</v>
      </c>
      <c r="G27">
        <v>5440</v>
      </c>
      <c r="H27" s="1">
        <f t="shared" si="1"/>
        <v>41296</v>
      </c>
      <c r="I27">
        <f>IF(AND(MyRowHidden(ROW())=FALSE,MyRowHidden(ROW()-1)=TRUE),0,(E27-E26)*unitsOfDHp+I26)</f>
        <v>4020</v>
      </c>
      <c r="J27">
        <f>IF(AND(MyRowHidden(ROW())=FALSE,MyRowHidden(ROW()-1)=TRUE),0,(G27-G26)*unitsOfExo+J26)</f>
        <v>-1300</v>
      </c>
      <c r="K27" s="9">
        <f t="shared" si="2"/>
        <v>1300</v>
      </c>
      <c r="L27">
        <f t="shared" si="3"/>
        <v>2720</v>
      </c>
    </row>
    <row r="28" spans="1:12" x14ac:dyDescent="0.25">
      <c r="A28" s="1"/>
      <c r="C28" s="1"/>
      <c r="D28" s="1">
        <v>41297</v>
      </c>
      <c r="E28" s="10">
        <v>30778</v>
      </c>
      <c r="F28" s="1">
        <v>41297</v>
      </c>
      <c r="G28">
        <v>5530</v>
      </c>
      <c r="H28" s="1">
        <f t="shared" si="1"/>
        <v>41297</v>
      </c>
      <c r="I28">
        <f>IF(AND(MyRowHidden(ROW())=FALSE,MyRowHidden(ROW()-1)=TRUE),0,(E28-E27)*unitsOfDHp+I27)</f>
        <v>7780</v>
      </c>
      <c r="J28">
        <f>IF(AND(MyRowHidden(ROW())=FALSE,MyRowHidden(ROW()-1)=TRUE),0,(G28-G27)*unitsOfExo+J27)</f>
        <v>-400</v>
      </c>
      <c r="K28" s="9">
        <f t="shared" si="2"/>
        <v>400</v>
      </c>
      <c r="L28">
        <f t="shared" si="3"/>
        <v>7380</v>
      </c>
    </row>
    <row r="29" spans="1:12" x14ac:dyDescent="0.25">
      <c r="A29" s="1"/>
      <c r="C29" s="1"/>
      <c r="D29" s="1">
        <v>41298</v>
      </c>
      <c r="E29" s="10">
        <v>32468</v>
      </c>
      <c r="F29" s="1">
        <v>41298</v>
      </c>
      <c r="G29">
        <v>6110</v>
      </c>
      <c r="H29" s="1">
        <f t="shared" si="1"/>
        <v>41298</v>
      </c>
      <c r="I29">
        <f>IF(AND(MyRowHidden(ROW())=FALSE,MyRowHidden(ROW()-1)=TRUE),0,(E29-E28)*unitsOfDHp+I28)</f>
        <v>24680</v>
      </c>
      <c r="J29">
        <f>IF(AND(MyRowHidden(ROW())=FALSE,MyRowHidden(ROW()-1)=TRUE),0,(G29-G28)*unitsOfExo+J28)</f>
        <v>5400</v>
      </c>
      <c r="K29" s="9">
        <f t="shared" si="2"/>
        <v>-5400</v>
      </c>
      <c r="L29">
        <f t="shared" si="3"/>
        <v>30080</v>
      </c>
    </row>
    <row r="30" spans="1:12" x14ac:dyDescent="0.25">
      <c r="A30" s="1"/>
      <c r="C30" s="1"/>
      <c r="D30" s="1">
        <v>41299</v>
      </c>
      <c r="E30" s="10">
        <v>32226</v>
      </c>
      <c r="F30" s="1">
        <v>41299</v>
      </c>
      <c r="G30">
        <v>6050</v>
      </c>
      <c r="H30" s="1">
        <f t="shared" si="1"/>
        <v>41299</v>
      </c>
      <c r="I30">
        <f>IF(AND(MyRowHidden(ROW())=FALSE,MyRowHidden(ROW()-1)=TRUE),0,(E30-E29)*unitsOfDHp+I29)</f>
        <v>22260</v>
      </c>
      <c r="J30">
        <f>IF(AND(MyRowHidden(ROW())=FALSE,MyRowHidden(ROW()-1)=TRUE),0,(G30-G29)*unitsOfExo+J29)</f>
        <v>4800</v>
      </c>
      <c r="K30" s="9">
        <f t="shared" si="2"/>
        <v>-4800</v>
      </c>
      <c r="L30">
        <f t="shared" si="3"/>
        <v>27060</v>
      </c>
    </row>
    <row r="31" spans="1:12" x14ac:dyDescent="0.25">
      <c r="A31" s="1"/>
      <c r="C31" s="1"/>
      <c r="D31" s="1">
        <v>41302</v>
      </c>
      <c r="E31" s="10">
        <v>32436</v>
      </c>
      <c r="F31" s="1">
        <v>41302</v>
      </c>
      <c r="G31">
        <v>6120</v>
      </c>
      <c r="H31" s="1">
        <f t="shared" si="1"/>
        <v>41302</v>
      </c>
      <c r="I31">
        <f>IF(AND(MyRowHidden(ROW())=FALSE,MyRowHidden(ROW()-1)=TRUE),0,(E31-E30)*unitsOfDHp+I30)</f>
        <v>24360</v>
      </c>
      <c r="J31">
        <f>IF(AND(MyRowHidden(ROW())=FALSE,MyRowHidden(ROW()-1)=TRUE),0,(G31-G30)*unitsOfExo+J30)</f>
        <v>5500</v>
      </c>
      <c r="K31" s="9">
        <f t="shared" si="2"/>
        <v>-5500</v>
      </c>
      <c r="L31">
        <f t="shared" si="3"/>
        <v>29860</v>
      </c>
    </row>
    <row r="32" spans="1:12" x14ac:dyDescent="0.25">
      <c r="A32" s="1"/>
      <c r="C32" s="1"/>
      <c r="D32" s="1">
        <v>41303</v>
      </c>
      <c r="E32" s="10">
        <v>32216</v>
      </c>
      <c r="F32" s="1">
        <v>41303</v>
      </c>
      <c r="G32">
        <v>6040</v>
      </c>
      <c r="H32" s="1">
        <f t="shared" si="1"/>
        <v>41303</v>
      </c>
      <c r="I32">
        <f>IF(AND(MyRowHidden(ROW())=FALSE,MyRowHidden(ROW()-1)=TRUE),0,(E32-E31)*unitsOfDHp+I31)</f>
        <v>22160</v>
      </c>
      <c r="J32">
        <f>IF(AND(MyRowHidden(ROW())=FALSE,MyRowHidden(ROW()-1)=TRUE),0,(G32-G31)*unitsOfExo+J31)</f>
        <v>4700</v>
      </c>
      <c r="K32" s="9">
        <f t="shared" si="2"/>
        <v>-4700</v>
      </c>
      <c r="L32">
        <f t="shared" si="3"/>
        <v>26860</v>
      </c>
    </row>
    <row r="33" spans="1:12" x14ac:dyDescent="0.25">
      <c r="A33" s="1"/>
      <c r="C33" s="1"/>
      <c r="D33" s="1">
        <v>41304</v>
      </c>
      <c r="E33" s="10">
        <v>32436</v>
      </c>
      <c r="F33" s="1">
        <v>41304</v>
      </c>
      <c r="G33">
        <v>6090</v>
      </c>
      <c r="H33" s="1">
        <f t="shared" si="1"/>
        <v>41304</v>
      </c>
      <c r="I33">
        <f>IF(AND(MyRowHidden(ROW())=FALSE,MyRowHidden(ROW()-1)=TRUE),0,(E33-E32)*unitsOfDHp+I32)</f>
        <v>24360</v>
      </c>
      <c r="J33">
        <f>IF(AND(MyRowHidden(ROW())=FALSE,MyRowHidden(ROW()-1)=TRUE),0,(G33-G32)*unitsOfExo+J32)</f>
        <v>5200</v>
      </c>
      <c r="K33" s="9">
        <f t="shared" si="2"/>
        <v>-5200</v>
      </c>
      <c r="L33">
        <f t="shared" si="3"/>
        <v>29560</v>
      </c>
    </row>
    <row r="34" spans="1:12" x14ac:dyDescent="0.25">
      <c r="A34" s="1"/>
      <c r="C34" s="1"/>
      <c r="D34" s="1">
        <v>41305</v>
      </c>
      <c r="E34" s="10">
        <v>32926</v>
      </c>
      <c r="F34" s="1">
        <v>41305</v>
      </c>
      <c r="G34">
        <v>6260</v>
      </c>
      <c r="H34" s="1">
        <f t="shared" si="1"/>
        <v>41305</v>
      </c>
      <c r="I34">
        <f>IF(AND(MyRowHidden(ROW())=FALSE,MyRowHidden(ROW()-1)=TRUE),0,(E34-E33)*unitsOfDHp+I33)</f>
        <v>29260</v>
      </c>
      <c r="J34">
        <f>IF(AND(MyRowHidden(ROW())=FALSE,MyRowHidden(ROW()-1)=TRUE),0,(G34-G33)*unitsOfExo+J33)</f>
        <v>6900</v>
      </c>
      <c r="K34" s="9">
        <f t="shared" si="2"/>
        <v>-6900</v>
      </c>
      <c r="L34">
        <f t="shared" si="3"/>
        <v>36160</v>
      </c>
    </row>
    <row r="35" spans="1:12" x14ac:dyDescent="0.25">
      <c r="A35" s="1"/>
      <c r="C35" s="1"/>
      <c r="D35" s="1">
        <v>41306</v>
      </c>
      <c r="E35" s="10">
        <v>32866</v>
      </c>
      <c r="F35" s="1">
        <v>41306</v>
      </c>
      <c r="G35">
        <v>6258</v>
      </c>
      <c r="H35" s="1">
        <f t="shared" si="1"/>
        <v>41306</v>
      </c>
      <c r="I35">
        <f>IF(AND(MyRowHidden(ROW())=FALSE,MyRowHidden(ROW()-1)=TRUE),0,(E35-E34)*unitsOfDHp+I34)</f>
        <v>28660</v>
      </c>
      <c r="J35">
        <f>IF(AND(MyRowHidden(ROW())=FALSE,MyRowHidden(ROW()-1)=TRUE),0,(G35-G34)*unitsOfExo+J34)</f>
        <v>6880</v>
      </c>
      <c r="K35" s="9">
        <f t="shared" si="2"/>
        <v>-6880</v>
      </c>
      <c r="L35">
        <f t="shared" si="3"/>
        <v>35540</v>
      </c>
    </row>
    <row r="36" spans="1:12" x14ac:dyDescent="0.25">
      <c r="A36" s="1"/>
      <c r="C36" s="1"/>
      <c r="D36" s="1">
        <v>41309</v>
      </c>
      <c r="E36" s="10">
        <v>32876</v>
      </c>
      <c r="F36" s="1">
        <v>41309</v>
      </c>
      <c r="G36">
        <v>6218</v>
      </c>
      <c r="H36" s="1">
        <f t="shared" si="1"/>
        <v>41309</v>
      </c>
      <c r="I36">
        <f>IF(AND(MyRowHidden(ROW())=FALSE,MyRowHidden(ROW()-1)=TRUE),0,(E36-E35)*unitsOfDHp+I35)</f>
        <v>28760</v>
      </c>
      <c r="J36">
        <f>IF(AND(MyRowHidden(ROW())=FALSE,MyRowHidden(ROW()-1)=TRUE),0,(G36-G35)*unitsOfExo+J35)</f>
        <v>6480</v>
      </c>
      <c r="K36" s="9">
        <f t="shared" si="2"/>
        <v>-6480</v>
      </c>
      <c r="L36">
        <f t="shared" si="3"/>
        <v>35240</v>
      </c>
    </row>
    <row r="37" spans="1:12" x14ac:dyDescent="0.25">
      <c r="A37" s="1"/>
      <c r="C37" s="1"/>
      <c r="D37" s="1">
        <v>41310</v>
      </c>
      <c r="E37" s="10">
        <v>33256</v>
      </c>
      <c r="F37" s="1">
        <v>41310</v>
      </c>
      <c r="G37">
        <v>6468</v>
      </c>
      <c r="H37" s="1">
        <f t="shared" si="1"/>
        <v>41310</v>
      </c>
      <c r="I37">
        <f>IF(AND(MyRowHidden(ROW())=FALSE,MyRowHidden(ROW()-1)=TRUE),0,(E37-E36)*unitsOfDHp+I36)</f>
        <v>32560</v>
      </c>
      <c r="J37">
        <f>IF(AND(MyRowHidden(ROW())=FALSE,MyRowHidden(ROW()-1)=TRUE),0,(G37-G36)*unitsOfExo+J36)</f>
        <v>8980</v>
      </c>
      <c r="K37" s="9">
        <f t="shared" si="2"/>
        <v>-8980</v>
      </c>
      <c r="L37">
        <f t="shared" si="3"/>
        <v>41540</v>
      </c>
    </row>
    <row r="38" spans="1:12" x14ac:dyDescent="0.25">
      <c r="A38" s="1"/>
      <c r="C38" s="1"/>
      <c r="D38" s="1">
        <v>41311</v>
      </c>
      <c r="E38" s="10">
        <v>32424</v>
      </c>
      <c r="F38" s="1">
        <v>41311</v>
      </c>
      <c r="G38">
        <v>6108</v>
      </c>
      <c r="H38" s="1">
        <f t="shared" si="1"/>
        <v>41311</v>
      </c>
      <c r="I38">
        <f>IF(AND(MyRowHidden(ROW())=FALSE,MyRowHidden(ROW()-1)=TRUE),0,(E38-E37)*unitsOfDHp+I37)</f>
        <v>24240</v>
      </c>
      <c r="J38">
        <f>IF(AND(MyRowHidden(ROW())=FALSE,MyRowHidden(ROW()-1)=TRUE),0,(G38-G37)*unitsOfExo+J37)</f>
        <v>5380</v>
      </c>
      <c r="K38" s="9">
        <f t="shared" si="2"/>
        <v>-5380</v>
      </c>
      <c r="L38">
        <f t="shared" si="3"/>
        <v>29620</v>
      </c>
    </row>
    <row r="39" spans="1:12" x14ac:dyDescent="0.25">
      <c r="A39" s="1"/>
      <c r="C39" s="1"/>
      <c r="D39" s="1">
        <v>41312</v>
      </c>
      <c r="E39" s="10">
        <v>32246</v>
      </c>
      <c r="F39" s="1">
        <v>41312</v>
      </c>
      <c r="G39">
        <v>6008</v>
      </c>
      <c r="H39" s="1">
        <f t="shared" si="1"/>
        <v>41312</v>
      </c>
      <c r="I39">
        <f>IF(AND(MyRowHidden(ROW())=FALSE,MyRowHidden(ROW()-1)=TRUE),0,(E39-E38)*unitsOfDHp+I38)</f>
        <v>22460</v>
      </c>
      <c r="J39">
        <f>IF(AND(MyRowHidden(ROW())=FALSE,MyRowHidden(ROW()-1)=TRUE),0,(G39-G38)*unitsOfExo+J38)</f>
        <v>4380</v>
      </c>
      <c r="K39" s="9">
        <f t="shared" si="2"/>
        <v>-4380</v>
      </c>
      <c r="L39">
        <f t="shared" si="3"/>
        <v>26840</v>
      </c>
    </row>
    <row r="40" spans="1:12" x14ac:dyDescent="0.25">
      <c r="A40" s="1"/>
      <c r="C40" s="1"/>
      <c r="D40" s="1">
        <v>41313</v>
      </c>
      <c r="E40" s="10">
        <v>32196</v>
      </c>
      <c r="F40" s="1">
        <v>41313</v>
      </c>
      <c r="G40">
        <v>5898</v>
      </c>
      <c r="H40" s="1">
        <f t="shared" si="1"/>
        <v>41313</v>
      </c>
      <c r="I40">
        <f>IF(AND(MyRowHidden(ROW())=FALSE,MyRowHidden(ROW()-1)=TRUE),0,(E40-E39)*unitsOfDHp+I39)</f>
        <v>21960</v>
      </c>
      <c r="J40">
        <f>IF(AND(MyRowHidden(ROW())=FALSE,MyRowHidden(ROW()-1)=TRUE),0,(G40-G39)*unitsOfExo+J39)</f>
        <v>3280</v>
      </c>
      <c r="K40" s="9">
        <f t="shared" si="2"/>
        <v>-3280</v>
      </c>
      <c r="L40">
        <f t="shared" si="3"/>
        <v>25240</v>
      </c>
    </row>
    <row r="41" spans="1:12" x14ac:dyDescent="0.25">
      <c r="A41" s="1"/>
      <c r="C41" s="1"/>
      <c r="D41" s="1">
        <v>41316</v>
      </c>
      <c r="E41" s="10">
        <v>32216</v>
      </c>
      <c r="F41" s="1">
        <v>41316</v>
      </c>
      <c r="G41">
        <v>5828</v>
      </c>
      <c r="H41" s="1">
        <f t="shared" si="1"/>
        <v>41316</v>
      </c>
      <c r="I41">
        <f>IF(AND(MyRowHidden(ROW())=FALSE,MyRowHidden(ROW()-1)=TRUE),0,(E41-E40)*unitsOfDHp+I40)</f>
        <v>22160</v>
      </c>
      <c r="J41">
        <f>IF(AND(MyRowHidden(ROW())=FALSE,MyRowHidden(ROW()-1)=TRUE),0,(G41-G40)*unitsOfExo+J40)</f>
        <v>2580</v>
      </c>
      <c r="K41" s="9">
        <f t="shared" si="2"/>
        <v>-2580</v>
      </c>
      <c r="L41">
        <f t="shared" si="3"/>
        <v>24740</v>
      </c>
    </row>
    <row r="42" spans="1:12" x14ac:dyDescent="0.25">
      <c r="A42" s="1"/>
      <c r="C42" s="1"/>
      <c r="D42" s="1">
        <v>41317</v>
      </c>
      <c r="E42" s="10">
        <v>32406</v>
      </c>
      <c r="F42" s="1">
        <v>41317</v>
      </c>
      <c r="G42">
        <v>6048</v>
      </c>
      <c r="H42" s="1">
        <f t="shared" si="1"/>
        <v>41317</v>
      </c>
      <c r="I42">
        <f>IF(AND(MyRowHidden(ROW())=FALSE,MyRowHidden(ROW()-1)=TRUE),0,(E42-E41)*unitsOfDHp+I41)</f>
        <v>24060</v>
      </c>
      <c r="J42">
        <f>IF(AND(MyRowHidden(ROW())=FALSE,MyRowHidden(ROW()-1)=TRUE),0,(G42-G41)*unitsOfExo+J41)</f>
        <v>4780</v>
      </c>
      <c r="K42" s="9">
        <f t="shared" si="2"/>
        <v>-4780</v>
      </c>
      <c r="L42">
        <f t="shared" si="3"/>
        <v>28840</v>
      </c>
    </row>
    <row r="43" spans="1:12" x14ac:dyDescent="0.25">
      <c r="A43" s="1"/>
      <c r="C43" s="1"/>
      <c r="D43" s="1">
        <v>41318</v>
      </c>
      <c r="E43" s="10">
        <v>32436</v>
      </c>
      <c r="F43" s="1">
        <v>41318</v>
      </c>
      <c r="G43">
        <v>6148</v>
      </c>
      <c r="H43" s="1">
        <f t="shared" si="1"/>
        <v>41318</v>
      </c>
      <c r="I43">
        <f>IF(AND(MyRowHidden(ROW())=FALSE,MyRowHidden(ROW()-1)=TRUE),0,(E43-E42)*unitsOfDHp+I42)</f>
        <v>24360</v>
      </c>
      <c r="J43">
        <f>IF(AND(MyRowHidden(ROW())=FALSE,MyRowHidden(ROW()-1)=TRUE),0,(G43-G42)*unitsOfExo+J42)</f>
        <v>5780</v>
      </c>
      <c r="K43" s="9">
        <f t="shared" si="2"/>
        <v>-5780</v>
      </c>
      <c r="L43">
        <f t="shared" si="3"/>
        <v>30140</v>
      </c>
    </row>
    <row r="44" spans="1:12" x14ac:dyDescent="0.25">
      <c r="A44" s="1"/>
      <c r="C44" s="1"/>
      <c r="D44" s="1">
        <v>41319</v>
      </c>
      <c r="E44" s="10">
        <v>32388</v>
      </c>
      <c r="F44" s="1">
        <v>41319</v>
      </c>
      <c r="G44">
        <v>6268</v>
      </c>
      <c r="H44" s="1">
        <f t="shared" si="1"/>
        <v>41319</v>
      </c>
      <c r="I44">
        <f>IF(AND(MyRowHidden(ROW())=FALSE,MyRowHidden(ROW()-1)=TRUE),0,(E44-E43)*unitsOfDHp+I43)</f>
        <v>23880</v>
      </c>
      <c r="J44">
        <f>IF(AND(MyRowHidden(ROW())=FALSE,MyRowHidden(ROW()-1)=TRUE),0,(G44-G43)*unitsOfExo+J43)</f>
        <v>6980</v>
      </c>
      <c r="K44" s="9">
        <f t="shared" si="2"/>
        <v>-6980</v>
      </c>
      <c r="L44">
        <f t="shared" si="3"/>
        <v>30860</v>
      </c>
    </row>
    <row r="45" spans="1:12" x14ac:dyDescent="0.25">
      <c r="A45" s="1"/>
      <c r="C45" s="1"/>
      <c r="D45" s="1">
        <v>41320</v>
      </c>
      <c r="E45" s="10">
        <v>32338</v>
      </c>
      <c r="F45" s="1">
        <v>41320</v>
      </c>
      <c r="G45">
        <v>6218</v>
      </c>
      <c r="H45" s="1">
        <f t="shared" si="1"/>
        <v>41320</v>
      </c>
      <c r="I45">
        <f>IF(AND(MyRowHidden(ROW())=FALSE,MyRowHidden(ROW()-1)=TRUE),0,(E45-E44)*unitsOfDHp+I44)</f>
        <v>23380</v>
      </c>
      <c r="J45">
        <f>IF(AND(MyRowHidden(ROW())=FALSE,MyRowHidden(ROW()-1)=TRUE),0,(G45-G44)*unitsOfExo+J44)</f>
        <v>6480</v>
      </c>
      <c r="K45" s="9">
        <f t="shared" si="2"/>
        <v>-6480</v>
      </c>
      <c r="L45">
        <f t="shared" si="3"/>
        <v>29860</v>
      </c>
    </row>
    <row r="46" spans="1:12" x14ac:dyDescent="0.25">
      <c r="A46" s="1"/>
      <c r="C46" s="1"/>
      <c r="D46" s="1">
        <v>41323</v>
      </c>
      <c r="E46" s="10">
        <v>32358</v>
      </c>
      <c r="F46" s="1">
        <v>41323</v>
      </c>
      <c r="G46">
        <v>6258</v>
      </c>
      <c r="H46" s="1">
        <f t="shared" si="1"/>
        <v>41323</v>
      </c>
      <c r="I46">
        <f>IF(AND(MyRowHidden(ROW())=FALSE,MyRowHidden(ROW()-1)=TRUE),0,(E46-E45)*unitsOfDHp+I45)</f>
        <v>23580</v>
      </c>
      <c r="J46">
        <f>IF(AND(MyRowHidden(ROW())=FALSE,MyRowHidden(ROW()-1)=TRUE),0,(G46-G45)*unitsOfExo+J45)</f>
        <v>6880</v>
      </c>
      <c r="K46" s="9">
        <f t="shared" si="2"/>
        <v>-6880</v>
      </c>
      <c r="L46">
        <f t="shared" si="3"/>
        <v>30460</v>
      </c>
    </row>
    <row r="47" spans="1:12" x14ac:dyDescent="0.25">
      <c r="A47" s="1"/>
      <c r="C47" s="1"/>
      <c r="D47" s="1">
        <v>41324</v>
      </c>
      <c r="E47" s="10">
        <v>32042</v>
      </c>
      <c r="F47" s="1">
        <v>41324</v>
      </c>
      <c r="G47">
        <v>5828</v>
      </c>
      <c r="H47" s="1">
        <f t="shared" si="1"/>
        <v>41324</v>
      </c>
      <c r="I47">
        <f>IF(AND(MyRowHidden(ROW())=FALSE,MyRowHidden(ROW()-1)=TRUE),0,(E47-E46)*unitsOfDHp+I46)</f>
        <v>20420</v>
      </c>
      <c r="J47">
        <f>IF(AND(MyRowHidden(ROW())=FALSE,MyRowHidden(ROW()-1)=TRUE),0,(G47-G46)*unitsOfExo+J46)</f>
        <v>2580</v>
      </c>
      <c r="K47" s="9">
        <f t="shared" si="2"/>
        <v>-2580</v>
      </c>
      <c r="L47">
        <f t="shared" si="3"/>
        <v>23000</v>
      </c>
    </row>
    <row r="48" spans="1:12" x14ac:dyDescent="0.25">
      <c r="A48" s="1"/>
      <c r="C48" s="1"/>
      <c r="D48" s="1">
        <v>41325</v>
      </c>
      <c r="E48" s="10">
        <v>32184</v>
      </c>
      <c r="F48" s="1">
        <v>41325</v>
      </c>
      <c r="G48">
        <v>5528</v>
      </c>
      <c r="H48" s="1">
        <f t="shared" si="1"/>
        <v>41325</v>
      </c>
      <c r="I48">
        <f>IF(AND(MyRowHidden(ROW())=FALSE,MyRowHidden(ROW()-1)=TRUE),0,(E48-E47)*unitsOfDHp+I47)</f>
        <v>21840</v>
      </c>
      <c r="J48">
        <f>IF(AND(MyRowHidden(ROW())=FALSE,MyRowHidden(ROW()-1)=TRUE),0,(G48-G47)*unitsOfExo+J47)</f>
        <v>-420</v>
      </c>
      <c r="K48" s="9">
        <f t="shared" si="2"/>
        <v>420</v>
      </c>
      <c r="L48">
        <f t="shared" si="3"/>
        <v>21420</v>
      </c>
    </row>
    <row r="49" spans="1:12" x14ac:dyDescent="0.25">
      <c r="A49" s="1"/>
      <c r="C49" s="1"/>
      <c r="D49" s="1">
        <v>41326</v>
      </c>
      <c r="E49" s="10">
        <v>32254</v>
      </c>
      <c r="F49" s="1">
        <v>41326</v>
      </c>
      <c r="G49">
        <v>5628</v>
      </c>
      <c r="H49" s="1">
        <f t="shared" si="1"/>
        <v>41326</v>
      </c>
      <c r="I49">
        <f>IF(AND(MyRowHidden(ROW())=FALSE,MyRowHidden(ROW()-1)=TRUE),0,(E49-E48)*unitsOfDHp+I48)</f>
        <v>22540</v>
      </c>
      <c r="J49">
        <f>IF(AND(MyRowHidden(ROW())=FALSE,MyRowHidden(ROW()-1)=TRUE),0,(G49-G48)*unitsOfExo+J48)</f>
        <v>580</v>
      </c>
      <c r="K49" s="9">
        <f t="shared" si="2"/>
        <v>-580</v>
      </c>
      <c r="L49">
        <f t="shared" si="3"/>
        <v>23120</v>
      </c>
    </row>
    <row r="50" spans="1:12" x14ac:dyDescent="0.25">
      <c r="A50" s="1"/>
      <c r="C50" s="1"/>
      <c r="D50" s="1">
        <v>41327</v>
      </c>
      <c r="E50" s="10">
        <v>32254</v>
      </c>
      <c r="F50" s="1">
        <v>41327</v>
      </c>
      <c r="G50">
        <v>5398</v>
      </c>
      <c r="H50" s="1">
        <f t="shared" si="1"/>
        <v>41327</v>
      </c>
      <c r="I50">
        <f>IF(AND(MyRowHidden(ROW())=FALSE,MyRowHidden(ROW()-1)=TRUE),0,(E50-E49)*unitsOfDHp+I49)</f>
        <v>22540</v>
      </c>
      <c r="J50">
        <f>IF(AND(MyRowHidden(ROW())=FALSE,MyRowHidden(ROW()-1)=TRUE),0,(G50-G49)*unitsOfExo+J49)</f>
        <v>-1720</v>
      </c>
      <c r="K50" s="9">
        <f t="shared" si="2"/>
        <v>1720</v>
      </c>
      <c r="L50">
        <f t="shared" si="3"/>
        <v>20820</v>
      </c>
    </row>
    <row r="51" spans="1:12" x14ac:dyDescent="0.25">
      <c r="A51" s="1"/>
      <c r="C51" s="1"/>
      <c r="D51" s="1">
        <v>41330</v>
      </c>
      <c r="E51" s="10">
        <v>32224</v>
      </c>
      <c r="F51" s="1">
        <v>41330</v>
      </c>
      <c r="G51">
        <v>5398</v>
      </c>
      <c r="H51" s="1">
        <f t="shared" si="1"/>
        <v>41330</v>
      </c>
      <c r="I51">
        <f>IF(AND(MyRowHidden(ROW())=FALSE,MyRowHidden(ROW()-1)=TRUE),0,(E51-E50)*unitsOfDHp+I50)</f>
        <v>22240</v>
      </c>
      <c r="J51">
        <f>IF(AND(MyRowHidden(ROW())=FALSE,MyRowHidden(ROW()-1)=TRUE),0,(G51-G50)*unitsOfExo+J50)</f>
        <v>-1720</v>
      </c>
      <c r="K51" s="9">
        <f t="shared" si="2"/>
        <v>1720</v>
      </c>
      <c r="L51">
        <f t="shared" si="3"/>
        <v>20520</v>
      </c>
    </row>
    <row r="52" spans="1:12" x14ac:dyDescent="0.25">
      <c r="A52" s="1"/>
      <c r="C52" s="1"/>
      <c r="D52" s="1">
        <v>41331</v>
      </c>
      <c r="E52" s="10">
        <v>32204</v>
      </c>
      <c r="F52" s="1">
        <v>41331</v>
      </c>
      <c r="G52">
        <v>5288</v>
      </c>
      <c r="H52" s="1">
        <f t="shared" si="1"/>
        <v>41331</v>
      </c>
      <c r="I52">
        <f>IF(AND(MyRowHidden(ROW())=FALSE,MyRowHidden(ROW()-1)=TRUE),0,(E52-E51)*unitsOfDHp+I51)</f>
        <v>22040</v>
      </c>
      <c r="J52">
        <f>IF(AND(MyRowHidden(ROW())=FALSE,MyRowHidden(ROW()-1)=TRUE),0,(G52-G51)*unitsOfExo+J51)</f>
        <v>-2820</v>
      </c>
      <c r="K52" s="9">
        <f t="shared" si="2"/>
        <v>2820</v>
      </c>
      <c r="L52">
        <f t="shared" si="3"/>
        <v>19220</v>
      </c>
    </row>
    <row r="53" spans="1:12" x14ac:dyDescent="0.25">
      <c r="A53" s="1"/>
      <c r="C53" s="1"/>
      <c r="D53" s="1">
        <v>41332</v>
      </c>
      <c r="E53" s="10">
        <v>32284</v>
      </c>
      <c r="F53" s="1">
        <v>41332</v>
      </c>
      <c r="G53">
        <v>5108</v>
      </c>
      <c r="H53" s="1">
        <f t="shared" si="1"/>
        <v>41332</v>
      </c>
      <c r="I53">
        <f>IF(AND(MyRowHidden(ROW())=FALSE,MyRowHidden(ROW()-1)=TRUE),0,(E53-E52)*unitsOfDHp+I52)</f>
        <v>22840</v>
      </c>
      <c r="J53">
        <f>IF(AND(MyRowHidden(ROW())=FALSE,MyRowHidden(ROW()-1)=TRUE),0,(G53-G52)*unitsOfExo+J52)</f>
        <v>-4620</v>
      </c>
      <c r="K53" s="9">
        <f t="shared" si="2"/>
        <v>4620</v>
      </c>
      <c r="L53">
        <f t="shared" si="3"/>
        <v>18220</v>
      </c>
    </row>
    <row r="54" spans="1:12" x14ac:dyDescent="0.25">
      <c r="A54" s="1"/>
      <c r="C54" s="1"/>
      <c r="D54" s="1">
        <v>41333</v>
      </c>
      <c r="E54" s="10">
        <v>32224</v>
      </c>
      <c r="F54" s="1">
        <v>41333</v>
      </c>
      <c r="G54">
        <v>5018</v>
      </c>
      <c r="H54" s="1">
        <f t="shared" si="1"/>
        <v>41333</v>
      </c>
      <c r="I54">
        <f>IF(AND(MyRowHidden(ROW())=FALSE,MyRowHidden(ROW()-1)=TRUE),0,(E54-E53)*unitsOfDHp+I53)</f>
        <v>22240</v>
      </c>
      <c r="J54">
        <f>IF(AND(MyRowHidden(ROW())=FALSE,MyRowHidden(ROW()-1)=TRUE),0,(G54-G53)*unitsOfExo+J53)</f>
        <v>-5520</v>
      </c>
      <c r="K54" s="9">
        <f t="shared" si="2"/>
        <v>5520</v>
      </c>
      <c r="L54">
        <f t="shared" si="3"/>
        <v>16720</v>
      </c>
    </row>
    <row r="55" spans="1:12" x14ac:dyDescent="0.25">
      <c r="A55" s="1"/>
      <c r="C55" s="1"/>
      <c r="D55" s="1">
        <v>41334</v>
      </c>
      <c r="E55" s="10">
        <v>32066</v>
      </c>
      <c r="F55" s="1">
        <v>41334</v>
      </c>
      <c r="G55">
        <v>5078</v>
      </c>
      <c r="H55" s="1">
        <f t="shared" si="1"/>
        <v>41334</v>
      </c>
      <c r="I55">
        <f>IF(AND(MyRowHidden(ROW())=FALSE,MyRowHidden(ROW()-1)=TRUE),0,(E55-E54)*unitsOfDHp+I54)</f>
        <v>20660</v>
      </c>
      <c r="J55">
        <f>IF(AND(MyRowHidden(ROW())=FALSE,MyRowHidden(ROW()-1)=TRUE),0,(G55-G54)*unitsOfExo+J54)</f>
        <v>-4920</v>
      </c>
      <c r="K55" s="9">
        <f t="shared" si="2"/>
        <v>4920</v>
      </c>
      <c r="L55">
        <f t="shared" si="3"/>
        <v>15740</v>
      </c>
    </row>
    <row r="56" spans="1:12" x14ac:dyDescent="0.25">
      <c r="A56" s="1"/>
      <c r="C56" s="1"/>
      <c r="D56" s="1">
        <v>41337</v>
      </c>
      <c r="E56" s="10">
        <v>32122</v>
      </c>
      <c r="F56" s="1">
        <v>41337</v>
      </c>
      <c r="G56">
        <v>4878</v>
      </c>
      <c r="H56" s="1">
        <f t="shared" si="1"/>
        <v>41337</v>
      </c>
      <c r="I56">
        <f>IF(AND(MyRowHidden(ROW())=FALSE,MyRowHidden(ROW()-1)=TRUE),0,(E56-E55)*unitsOfDHp+I55)</f>
        <v>21220</v>
      </c>
      <c r="J56">
        <f>IF(AND(MyRowHidden(ROW())=FALSE,MyRowHidden(ROW()-1)=TRUE),0,(G56-G55)*unitsOfExo+J55)</f>
        <v>-6920</v>
      </c>
      <c r="K56" s="9">
        <f t="shared" si="2"/>
        <v>6920</v>
      </c>
      <c r="L56">
        <f t="shared" si="3"/>
        <v>14300</v>
      </c>
    </row>
    <row r="57" spans="1:12" x14ac:dyDescent="0.25">
      <c r="A57" s="1"/>
      <c r="C57" s="1"/>
      <c r="D57" s="1">
        <v>41338</v>
      </c>
      <c r="E57" s="10">
        <v>32098</v>
      </c>
      <c r="F57" s="1">
        <v>41338</v>
      </c>
      <c r="G57">
        <v>4418</v>
      </c>
      <c r="H57" s="1">
        <f t="shared" si="1"/>
        <v>41338</v>
      </c>
      <c r="I57">
        <f>IF(AND(MyRowHidden(ROW())=FALSE,MyRowHidden(ROW()-1)=TRUE),0,(E57-E56)*unitsOfDHp+I56)</f>
        <v>20980</v>
      </c>
      <c r="J57">
        <f>IF(AND(MyRowHidden(ROW())=FALSE,MyRowHidden(ROW()-1)=TRUE),0,(G57-G56)*unitsOfExo+J56)</f>
        <v>-11520</v>
      </c>
      <c r="K57" s="9">
        <f t="shared" si="2"/>
        <v>11520</v>
      </c>
      <c r="L57">
        <f t="shared" si="3"/>
        <v>9460</v>
      </c>
    </row>
    <row r="58" spans="1:12" x14ac:dyDescent="0.25">
      <c r="A58" s="1"/>
      <c r="C58" s="1"/>
      <c r="D58" s="1">
        <v>41339</v>
      </c>
      <c r="E58" s="10">
        <v>32268</v>
      </c>
      <c r="F58" s="1">
        <v>41339</v>
      </c>
      <c r="G58">
        <v>4188</v>
      </c>
      <c r="H58" s="1">
        <f t="shared" si="1"/>
        <v>41339</v>
      </c>
      <c r="I58">
        <f>IF(AND(MyRowHidden(ROW())=FALSE,MyRowHidden(ROW()-1)=TRUE),0,(E58-E57)*unitsOfDHp+I57)</f>
        <v>22680</v>
      </c>
      <c r="J58">
        <f>IF(AND(MyRowHidden(ROW())=FALSE,MyRowHidden(ROW()-1)=TRUE),0,(G58-G57)*unitsOfExo+J57)</f>
        <v>-13820</v>
      </c>
      <c r="K58" s="9">
        <f t="shared" si="2"/>
        <v>13820</v>
      </c>
      <c r="L58">
        <f t="shared" si="3"/>
        <v>8860</v>
      </c>
    </row>
    <row r="59" spans="1:12" x14ac:dyDescent="0.25">
      <c r="A59" s="1"/>
      <c r="C59" s="1"/>
      <c r="D59" s="1">
        <v>41340</v>
      </c>
      <c r="E59" s="10">
        <v>31180</v>
      </c>
      <c r="F59" s="1">
        <v>41340</v>
      </c>
      <c r="G59">
        <v>5398</v>
      </c>
      <c r="H59" s="1">
        <f t="shared" si="1"/>
        <v>41340</v>
      </c>
      <c r="I59">
        <f>IF(AND(MyRowHidden(ROW())=FALSE,MyRowHidden(ROW()-1)=TRUE),0,(E59-E58)*unitsOfDHp+I58)</f>
        <v>11800</v>
      </c>
      <c r="J59">
        <f>IF(AND(MyRowHidden(ROW())=FALSE,MyRowHidden(ROW()-1)=TRUE),0,(G59-G58)*unitsOfExo+J58)</f>
        <v>-1720</v>
      </c>
      <c r="K59" s="9">
        <f t="shared" si="2"/>
        <v>1720</v>
      </c>
      <c r="L59">
        <f t="shared" si="3"/>
        <v>10080</v>
      </c>
    </row>
    <row r="60" spans="1:12" x14ac:dyDescent="0.25">
      <c r="A60" s="1"/>
      <c r="C60" s="1"/>
      <c r="D60" s="1">
        <v>41341</v>
      </c>
      <c r="E60" s="10">
        <v>31140</v>
      </c>
      <c r="F60" s="1">
        <v>41341</v>
      </c>
      <c r="G60">
        <v>5328</v>
      </c>
      <c r="H60" s="1">
        <f t="shared" si="1"/>
        <v>41341</v>
      </c>
      <c r="I60">
        <f>IF(AND(MyRowHidden(ROW())=FALSE,MyRowHidden(ROW()-1)=TRUE),0,(E60-E59)*unitsOfDHp+I59)</f>
        <v>11400</v>
      </c>
      <c r="J60">
        <f>IF(AND(MyRowHidden(ROW())=FALSE,MyRowHidden(ROW()-1)=TRUE),0,(G60-G59)*unitsOfExo+J59)</f>
        <v>-2420</v>
      </c>
      <c r="K60" s="9">
        <f t="shared" si="2"/>
        <v>2420</v>
      </c>
      <c r="L60">
        <f t="shared" si="3"/>
        <v>8980</v>
      </c>
    </row>
    <row r="61" spans="1:12" x14ac:dyDescent="0.25">
      <c r="A61" s="1"/>
      <c r="C61" s="1"/>
      <c r="D61" s="1">
        <v>41344</v>
      </c>
      <c r="E61" s="10">
        <v>31600</v>
      </c>
      <c r="F61" s="1">
        <v>41344</v>
      </c>
      <c r="G61">
        <v>5028</v>
      </c>
      <c r="H61" s="1">
        <f t="shared" si="1"/>
        <v>41344</v>
      </c>
      <c r="I61">
        <f>IF(AND(MyRowHidden(ROW())=FALSE,MyRowHidden(ROW()-1)=TRUE),0,(E61-E60)*unitsOfDHp+I60)</f>
        <v>16000</v>
      </c>
      <c r="J61">
        <f>IF(AND(MyRowHidden(ROW())=FALSE,MyRowHidden(ROW()-1)=TRUE),0,(G61-G60)*unitsOfExo+J60)</f>
        <v>-5420</v>
      </c>
      <c r="K61" s="9">
        <f t="shared" si="2"/>
        <v>5420</v>
      </c>
      <c r="L61">
        <f t="shared" si="3"/>
        <v>10580</v>
      </c>
    </row>
    <row r="62" spans="1:12" x14ac:dyDescent="0.25">
      <c r="A62" s="1"/>
      <c r="C62" s="1"/>
      <c r="D62" s="1">
        <v>41345</v>
      </c>
      <c r="E62" s="10">
        <v>31354</v>
      </c>
      <c r="F62" s="1">
        <v>41345</v>
      </c>
      <c r="G62">
        <v>5208</v>
      </c>
      <c r="H62" s="1">
        <f t="shared" si="1"/>
        <v>41345</v>
      </c>
      <c r="I62">
        <f>IF(AND(MyRowHidden(ROW())=FALSE,MyRowHidden(ROW()-1)=TRUE),0,(E62-E61)*unitsOfDHp+I61)</f>
        <v>13540</v>
      </c>
      <c r="J62">
        <f>IF(AND(MyRowHidden(ROW())=FALSE,MyRowHidden(ROW()-1)=TRUE),0,(G62-G61)*unitsOfExo+J61)</f>
        <v>-3620</v>
      </c>
      <c r="K62" s="9">
        <f t="shared" si="2"/>
        <v>3620</v>
      </c>
      <c r="L62">
        <f t="shared" si="3"/>
        <v>9920</v>
      </c>
    </row>
    <row r="63" spans="1:12" x14ac:dyDescent="0.25">
      <c r="A63" s="1"/>
      <c r="C63" s="1"/>
      <c r="D63" s="1">
        <v>41346</v>
      </c>
      <c r="E63" s="10">
        <v>32374</v>
      </c>
      <c r="F63" s="1">
        <v>41346</v>
      </c>
      <c r="G63">
        <v>4858</v>
      </c>
      <c r="H63" s="1">
        <f t="shared" si="1"/>
        <v>41346</v>
      </c>
      <c r="I63">
        <f>IF(AND(MyRowHidden(ROW())=FALSE,MyRowHidden(ROW()-1)=TRUE),0,(E63-E62)*unitsOfDHp+I62)</f>
        <v>23740</v>
      </c>
      <c r="J63">
        <f>IF(AND(MyRowHidden(ROW())=FALSE,MyRowHidden(ROW()-1)=TRUE),0,(G63-G62)*unitsOfExo+J62)</f>
        <v>-7120</v>
      </c>
      <c r="K63" s="9">
        <f t="shared" si="2"/>
        <v>7120</v>
      </c>
      <c r="L63">
        <f t="shared" si="3"/>
        <v>16620</v>
      </c>
    </row>
    <row r="64" spans="1:12" x14ac:dyDescent="0.25">
      <c r="A64" s="1"/>
      <c r="C64" s="1"/>
      <c r="D64" s="1">
        <v>41347</v>
      </c>
      <c r="E64" s="10">
        <v>32134</v>
      </c>
      <c r="F64" s="1">
        <v>41347</v>
      </c>
      <c r="G64">
        <v>4878</v>
      </c>
      <c r="H64" s="1">
        <f t="shared" si="1"/>
        <v>41347</v>
      </c>
      <c r="I64">
        <f>IF(AND(MyRowHidden(ROW())=FALSE,MyRowHidden(ROW()-1)=TRUE),0,(E64-E63)*unitsOfDHp+I63)</f>
        <v>21340</v>
      </c>
      <c r="J64">
        <f>IF(AND(MyRowHidden(ROW())=FALSE,MyRowHidden(ROW()-1)=TRUE),0,(G64-G63)*unitsOfExo+J63)</f>
        <v>-6920</v>
      </c>
      <c r="K64" s="9">
        <f t="shared" si="2"/>
        <v>6920</v>
      </c>
      <c r="L64">
        <f t="shared" si="3"/>
        <v>14420</v>
      </c>
    </row>
    <row r="65" spans="1:12" x14ac:dyDescent="0.25">
      <c r="A65" s="1"/>
      <c r="C65" s="1"/>
      <c r="D65" s="1">
        <v>41348</v>
      </c>
      <c r="E65" s="10">
        <v>33588</v>
      </c>
      <c r="F65" s="1">
        <v>41348</v>
      </c>
      <c r="G65">
        <v>4438</v>
      </c>
      <c r="H65" s="1">
        <f t="shared" si="1"/>
        <v>41348</v>
      </c>
      <c r="I65">
        <f>IF(AND(MyRowHidden(ROW())=FALSE,MyRowHidden(ROW()-1)=TRUE),0,(E65-E64)*unitsOfDHp+I64)</f>
        <v>35880</v>
      </c>
      <c r="J65">
        <f>IF(AND(MyRowHidden(ROW())=FALSE,MyRowHidden(ROW()-1)=TRUE),0,(G65-G64)*unitsOfExo+J64)</f>
        <v>-11320</v>
      </c>
      <c r="K65" s="9">
        <f t="shared" si="2"/>
        <v>11320</v>
      </c>
      <c r="L65">
        <f t="shared" si="3"/>
        <v>24560</v>
      </c>
    </row>
    <row r="66" spans="1:12" x14ac:dyDescent="0.25">
      <c r="A66" s="1"/>
      <c r="C66" s="1"/>
      <c r="D66" s="1">
        <v>41351</v>
      </c>
      <c r="E66" s="10">
        <v>33868</v>
      </c>
      <c r="F66" s="1">
        <v>41351</v>
      </c>
      <c r="G66">
        <v>4388</v>
      </c>
      <c r="H66" s="1">
        <f t="shared" si="1"/>
        <v>41351</v>
      </c>
      <c r="I66">
        <f>IF(AND(MyRowHidden(ROW())=FALSE,MyRowHidden(ROW()-1)=TRUE),0,(E66-E65)*unitsOfDHp+I65)</f>
        <v>38680</v>
      </c>
      <c r="J66">
        <f>IF(AND(MyRowHidden(ROW())=FALSE,MyRowHidden(ROW()-1)=TRUE),0,(G66-G65)*unitsOfExo+J65)</f>
        <v>-11820</v>
      </c>
      <c r="K66" s="9">
        <f t="shared" si="2"/>
        <v>11820</v>
      </c>
      <c r="L66">
        <f t="shared" si="3"/>
        <v>26860</v>
      </c>
    </row>
    <row r="67" spans="1:12" x14ac:dyDescent="0.25">
      <c r="A67" s="1"/>
      <c r="C67" s="1"/>
      <c r="D67" s="1">
        <v>41352</v>
      </c>
      <c r="E67" s="10">
        <v>36490</v>
      </c>
      <c r="F67" s="1">
        <v>41352</v>
      </c>
      <c r="G67">
        <v>3908</v>
      </c>
      <c r="H67" s="1">
        <f t="shared" si="1"/>
        <v>41352</v>
      </c>
      <c r="I67">
        <f>IF(AND(MyRowHidden(ROW())=FALSE,MyRowHidden(ROW()-1)=TRUE),0,(E67-E66)*unitsOfDHp+I66)</f>
        <v>64900</v>
      </c>
      <c r="J67">
        <f>IF(AND(MyRowHidden(ROW())=FALSE,MyRowHidden(ROW()-1)=TRUE),0,(G67-G66)*unitsOfExo+J66)</f>
        <v>-16620</v>
      </c>
      <c r="K67" s="9">
        <f t="shared" si="2"/>
        <v>16620</v>
      </c>
      <c r="L67">
        <f t="shared" si="3"/>
        <v>48280</v>
      </c>
    </row>
    <row r="68" spans="1:12" x14ac:dyDescent="0.25">
      <c r="A68" s="1"/>
      <c r="C68" s="1"/>
      <c r="D68" s="1">
        <v>41353</v>
      </c>
      <c r="E68" s="10">
        <v>36968</v>
      </c>
      <c r="F68" s="1">
        <v>41353</v>
      </c>
      <c r="G68">
        <v>3668</v>
      </c>
      <c r="H68" s="1">
        <f t="shared" si="1"/>
        <v>41353</v>
      </c>
      <c r="I68">
        <f>IF(AND(MyRowHidden(ROW())=FALSE,MyRowHidden(ROW()-1)=TRUE),0,(E68-E67)*unitsOfDHp+I67)</f>
        <v>69680</v>
      </c>
      <c r="J68">
        <f>IF(AND(MyRowHidden(ROW())=FALSE,MyRowHidden(ROW()-1)=TRUE),0,(G68-G67)*unitsOfExo+J67)</f>
        <v>-19020</v>
      </c>
      <c r="K68" s="9">
        <f t="shared" si="2"/>
        <v>19020</v>
      </c>
      <c r="L68">
        <f t="shared" si="3"/>
        <v>50660</v>
      </c>
    </row>
    <row r="69" spans="1:12" x14ac:dyDescent="0.25">
      <c r="A69" s="1"/>
      <c r="C69" s="1"/>
      <c r="D69" s="1">
        <v>41354</v>
      </c>
      <c r="E69" s="10">
        <v>36038</v>
      </c>
      <c r="F69" s="1">
        <v>41354</v>
      </c>
      <c r="G69">
        <v>3898</v>
      </c>
      <c r="H69" s="1">
        <f t="shared" si="1"/>
        <v>41354</v>
      </c>
      <c r="I69">
        <f>IF(AND(MyRowHidden(ROW())=FALSE,MyRowHidden(ROW()-1)=TRUE),0,(E69-E68)*unitsOfDHp+I68)</f>
        <v>60380</v>
      </c>
      <c r="J69">
        <f>IF(AND(MyRowHidden(ROW())=FALSE,MyRowHidden(ROW()-1)=TRUE),0,(G69-G68)*unitsOfExo+J68)</f>
        <v>-16720</v>
      </c>
      <c r="K69" s="9">
        <f t="shared" si="2"/>
        <v>16720</v>
      </c>
      <c r="L69">
        <f t="shared" si="3"/>
        <v>43660</v>
      </c>
    </row>
    <row r="70" spans="1:12" x14ac:dyDescent="0.25">
      <c r="A70" s="1"/>
      <c r="C70" s="1"/>
      <c r="D70" s="1">
        <v>41355</v>
      </c>
      <c r="E70" s="10">
        <v>36318</v>
      </c>
      <c r="F70" s="1">
        <v>41355</v>
      </c>
      <c r="G70">
        <v>3838</v>
      </c>
      <c r="H70" s="1">
        <f t="shared" si="1"/>
        <v>41355</v>
      </c>
      <c r="I70">
        <f>IF(AND(MyRowHidden(ROW())=FALSE,MyRowHidden(ROW()-1)=TRUE),0,(E70-E69)*unitsOfDHp+I69)</f>
        <v>63180</v>
      </c>
      <c r="J70">
        <f>IF(AND(MyRowHidden(ROW())=FALSE,MyRowHidden(ROW()-1)=TRUE),0,(G70-G69)*unitsOfExo+J69)</f>
        <v>-17320</v>
      </c>
      <c r="K70" s="9">
        <f t="shared" si="2"/>
        <v>17320</v>
      </c>
      <c r="L70">
        <f t="shared" si="3"/>
        <v>45860</v>
      </c>
    </row>
    <row r="71" spans="1:12" x14ac:dyDescent="0.25">
      <c r="A71" s="1"/>
      <c r="C71" s="1"/>
      <c r="D71" s="1">
        <v>41358</v>
      </c>
      <c r="E71" s="10">
        <v>36008</v>
      </c>
      <c r="F71" s="1">
        <v>41358</v>
      </c>
      <c r="G71">
        <v>3908</v>
      </c>
      <c r="H71" s="1">
        <f t="shared" si="1"/>
        <v>41358</v>
      </c>
      <c r="I71">
        <f>IF(AND(MyRowHidden(ROW())=FALSE,MyRowHidden(ROW()-1)=TRUE),0,(E71-E70)*unitsOfDHp+I70)</f>
        <v>60080</v>
      </c>
      <c r="J71">
        <f>IF(AND(MyRowHidden(ROW())=FALSE,MyRowHidden(ROW()-1)=TRUE),0,(G71-G70)*unitsOfExo+J70)</f>
        <v>-16620</v>
      </c>
      <c r="K71" s="9">
        <f t="shared" si="2"/>
        <v>16620</v>
      </c>
      <c r="L71">
        <f t="shared" si="3"/>
        <v>43460</v>
      </c>
    </row>
    <row r="72" spans="1:12" x14ac:dyDescent="0.25">
      <c r="A72" s="1"/>
      <c r="C72" s="1"/>
      <c r="D72" s="1">
        <v>41359</v>
      </c>
      <c r="E72" s="10">
        <v>34082</v>
      </c>
      <c r="F72" s="1">
        <v>41359</v>
      </c>
      <c r="G72">
        <v>4418</v>
      </c>
      <c r="H72" s="1">
        <f t="shared" si="1"/>
        <v>41359</v>
      </c>
      <c r="I72">
        <f>IF(AND(MyRowHidden(ROW())=FALSE,MyRowHidden(ROW()-1)=TRUE),0,(E72-E71)*unitsOfDHp+I71)</f>
        <v>40820</v>
      </c>
      <c r="J72">
        <f>IF(AND(MyRowHidden(ROW())=FALSE,MyRowHidden(ROW()-1)=TRUE),0,(G72-G71)*unitsOfExo+J71)</f>
        <v>-11520</v>
      </c>
      <c r="K72" s="9">
        <f t="shared" si="2"/>
        <v>11520</v>
      </c>
      <c r="L72">
        <f t="shared" si="3"/>
        <v>29300</v>
      </c>
    </row>
    <row r="73" spans="1:12" x14ac:dyDescent="0.25">
      <c r="A73" s="1"/>
      <c r="C73" s="1"/>
      <c r="D73" s="1">
        <v>41360</v>
      </c>
      <c r="E73" s="10">
        <v>33880</v>
      </c>
      <c r="F73" s="1">
        <v>41360</v>
      </c>
      <c r="G73">
        <v>4578</v>
      </c>
      <c r="H73" s="1">
        <f t="shared" si="1"/>
        <v>41360</v>
      </c>
      <c r="I73">
        <f>IF(AND(MyRowHidden(ROW())=FALSE,MyRowHidden(ROW()-1)=TRUE),0,(E73-E72)*unitsOfDHp+I72)</f>
        <v>38800</v>
      </c>
      <c r="J73">
        <f>IF(AND(MyRowHidden(ROW())=FALSE,MyRowHidden(ROW()-1)=TRUE),0,(G73-G72)*unitsOfExo+J72)</f>
        <v>-9920</v>
      </c>
      <c r="K73" s="9">
        <f t="shared" si="2"/>
        <v>9920</v>
      </c>
      <c r="L73">
        <f t="shared" si="3"/>
        <v>28880</v>
      </c>
    </row>
    <row r="74" spans="1:12" x14ac:dyDescent="0.25">
      <c r="A74" s="1"/>
      <c r="C74" s="1"/>
      <c r="D74" s="1">
        <v>41361</v>
      </c>
      <c r="E74" s="10">
        <v>33978</v>
      </c>
      <c r="F74" s="1">
        <v>41361</v>
      </c>
      <c r="G74">
        <v>4808</v>
      </c>
      <c r="H74" s="1">
        <f t="shared" si="1"/>
        <v>41361</v>
      </c>
      <c r="I74">
        <f>IF(AND(MyRowHidden(ROW())=FALSE,MyRowHidden(ROW()-1)=TRUE),0,(E74-E73)*unitsOfDHp+I73)</f>
        <v>39780</v>
      </c>
      <c r="J74">
        <f>IF(AND(MyRowHidden(ROW())=FALSE,MyRowHidden(ROW()-1)=TRUE),0,(G74-G73)*unitsOfExo+J73)</f>
        <v>-7620</v>
      </c>
      <c r="K74" s="9">
        <f t="shared" si="2"/>
        <v>7620</v>
      </c>
      <c r="L74">
        <f t="shared" si="3"/>
        <v>32160</v>
      </c>
    </row>
    <row r="75" spans="1:12" x14ac:dyDescent="0.25">
      <c r="A75" s="1"/>
      <c r="C75" s="1"/>
      <c r="D75" s="1">
        <v>41362</v>
      </c>
      <c r="E75" s="10">
        <v>33908</v>
      </c>
      <c r="F75" s="1">
        <v>41362</v>
      </c>
      <c r="G75">
        <v>4788</v>
      </c>
      <c r="H75" s="1">
        <f t="shared" si="1"/>
        <v>41362</v>
      </c>
      <c r="I75">
        <f>IF(AND(MyRowHidden(ROW())=FALSE,MyRowHidden(ROW()-1)=TRUE),0,(E75-E74)*unitsOfDHp+I74)</f>
        <v>39080</v>
      </c>
      <c r="J75">
        <f>IF(AND(MyRowHidden(ROW())=FALSE,MyRowHidden(ROW()-1)=TRUE),0,(G75-G74)*unitsOfExo+J74)</f>
        <v>-7820</v>
      </c>
      <c r="K75" s="9">
        <f t="shared" si="2"/>
        <v>7820</v>
      </c>
      <c r="L75">
        <f t="shared" si="3"/>
        <v>31260</v>
      </c>
    </row>
    <row r="76" spans="1:12" x14ac:dyDescent="0.25">
      <c r="A76" s="1"/>
      <c r="C76" s="1"/>
      <c r="D76" s="1">
        <v>41365</v>
      </c>
      <c r="E76" s="10">
        <v>34190</v>
      </c>
      <c r="F76" s="1">
        <v>41365</v>
      </c>
      <c r="G76">
        <v>5066</v>
      </c>
      <c r="H76" s="1">
        <f t="shared" si="1"/>
        <v>41365</v>
      </c>
      <c r="I76">
        <f>IF(AND(MyRowHidden(ROW())=FALSE,MyRowHidden(ROW()-1)=TRUE),0,(E76-E75)*unitsOfDHp+I75)</f>
        <v>41900</v>
      </c>
      <c r="J76">
        <f>IF(AND(MyRowHidden(ROW())=FALSE,MyRowHidden(ROW()-1)=TRUE),0,(G76-G75)*unitsOfExo+J75)</f>
        <v>-5040</v>
      </c>
      <c r="K76" s="9">
        <f t="shared" si="2"/>
        <v>5040</v>
      </c>
      <c r="L76">
        <f t="shared" si="3"/>
        <v>36860</v>
      </c>
    </row>
    <row r="77" spans="1:12" x14ac:dyDescent="0.25">
      <c r="A77" s="1"/>
      <c r="C77" s="1"/>
      <c r="D77" s="1">
        <v>41366</v>
      </c>
      <c r="E77" s="10">
        <v>33812</v>
      </c>
      <c r="F77" s="1">
        <v>41366</v>
      </c>
      <c r="G77">
        <v>4986</v>
      </c>
      <c r="H77" s="1">
        <f t="shared" ref="H77:H140" si="4">D77</f>
        <v>41366</v>
      </c>
      <c r="I77">
        <f>IF(AND(MyRowHidden(ROW())=FALSE,MyRowHidden(ROW()-1)=TRUE),0,(E77-E76)*unitsOfDHp+I76)</f>
        <v>38120</v>
      </c>
      <c r="J77">
        <f>IF(AND(MyRowHidden(ROW())=FALSE,MyRowHidden(ROW()-1)=TRUE),0,(G77-G76)*unitsOfExo+J76)</f>
        <v>-5840</v>
      </c>
      <c r="K77" s="9">
        <f t="shared" ref="K77:K140" si="5">-(J77-J76)+K76</f>
        <v>5840</v>
      </c>
      <c r="L77">
        <f t="shared" ref="L77:L140" si="6">I77+J77</f>
        <v>32280</v>
      </c>
    </row>
    <row r="78" spans="1:12" x14ac:dyDescent="0.25">
      <c r="A78" s="1"/>
      <c r="C78" s="1"/>
      <c r="D78" s="1">
        <v>41367</v>
      </c>
      <c r="E78" s="10">
        <v>34002</v>
      </c>
      <c r="F78" s="1">
        <v>41367</v>
      </c>
      <c r="G78">
        <v>5146</v>
      </c>
      <c r="H78" s="1">
        <f t="shared" si="4"/>
        <v>41367</v>
      </c>
      <c r="I78">
        <f>IF(AND(MyRowHidden(ROW())=FALSE,MyRowHidden(ROW()-1)=TRUE),0,(E78-E77)*unitsOfDHp+I77)</f>
        <v>40020</v>
      </c>
      <c r="J78">
        <f>IF(AND(MyRowHidden(ROW())=FALSE,MyRowHidden(ROW()-1)=TRUE),0,(G78-G77)*unitsOfExo+J77)</f>
        <v>-4240</v>
      </c>
      <c r="K78" s="9">
        <f t="shared" si="5"/>
        <v>4240</v>
      </c>
      <c r="L78">
        <f t="shared" si="6"/>
        <v>35780</v>
      </c>
    </row>
    <row r="79" spans="1:12" x14ac:dyDescent="0.25">
      <c r="A79" s="1"/>
      <c r="C79" s="1"/>
      <c r="D79" s="1">
        <v>41368</v>
      </c>
      <c r="E79" s="10">
        <v>34398</v>
      </c>
      <c r="F79" s="1">
        <v>41368</v>
      </c>
      <c r="G79">
        <v>5416</v>
      </c>
      <c r="H79" s="1">
        <f t="shared" si="4"/>
        <v>41368</v>
      </c>
      <c r="I79">
        <f>IF(AND(MyRowHidden(ROW())=FALSE,MyRowHidden(ROW()-1)=TRUE),0,(E79-E78)*unitsOfDHp+I78)</f>
        <v>43980</v>
      </c>
      <c r="J79">
        <f>IF(AND(MyRowHidden(ROW())=FALSE,MyRowHidden(ROW()-1)=TRUE),0,(G79-G78)*unitsOfExo+J78)</f>
        <v>-1540</v>
      </c>
      <c r="K79" s="9">
        <f t="shared" si="5"/>
        <v>1540</v>
      </c>
      <c r="L79">
        <f t="shared" si="6"/>
        <v>42440</v>
      </c>
    </row>
    <row r="80" spans="1:12" x14ac:dyDescent="0.25">
      <c r="A80" s="1"/>
      <c r="C80" s="1"/>
      <c r="D80" s="1">
        <v>41369</v>
      </c>
      <c r="E80" s="10">
        <v>34044</v>
      </c>
      <c r="F80" s="1">
        <v>41369</v>
      </c>
      <c r="G80">
        <v>4626</v>
      </c>
      <c r="H80" s="1">
        <f t="shared" si="4"/>
        <v>41369</v>
      </c>
      <c r="I80">
        <f>IF(AND(MyRowHidden(ROW())=FALSE,MyRowHidden(ROW()-1)=TRUE),0,(E80-E79)*unitsOfDHp+I79)</f>
        <v>40440</v>
      </c>
      <c r="J80">
        <f>IF(AND(MyRowHidden(ROW())=FALSE,MyRowHidden(ROW()-1)=TRUE),0,(G80-G79)*unitsOfExo+J79)</f>
        <v>-9440</v>
      </c>
      <c r="K80" s="9">
        <f t="shared" si="5"/>
        <v>9440</v>
      </c>
      <c r="L80">
        <f t="shared" si="6"/>
        <v>31000</v>
      </c>
    </row>
    <row r="81" spans="1:12" x14ac:dyDescent="0.25">
      <c r="A81" s="1"/>
      <c r="C81" s="1"/>
      <c r="D81" s="1">
        <v>41372</v>
      </c>
      <c r="E81" s="10">
        <v>34022</v>
      </c>
      <c r="F81" s="1">
        <v>41372</v>
      </c>
      <c r="G81">
        <v>4926</v>
      </c>
      <c r="H81" s="1">
        <f t="shared" si="4"/>
        <v>41372</v>
      </c>
      <c r="I81">
        <f>IF(AND(MyRowHidden(ROW())=FALSE,MyRowHidden(ROW()-1)=TRUE),0,(E81-E80)*unitsOfDHp+I80)</f>
        <v>40220</v>
      </c>
      <c r="J81">
        <f>IF(AND(MyRowHidden(ROW())=FALSE,MyRowHidden(ROW()-1)=TRUE),0,(G81-G80)*unitsOfExo+J80)</f>
        <v>-6440</v>
      </c>
      <c r="K81" s="9">
        <f t="shared" si="5"/>
        <v>6440</v>
      </c>
      <c r="L81">
        <f t="shared" si="6"/>
        <v>33780</v>
      </c>
    </row>
    <row r="82" spans="1:12" x14ac:dyDescent="0.25">
      <c r="A82" s="1"/>
      <c r="C82" s="1"/>
      <c r="D82" s="1">
        <v>41373</v>
      </c>
      <c r="E82" s="10">
        <v>33988</v>
      </c>
      <c r="F82" s="1">
        <v>41373</v>
      </c>
      <c r="G82">
        <v>4916</v>
      </c>
      <c r="H82" s="1">
        <f t="shared" si="4"/>
        <v>41373</v>
      </c>
      <c r="I82">
        <f>IF(AND(MyRowHidden(ROW())=FALSE,MyRowHidden(ROW()-1)=TRUE),0,(E82-E81)*unitsOfDHp+I81)</f>
        <v>39880</v>
      </c>
      <c r="J82">
        <f>IF(AND(MyRowHidden(ROW())=FALSE,MyRowHidden(ROW()-1)=TRUE),0,(G82-G81)*unitsOfExo+J81)</f>
        <v>-6540</v>
      </c>
      <c r="K82" s="9">
        <f t="shared" si="5"/>
        <v>6540</v>
      </c>
      <c r="L82">
        <f t="shared" si="6"/>
        <v>33340</v>
      </c>
    </row>
    <row r="83" spans="1:12" x14ac:dyDescent="0.25">
      <c r="A83" s="1"/>
      <c r="C83" s="1"/>
      <c r="D83" s="1">
        <v>41374</v>
      </c>
      <c r="E83" s="10">
        <v>33988</v>
      </c>
      <c r="F83" s="1">
        <v>41374</v>
      </c>
      <c r="G83">
        <v>5046</v>
      </c>
      <c r="H83" s="1">
        <f t="shared" si="4"/>
        <v>41374</v>
      </c>
      <c r="I83">
        <f>IF(AND(MyRowHidden(ROW())=FALSE,MyRowHidden(ROW()-1)=TRUE),0,(E83-E82)*unitsOfDHp+I82)</f>
        <v>39880</v>
      </c>
      <c r="J83">
        <f>IF(AND(MyRowHidden(ROW())=FALSE,MyRowHidden(ROW()-1)=TRUE),0,(G83-G82)*unitsOfExo+J82)</f>
        <v>-5240</v>
      </c>
      <c r="K83" s="9">
        <f t="shared" si="5"/>
        <v>5240</v>
      </c>
      <c r="L83">
        <f t="shared" si="6"/>
        <v>34640</v>
      </c>
    </row>
    <row r="84" spans="1:12" x14ac:dyDescent="0.25">
      <c r="A84" s="1"/>
      <c r="C84" s="1"/>
      <c r="D84" s="1">
        <v>41375</v>
      </c>
      <c r="E84" s="10">
        <v>33988</v>
      </c>
      <c r="F84" s="1">
        <v>41375</v>
      </c>
      <c r="G84">
        <v>5216</v>
      </c>
      <c r="H84" s="1">
        <f t="shared" si="4"/>
        <v>41375</v>
      </c>
      <c r="I84">
        <f>IF(AND(MyRowHidden(ROW())=FALSE,MyRowHidden(ROW()-1)=TRUE),0,(E84-E83)*unitsOfDHp+I83)</f>
        <v>39880</v>
      </c>
      <c r="J84">
        <f>IF(AND(MyRowHidden(ROW())=FALSE,MyRowHidden(ROW()-1)=TRUE),0,(G84-G83)*unitsOfExo+J83)</f>
        <v>-3540</v>
      </c>
      <c r="K84" s="9">
        <f t="shared" si="5"/>
        <v>3540</v>
      </c>
      <c r="L84">
        <f t="shared" si="6"/>
        <v>36340</v>
      </c>
    </row>
    <row r="85" spans="1:12" x14ac:dyDescent="0.25">
      <c r="A85" s="1"/>
      <c r="C85" s="1"/>
      <c r="D85" s="1">
        <v>41376</v>
      </c>
      <c r="E85" s="10">
        <v>33940</v>
      </c>
      <c r="F85" s="1">
        <v>41376</v>
      </c>
      <c r="G85">
        <v>5466</v>
      </c>
      <c r="H85" s="1">
        <f t="shared" si="4"/>
        <v>41376</v>
      </c>
      <c r="I85">
        <f>IF(AND(MyRowHidden(ROW())=FALSE,MyRowHidden(ROW()-1)=TRUE),0,(E85-E84)*unitsOfDHp+I84)</f>
        <v>39400</v>
      </c>
      <c r="J85">
        <f>IF(AND(MyRowHidden(ROW())=FALSE,MyRowHidden(ROW()-1)=TRUE),0,(G85-G84)*unitsOfExo+J84)</f>
        <v>-1040</v>
      </c>
      <c r="K85" s="9">
        <f t="shared" si="5"/>
        <v>1040</v>
      </c>
      <c r="L85">
        <f t="shared" si="6"/>
        <v>38360</v>
      </c>
    </row>
    <row r="86" spans="1:12" x14ac:dyDescent="0.25">
      <c r="A86" s="1"/>
      <c r="C86" s="1"/>
      <c r="D86" s="1">
        <v>41379</v>
      </c>
      <c r="E86" s="10">
        <v>33892</v>
      </c>
      <c r="F86" s="1">
        <v>41379</v>
      </c>
      <c r="G86">
        <v>5116</v>
      </c>
      <c r="H86" s="1">
        <f t="shared" si="4"/>
        <v>41379</v>
      </c>
      <c r="I86">
        <f>IF(AND(MyRowHidden(ROW())=FALSE,MyRowHidden(ROW()-1)=TRUE),0,(E86-E85)*unitsOfDHp+I85)</f>
        <v>38920</v>
      </c>
      <c r="J86">
        <f>IF(AND(MyRowHidden(ROW())=FALSE,MyRowHidden(ROW()-1)=TRUE),0,(G86-G85)*unitsOfExo+J85)</f>
        <v>-4540</v>
      </c>
      <c r="K86" s="9">
        <f t="shared" si="5"/>
        <v>4540</v>
      </c>
      <c r="L86">
        <f t="shared" si="6"/>
        <v>34380</v>
      </c>
    </row>
    <row r="87" spans="1:12" x14ac:dyDescent="0.25">
      <c r="A87" s="1"/>
      <c r="C87" s="1"/>
      <c r="D87" s="1">
        <v>41380</v>
      </c>
      <c r="E87" s="10">
        <v>34082</v>
      </c>
      <c r="F87" s="1">
        <v>41380</v>
      </c>
      <c r="G87">
        <v>5296</v>
      </c>
      <c r="H87" s="1">
        <f t="shared" si="4"/>
        <v>41380</v>
      </c>
      <c r="I87">
        <f>IF(AND(MyRowHidden(ROW())=FALSE,MyRowHidden(ROW()-1)=TRUE),0,(E87-E86)*unitsOfDHp+I86)</f>
        <v>40820</v>
      </c>
      <c r="J87">
        <f>IF(AND(MyRowHidden(ROW())=FALSE,MyRowHidden(ROW()-1)=TRUE),0,(G87-G86)*unitsOfExo+J86)</f>
        <v>-2740</v>
      </c>
      <c r="K87" s="9">
        <f t="shared" si="5"/>
        <v>2740</v>
      </c>
      <c r="L87">
        <f t="shared" si="6"/>
        <v>38080</v>
      </c>
    </row>
    <row r="88" spans="1:12" x14ac:dyDescent="0.25">
      <c r="A88" s="1"/>
      <c r="C88" s="1"/>
      <c r="D88" s="1">
        <v>41381</v>
      </c>
      <c r="E88" s="10">
        <v>34842</v>
      </c>
      <c r="F88" s="1">
        <v>41381</v>
      </c>
      <c r="G88">
        <v>5796</v>
      </c>
      <c r="H88" s="1">
        <f t="shared" si="4"/>
        <v>41381</v>
      </c>
      <c r="I88">
        <f>IF(AND(MyRowHidden(ROW())=FALSE,MyRowHidden(ROW()-1)=TRUE),0,(E88-E87)*unitsOfDHp+I87)</f>
        <v>48420</v>
      </c>
      <c r="J88">
        <f>IF(AND(MyRowHidden(ROW())=FALSE,MyRowHidden(ROW()-1)=TRUE),0,(G88-G87)*unitsOfExo+J87)</f>
        <v>2260</v>
      </c>
      <c r="K88" s="9">
        <f t="shared" si="5"/>
        <v>-2260</v>
      </c>
      <c r="L88">
        <f t="shared" si="6"/>
        <v>50680</v>
      </c>
    </row>
    <row r="89" spans="1:12" x14ac:dyDescent="0.25">
      <c r="A89" s="1"/>
      <c r="C89" s="1"/>
      <c r="D89" s="1">
        <v>41382</v>
      </c>
      <c r="E89" s="10">
        <v>35110</v>
      </c>
      <c r="F89" s="1">
        <v>41382</v>
      </c>
      <c r="G89">
        <v>5956</v>
      </c>
      <c r="H89" s="1">
        <f t="shared" si="4"/>
        <v>41382</v>
      </c>
      <c r="I89">
        <f>IF(AND(MyRowHidden(ROW())=FALSE,MyRowHidden(ROW()-1)=TRUE),0,(E89-E88)*unitsOfDHp+I88)</f>
        <v>51100</v>
      </c>
      <c r="J89">
        <f>IF(AND(MyRowHidden(ROW())=FALSE,MyRowHidden(ROW()-1)=TRUE),0,(G89-G88)*unitsOfExo+J88)</f>
        <v>3860</v>
      </c>
      <c r="K89" s="9">
        <f t="shared" si="5"/>
        <v>-3860</v>
      </c>
      <c r="L89">
        <f t="shared" si="6"/>
        <v>54960</v>
      </c>
    </row>
    <row r="90" spans="1:12" x14ac:dyDescent="0.25">
      <c r="A90" s="1"/>
      <c r="C90" s="1"/>
      <c r="D90" s="1">
        <v>41383</v>
      </c>
      <c r="E90" s="10">
        <v>34588</v>
      </c>
      <c r="F90" s="1">
        <v>41383</v>
      </c>
      <c r="G90">
        <v>5796</v>
      </c>
      <c r="H90" s="1">
        <f t="shared" si="4"/>
        <v>41383</v>
      </c>
      <c r="I90">
        <f>IF(AND(MyRowHidden(ROW())=FALSE,MyRowHidden(ROW()-1)=TRUE),0,(E90-E89)*unitsOfDHp+I89)</f>
        <v>45880</v>
      </c>
      <c r="J90">
        <f>IF(AND(MyRowHidden(ROW())=FALSE,MyRowHidden(ROW()-1)=TRUE),0,(G90-G89)*unitsOfExo+J89)</f>
        <v>2260</v>
      </c>
      <c r="K90" s="9">
        <f t="shared" si="5"/>
        <v>-2260</v>
      </c>
      <c r="L90">
        <f t="shared" si="6"/>
        <v>48140</v>
      </c>
    </row>
    <row r="91" spans="1:12" x14ac:dyDescent="0.25">
      <c r="A91" s="1"/>
      <c r="C91" s="1"/>
      <c r="D91" s="1">
        <v>41386</v>
      </c>
      <c r="E91" s="10">
        <v>34188</v>
      </c>
      <c r="F91" s="1">
        <v>41386</v>
      </c>
      <c r="G91">
        <v>5486</v>
      </c>
      <c r="H91" s="1">
        <f t="shared" si="4"/>
        <v>41386</v>
      </c>
      <c r="I91">
        <f>IF(AND(MyRowHidden(ROW())=FALSE,MyRowHidden(ROW()-1)=TRUE),0,(E91-E90)*unitsOfDHp+I90)</f>
        <v>41880</v>
      </c>
      <c r="J91">
        <f>IF(AND(MyRowHidden(ROW())=FALSE,MyRowHidden(ROW()-1)=TRUE),0,(G91-G90)*unitsOfExo+J90)</f>
        <v>-840</v>
      </c>
      <c r="K91" s="9">
        <f t="shared" si="5"/>
        <v>840</v>
      </c>
      <c r="L91">
        <f t="shared" si="6"/>
        <v>41040</v>
      </c>
    </row>
    <row r="92" spans="1:12" x14ac:dyDescent="0.25">
      <c r="A92" s="1"/>
      <c r="C92" s="1"/>
      <c r="D92" s="1">
        <v>41387</v>
      </c>
      <c r="E92" s="10">
        <v>34258</v>
      </c>
      <c r="F92" s="1">
        <v>41387</v>
      </c>
      <c r="G92">
        <v>5566</v>
      </c>
      <c r="H92" s="1">
        <f t="shared" si="4"/>
        <v>41387</v>
      </c>
      <c r="I92">
        <f>IF(AND(MyRowHidden(ROW())=FALSE,MyRowHidden(ROW()-1)=TRUE),0,(E92-E91)*unitsOfDHp+I91)</f>
        <v>42580</v>
      </c>
      <c r="J92">
        <f>IF(AND(MyRowHidden(ROW())=FALSE,MyRowHidden(ROW()-1)=TRUE),0,(G92-G91)*unitsOfExo+J91)</f>
        <v>-40</v>
      </c>
      <c r="K92" s="9">
        <f t="shared" si="5"/>
        <v>40</v>
      </c>
      <c r="L92">
        <f t="shared" si="6"/>
        <v>42540</v>
      </c>
    </row>
    <row r="93" spans="1:12" x14ac:dyDescent="0.25">
      <c r="A93" s="1"/>
      <c r="C93" s="1"/>
      <c r="D93" s="1">
        <v>41388</v>
      </c>
      <c r="E93" s="10">
        <v>35116</v>
      </c>
      <c r="F93" s="1">
        <v>41388</v>
      </c>
      <c r="G93">
        <v>6076</v>
      </c>
      <c r="H93" s="1">
        <f t="shared" si="4"/>
        <v>41388</v>
      </c>
      <c r="I93">
        <f>IF(AND(MyRowHidden(ROW())=FALSE,MyRowHidden(ROW()-1)=TRUE),0,(E93-E92)*unitsOfDHp+I92)</f>
        <v>51160</v>
      </c>
      <c r="J93">
        <f>IF(AND(MyRowHidden(ROW())=FALSE,MyRowHidden(ROW()-1)=TRUE),0,(G93-G92)*unitsOfExo+J92)</f>
        <v>5060</v>
      </c>
      <c r="K93" s="9">
        <f t="shared" si="5"/>
        <v>-5060</v>
      </c>
      <c r="L93">
        <f t="shared" si="6"/>
        <v>56220</v>
      </c>
    </row>
    <row r="94" spans="1:12" x14ac:dyDescent="0.25">
      <c r="A94" s="1"/>
      <c r="C94" s="1"/>
      <c r="D94" s="1">
        <v>41389</v>
      </c>
      <c r="E94" s="10">
        <v>35516</v>
      </c>
      <c r="F94" s="1">
        <v>41389</v>
      </c>
      <c r="G94">
        <v>6366</v>
      </c>
      <c r="H94" s="1">
        <f t="shared" si="4"/>
        <v>41389</v>
      </c>
      <c r="I94">
        <f>IF(AND(MyRowHidden(ROW())=FALSE,MyRowHidden(ROW()-1)=TRUE),0,(E94-E93)*unitsOfDHp+I93)</f>
        <v>55160</v>
      </c>
      <c r="J94">
        <f>IF(AND(MyRowHidden(ROW())=FALSE,MyRowHidden(ROW()-1)=TRUE),0,(G94-G93)*unitsOfExo+J93)</f>
        <v>7960</v>
      </c>
      <c r="K94" s="9">
        <f t="shared" si="5"/>
        <v>-7960</v>
      </c>
      <c r="L94">
        <f t="shared" si="6"/>
        <v>63120</v>
      </c>
    </row>
    <row r="95" spans="1:12" x14ac:dyDescent="0.25">
      <c r="A95" s="1"/>
      <c r="C95" s="1"/>
      <c r="D95" s="1">
        <v>41390</v>
      </c>
      <c r="E95" s="10">
        <v>35774</v>
      </c>
      <c r="F95" s="1">
        <v>41390</v>
      </c>
      <c r="G95">
        <v>6666</v>
      </c>
      <c r="H95" s="1">
        <f t="shared" si="4"/>
        <v>41390</v>
      </c>
      <c r="I95">
        <f>IF(AND(MyRowHidden(ROW())=FALSE,MyRowHidden(ROW()-1)=TRUE),0,(E95-E94)*unitsOfDHp+I94)</f>
        <v>57740</v>
      </c>
      <c r="J95">
        <f>IF(AND(MyRowHidden(ROW())=FALSE,MyRowHidden(ROW()-1)=TRUE),0,(G95-G94)*unitsOfExo+J94)</f>
        <v>10960</v>
      </c>
      <c r="K95" s="9">
        <f t="shared" si="5"/>
        <v>-10960</v>
      </c>
      <c r="L95">
        <f t="shared" si="6"/>
        <v>68700</v>
      </c>
    </row>
    <row r="96" spans="1:12" x14ac:dyDescent="0.25">
      <c r="A96" s="1"/>
      <c r="C96" s="1"/>
      <c r="D96" s="1">
        <v>41393</v>
      </c>
      <c r="E96" s="10">
        <v>35804</v>
      </c>
      <c r="F96" s="1">
        <v>41393</v>
      </c>
      <c r="G96">
        <v>6526</v>
      </c>
      <c r="H96" s="1">
        <f t="shared" si="4"/>
        <v>41393</v>
      </c>
      <c r="I96">
        <f>IF(AND(MyRowHidden(ROW())=FALSE,MyRowHidden(ROW()-1)=TRUE),0,(E96-E95)*unitsOfDHp+I95)</f>
        <v>58040</v>
      </c>
      <c r="J96">
        <f>IF(AND(MyRowHidden(ROW())=FALSE,MyRowHidden(ROW()-1)=TRUE),0,(G96-G95)*unitsOfExo+J95)</f>
        <v>9560</v>
      </c>
      <c r="K96" s="9">
        <f t="shared" si="5"/>
        <v>-9560</v>
      </c>
      <c r="L96">
        <f t="shared" si="6"/>
        <v>67600</v>
      </c>
    </row>
    <row r="97" spans="1:12" x14ac:dyDescent="0.25">
      <c r="A97" s="1"/>
      <c r="C97" s="1"/>
      <c r="D97" s="1">
        <v>41394</v>
      </c>
      <c r="E97" s="10">
        <v>35854</v>
      </c>
      <c r="F97" s="1">
        <v>41394</v>
      </c>
      <c r="G97">
        <v>6676</v>
      </c>
      <c r="H97" s="1">
        <f t="shared" si="4"/>
        <v>41394</v>
      </c>
      <c r="I97">
        <f>IF(AND(MyRowHidden(ROW())=FALSE,MyRowHidden(ROW()-1)=TRUE),0,(E97-E96)*unitsOfDHp+I96)</f>
        <v>58540</v>
      </c>
      <c r="J97">
        <f>IF(AND(MyRowHidden(ROW())=FALSE,MyRowHidden(ROW()-1)=TRUE),0,(G97-G96)*unitsOfExo+J96)</f>
        <v>11060</v>
      </c>
      <c r="K97" s="9">
        <f t="shared" si="5"/>
        <v>-11060</v>
      </c>
      <c r="L97">
        <f t="shared" si="6"/>
        <v>69600</v>
      </c>
    </row>
    <row r="98" spans="1:12" x14ac:dyDescent="0.25">
      <c r="A98" s="1"/>
      <c r="C98" s="1"/>
      <c r="D98" s="1">
        <v>41395</v>
      </c>
      <c r="E98" s="10">
        <v>35984</v>
      </c>
      <c r="F98" s="1">
        <v>41395</v>
      </c>
      <c r="G98">
        <v>6846</v>
      </c>
      <c r="H98" s="1">
        <f t="shared" si="4"/>
        <v>41395</v>
      </c>
      <c r="I98">
        <f>IF(AND(MyRowHidden(ROW())=FALSE,MyRowHidden(ROW()-1)=TRUE),0,(E98-E97)*unitsOfDHp+I97)</f>
        <v>59840</v>
      </c>
      <c r="J98">
        <f>IF(AND(MyRowHidden(ROW())=FALSE,MyRowHidden(ROW()-1)=TRUE),0,(G98-G97)*unitsOfExo+J97)</f>
        <v>12760</v>
      </c>
      <c r="K98" s="9">
        <f t="shared" si="5"/>
        <v>-12760</v>
      </c>
      <c r="L98">
        <f t="shared" si="6"/>
        <v>72600</v>
      </c>
    </row>
    <row r="99" spans="1:12" x14ac:dyDescent="0.25">
      <c r="A99" s="1"/>
      <c r="C99" s="1"/>
      <c r="D99" s="1">
        <v>41396</v>
      </c>
      <c r="E99" s="10">
        <v>35994</v>
      </c>
      <c r="F99" s="1">
        <v>41396</v>
      </c>
      <c r="G99">
        <v>6866</v>
      </c>
      <c r="H99" s="1">
        <f t="shared" si="4"/>
        <v>41396</v>
      </c>
      <c r="I99">
        <f>IF(AND(MyRowHidden(ROW())=FALSE,MyRowHidden(ROW()-1)=TRUE),0,(E99-E98)*unitsOfDHp+I98)</f>
        <v>59940</v>
      </c>
      <c r="J99">
        <f>IF(AND(MyRowHidden(ROW())=FALSE,MyRowHidden(ROW()-1)=TRUE),0,(G99-G98)*unitsOfExo+J98)</f>
        <v>12960</v>
      </c>
      <c r="K99" s="9">
        <f t="shared" si="5"/>
        <v>-12960</v>
      </c>
      <c r="L99">
        <f t="shared" si="6"/>
        <v>72900</v>
      </c>
    </row>
    <row r="100" spans="1:12" x14ac:dyDescent="0.25">
      <c r="A100" s="1"/>
      <c r="C100" s="1"/>
      <c r="D100" s="1">
        <v>41397</v>
      </c>
      <c r="E100" s="10">
        <v>35984</v>
      </c>
      <c r="F100" s="1">
        <v>41397</v>
      </c>
      <c r="G100">
        <v>6706</v>
      </c>
      <c r="H100" s="1">
        <f t="shared" si="4"/>
        <v>41397</v>
      </c>
      <c r="I100">
        <f>IF(AND(MyRowHidden(ROW())=FALSE,MyRowHidden(ROW()-1)=TRUE),0,(E100-E99)*unitsOfDHp+I99)</f>
        <v>59840</v>
      </c>
      <c r="J100">
        <f>IF(AND(MyRowHidden(ROW())=FALSE,MyRowHidden(ROW()-1)=TRUE),0,(G100-G99)*unitsOfExo+J99)</f>
        <v>11360</v>
      </c>
      <c r="K100" s="9">
        <f t="shared" si="5"/>
        <v>-11360</v>
      </c>
      <c r="L100">
        <f t="shared" si="6"/>
        <v>71200</v>
      </c>
    </row>
    <row r="101" spans="1:12" x14ac:dyDescent="0.25">
      <c r="A101" s="1"/>
      <c r="C101" s="1"/>
      <c r="D101" s="1">
        <v>41400</v>
      </c>
      <c r="E101" s="10">
        <v>35734</v>
      </c>
      <c r="F101" s="1">
        <v>41400</v>
      </c>
      <c r="G101">
        <v>6266</v>
      </c>
      <c r="H101" s="1">
        <f t="shared" si="4"/>
        <v>41400</v>
      </c>
      <c r="I101">
        <f>IF(AND(MyRowHidden(ROW())=FALSE,MyRowHidden(ROW()-1)=TRUE),0,(E101-E100)*unitsOfDHp+I100)</f>
        <v>57340</v>
      </c>
      <c r="J101">
        <f>IF(AND(MyRowHidden(ROW())=FALSE,MyRowHidden(ROW()-1)=TRUE),0,(G101-G100)*unitsOfExo+J100)</f>
        <v>6960</v>
      </c>
      <c r="K101" s="9">
        <f t="shared" si="5"/>
        <v>-6960</v>
      </c>
      <c r="L101">
        <f t="shared" si="6"/>
        <v>64300</v>
      </c>
    </row>
    <row r="102" spans="1:12" x14ac:dyDescent="0.25">
      <c r="A102" s="1"/>
      <c r="C102" s="1"/>
      <c r="D102" s="1">
        <v>41401</v>
      </c>
      <c r="E102" s="10">
        <v>35770</v>
      </c>
      <c r="F102" s="1">
        <v>41401</v>
      </c>
      <c r="G102">
        <v>6386</v>
      </c>
      <c r="H102" s="1">
        <f t="shared" si="4"/>
        <v>41401</v>
      </c>
      <c r="I102">
        <f>IF(AND(MyRowHidden(ROW())=FALSE,MyRowHidden(ROW()-1)=TRUE),0,(E102-E101)*unitsOfDHp+I101)</f>
        <v>57700</v>
      </c>
      <c r="J102">
        <f>IF(AND(MyRowHidden(ROW())=FALSE,MyRowHidden(ROW()-1)=TRUE),0,(G102-G101)*unitsOfExo+J101)</f>
        <v>8160</v>
      </c>
      <c r="K102" s="9">
        <f t="shared" si="5"/>
        <v>-8160</v>
      </c>
      <c r="L102">
        <f t="shared" si="6"/>
        <v>65860</v>
      </c>
    </row>
    <row r="103" spans="1:12" x14ac:dyDescent="0.25">
      <c r="A103" s="1"/>
      <c r="C103" s="1"/>
      <c r="D103" s="1">
        <v>41402</v>
      </c>
      <c r="E103" s="10">
        <v>35926</v>
      </c>
      <c r="F103" s="1">
        <v>41402</v>
      </c>
      <c r="G103">
        <v>6376</v>
      </c>
      <c r="H103" s="1">
        <f t="shared" si="4"/>
        <v>41402</v>
      </c>
      <c r="I103">
        <f>IF(AND(MyRowHidden(ROW())=FALSE,MyRowHidden(ROW()-1)=TRUE),0,(E103-E102)*unitsOfDHp+I102)</f>
        <v>59260</v>
      </c>
      <c r="J103">
        <f>IF(AND(MyRowHidden(ROW())=FALSE,MyRowHidden(ROW()-1)=TRUE),0,(G103-G102)*unitsOfExo+J102)</f>
        <v>8060</v>
      </c>
      <c r="K103" s="9">
        <f t="shared" si="5"/>
        <v>-8060</v>
      </c>
      <c r="L103">
        <f t="shared" si="6"/>
        <v>67320</v>
      </c>
    </row>
    <row r="104" spans="1:12" x14ac:dyDescent="0.25">
      <c r="A104" s="1"/>
      <c r="C104" s="1"/>
      <c r="D104" s="1">
        <v>41403</v>
      </c>
      <c r="E104" s="10">
        <v>34694</v>
      </c>
      <c r="F104" s="1">
        <v>41403</v>
      </c>
      <c r="G104">
        <v>6016</v>
      </c>
      <c r="H104" s="1">
        <f t="shared" si="4"/>
        <v>41403</v>
      </c>
      <c r="I104">
        <f>IF(AND(MyRowHidden(ROW())=FALSE,MyRowHidden(ROW()-1)=TRUE),0,(E104-E103)*unitsOfDHp+I103)</f>
        <v>46940</v>
      </c>
      <c r="J104">
        <f>IF(AND(MyRowHidden(ROW())=FALSE,MyRowHidden(ROW()-1)=TRUE),0,(G104-G103)*unitsOfExo+J103)</f>
        <v>4460</v>
      </c>
      <c r="K104" s="9">
        <f t="shared" si="5"/>
        <v>-4460</v>
      </c>
      <c r="L104">
        <f t="shared" si="6"/>
        <v>51400</v>
      </c>
    </row>
    <row r="105" spans="1:12" x14ac:dyDescent="0.25">
      <c r="A105" s="1"/>
      <c r="C105" s="1"/>
      <c r="D105" s="1">
        <v>41404</v>
      </c>
      <c r="E105" s="10">
        <v>33938</v>
      </c>
      <c r="F105" s="1">
        <v>41404</v>
      </c>
      <c r="G105">
        <v>5836</v>
      </c>
      <c r="H105" s="1">
        <f t="shared" si="4"/>
        <v>41404</v>
      </c>
      <c r="I105">
        <f>IF(AND(MyRowHidden(ROW())=FALSE,MyRowHidden(ROW()-1)=TRUE),0,(E105-E104)*unitsOfDHp+I104)</f>
        <v>39380</v>
      </c>
      <c r="J105">
        <f>IF(AND(MyRowHidden(ROW())=FALSE,MyRowHidden(ROW()-1)=TRUE),0,(G105-G104)*unitsOfExo+J104)</f>
        <v>2660</v>
      </c>
      <c r="K105" s="9">
        <f t="shared" si="5"/>
        <v>-2660</v>
      </c>
      <c r="L105">
        <f t="shared" si="6"/>
        <v>42040</v>
      </c>
    </row>
    <row r="106" spans="1:12" x14ac:dyDescent="0.25">
      <c r="A106" s="1"/>
      <c r="C106" s="1"/>
      <c r="D106" s="1">
        <v>41407</v>
      </c>
      <c r="E106" s="10">
        <v>34620</v>
      </c>
      <c r="F106" s="1">
        <v>41407</v>
      </c>
      <c r="G106">
        <v>5996</v>
      </c>
      <c r="H106" s="1">
        <f t="shared" si="4"/>
        <v>41407</v>
      </c>
      <c r="I106">
        <f>IF(AND(MyRowHidden(ROW())=FALSE,MyRowHidden(ROW()-1)=TRUE),0,(E106-E105)*unitsOfDHp+I105)</f>
        <v>46200</v>
      </c>
      <c r="J106">
        <f>IF(AND(MyRowHidden(ROW())=FALSE,MyRowHidden(ROW()-1)=TRUE),0,(G106-G105)*unitsOfExo+J105)</f>
        <v>4260</v>
      </c>
      <c r="K106" s="9">
        <f t="shared" si="5"/>
        <v>-4260</v>
      </c>
      <c r="L106">
        <f t="shared" si="6"/>
        <v>50460</v>
      </c>
    </row>
    <row r="107" spans="1:12" x14ac:dyDescent="0.25">
      <c r="A107" s="1"/>
      <c r="C107" s="1"/>
      <c r="D107" s="1">
        <v>41408</v>
      </c>
      <c r="E107" s="10">
        <v>37290</v>
      </c>
      <c r="F107" s="1">
        <v>41408</v>
      </c>
      <c r="G107">
        <v>6796</v>
      </c>
      <c r="H107" s="1">
        <f t="shared" si="4"/>
        <v>41408</v>
      </c>
      <c r="I107">
        <f>IF(AND(MyRowHidden(ROW())=FALSE,MyRowHidden(ROW()-1)=TRUE),0,(E107-E106)*unitsOfDHp+I106)</f>
        <v>72900</v>
      </c>
      <c r="J107">
        <f>IF(AND(MyRowHidden(ROW())=FALSE,MyRowHidden(ROW()-1)=TRUE),0,(G107-G106)*unitsOfExo+J106)</f>
        <v>12260</v>
      </c>
      <c r="K107" s="9">
        <f t="shared" si="5"/>
        <v>-12260</v>
      </c>
      <c r="L107">
        <f t="shared" si="6"/>
        <v>85160</v>
      </c>
    </row>
    <row r="108" spans="1:12" x14ac:dyDescent="0.25">
      <c r="A108" s="1"/>
      <c r="C108" s="1"/>
      <c r="D108" s="1">
        <v>41409</v>
      </c>
      <c r="E108" s="10">
        <v>36438</v>
      </c>
      <c r="F108" s="1">
        <v>41409</v>
      </c>
      <c r="G108">
        <v>6446</v>
      </c>
      <c r="H108" s="1">
        <f t="shared" si="4"/>
        <v>41409</v>
      </c>
      <c r="I108">
        <f>IF(AND(MyRowHidden(ROW())=FALSE,MyRowHidden(ROW()-1)=TRUE),0,(E108-E107)*unitsOfDHp+I107)</f>
        <v>64380</v>
      </c>
      <c r="J108">
        <f>IF(AND(MyRowHidden(ROW())=FALSE,MyRowHidden(ROW()-1)=TRUE),0,(G108-G107)*unitsOfExo+J107)</f>
        <v>8760</v>
      </c>
      <c r="K108" s="9">
        <f t="shared" si="5"/>
        <v>-8760</v>
      </c>
      <c r="L108">
        <f t="shared" si="6"/>
        <v>73140</v>
      </c>
    </row>
    <row r="109" spans="1:12" x14ac:dyDescent="0.25">
      <c r="A109" s="1"/>
      <c r="C109" s="1"/>
      <c r="D109" s="1">
        <v>41410</v>
      </c>
      <c r="E109" s="10">
        <v>36688</v>
      </c>
      <c r="F109" s="1">
        <v>41410</v>
      </c>
      <c r="G109">
        <v>6846</v>
      </c>
      <c r="H109" s="1">
        <f t="shared" si="4"/>
        <v>41410</v>
      </c>
      <c r="I109">
        <f>IF(AND(MyRowHidden(ROW())=FALSE,MyRowHidden(ROW()-1)=TRUE),0,(E109-E108)*unitsOfDHp+I108)</f>
        <v>66880</v>
      </c>
      <c r="J109">
        <f>IF(AND(MyRowHidden(ROW())=FALSE,MyRowHidden(ROW()-1)=TRUE),0,(G109-G108)*unitsOfExo+J108)</f>
        <v>12760</v>
      </c>
      <c r="K109" s="9">
        <f t="shared" si="5"/>
        <v>-12760</v>
      </c>
      <c r="L109">
        <f t="shared" si="6"/>
        <v>79640</v>
      </c>
    </row>
    <row r="110" spans="1:12" x14ac:dyDescent="0.25">
      <c r="A110" s="1"/>
      <c r="C110" s="1"/>
      <c r="D110" s="1">
        <v>41411</v>
      </c>
      <c r="E110" s="10">
        <v>35640</v>
      </c>
      <c r="F110" s="1">
        <v>41411</v>
      </c>
      <c r="G110">
        <v>6266</v>
      </c>
      <c r="H110" s="1">
        <f t="shared" si="4"/>
        <v>41411</v>
      </c>
      <c r="I110">
        <f>IF(AND(MyRowHidden(ROW())=FALSE,MyRowHidden(ROW()-1)=TRUE),0,(E110-E109)*unitsOfDHp+I109)</f>
        <v>56400</v>
      </c>
      <c r="J110">
        <f>IF(AND(MyRowHidden(ROW())=FALSE,MyRowHidden(ROW()-1)=TRUE),0,(G110-G109)*unitsOfExo+J109)</f>
        <v>6960</v>
      </c>
      <c r="K110" s="9">
        <f t="shared" si="5"/>
        <v>-6960</v>
      </c>
      <c r="L110">
        <f t="shared" si="6"/>
        <v>63360</v>
      </c>
    </row>
    <row r="111" spans="1:12" x14ac:dyDescent="0.25">
      <c r="A111" s="1"/>
      <c r="C111" s="1"/>
      <c r="D111" s="1">
        <v>41414</v>
      </c>
      <c r="E111" s="10">
        <v>35706</v>
      </c>
      <c r="F111" s="1">
        <v>41414</v>
      </c>
      <c r="G111">
        <v>6566</v>
      </c>
      <c r="H111" s="1">
        <f t="shared" si="4"/>
        <v>41414</v>
      </c>
      <c r="I111">
        <f>IF(AND(MyRowHidden(ROW())=FALSE,MyRowHidden(ROW()-1)=TRUE),0,(E111-E110)*unitsOfDHp+I110)</f>
        <v>57060</v>
      </c>
      <c r="J111">
        <f>IF(AND(MyRowHidden(ROW())=FALSE,MyRowHidden(ROW()-1)=TRUE),0,(G111-G110)*unitsOfExo+J110)</f>
        <v>9960</v>
      </c>
      <c r="K111" s="9">
        <f t="shared" si="5"/>
        <v>-9960</v>
      </c>
      <c r="L111">
        <f t="shared" si="6"/>
        <v>67020</v>
      </c>
    </row>
    <row r="112" spans="1:12" x14ac:dyDescent="0.25">
      <c r="A112" s="1"/>
      <c r="C112" s="1"/>
      <c r="D112" s="1">
        <v>41415</v>
      </c>
      <c r="E112" s="10">
        <v>35828</v>
      </c>
      <c r="F112" s="1">
        <v>41415</v>
      </c>
      <c r="G112">
        <v>6826</v>
      </c>
      <c r="H112" s="1">
        <f t="shared" si="4"/>
        <v>41415</v>
      </c>
      <c r="I112">
        <f>IF(AND(MyRowHidden(ROW())=FALSE,MyRowHidden(ROW()-1)=TRUE),0,(E112-E111)*unitsOfDHp+I111)</f>
        <v>58280</v>
      </c>
      <c r="J112">
        <f>IF(AND(MyRowHidden(ROW())=FALSE,MyRowHidden(ROW()-1)=TRUE),0,(G112-G111)*unitsOfExo+J111)</f>
        <v>12560</v>
      </c>
      <c r="K112" s="9">
        <f t="shared" si="5"/>
        <v>-12560</v>
      </c>
      <c r="L112">
        <f t="shared" si="6"/>
        <v>70840</v>
      </c>
    </row>
    <row r="113" spans="1:12" x14ac:dyDescent="0.25">
      <c r="A113" s="1"/>
      <c r="C113" s="1"/>
      <c r="D113" s="1">
        <v>41416</v>
      </c>
      <c r="E113" s="10">
        <v>37308</v>
      </c>
      <c r="F113" s="1">
        <v>41416</v>
      </c>
      <c r="G113">
        <v>7506</v>
      </c>
      <c r="H113" s="1">
        <f t="shared" si="4"/>
        <v>41416</v>
      </c>
      <c r="I113">
        <f>IF(AND(MyRowHidden(ROW())=FALSE,MyRowHidden(ROW()-1)=TRUE),0,(E113-E112)*unitsOfDHp+I112)</f>
        <v>73080</v>
      </c>
      <c r="J113">
        <f>IF(AND(MyRowHidden(ROW())=FALSE,MyRowHidden(ROW()-1)=TRUE),0,(G113-G112)*unitsOfExo+J112)</f>
        <v>19360</v>
      </c>
      <c r="K113" s="9">
        <f t="shared" si="5"/>
        <v>-19360</v>
      </c>
      <c r="L113">
        <f t="shared" si="6"/>
        <v>92440</v>
      </c>
    </row>
    <row r="114" spans="1:12" x14ac:dyDescent="0.25">
      <c r="A114" s="1"/>
      <c r="C114" s="1"/>
      <c r="D114" s="1">
        <v>41417</v>
      </c>
      <c r="E114" s="10">
        <v>37252</v>
      </c>
      <c r="F114" s="1">
        <v>41417</v>
      </c>
      <c r="G114">
        <v>7346</v>
      </c>
      <c r="H114" s="1">
        <f t="shared" si="4"/>
        <v>41417</v>
      </c>
      <c r="I114">
        <f>IF(AND(MyRowHidden(ROW())=FALSE,MyRowHidden(ROW()-1)=TRUE),0,(E114-E113)*unitsOfDHp+I113)</f>
        <v>72520</v>
      </c>
      <c r="J114">
        <f>IF(AND(MyRowHidden(ROW())=FALSE,MyRowHidden(ROW()-1)=TRUE),0,(G114-G113)*unitsOfExo+J113)</f>
        <v>17760</v>
      </c>
      <c r="K114" s="9">
        <f t="shared" si="5"/>
        <v>-17760</v>
      </c>
      <c r="L114">
        <f t="shared" si="6"/>
        <v>90280</v>
      </c>
    </row>
    <row r="115" spans="1:12" x14ac:dyDescent="0.25">
      <c r="A115" s="1"/>
      <c r="C115" s="1"/>
      <c r="D115" s="1">
        <v>41418</v>
      </c>
      <c r="E115" s="10">
        <v>37522</v>
      </c>
      <c r="F115" s="1">
        <v>41418</v>
      </c>
      <c r="G115">
        <v>7626</v>
      </c>
      <c r="H115" s="1">
        <f t="shared" si="4"/>
        <v>41418</v>
      </c>
      <c r="I115">
        <f>IF(AND(MyRowHidden(ROW())=FALSE,MyRowHidden(ROW()-1)=TRUE),0,(E115-E114)*unitsOfDHp+I114)</f>
        <v>75220</v>
      </c>
      <c r="J115">
        <f>IF(AND(MyRowHidden(ROW())=FALSE,MyRowHidden(ROW()-1)=TRUE),0,(G115-G114)*unitsOfExo+J114)</f>
        <v>20560</v>
      </c>
      <c r="K115" s="9">
        <f t="shared" si="5"/>
        <v>-20560</v>
      </c>
      <c r="L115">
        <f t="shared" si="6"/>
        <v>95780</v>
      </c>
    </row>
    <row r="116" spans="1:12" x14ac:dyDescent="0.25">
      <c r="A116" s="1"/>
      <c r="C116" s="1"/>
      <c r="D116" s="1">
        <v>41421</v>
      </c>
      <c r="E116" s="10">
        <v>37622</v>
      </c>
      <c r="F116" s="1">
        <v>41421</v>
      </c>
      <c r="G116">
        <v>7686</v>
      </c>
      <c r="H116" s="1">
        <f t="shared" si="4"/>
        <v>41421</v>
      </c>
      <c r="I116">
        <f>IF(AND(MyRowHidden(ROW())=FALSE,MyRowHidden(ROW()-1)=TRUE),0,(E116-E115)*unitsOfDHp+I115)</f>
        <v>76220</v>
      </c>
      <c r="J116">
        <f>IF(AND(MyRowHidden(ROW())=FALSE,MyRowHidden(ROW()-1)=TRUE),0,(G116-G115)*unitsOfExo+J115)</f>
        <v>21160</v>
      </c>
      <c r="K116" s="9">
        <f t="shared" si="5"/>
        <v>-21160</v>
      </c>
      <c r="L116">
        <f t="shared" si="6"/>
        <v>97380</v>
      </c>
    </row>
    <row r="117" spans="1:12" x14ac:dyDescent="0.25">
      <c r="A117" s="1"/>
      <c r="C117" s="1"/>
      <c r="D117" s="1">
        <v>41422</v>
      </c>
      <c r="E117" s="10">
        <v>37492</v>
      </c>
      <c r="F117" s="1">
        <v>41422</v>
      </c>
      <c r="G117">
        <v>7606</v>
      </c>
      <c r="H117" s="1">
        <f t="shared" si="4"/>
        <v>41422</v>
      </c>
      <c r="I117">
        <f>IF(AND(MyRowHidden(ROW())=FALSE,MyRowHidden(ROW()-1)=TRUE),0,(E117-E116)*unitsOfDHp+I116)</f>
        <v>74920</v>
      </c>
      <c r="J117">
        <f>IF(AND(MyRowHidden(ROW())=FALSE,MyRowHidden(ROW()-1)=TRUE),0,(G117-G116)*unitsOfExo+J116)</f>
        <v>20360</v>
      </c>
      <c r="K117" s="9">
        <f t="shared" si="5"/>
        <v>-20360</v>
      </c>
      <c r="L117">
        <f t="shared" si="6"/>
        <v>95280</v>
      </c>
    </row>
    <row r="118" spans="1:12" x14ac:dyDescent="0.25">
      <c r="A118" s="1"/>
      <c r="C118" s="1"/>
      <c r="D118" s="1">
        <v>41423</v>
      </c>
      <c r="E118" s="10">
        <v>37562</v>
      </c>
      <c r="F118" s="1">
        <v>41423</v>
      </c>
      <c r="G118">
        <v>7646</v>
      </c>
      <c r="H118" s="1">
        <f t="shared" si="4"/>
        <v>41423</v>
      </c>
      <c r="I118">
        <f>IF(AND(MyRowHidden(ROW())=FALSE,MyRowHidden(ROW()-1)=TRUE),0,(E118-E117)*unitsOfDHp+I117)</f>
        <v>75620</v>
      </c>
      <c r="J118">
        <f>IF(AND(MyRowHidden(ROW())=FALSE,MyRowHidden(ROW()-1)=TRUE),0,(G118-G117)*unitsOfExo+J117)</f>
        <v>20760</v>
      </c>
      <c r="K118" s="9">
        <f t="shared" si="5"/>
        <v>-20760</v>
      </c>
      <c r="L118">
        <f t="shared" si="6"/>
        <v>96380</v>
      </c>
    </row>
    <row r="119" spans="1:12" x14ac:dyDescent="0.25">
      <c r="A119" s="1"/>
      <c r="C119" s="1"/>
      <c r="D119" s="1">
        <v>41424</v>
      </c>
      <c r="E119" s="10">
        <v>37772</v>
      </c>
      <c r="F119" s="1">
        <v>41424</v>
      </c>
      <c r="G119">
        <v>7816</v>
      </c>
      <c r="H119" s="1">
        <f t="shared" si="4"/>
        <v>41424</v>
      </c>
      <c r="I119">
        <f>IF(AND(MyRowHidden(ROW())=FALSE,MyRowHidden(ROW()-1)=TRUE),0,(E119-E118)*unitsOfDHp+I118)</f>
        <v>77720</v>
      </c>
      <c r="J119">
        <f>IF(AND(MyRowHidden(ROW())=FALSE,MyRowHidden(ROW()-1)=TRUE),0,(G119-G118)*unitsOfExo+J118)</f>
        <v>22460</v>
      </c>
      <c r="K119" s="9">
        <f t="shared" si="5"/>
        <v>-22460</v>
      </c>
      <c r="L119">
        <f t="shared" si="6"/>
        <v>100180</v>
      </c>
    </row>
    <row r="120" spans="1:12" x14ac:dyDescent="0.25">
      <c r="A120" s="1"/>
      <c r="C120" s="1"/>
      <c r="D120" s="1">
        <v>41425</v>
      </c>
      <c r="E120" s="10">
        <v>37772</v>
      </c>
      <c r="F120" s="1">
        <v>41425</v>
      </c>
      <c r="G120">
        <v>7876</v>
      </c>
      <c r="H120" s="1">
        <f t="shared" si="4"/>
        <v>41425</v>
      </c>
      <c r="I120">
        <f>IF(AND(MyRowHidden(ROW())=FALSE,MyRowHidden(ROW()-1)=TRUE),0,(E120-E119)*unitsOfDHp+I119)</f>
        <v>77720</v>
      </c>
      <c r="J120">
        <f>IF(AND(MyRowHidden(ROW())=FALSE,MyRowHidden(ROW()-1)=TRUE),0,(G120-G119)*unitsOfExo+J119)</f>
        <v>23060</v>
      </c>
      <c r="K120" s="9">
        <f t="shared" si="5"/>
        <v>-23060</v>
      </c>
      <c r="L120">
        <f t="shared" si="6"/>
        <v>100780</v>
      </c>
    </row>
    <row r="121" spans="1:12" x14ac:dyDescent="0.25">
      <c r="A121" s="1"/>
      <c r="C121" s="1"/>
      <c r="D121" s="1">
        <v>41428</v>
      </c>
      <c r="E121" s="10">
        <v>37950</v>
      </c>
      <c r="F121" s="1">
        <v>41428</v>
      </c>
      <c r="G121">
        <v>7974</v>
      </c>
      <c r="H121" s="1">
        <f t="shared" si="4"/>
        <v>41428</v>
      </c>
      <c r="I121">
        <f>IF(AND(MyRowHidden(ROW())=FALSE,MyRowHidden(ROW()-1)=TRUE),0,(E121-E120)*unitsOfDHp+I120)</f>
        <v>79500</v>
      </c>
      <c r="J121">
        <f>IF(AND(MyRowHidden(ROW())=FALSE,MyRowHidden(ROW()-1)=TRUE),0,(G121-G120)*unitsOfExo+J120)</f>
        <v>24040</v>
      </c>
      <c r="K121" s="9">
        <f t="shared" si="5"/>
        <v>-24040</v>
      </c>
      <c r="L121">
        <f t="shared" si="6"/>
        <v>103540</v>
      </c>
    </row>
    <row r="122" spans="1:12" x14ac:dyDescent="0.25">
      <c r="A122" s="1"/>
      <c r="C122" s="1"/>
      <c r="D122" s="1">
        <v>41429</v>
      </c>
      <c r="E122" s="10">
        <v>38220</v>
      </c>
      <c r="F122" s="1">
        <v>41429</v>
      </c>
      <c r="G122">
        <v>8264</v>
      </c>
      <c r="H122" s="1">
        <f t="shared" si="4"/>
        <v>41429</v>
      </c>
      <c r="I122">
        <f>IF(AND(MyRowHidden(ROW())=FALSE,MyRowHidden(ROW()-1)=TRUE),0,(E122-E121)*unitsOfDHp+I121)</f>
        <v>82200</v>
      </c>
      <c r="J122">
        <f>IF(AND(MyRowHidden(ROW())=FALSE,MyRowHidden(ROW()-1)=TRUE),0,(G122-G121)*unitsOfExo+J121)</f>
        <v>26940</v>
      </c>
      <c r="K122" s="9">
        <f t="shared" si="5"/>
        <v>-26940</v>
      </c>
      <c r="L122">
        <f t="shared" si="6"/>
        <v>109140</v>
      </c>
    </row>
    <row r="123" spans="1:12" x14ac:dyDescent="0.25">
      <c r="A123" s="1"/>
      <c r="C123" s="1"/>
      <c r="D123" s="1">
        <v>41430</v>
      </c>
      <c r="E123" s="10">
        <v>38280</v>
      </c>
      <c r="F123" s="1">
        <v>41430</v>
      </c>
      <c r="G123">
        <v>8314</v>
      </c>
      <c r="H123" s="1">
        <f t="shared" si="4"/>
        <v>41430</v>
      </c>
      <c r="I123">
        <f>IF(AND(MyRowHidden(ROW())=FALSE,MyRowHidden(ROW()-1)=TRUE),0,(E123-E122)*unitsOfDHp+I122)</f>
        <v>82800</v>
      </c>
      <c r="J123">
        <f>IF(AND(MyRowHidden(ROW())=FALSE,MyRowHidden(ROW()-1)=TRUE),0,(G123-G122)*unitsOfExo+J122)</f>
        <v>27440</v>
      </c>
      <c r="K123" s="9">
        <f t="shared" si="5"/>
        <v>-27440</v>
      </c>
      <c r="L123">
        <f t="shared" si="6"/>
        <v>110240</v>
      </c>
    </row>
    <row r="124" spans="1:12" x14ac:dyDescent="0.25">
      <c r="A124" s="1"/>
      <c r="C124" s="1"/>
      <c r="D124" s="1">
        <v>41431</v>
      </c>
      <c r="E124" s="10">
        <v>38640</v>
      </c>
      <c r="F124" s="1">
        <v>41431</v>
      </c>
      <c r="G124">
        <v>8674</v>
      </c>
      <c r="H124" s="1">
        <f t="shared" si="4"/>
        <v>41431</v>
      </c>
      <c r="I124">
        <f>IF(AND(MyRowHidden(ROW())=FALSE,MyRowHidden(ROW()-1)=TRUE),0,(E124-E123)*unitsOfDHp+I123)</f>
        <v>86400</v>
      </c>
      <c r="J124">
        <f>IF(AND(MyRowHidden(ROW())=FALSE,MyRowHidden(ROW()-1)=TRUE),0,(G124-G123)*unitsOfExo+J123)</f>
        <v>31040</v>
      </c>
      <c r="K124" s="9">
        <f t="shared" si="5"/>
        <v>-31040</v>
      </c>
      <c r="L124">
        <f t="shared" si="6"/>
        <v>117440</v>
      </c>
    </row>
    <row r="125" spans="1:12" x14ac:dyDescent="0.25">
      <c r="A125" s="1"/>
      <c r="C125" s="1"/>
      <c r="D125" s="1">
        <v>41432</v>
      </c>
      <c r="E125" s="10">
        <v>38928</v>
      </c>
      <c r="F125" s="1">
        <v>41432</v>
      </c>
      <c r="G125">
        <v>8924</v>
      </c>
      <c r="H125" s="1">
        <f t="shared" si="4"/>
        <v>41432</v>
      </c>
      <c r="I125">
        <f>IF(AND(MyRowHidden(ROW())=FALSE,MyRowHidden(ROW()-1)=TRUE),0,(E125-E124)*unitsOfDHp+I124)</f>
        <v>89280</v>
      </c>
      <c r="J125">
        <f>IF(AND(MyRowHidden(ROW())=FALSE,MyRowHidden(ROW()-1)=TRUE),0,(G125-G124)*unitsOfExo+J124)</f>
        <v>33540</v>
      </c>
      <c r="K125" s="9">
        <f t="shared" si="5"/>
        <v>-33540</v>
      </c>
      <c r="L125">
        <f t="shared" si="6"/>
        <v>122820</v>
      </c>
    </row>
    <row r="126" spans="1:12" x14ac:dyDescent="0.25">
      <c r="A126" s="1"/>
      <c r="C126" s="1"/>
      <c r="D126" s="1">
        <v>41435</v>
      </c>
      <c r="E126" s="10">
        <v>38928</v>
      </c>
      <c r="F126" s="1">
        <v>41435</v>
      </c>
      <c r="G126">
        <v>9484</v>
      </c>
      <c r="H126" s="1">
        <f t="shared" si="4"/>
        <v>41435</v>
      </c>
      <c r="I126">
        <f>IF(AND(MyRowHidden(ROW())=FALSE,MyRowHidden(ROW()-1)=TRUE),0,(E126-E125)*unitsOfDHp+I125)</f>
        <v>89280</v>
      </c>
      <c r="J126">
        <f>IF(AND(MyRowHidden(ROW())=FALSE,MyRowHidden(ROW()-1)=TRUE),0,(G126-G125)*unitsOfExo+J125)</f>
        <v>39140</v>
      </c>
      <c r="K126" s="9">
        <f t="shared" si="5"/>
        <v>-39140</v>
      </c>
      <c r="L126">
        <f t="shared" si="6"/>
        <v>128420</v>
      </c>
    </row>
    <row r="127" spans="1:12" x14ac:dyDescent="0.25">
      <c r="A127" s="1"/>
      <c r="C127" s="1"/>
      <c r="D127" s="1">
        <v>41436</v>
      </c>
      <c r="E127" s="10">
        <v>38928</v>
      </c>
      <c r="F127" s="1">
        <v>41436</v>
      </c>
      <c r="G127">
        <v>9824</v>
      </c>
      <c r="H127" s="1">
        <f t="shared" si="4"/>
        <v>41436</v>
      </c>
      <c r="I127">
        <f>IF(AND(MyRowHidden(ROW())=FALSE,MyRowHidden(ROW()-1)=TRUE),0,(E127-E126)*unitsOfDHp+I126)</f>
        <v>89280</v>
      </c>
      <c r="J127">
        <f>IF(AND(MyRowHidden(ROW())=FALSE,MyRowHidden(ROW()-1)=TRUE),0,(G127-G126)*unitsOfExo+J126)</f>
        <v>42540</v>
      </c>
      <c r="K127" s="9">
        <f t="shared" si="5"/>
        <v>-42540</v>
      </c>
      <c r="L127">
        <f t="shared" si="6"/>
        <v>131820</v>
      </c>
    </row>
    <row r="128" spans="1:12" x14ac:dyDescent="0.25">
      <c r="A128" s="1"/>
      <c r="C128" s="1"/>
      <c r="D128" s="1">
        <v>41437</v>
      </c>
      <c r="E128" s="10">
        <v>38928</v>
      </c>
      <c r="F128" s="1">
        <v>41437</v>
      </c>
      <c r="G128">
        <v>10114</v>
      </c>
      <c r="H128" s="1">
        <f t="shared" si="4"/>
        <v>41437</v>
      </c>
      <c r="I128">
        <f>IF(AND(MyRowHidden(ROW())=FALSE,MyRowHidden(ROW()-1)=TRUE),0,(E128-E127)*unitsOfDHp+I127)</f>
        <v>89280</v>
      </c>
      <c r="J128">
        <f>IF(AND(MyRowHidden(ROW())=FALSE,MyRowHidden(ROW()-1)=TRUE),0,(G128-G127)*unitsOfExo+J127)</f>
        <v>45440</v>
      </c>
      <c r="K128" s="9">
        <f t="shared" si="5"/>
        <v>-45440</v>
      </c>
      <c r="L128">
        <f t="shared" si="6"/>
        <v>134720</v>
      </c>
    </row>
    <row r="129" spans="1:12" x14ac:dyDescent="0.25">
      <c r="A129" s="1"/>
      <c r="C129" s="1"/>
      <c r="D129" s="1">
        <v>41438</v>
      </c>
      <c r="E129" s="10">
        <v>38928</v>
      </c>
      <c r="F129" s="1">
        <v>41438</v>
      </c>
      <c r="G129">
        <v>10374</v>
      </c>
      <c r="H129" s="1">
        <f t="shared" si="4"/>
        <v>41438</v>
      </c>
      <c r="I129">
        <f>IF(AND(MyRowHidden(ROW())=FALSE,MyRowHidden(ROW()-1)=TRUE),0,(E129-E128)*unitsOfDHp+I128)</f>
        <v>89280</v>
      </c>
      <c r="J129">
        <f>IF(AND(MyRowHidden(ROW())=FALSE,MyRowHidden(ROW()-1)=TRUE),0,(G129-G128)*unitsOfExo+J128)</f>
        <v>48040</v>
      </c>
      <c r="K129" s="9">
        <f t="shared" si="5"/>
        <v>-48040</v>
      </c>
      <c r="L129">
        <f t="shared" si="6"/>
        <v>137320</v>
      </c>
    </row>
    <row r="130" spans="1:12" x14ac:dyDescent="0.25">
      <c r="A130" s="1"/>
      <c r="C130" s="1"/>
      <c r="D130" s="1">
        <v>41439</v>
      </c>
      <c r="E130" s="10">
        <v>38880</v>
      </c>
      <c r="F130" s="1">
        <v>41439</v>
      </c>
      <c r="G130">
        <v>10594</v>
      </c>
      <c r="H130" s="1">
        <f t="shared" si="4"/>
        <v>41439</v>
      </c>
      <c r="I130">
        <f>IF(AND(MyRowHidden(ROW())=FALSE,MyRowHidden(ROW()-1)=TRUE),0,(E130-E129)*unitsOfDHp+I129)</f>
        <v>88800</v>
      </c>
      <c r="J130">
        <f>IF(AND(MyRowHidden(ROW())=FALSE,MyRowHidden(ROW()-1)=TRUE),0,(G130-G129)*unitsOfExo+J129)</f>
        <v>50240</v>
      </c>
      <c r="K130" s="9">
        <f t="shared" si="5"/>
        <v>-50240</v>
      </c>
      <c r="L130">
        <f t="shared" si="6"/>
        <v>139040</v>
      </c>
    </row>
    <row r="131" spans="1:12" x14ac:dyDescent="0.25">
      <c r="A131" s="1"/>
      <c r="C131" s="1"/>
      <c r="D131" s="1">
        <v>41442</v>
      </c>
      <c r="E131" s="10">
        <v>38940</v>
      </c>
      <c r="F131" s="1">
        <v>41442</v>
      </c>
      <c r="G131">
        <v>10534</v>
      </c>
      <c r="H131" s="1">
        <f t="shared" si="4"/>
        <v>41442</v>
      </c>
      <c r="I131">
        <f>IF(AND(MyRowHidden(ROW())=FALSE,MyRowHidden(ROW()-1)=TRUE),0,(E131-E130)*unitsOfDHp+I130)</f>
        <v>89400</v>
      </c>
      <c r="J131">
        <f>IF(AND(MyRowHidden(ROW())=FALSE,MyRowHidden(ROW()-1)=TRUE),0,(G131-G130)*unitsOfExo+J130)</f>
        <v>49640</v>
      </c>
      <c r="K131" s="9">
        <f t="shared" si="5"/>
        <v>-49640</v>
      </c>
      <c r="L131">
        <f t="shared" si="6"/>
        <v>139040</v>
      </c>
    </row>
    <row r="132" spans="1:12" x14ac:dyDescent="0.25">
      <c r="A132" s="1"/>
      <c r="C132" s="1"/>
      <c r="D132" s="1">
        <v>41443</v>
      </c>
      <c r="E132" s="10">
        <v>39064</v>
      </c>
      <c r="F132" s="1">
        <v>41443</v>
      </c>
      <c r="G132">
        <v>11004</v>
      </c>
      <c r="H132" s="1">
        <f t="shared" si="4"/>
        <v>41443</v>
      </c>
      <c r="I132">
        <f>IF(AND(MyRowHidden(ROW())=FALSE,MyRowHidden(ROW()-1)=TRUE),0,(E132-E131)*unitsOfDHp+I131)</f>
        <v>90640</v>
      </c>
      <c r="J132">
        <f>IF(AND(MyRowHidden(ROW())=FALSE,MyRowHidden(ROW()-1)=TRUE),0,(G132-G131)*unitsOfExo+J131)</f>
        <v>54340</v>
      </c>
      <c r="K132" s="9">
        <f t="shared" si="5"/>
        <v>-54340</v>
      </c>
      <c r="L132">
        <f t="shared" si="6"/>
        <v>144980</v>
      </c>
    </row>
    <row r="133" spans="1:12" x14ac:dyDescent="0.25">
      <c r="A133" s="1"/>
      <c r="C133" s="1"/>
      <c r="D133" s="1">
        <v>41444</v>
      </c>
      <c r="E133" s="10">
        <v>39048</v>
      </c>
      <c r="F133" s="1">
        <v>41444</v>
      </c>
      <c r="G133">
        <v>11304</v>
      </c>
      <c r="H133" s="1">
        <f t="shared" si="4"/>
        <v>41444</v>
      </c>
      <c r="I133">
        <f>IF(AND(MyRowHidden(ROW())=FALSE,MyRowHidden(ROW()-1)=TRUE),0,(E133-E132)*unitsOfDHp+I132)</f>
        <v>90480</v>
      </c>
      <c r="J133">
        <f>IF(AND(MyRowHidden(ROW())=FALSE,MyRowHidden(ROW()-1)=TRUE),0,(G133-G132)*unitsOfExo+J132)</f>
        <v>57340</v>
      </c>
      <c r="K133" s="9">
        <f t="shared" si="5"/>
        <v>-57340</v>
      </c>
      <c r="L133">
        <f t="shared" si="6"/>
        <v>147820</v>
      </c>
    </row>
    <row r="134" spans="1:12" x14ac:dyDescent="0.25">
      <c r="A134" s="1"/>
      <c r="C134" s="1"/>
      <c r="D134" s="1">
        <v>41445</v>
      </c>
      <c r="E134" s="10">
        <v>39328</v>
      </c>
      <c r="F134" s="1">
        <v>41445</v>
      </c>
      <c r="G134">
        <v>11454</v>
      </c>
      <c r="H134" s="1">
        <f t="shared" si="4"/>
        <v>41445</v>
      </c>
      <c r="I134">
        <f>IF(AND(MyRowHidden(ROW())=FALSE,MyRowHidden(ROW()-1)=TRUE),0,(E134-E133)*unitsOfDHp+I133)</f>
        <v>93280</v>
      </c>
      <c r="J134">
        <f>IF(AND(MyRowHidden(ROW())=FALSE,MyRowHidden(ROW()-1)=TRUE),0,(G134-G133)*unitsOfExo+J133)</f>
        <v>58840</v>
      </c>
      <c r="K134" s="9">
        <f t="shared" si="5"/>
        <v>-58840</v>
      </c>
      <c r="L134">
        <f t="shared" si="6"/>
        <v>152120</v>
      </c>
    </row>
    <row r="135" spans="1:12" x14ac:dyDescent="0.25">
      <c r="A135" s="1"/>
      <c r="C135" s="1"/>
      <c r="D135" s="1">
        <v>41446</v>
      </c>
      <c r="E135" s="10">
        <v>39328</v>
      </c>
      <c r="F135" s="1">
        <v>41446</v>
      </c>
      <c r="G135">
        <v>11234</v>
      </c>
      <c r="H135" s="1">
        <f t="shared" si="4"/>
        <v>41446</v>
      </c>
      <c r="I135">
        <f>IF(AND(MyRowHidden(ROW())=FALSE,MyRowHidden(ROW()-1)=TRUE),0,(E135-E134)*unitsOfDHp+I134)</f>
        <v>93280</v>
      </c>
      <c r="J135">
        <f>IF(AND(MyRowHidden(ROW())=FALSE,MyRowHidden(ROW()-1)=TRUE),0,(G135-G134)*unitsOfExo+J134)</f>
        <v>56640</v>
      </c>
      <c r="K135" s="9">
        <f t="shared" si="5"/>
        <v>-56640</v>
      </c>
      <c r="L135">
        <f t="shared" si="6"/>
        <v>149920</v>
      </c>
    </row>
    <row r="136" spans="1:12" x14ac:dyDescent="0.25">
      <c r="A136" s="1"/>
      <c r="C136" s="1"/>
      <c r="D136" s="1">
        <v>41449</v>
      </c>
      <c r="E136" s="10">
        <v>39656</v>
      </c>
      <c r="F136" s="1">
        <v>41449</v>
      </c>
      <c r="G136">
        <v>11724</v>
      </c>
      <c r="H136" s="1">
        <f t="shared" si="4"/>
        <v>41449</v>
      </c>
      <c r="I136">
        <f>IF(AND(MyRowHidden(ROW())=FALSE,MyRowHidden(ROW()-1)=TRUE),0,(E136-E135)*unitsOfDHp+I135)</f>
        <v>96560</v>
      </c>
      <c r="J136">
        <f>IF(AND(MyRowHidden(ROW())=FALSE,MyRowHidden(ROW()-1)=TRUE),0,(G136-G135)*unitsOfExo+J135)</f>
        <v>61540</v>
      </c>
      <c r="K136" s="9">
        <f t="shared" si="5"/>
        <v>-61540</v>
      </c>
      <c r="L136">
        <f t="shared" si="6"/>
        <v>158100</v>
      </c>
    </row>
    <row r="137" spans="1:12" x14ac:dyDescent="0.25">
      <c r="A137" s="1"/>
      <c r="C137" s="1"/>
      <c r="D137" s="1">
        <v>41450</v>
      </c>
      <c r="E137" s="10">
        <v>39586</v>
      </c>
      <c r="F137" s="1">
        <v>41450</v>
      </c>
      <c r="G137">
        <v>11504</v>
      </c>
      <c r="H137" s="1">
        <f t="shared" si="4"/>
        <v>41450</v>
      </c>
      <c r="I137">
        <f>IF(AND(MyRowHidden(ROW())=FALSE,MyRowHidden(ROW()-1)=TRUE),0,(E137-E136)*unitsOfDHp+I136)</f>
        <v>95860</v>
      </c>
      <c r="J137">
        <f>IF(AND(MyRowHidden(ROW())=FALSE,MyRowHidden(ROW()-1)=TRUE),0,(G137-G136)*unitsOfExo+J136)</f>
        <v>59340</v>
      </c>
      <c r="K137" s="9">
        <f t="shared" si="5"/>
        <v>-59340</v>
      </c>
      <c r="L137">
        <f t="shared" si="6"/>
        <v>155200</v>
      </c>
    </row>
    <row r="138" spans="1:12" x14ac:dyDescent="0.25">
      <c r="A138" s="1"/>
      <c r="C138" s="1"/>
      <c r="D138" s="1">
        <v>41451</v>
      </c>
      <c r="E138" s="10">
        <v>39516</v>
      </c>
      <c r="F138" s="1">
        <v>41451</v>
      </c>
      <c r="G138">
        <v>11324</v>
      </c>
      <c r="H138" s="1">
        <f t="shared" si="4"/>
        <v>41451</v>
      </c>
      <c r="I138">
        <f>IF(AND(MyRowHidden(ROW())=FALSE,MyRowHidden(ROW()-1)=TRUE),0,(E138-E137)*unitsOfDHp+I137)</f>
        <v>95160</v>
      </c>
      <c r="J138">
        <f>IF(AND(MyRowHidden(ROW())=FALSE,MyRowHidden(ROW()-1)=TRUE),0,(G138-G137)*unitsOfExo+J137)</f>
        <v>57540</v>
      </c>
      <c r="K138" s="9">
        <f t="shared" si="5"/>
        <v>-57540</v>
      </c>
      <c r="L138">
        <f t="shared" si="6"/>
        <v>152700</v>
      </c>
    </row>
    <row r="139" spans="1:12" x14ac:dyDescent="0.25">
      <c r="A139" s="1"/>
      <c r="C139" s="1"/>
      <c r="D139" s="1">
        <v>41452</v>
      </c>
      <c r="E139" s="10">
        <v>39816</v>
      </c>
      <c r="F139" s="1">
        <v>41452</v>
      </c>
      <c r="G139">
        <v>12004</v>
      </c>
      <c r="H139" s="1">
        <f t="shared" si="4"/>
        <v>41452</v>
      </c>
      <c r="I139">
        <f>IF(AND(MyRowHidden(ROW())=FALSE,MyRowHidden(ROW()-1)=TRUE),0,(E139-E138)*unitsOfDHp+I138)</f>
        <v>98160</v>
      </c>
      <c r="J139">
        <f>IF(AND(MyRowHidden(ROW())=FALSE,MyRowHidden(ROW()-1)=TRUE),0,(G139-G138)*unitsOfExo+J138)</f>
        <v>64340</v>
      </c>
      <c r="K139" s="9">
        <f t="shared" si="5"/>
        <v>-64340</v>
      </c>
      <c r="L139">
        <f t="shared" si="6"/>
        <v>162500</v>
      </c>
    </row>
    <row r="140" spans="1:12" x14ac:dyDescent="0.25">
      <c r="A140" s="1"/>
      <c r="C140" s="1"/>
      <c r="D140" s="1">
        <v>41453</v>
      </c>
      <c r="E140" s="10">
        <v>39746</v>
      </c>
      <c r="F140" s="1">
        <v>41453</v>
      </c>
      <c r="G140">
        <v>11754</v>
      </c>
      <c r="H140" s="1">
        <f t="shared" si="4"/>
        <v>41453</v>
      </c>
      <c r="I140">
        <f>IF(AND(MyRowHidden(ROW())=FALSE,MyRowHidden(ROW()-1)=TRUE),0,(E140-E139)*unitsOfDHp+I139)</f>
        <v>97460</v>
      </c>
      <c r="J140">
        <f>IF(AND(MyRowHidden(ROW())=FALSE,MyRowHidden(ROW()-1)=TRUE),0,(G140-G139)*unitsOfExo+J139)</f>
        <v>61840</v>
      </c>
      <c r="K140" s="9">
        <f t="shared" si="5"/>
        <v>-61840</v>
      </c>
      <c r="L140">
        <f t="shared" si="6"/>
        <v>159300</v>
      </c>
    </row>
    <row r="141" spans="1:12" x14ac:dyDescent="0.25">
      <c r="A141" s="1"/>
      <c r="C141" s="1"/>
      <c r="D141" s="1">
        <v>41456</v>
      </c>
      <c r="E141" s="10">
        <v>39796</v>
      </c>
      <c r="F141" s="1">
        <v>41456</v>
      </c>
      <c r="G141">
        <v>11742</v>
      </c>
      <c r="H141" s="1">
        <f t="shared" ref="H141:H204" si="7">D141</f>
        <v>41456</v>
      </c>
      <c r="I141">
        <f>IF(AND(MyRowHidden(ROW())=FALSE,MyRowHidden(ROW()-1)=TRUE),0,(E141-E140)*unitsOfDHp+I140)</f>
        <v>97960</v>
      </c>
      <c r="J141">
        <f>IF(AND(MyRowHidden(ROW())=FALSE,MyRowHidden(ROW()-1)=TRUE),0,(G141-G140)*unitsOfExo+J140)</f>
        <v>61720</v>
      </c>
      <c r="K141" s="9">
        <f t="shared" ref="K141:K204" si="8">-(J141-J140)+K140</f>
        <v>-61720</v>
      </c>
      <c r="L141">
        <f t="shared" ref="L141:L204" si="9">I141+J141</f>
        <v>159680</v>
      </c>
    </row>
    <row r="142" spans="1:12" x14ac:dyDescent="0.25">
      <c r="A142" s="1"/>
      <c r="C142" s="1"/>
      <c r="D142" s="1">
        <v>41457</v>
      </c>
      <c r="E142" s="10">
        <v>39864</v>
      </c>
      <c r="F142" s="1">
        <v>41457</v>
      </c>
      <c r="G142">
        <v>11702</v>
      </c>
      <c r="H142" s="1">
        <f t="shared" si="7"/>
        <v>41457</v>
      </c>
      <c r="I142">
        <f>IF(AND(MyRowHidden(ROW())=FALSE,MyRowHidden(ROW()-1)=TRUE),0,(E142-E141)*unitsOfDHp+I141)</f>
        <v>98640</v>
      </c>
      <c r="J142">
        <f>IF(AND(MyRowHidden(ROW())=FALSE,MyRowHidden(ROW()-1)=TRUE),0,(G142-G141)*unitsOfExo+J141)</f>
        <v>61320</v>
      </c>
      <c r="K142" s="9">
        <f t="shared" si="8"/>
        <v>-61320</v>
      </c>
      <c r="L142">
        <f t="shared" si="9"/>
        <v>159960</v>
      </c>
    </row>
    <row r="143" spans="1:12" x14ac:dyDescent="0.25">
      <c r="A143" s="1"/>
      <c r="C143" s="1"/>
      <c r="D143" s="1">
        <v>41458</v>
      </c>
      <c r="E143" s="10">
        <v>40084</v>
      </c>
      <c r="F143" s="1">
        <v>41458</v>
      </c>
      <c r="G143">
        <v>12012</v>
      </c>
      <c r="H143" s="1">
        <f t="shared" si="7"/>
        <v>41458</v>
      </c>
      <c r="I143">
        <f>IF(AND(MyRowHidden(ROW())=FALSE,MyRowHidden(ROW()-1)=TRUE),0,(E143-E142)*unitsOfDHp+I142)</f>
        <v>100840</v>
      </c>
      <c r="J143">
        <f>IF(AND(MyRowHidden(ROW())=FALSE,MyRowHidden(ROW()-1)=TRUE),0,(G143-G142)*unitsOfExo+J142)</f>
        <v>64420</v>
      </c>
      <c r="K143" s="9">
        <f t="shared" si="8"/>
        <v>-64420</v>
      </c>
      <c r="L143">
        <f t="shared" si="9"/>
        <v>165260</v>
      </c>
    </row>
    <row r="144" spans="1:12" x14ac:dyDescent="0.25">
      <c r="A144" s="1"/>
      <c r="C144" s="1"/>
      <c r="D144" s="1">
        <v>41459</v>
      </c>
      <c r="E144" s="10">
        <v>40104</v>
      </c>
      <c r="F144" s="1">
        <v>41459</v>
      </c>
      <c r="G144">
        <v>12162</v>
      </c>
      <c r="H144" s="1">
        <f t="shared" si="7"/>
        <v>41459</v>
      </c>
      <c r="I144">
        <f>IF(AND(MyRowHidden(ROW())=FALSE,MyRowHidden(ROW()-1)=TRUE),0,(E144-E143)*unitsOfDHp+I143)</f>
        <v>101040</v>
      </c>
      <c r="J144">
        <f>IF(AND(MyRowHidden(ROW())=FALSE,MyRowHidden(ROW()-1)=TRUE),0,(G144-G143)*unitsOfExo+J143)</f>
        <v>65920</v>
      </c>
      <c r="K144" s="9">
        <f t="shared" si="8"/>
        <v>-65920</v>
      </c>
      <c r="L144">
        <f t="shared" si="9"/>
        <v>166960</v>
      </c>
    </row>
    <row r="145" spans="1:12" x14ac:dyDescent="0.25">
      <c r="A145" s="1"/>
      <c r="C145" s="1"/>
      <c r="D145" s="1">
        <v>41460</v>
      </c>
      <c r="E145" s="10">
        <v>40124</v>
      </c>
      <c r="F145" s="1">
        <v>41460</v>
      </c>
      <c r="G145">
        <v>12242</v>
      </c>
      <c r="H145" s="1">
        <f t="shared" si="7"/>
        <v>41460</v>
      </c>
      <c r="I145">
        <f>IF(AND(MyRowHidden(ROW())=FALSE,MyRowHidden(ROW()-1)=TRUE),0,(E145-E144)*unitsOfDHp+I144)</f>
        <v>101240</v>
      </c>
      <c r="J145">
        <f>IF(AND(MyRowHidden(ROW())=FALSE,MyRowHidden(ROW()-1)=TRUE),0,(G145-G144)*unitsOfExo+J144)</f>
        <v>66720</v>
      </c>
      <c r="K145" s="9">
        <f t="shared" si="8"/>
        <v>-66720</v>
      </c>
      <c r="L145">
        <f t="shared" si="9"/>
        <v>167960</v>
      </c>
    </row>
    <row r="146" spans="1:12" x14ac:dyDescent="0.25">
      <c r="A146" s="1"/>
      <c r="C146" s="1"/>
      <c r="D146" s="1">
        <v>41463</v>
      </c>
      <c r="E146" s="10">
        <v>40104</v>
      </c>
      <c r="F146" s="1">
        <v>41463</v>
      </c>
      <c r="G146">
        <v>11882</v>
      </c>
      <c r="H146" s="1">
        <f t="shared" si="7"/>
        <v>41463</v>
      </c>
      <c r="I146">
        <f>IF(AND(MyRowHidden(ROW())=FALSE,MyRowHidden(ROW()-1)=TRUE),0,(E146-E145)*unitsOfDHp+I145)</f>
        <v>101040</v>
      </c>
      <c r="J146">
        <f>IF(AND(MyRowHidden(ROW())=FALSE,MyRowHidden(ROW()-1)=TRUE),0,(G146-G145)*unitsOfExo+J145)</f>
        <v>63120</v>
      </c>
      <c r="K146" s="9">
        <f t="shared" si="8"/>
        <v>-63120</v>
      </c>
      <c r="L146">
        <f t="shared" si="9"/>
        <v>164160</v>
      </c>
    </row>
    <row r="147" spans="1:12" x14ac:dyDescent="0.25">
      <c r="A147" s="1"/>
      <c r="C147" s="1"/>
      <c r="D147" s="1">
        <v>41464</v>
      </c>
      <c r="E147" s="10">
        <v>40124</v>
      </c>
      <c r="F147" s="1">
        <v>41464</v>
      </c>
      <c r="G147">
        <v>11782</v>
      </c>
      <c r="H147" s="1">
        <f t="shared" si="7"/>
        <v>41464</v>
      </c>
      <c r="I147">
        <f>IF(AND(MyRowHidden(ROW())=FALSE,MyRowHidden(ROW()-1)=TRUE),0,(E147-E146)*unitsOfDHp+I146)</f>
        <v>101240</v>
      </c>
      <c r="J147">
        <f>IF(AND(MyRowHidden(ROW())=FALSE,MyRowHidden(ROW()-1)=TRUE),0,(G147-G146)*unitsOfExo+J146)</f>
        <v>62120</v>
      </c>
      <c r="K147" s="9">
        <f t="shared" si="8"/>
        <v>-62120</v>
      </c>
      <c r="L147">
        <f t="shared" si="9"/>
        <v>163360</v>
      </c>
    </row>
    <row r="148" spans="1:12" x14ac:dyDescent="0.25">
      <c r="A148" s="1"/>
      <c r="C148" s="1"/>
      <c r="D148" s="1">
        <v>41465</v>
      </c>
      <c r="E148" s="10">
        <v>40144</v>
      </c>
      <c r="F148" s="1">
        <v>41465</v>
      </c>
      <c r="G148">
        <v>12082</v>
      </c>
      <c r="H148" s="1">
        <f t="shared" si="7"/>
        <v>41465</v>
      </c>
      <c r="I148">
        <f>IF(AND(MyRowHidden(ROW())=FALSE,MyRowHidden(ROW()-1)=TRUE),0,(E148-E147)*unitsOfDHp+I147)</f>
        <v>101440</v>
      </c>
      <c r="J148">
        <f>IF(AND(MyRowHidden(ROW())=FALSE,MyRowHidden(ROW()-1)=TRUE),0,(G148-G147)*unitsOfExo+J147)</f>
        <v>65120</v>
      </c>
      <c r="K148" s="9">
        <f t="shared" si="8"/>
        <v>-65120</v>
      </c>
      <c r="L148">
        <f t="shared" si="9"/>
        <v>166560</v>
      </c>
    </row>
    <row r="149" spans="1:12" x14ac:dyDescent="0.25">
      <c r="A149" s="1"/>
      <c r="C149" s="1"/>
      <c r="D149" s="1">
        <v>41466</v>
      </c>
      <c r="E149" s="10">
        <v>40144</v>
      </c>
      <c r="F149" s="1">
        <v>41466</v>
      </c>
      <c r="G149">
        <v>12262</v>
      </c>
      <c r="H149" s="1">
        <f t="shared" si="7"/>
        <v>41466</v>
      </c>
      <c r="I149">
        <f>IF(AND(MyRowHidden(ROW())=FALSE,MyRowHidden(ROW()-1)=TRUE),0,(E149-E148)*unitsOfDHp+I148)</f>
        <v>101440</v>
      </c>
      <c r="J149">
        <f>IF(AND(MyRowHidden(ROW())=FALSE,MyRowHidden(ROW()-1)=TRUE),0,(G149-G148)*unitsOfExo+J148)</f>
        <v>66920</v>
      </c>
      <c r="K149" s="9">
        <f t="shared" si="8"/>
        <v>-66920</v>
      </c>
      <c r="L149">
        <f t="shared" si="9"/>
        <v>168360</v>
      </c>
    </row>
    <row r="150" spans="1:12" x14ac:dyDescent="0.25">
      <c r="A150" s="1"/>
      <c r="C150" s="1"/>
      <c r="D150" s="1">
        <v>41467</v>
      </c>
      <c r="E150" s="10">
        <v>40144</v>
      </c>
      <c r="F150" s="1">
        <v>41467</v>
      </c>
      <c r="G150">
        <v>12222</v>
      </c>
      <c r="H150" s="1">
        <f t="shared" si="7"/>
        <v>41467</v>
      </c>
      <c r="I150">
        <f>IF(AND(MyRowHidden(ROW())=FALSE,MyRowHidden(ROW()-1)=TRUE),0,(E150-E149)*unitsOfDHp+I149)</f>
        <v>101440</v>
      </c>
      <c r="J150">
        <f>IF(AND(MyRowHidden(ROW())=FALSE,MyRowHidden(ROW()-1)=TRUE),0,(G150-G149)*unitsOfExo+J149)</f>
        <v>66520</v>
      </c>
      <c r="K150" s="9">
        <f t="shared" si="8"/>
        <v>-66520</v>
      </c>
      <c r="L150">
        <f t="shared" si="9"/>
        <v>167960</v>
      </c>
    </row>
    <row r="151" spans="1:12" x14ac:dyDescent="0.25">
      <c r="A151" s="1"/>
      <c r="C151" s="1"/>
      <c r="D151" s="1">
        <v>41470</v>
      </c>
      <c r="E151" s="10">
        <v>40096</v>
      </c>
      <c r="F151" s="1">
        <v>41470</v>
      </c>
      <c r="G151">
        <v>12282</v>
      </c>
      <c r="H151" s="1">
        <f t="shared" si="7"/>
        <v>41470</v>
      </c>
      <c r="I151">
        <f>IF(AND(MyRowHidden(ROW())=FALSE,MyRowHidden(ROW()-1)=TRUE),0,(E151-E150)*unitsOfDHp+I150)</f>
        <v>100960</v>
      </c>
      <c r="J151">
        <f>IF(AND(MyRowHidden(ROW())=FALSE,MyRowHidden(ROW()-1)=TRUE),0,(G151-G150)*unitsOfExo+J150)</f>
        <v>67120</v>
      </c>
      <c r="K151" s="9">
        <f t="shared" si="8"/>
        <v>-67120</v>
      </c>
      <c r="L151">
        <f t="shared" si="9"/>
        <v>168080</v>
      </c>
    </row>
    <row r="152" spans="1:12" x14ac:dyDescent="0.25">
      <c r="A152" s="1"/>
      <c r="C152" s="1"/>
      <c r="D152" s="1">
        <v>41471</v>
      </c>
      <c r="E152" s="10">
        <v>40556</v>
      </c>
      <c r="F152" s="1">
        <v>41471</v>
      </c>
      <c r="G152">
        <v>12542</v>
      </c>
      <c r="H152" s="1">
        <f t="shared" si="7"/>
        <v>41471</v>
      </c>
      <c r="I152">
        <f>IF(AND(MyRowHidden(ROW())=FALSE,MyRowHidden(ROW()-1)=TRUE),0,(E152-E151)*unitsOfDHp+I151)</f>
        <v>105560</v>
      </c>
      <c r="J152">
        <f>IF(AND(MyRowHidden(ROW())=FALSE,MyRowHidden(ROW()-1)=TRUE),0,(G152-G151)*unitsOfExo+J151)</f>
        <v>69720</v>
      </c>
      <c r="K152" s="9">
        <f t="shared" si="8"/>
        <v>-69720</v>
      </c>
      <c r="L152">
        <f t="shared" si="9"/>
        <v>175280</v>
      </c>
    </row>
    <row r="153" spans="1:12" x14ac:dyDescent="0.25">
      <c r="A153" s="1"/>
      <c r="C153" s="1"/>
      <c r="D153" s="1">
        <v>41472</v>
      </c>
      <c r="E153" s="10">
        <v>40392</v>
      </c>
      <c r="F153" s="1">
        <v>41472</v>
      </c>
      <c r="G153">
        <v>12442</v>
      </c>
      <c r="H153" s="1">
        <f t="shared" si="7"/>
        <v>41472</v>
      </c>
      <c r="I153">
        <f>IF(AND(MyRowHidden(ROW())=FALSE,MyRowHidden(ROW()-1)=TRUE),0,(E153-E152)*unitsOfDHp+I152)</f>
        <v>103920</v>
      </c>
      <c r="J153">
        <f>IF(AND(MyRowHidden(ROW())=FALSE,MyRowHidden(ROW()-1)=TRUE),0,(G153-G152)*unitsOfExo+J152)</f>
        <v>68720</v>
      </c>
      <c r="K153" s="9">
        <f t="shared" si="8"/>
        <v>-68720</v>
      </c>
      <c r="L153">
        <f t="shared" si="9"/>
        <v>172640</v>
      </c>
    </row>
    <row r="154" spans="1:12" x14ac:dyDescent="0.25">
      <c r="A154" s="1"/>
      <c r="C154" s="1"/>
      <c r="D154" s="1">
        <v>41473</v>
      </c>
      <c r="E154" s="10">
        <v>40612</v>
      </c>
      <c r="F154" s="1">
        <v>41473</v>
      </c>
      <c r="G154">
        <v>12682</v>
      </c>
      <c r="H154" s="1">
        <f t="shared" si="7"/>
        <v>41473</v>
      </c>
      <c r="I154">
        <f>IF(AND(MyRowHidden(ROW())=FALSE,MyRowHidden(ROW()-1)=TRUE),0,(E154-E153)*unitsOfDHp+I153)</f>
        <v>106120</v>
      </c>
      <c r="J154">
        <f>IF(AND(MyRowHidden(ROW())=FALSE,MyRowHidden(ROW()-1)=TRUE),0,(G154-G153)*unitsOfExo+J153)</f>
        <v>71120</v>
      </c>
      <c r="K154" s="9">
        <f t="shared" si="8"/>
        <v>-71120</v>
      </c>
      <c r="L154">
        <f t="shared" si="9"/>
        <v>177240</v>
      </c>
    </row>
    <row r="155" spans="1:12" x14ac:dyDescent="0.25">
      <c r="A155" s="1"/>
      <c r="C155" s="1"/>
      <c r="D155" s="1">
        <v>41474</v>
      </c>
      <c r="E155" s="10">
        <v>40518</v>
      </c>
      <c r="F155" s="1">
        <v>41474</v>
      </c>
      <c r="G155">
        <v>12562</v>
      </c>
      <c r="H155" s="1">
        <f t="shared" si="7"/>
        <v>41474</v>
      </c>
      <c r="I155">
        <f>IF(AND(MyRowHidden(ROW())=FALSE,MyRowHidden(ROW()-1)=TRUE),0,(E155-E154)*unitsOfDHp+I154)</f>
        <v>105180</v>
      </c>
      <c r="J155">
        <f>IF(AND(MyRowHidden(ROW())=FALSE,MyRowHidden(ROW()-1)=TRUE),0,(G155-G154)*unitsOfExo+J154)</f>
        <v>69920</v>
      </c>
      <c r="K155" s="9">
        <f t="shared" si="8"/>
        <v>-69920</v>
      </c>
      <c r="L155">
        <f t="shared" si="9"/>
        <v>175100</v>
      </c>
    </row>
    <row r="156" spans="1:12" x14ac:dyDescent="0.25">
      <c r="A156" s="1"/>
      <c r="C156" s="1"/>
      <c r="D156" s="1">
        <v>41477</v>
      </c>
      <c r="E156" s="10">
        <v>40518</v>
      </c>
      <c r="F156" s="1">
        <v>41477</v>
      </c>
      <c r="G156">
        <v>12792</v>
      </c>
      <c r="H156" s="1">
        <f t="shared" si="7"/>
        <v>41477</v>
      </c>
      <c r="I156">
        <f>IF(AND(MyRowHidden(ROW())=FALSE,MyRowHidden(ROW()-1)=TRUE),0,(E156-E155)*unitsOfDHp+I155)</f>
        <v>105180</v>
      </c>
      <c r="J156">
        <f>IF(AND(MyRowHidden(ROW())=FALSE,MyRowHidden(ROW()-1)=TRUE),0,(G156-G155)*unitsOfExo+J155)</f>
        <v>72220</v>
      </c>
      <c r="K156" s="9">
        <f t="shared" si="8"/>
        <v>-72220</v>
      </c>
      <c r="L156">
        <f t="shared" si="9"/>
        <v>177400</v>
      </c>
    </row>
    <row r="157" spans="1:12" x14ac:dyDescent="0.25">
      <c r="A157" s="1"/>
      <c r="C157" s="1"/>
      <c r="D157" s="1">
        <v>41478</v>
      </c>
      <c r="E157" s="10">
        <v>40518</v>
      </c>
      <c r="F157" s="1">
        <v>41478</v>
      </c>
      <c r="G157">
        <v>13552</v>
      </c>
      <c r="H157" s="1">
        <f t="shared" si="7"/>
        <v>41478</v>
      </c>
      <c r="I157">
        <f>IF(AND(MyRowHidden(ROW())=FALSE,MyRowHidden(ROW()-1)=TRUE),0,(E157-E156)*unitsOfDHp+I156)</f>
        <v>105180</v>
      </c>
      <c r="J157">
        <f>IF(AND(MyRowHidden(ROW())=FALSE,MyRowHidden(ROW()-1)=TRUE),0,(G157-G156)*unitsOfExo+J156)</f>
        <v>79820</v>
      </c>
      <c r="K157" s="9">
        <f t="shared" si="8"/>
        <v>-79820</v>
      </c>
      <c r="L157">
        <f t="shared" si="9"/>
        <v>185000</v>
      </c>
    </row>
    <row r="158" spans="1:12" x14ac:dyDescent="0.25">
      <c r="A158" s="1"/>
      <c r="C158" s="1"/>
      <c r="D158" s="1">
        <v>41479</v>
      </c>
      <c r="E158" s="10">
        <v>40518</v>
      </c>
      <c r="F158" s="1">
        <v>41479</v>
      </c>
      <c r="G158">
        <v>13472</v>
      </c>
      <c r="H158" s="1">
        <f t="shared" si="7"/>
        <v>41479</v>
      </c>
      <c r="I158">
        <f>IF(AND(MyRowHidden(ROW())=FALSE,MyRowHidden(ROW()-1)=TRUE),0,(E158-E157)*unitsOfDHp+I157)</f>
        <v>105180</v>
      </c>
      <c r="J158">
        <f>IF(AND(MyRowHidden(ROW())=FALSE,MyRowHidden(ROW()-1)=TRUE),0,(G158-G157)*unitsOfExo+J157)</f>
        <v>79020</v>
      </c>
      <c r="K158" s="9">
        <f t="shared" si="8"/>
        <v>-79020</v>
      </c>
      <c r="L158">
        <f t="shared" si="9"/>
        <v>184200</v>
      </c>
    </row>
    <row r="159" spans="1:12" x14ac:dyDescent="0.25">
      <c r="A159" s="1"/>
      <c r="C159" s="1"/>
      <c r="D159" s="1">
        <v>41480</v>
      </c>
      <c r="E159" s="10">
        <v>40508</v>
      </c>
      <c r="F159" s="1">
        <v>41480</v>
      </c>
      <c r="G159">
        <v>13442</v>
      </c>
      <c r="H159" s="1">
        <f t="shared" si="7"/>
        <v>41480</v>
      </c>
      <c r="I159">
        <f>IF(AND(MyRowHidden(ROW())=FALSE,MyRowHidden(ROW()-1)=TRUE),0,(E159-E158)*unitsOfDHp+I158)</f>
        <v>105080</v>
      </c>
      <c r="J159">
        <f>IF(AND(MyRowHidden(ROW())=FALSE,MyRowHidden(ROW()-1)=TRUE),0,(G159-G158)*unitsOfExo+J158)</f>
        <v>78720</v>
      </c>
      <c r="K159" s="9">
        <f t="shared" si="8"/>
        <v>-78720</v>
      </c>
      <c r="L159">
        <f t="shared" si="9"/>
        <v>183800</v>
      </c>
    </row>
    <row r="160" spans="1:12" x14ac:dyDescent="0.25">
      <c r="A160" s="1"/>
      <c r="C160" s="1"/>
      <c r="D160" s="1">
        <v>41481</v>
      </c>
      <c r="E160" s="10">
        <v>40228</v>
      </c>
      <c r="F160" s="1">
        <v>41481</v>
      </c>
      <c r="G160">
        <v>13132</v>
      </c>
      <c r="H160" s="1">
        <f t="shared" si="7"/>
        <v>41481</v>
      </c>
      <c r="I160">
        <f>IF(AND(MyRowHidden(ROW())=FALSE,MyRowHidden(ROW()-1)=TRUE),0,(E160-E159)*unitsOfDHp+I159)</f>
        <v>102280</v>
      </c>
      <c r="J160">
        <f>IF(AND(MyRowHidden(ROW())=FALSE,MyRowHidden(ROW()-1)=TRUE),0,(G160-G159)*unitsOfExo+J159)</f>
        <v>75620</v>
      </c>
      <c r="K160" s="9">
        <f t="shared" si="8"/>
        <v>-75620</v>
      </c>
      <c r="L160">
        <f t="shared" si="9"/>
        <v>177900</v>
      </c>
    </row>
    <row r="161" spans="1:12" x14ac:dyDescent="0.25">
      <c r="A161" s="1"/>
      <c r="C161" s="1"/>
      <c r="D161" s="1">
        <v>41484</v>
      </c>
      <c r="E161" s="10">
        <v>40258</v>
      </c>
      <c r="F161" s="1">
        <v>41484</v>
      </c>
      <c r="G161">
        <v>13212</v>
      </c>
      <c r="H161" s="1">
        <f t="shared" si="7"/>
        <v>41484</v>
      </c>
      <c r="I161">
        <f>IF(AND(MyRowHidden(ROW())=FALSE,MyRowHidden(ROW()-1)=TRUE),0,(E161-E160)*unitsOfDHp+I160)</f>
        <v>102580</v>
      </c>
      <c r="J161">
        <f>IF(AND(MyRowHidden(ROW())=FALSE,MyRowHidden(ROW()-1)=TRUE),0,(G161-G160)*unitsOfExo+J160)</f>
        <v>76420</v>
      </c>
      <c r="K161" s="9">
        <f t="shared" si="8"/>
        <v>-76420</v>
      </c>
      <c r="L161">
        <f t="shared" si="9"/>
        <v>179000</v>
      </c>
    </row>
    <row r="162" spans="1:12" x14ac:dyDescent="0.25">
      <c r="A162" s="1"/>
      <c r="C162" s="1"/>
      <c r="D162" s="1">
        <v>41485</v>
      </c>
      <c r="E162" s="10">
        <v>39898</v>
      </c>
      <c r="F162" s="1">
        <v>41485</v>
      </c>
      <c r="G162">
        <v>12782</v>
      </c>
      <c r="H162" s="1">
        <f t="shared" si="7"/>
        <v>41485</v>
      </c>
      <c r="I162">
        <f>IF(AND(MyRowHidden(ROW())=FALSE,MyRowHidden(ROW()-1)=TRUE),0,(E162-E161)*unitsOfDHp+I161)</f>
        <v>98980</v>
      </c>
      <c r="J162">
        <f>IF(AND(MyRowHidden(ROW())=FALSE,MyRowHidden(ROW()-1)=TRUE),0,(G162-G161)*unitsOfExo+J161)</f>
        <v>72120</v>
      </c>
      <c r="K162" s="9">
        <f t="shared" si="8"/>
        <v>-72120</v>
      </c>
      <c r="L162">
        <f t="shared" si="9"/>
        <v>171100</v>
      </c>
    </row>
    <row r="163" spans="1:12" x14ac:dyDescent="0.25">
      <c r="A163" s="1"/>
      <c r="C163" s="1"/>
      <c r="D163" s="1">
        <v>41486</v>
      </c>
      <c r="E163" s="10">
        <v>40138</v>
      </c>
      <c r="F163" s="1">
        <v>41486</v>
      </c>
      <c r="G163">
        <v>13132</v>
      </c>
      <c r="H163" s="1">
        <f t="shared" si="7"/>
        <v>41486</v>
      </c>
      <c r="I163">
        <f>IF(AND(MyRowHidden(ROW())=FALSE,MyRowHidden(ROW()-1)=TRUE),0,(E163-E162)*unitsOfDHp+I162)</f>
        <v>101380</v>
      </c>
      <c r="J163">
        <f>IF(AND(MyRowHidden(ROW())=FALSE,MyRowHidden(ROW()-1)=TRUE),0,(G163-G162)*unitsOfExo+J162)</f>
        <v>75620</v>
      </c>
      <c r="K163" s="9">
        <f t="shared" si="8"/>
        <v>-75620</v>
      </c>
      <c r="L163">
        <f t="shared" si="9"/>
        <v>177000</v>
      </c>
    </row>
    <row r="164" spans="1:12" x14ac:dyDescent="0.25">
      <c r="A164" s="1"/>
      <c r="C164" s="1"/>
      <c r="D164" s="1">
        <v>41487</v>
      </c>
      <c r="E164" s="10">
        <v>40388</v>
      </c>
      <c r="F164" s="1">
        <v>41487</v>
      </c>
      <c r="G164">
        <v>13370</v>
      </c>
      <c r="H164" s="1">
        <f t="shared" si="7"/>
        <v>41487</v>
      </c>
      <c r="I164">
        <f>IF(AND(MyRowHidden(ROW())=FALSE,MyRowHidden(ROW()-1)=TRUE),0,(E164-E163)*unitsOfDHp+I163)</f>
        <v>103880</v>
      </c>
      <c r="J164">
        <f>IF(AND(MyRowHidden(ROW())=FALSE,MyRowHidden(ROW()-1)=TRUE),0,(G164-G163)*unitsOfExo+J163)</f>
        <v>78000</v>
      </c>
      <c r="K164" s="9">
        <f t="shared" si="8"/>
        <v>-78000</v>
      </c>
      <c r="L164">
        <f t="shared" si="9"/>
        <v>181880</v>
      </c>
    </row>
    <row r="165" spans="1:12" x14ac:dyDescent="0.25">
      <c r="A165" s="1"/>
      <c r="C165" s="1"/>
      <c r="D165" s="1">
        <v>41488</v>
      </c>
      <c r="E165" s="10">
        <v>40708</v>
      </c>
      <c r="F165" s="1">
        <v>41488</v>
      </c>
      <c r="G165">
        <v>13710</v>
      </c>
      <c r="H165" s="1">
        <f t="shared" si="7"/>
        <v>41488</v>
      </c>
      <c r="I165">
        <f>IF(AND(MyRowHidden(ROW())=FALSE,MyRowHidden(ROW()-1)=TRUE),0,(E165-E164)*unitsOfDHp+I164)</f>
        <v>107080</v>
      </c>
      <c r="J165">
        <f>IF(AND(MyRowHidden(ROW())=FALSE,MyRowHidden(ROW()-1)=TRUE),0,(G165-G164)*unitsOfExo+J164)</f>
        <v>81400</v>
      </c>
      <c r="K165" s="9">
        <f t="shared" si="8"/>
        <v>-81400</v>
      </c>
      <c r="L165">
        <f t="shared" si="9"/>
        <v>188480</v>
      </c>
    </row>
    <row r="166" spans="1:12" x14ac:dyDescent="0.25">
      <c r="A166" s="1"/>
      <c r="C166" s="1"/>
      <c r="D166" s="1">
        <v>41491</v>
      </c>
      <c r="E166" s="10">
        <v>41118</v>
      </c>
      <c r="F166" s="1">
        <v>41491</v>
      </c>
      <c r="G166">
        <v>14120</v>
      </c>
      <c r="H166" s="1">
        <f t="shared" si="7"/>
        <v>41491</v>
      </c>
      <c r="I166">
        <f>IF(AND(MyRowHidden(ROW())=FALSE,MyRowHidden(ROW()-1)=TRUE),0,(E166-E165)*unitsOfDHp+I165)</f>
        <v>111180</v>
      </c>
      <c r="J166">
        <f>IF(AND(MyRowHidden(ROW())=FALSE,MyRowHidden(ROW()-1)=TRUE),0,(G166-G165)*unitsOfExo+J165)</f>
        <v>85500</v>
      </c>
      <c r="K166" s="9">
        <f t="shared" si="8"/>
        <v>-85500</v>
      </c>
      <c r="L166">
        <f t="shared" si="9"/>
        <v>196680</v>
      </c>
    </row>
    <row r="167" spans="1:12" x14ac:dyDescent="0.25">
      <c r="A167" s="1"/>
      <c r="C167" s="1"/>
      <c r="D167" s="1">
        <v>41492</v>
      </c>
      <c r="E167" s="10">
        <v>41288</v>
      </c>
      <c r="F167" s="1">
        <v>41492</v>
      </c>
      <c r="G167">
        <v>14290</v>
      </c>
      <c r="H167" s="1">
        <f t="shared" si="7"/>
        <v>41492</v>
      </c>
      <c r="I167">
        <f>IF(AND(MyRowHidden(ROW())=FALSE,MyRowHidden(ROW()-1)=TRUE),0,(E167-E166)*unitsOfDHp+I166)</f>
        <v>112880</v>
      </c>
      <c r="J167">
        <f>IF(AND(MyRowHidden(ROW())=FALSE,MyRowHidden(ROW()-1)=TRUE),0,(G167-G166)*unitsOfExo+J166)</f>
        <v>87200</v>
      </c>
      <c r="K167" s="9">
        <f t="shared" si="8"/>
        <v>-87200</v>
      </c>
      <c r="L167">
        <f t="shared" si="9"/>
        <v>200080</v>
      </c>
    </row>
    <row r="168" spans="1:12" x14ac:dyDescent="0.25">
      <c r="A168" s="1"/>
      <c r="C168" s="1"/>
      <c r="D168" s="1">
        <v>41493</v>
      </c>
      <c r="E168" s="10">
        <v>41178</v>
      </c>
      <c r="F168" s="1">
        <v>41493</v>
      </c>
      <c r="G168">
        <v>14190</v>
      </c>
      <c r="H168" s="1">
        <f t="shared" si="7"/>
        <v>41493</v>
      </c>
      <c r="I168">
        <f>IF(AND(MyRowHidden(ROW())=FALSE,MyRowHidden(ROW()-1)=TRUE),0,(E168-E167)*unitsOfDHp+I167)</f>
        <v>111780</v>
      </c>
      <c r="J168">
        <f>IF(AND(MyRowHidden(ROW())=FALSE,MyRowHidden(ROW()-1)=TRUE),0,(G168-G167)*unitsOfExo+J167)</f>
        <v>86200</v>
      </c>
      <c r="K168" s="9">
        <f t="shared" si="8"/>
        <v>-86200</v>
      </c>
      <c r="L168">
        <f t="shared" si="9"/>
        <v>197980</v>
      </c>
    </row>
    <row r="169" spans="1:12" x14ac:dyDescent="0.25">
      <c r="A169" s="1"/>
      <c r="C169" s="1"/>
      <c r="D169" s="1">
        <v>41494</v>
      </c>
      <c r="E169" s="10">
        <v>41328</v>
      </c>
      <c r="F169" s="1">
        <v>41494</v>
      </c>
      <c r="G169">
        <v>14340</v>
      </c>
      <c r="H169" s="1">
        <f t="shared" si="7"/>
        <v>41494</v>
      </c>
      <c r="I169">
        <f>IF(AND(MyRowHidden(ROW())=FALSE,MyRowHidden(ROW()-1)=TRUE),0,(E169-E168)*unitsOfDHp+I168)</f>
        <v>113280</v>
      </c>
      <c r="J169">
        <f>IF(AND(MyRowHidden(ROW())=FALSE,MyRowHidden(ROW()-1)=TRUE),0,(G169-G168)*unitsOfExo+J168)</f>
        <v>87700</v>
      </c>
      <c r="K169" s="9">
        <f t="shared" si="8"/>
        <v>-87700</v>
      </c>
      <c r="L169">
        <f t="shared" si="9"/>
        <v>200980</v>
      </c>
    </row>
    <row r="170" spans="1:12" x14ac:dyDescent="0.25">
      <c r="A170" s="1"/>
      <c r="C170" s="1"/>
      <c r="D170" s="1">
        <v>41495</v>
      </c>
      <c r="E170" s="10">
        <v>41198</v>
      </c>
      <c r="F170" s="1">
        <v>41495</v>
      </c>
      <c r="G170">
        <v>14210</v>
      </c>
      <c r="H170" s="1">
        <f t="shared" si="7"/>
        <v>41495</v>
      </c>
      <c r="I170">
        <f>IF(AND(MyRowHidden(ROW())=FALSE,MyRowHidden(ROW()-1)=TRUE),0,(E170-E169)*unitsOfDHp+I169)</f>
        <v>111980</v>
      </c>
      <c r="J170">
        <f>IF(AND(MyRowHidden(ROW())=FALSE,MyRowHidden(ROW()-1)=TRUE),0,(G170-G169)*unitsOfExo+J169)</f>
        <v>86400</v>
      </c>
      <c r="K170" s="9">
        <f t="shared" si="8"/>
        <v>-86400</v>
      </c>
      <c r="L170">
        <f t="shared" si="9"/>
        <v>198380</v>
      </c>
    </row>
    <row r="171" spans="1:12" x14ac:dyDescent="0.25">
      <c r="A171" s="1"/>
      <c r="C171" s="1"/>
      <c r="D171" s="1">
        <v>41498</v>
      </c>
      <c r="E171" s="10">
        <v>41518</v>
      </c>
      <c r="F171" s="1">
        <v>41498</v>
      </c>
      <c r="G171">
        <v>14520</v>
      </c>
      <c r="H171" s="1">
        <f t="shared" si="7"/>
        <v>41498</v>
      </c>
      <c r="I171">
        <f>IF(AND(MyRowHidden(ROW())=FALSE,MyRowHidden(ROW()-1)=TRUE),0,(E171-E170)*unitsOfDHp+I170)</f>
        <v>115180</v>
      </c>
      <c r="J171">
        <f>IF(AND(MyRowHidden(ROW())=FALSE,MyRowHidden(ROW()-1)=TRUE),0,(G171-G170)*unitsOfExo+J170)</f>
        <v>89500</v>
      </c>
      <c r="K171" s="9">
        <f t="shared" si="8"/>
        <v>-89500</v>
      </c>
      <c r="L171">
        <f t="shared" si="9"/>
        <v>204680</v>
      </c>
    </row>
    <row r="172" spans="1:12" x14ac:dyDescent="0.25">
      <c r="A172" s="1"/>
      <c r="C172" s="1"/>
      <c r="D172" s="1">
        <v>41499</v>
      </c>
      <c r="E172" s="10">
        <v>41708</v>
      </c>
      <c r="F172" s="1">
        <v>41499</v>
      </c>
      <c r="G172">
        <v>14720</v>
      </c>
      <c r="H172" s="1">
        <f t="shared" si="7"/>
        <v>41499</v>
      </c>
      <c r="I172">
        <f>IF(AND(MyRowHidden(ROW())=FALSE,MyRowHidden(ROW()-1)=TRUE),0,(E172-E171)*unitsOfDHp+I171)</f>
        <v>117080</v>
      </c>
      <c r="J172">
        <f>IF(AND(MyRowHidden(ROW())=FALSE,MyRowHidden(ROW()-1)=TRUE),0,(G172-G171)*unitsOfExo+J171)</f>
        <v>91500</v>
      </c>
      <c r="K172" s="9">
        <f t="shared" si="8"/>
        <v>-91500</v>
      </c>
      <c r="L172">
        <f t="shared" si="9"/>
        <v>208580</v>
      </c>
    </row>
    <row r="173" spans="1:12" x14ac:dyDescent="0.25">
      <c r="A173" s="1"/>
      <c r="C173" s="1"/>
      <c r="D173" s="1">
        <v>41500</v>
      </c>
      <c r="E173" s="10">
        <v>41940</v>
      </c>
      <c r="F173" s="1">
        <v>41500</v>
      </c>
      <c r="G173">
        <v>15000</v>
      </c>
      <c r="H173" s="1">
        <f t="shared" si="7"/>
        <v>41500</v>
      </c>
      <c r="I173">
        <f>IF(AND(MyRowHidden(ROW())=FALSE,MyRowHidden(ROW()-1)=TRUE),0,(E173-E172)*unitsOfDHp+I172)</f>
        <v>119400</v>
      </c>
      <c r="J173">
        <f>IF(AND(MyRowHidden(ROW())=FALSE,MyRowHidden(ROW()-1)=TRUE),0,(G173-G172)*unitsOfExo+J172)</f>
        <v>94300</v>
      </c>
      <c r="K173" s="9">
        <f t="shared" si="8"/>
        <v>-94300</v>
      </c>
      <c r="L173">
        <f t="shared" si="9"/>
        <v>213700</v>
      </c>
    </row>
    <row r="174" spans="1:12" x14ac:dyDescent="0.25">
      <c r="A174" s="1"/>
      <c r="C174" s="1"/>
      <c r="D174" s="1">
        <v>41501</v>
      </c>
      <c r="E174" s="10">
        <v>41616</v>
      </c>
      <c r="F174" s="1">
        <v>41501</v>
      </c>
      <c r="G174">
        <v>14510</v>
      </c>
      <c r="H174" s="1">
        <f t="shared" si="7"/>
        <v>41501</v>
      </c>
      <c r="I174">
        <f>IF(AND(MyRowHidden(ROW())=FALSE,MyRowHidden(ROW()-1)=TRUE),0,(E174-E173)*unitsOfDHp+I173)</f>
        <v>116160</v>
      </c>
      <c r="J174">
        <f>IF(AND(MyRowHidden(ROW())=FALSE,MyRowHidden(ROW()-1)=TRUE),0,(G174-G173)*unitsOfExo+J173)</f>
        <v>89400</v>
      </c>
      <c r="K174" s="9">
        <f t="shared" si="8"/>
        <v>-89400</v>
      </c>
      <c r="L174">
        <f t="shared" si="9"/>
        <v>205560</v>
      </c>
    </row>
    <row r="175" spans="1:12" x14ac:dyDescent="0.25">
      <c r="A175" s="1"/>
      <c r="C175" s="1"/>
      <c r="D175" s="1">
        <v>41502</v>
      </c>
      <c r="E175" s="10">
        <v>41646</v>
      </c>
      <c r="F175" s="1">
        <v>41502</v>
      </c>
      <c r="G175">
        <v>14520</v>
      </c>
      <c r="H175" s="1">
        <f t="shared" si="7"/>
        <v>41502</v>
      </c>
      <c r="I175">
        <f>IF(AND(MyRowHidden(ROW())=FALSE,MyRowHidden(ROW()-1)=TRUE),0,(E175-E174)*unitsOfDHp+I174)</f>
        <v>116460</v>
      </c>
      <c r="J175">
        <f>IF(AND(MyRowHidden(ROW())=FALSE,MyRowHidden(ROW()-1)=TRUE),0,(G175-G174)*unitsOfExo+J174)</f>
        <v>89500</v>
      </c>
      <c r="K175" s="9">
        <f t="shared" si="8"/>
        <v>-89500</v>
      </c>
      <c r="L175">
        <f t="shared" si="9"/>
        <v>205960</v>
      </c>
    </row>
    <row r="176" spans="1:12" x14ac:dyDescent="0.25">
      <c r="A176" s="1"/>
      <c r="C176" s="1"/>
      <c r="D176" s="1">
        <v>41505</v>
      </c>
      <c r="E176" s="10">
        <v>41536</v>
      </c>
      <c r="F176" s="1">
        <v>41505</v>
      </c>
      <c r="G176">
        <v>14240</v>
      </c>
      <c r="H176" s="1">
        <f t="shared" si="7"/>
        <v>41505</v>
      </c>
      <c r="I176">
        <f>IF(AND(MyRowHidden(ROW())=FALSE,MyRowHidden(ROW()-1)=TRUE),0,(E176-E175)*unitsOfDHp+I175)</f>
        <v>115360</v>
      </c>
      <c r="J176">
        <f>IF(AND(MyRowHidden(ROW())=FALSE,MyRowHidden(ROW()-1)=TRUE),0,(G176-G175)*unitsOfExo+J175)</f>
        <v>86700</v>
      </c>
      <c r="K176" s="9">
        <f t="shared" si="8"/>
        <v>-86700</v>
      </c>
      <c r="L176">
        <f t="shared" si="9"/>
        <v>202060</v>
      </c>
    </row>
    <row r="177" spans="1:12" x14ac:dyDescent="0.25">
      <c r="A177" s="1"/>
      <c r="C177" s="1"/>
      <c r="D177" s="1">
        <v>41506</v>
      </c>
      <c r="E177" s="10">
        <v>41604</v>
      </c>
      <c r="F177" s="1">
        <v>41506</v>
      </c>
      <c r="G177">
        <v>14480</v>
      </c>
      <c r="H177" s="1">
        <f t="shared" si="7"/>
        <v>41506</v>
      </c>
      <c r="I177">
        <f>IF(AND(MyRowHidden(ROW())=FALSE,MyRowHidden(ROW()-1)=TRUE),0,(E177-E176)*unitsOfDHp+I176)</f>
        <v>116040</v>
      </c>
      <c r="J177">
        <f>IF(AND(MyRowHidden(ROW())=FALSE,MyRowHidden(ROW()-1)=TRUE),0,(G177-G176)*unitsOfExo+J176)</f>
        <v>89100</v>
      </c>
      <c r="K177" s="9">
        <f t="shared" si="8"/>
        <v>-89100</v>
      </c>
      <c r="L177">
        <f t="shared" si="9"/>
        <v>205140</v>
      </c>
    </row>
    <row r="178" spans="1:12" x14ac:dyDescent="0.25">
      <c r="A178" s="1"/>
      <c r="C178" s="1"/>
      <c r="D178" s="1">
        <v>41507</v>
      </c>
      <c r="E178" s="10">
        <v>41650</v>
      </c>
      <c r="F178" s="1">
        <v>41507</v>
      </c>
      <c r="G178">
        <v>14070</v>
      </c>
      <c r="H178" s="1">
        <f t="shared" si="7"/>
        <v>41507</v>
      </c>
      <c r="I178">
        <f>IF(AND(MyRowHidden(ROW())=FALSE,MyRowHidden(ROW()-1)=TRUE),0,(E178-E177)*unitsOfDHp+I177)</f>
        <v>116500</v>
      </c>
      <c r="J178">
        <f>IF(AND(MyRowHidden(ROW())=FALSE,MyRowHidden(ROW()-1)=TRUE),0,(G178-G177)*unitsOfExo+J177)</f>
        <v>85000</v>
      </c>
      <c r="K178" s="9">
        <f t="shared" si="8"/>
        <v>-85000</v>
      </c>
      <c r="L178">
        <f t="shared" si="9"/>
        <v>201500</v>
      </c>
    </row>
    <row r="179" spans="1:12" x14ac:dyDescent="0.25">
      <c r="A179" s="1"/>
      <c r="C179" s="1"/>
      <c r="D179" s="1">
        <v>41508</v>
      </c>
      <c r="E179" s="10">
        <v>42286</v>
      </c>
      <c r="F179" s="1">
        <v>41508</v>
      </c>
      <c r="G179">
        <v>13590</v>
      </c>
      <c r="H179" s="1">
        <f t="shared" si="7"/>
        <v>41508</v>
      </c>
      <c r="I179">
        <f>IF(AND(MyRowHidden(ROW())=FALSE,MyRowHidden(ROW()-1)=TRUE),0,(E179-E178)*unitsOfDHp+I178)</f>
        <v>122860</v>
      </c>
      <c r="J179">
        <f>IF(AND(MyRowHidden(ROW())=FALSE,MyRowHidden(ROW()-1)=TRUE),0,(G179-G178)*unitsOfExo+J178)</f>
        <v>80200</v>
      </c>
      <c r="K179" s="9">
        <f t="shared" si="8"/>
        <v>-80200</v>
      </c>
      <c r="L179">
        <f t="shared" si="9"/>
        <v>203060</v>
      </c>
    </row>
    <row r="180" spans="1:12" x14ac:dyDescent="0.25">
      <c r="A180" s="1"/>
      <c r="C180" s="1"/>
      <c r="D180" s="1">
        <v>41509</v>
      </c>
      <c r="E180" s="10">
        <v>42056</v>
      </c>
      <c r="F180" s="1">
        <v>41509</v>
      </c>
      <c r="G180">
        <v>13780</v>
      </c>
      <c r="H180" s="1">
        <f t="shared" si="7"/>
        <v>41509</v>
      </c>
      <c r="I180">
        <f>IF(AND(MyRowHidden(ROW())=FALSE,MyRowHidden(ROW()-1)=TRUE),0,(E180-E179)*unitsOfDHp+I179)</f>
        <v>120560</v>
      </c>
      <c r="J180">
        <f>IF(AND(MyRowHidden(ROW())=FALSE,MyRowHidden(ROW()-1)=TRUE),0,(G180-G179)*unitsOfExo+J179)</f>
        <v>82100</v>
      </c>
      <c r="K180" s="9">
        <f t="shared" si="8"/>
        <v>-82100</v>
      </c>
      <c r="L180">
        <f t="shared" si="9"/>
        <v>202660</v>
      </c>
    </row>
    <row r="181" spans="1:12" x14ac:dyDescent="0.25">
      <c r="A181" s="1"/>
      <c r="C181" s="1"/>
      <c r="D181" s="1">
        <v>41512</v>
      </c>
      <c r="E181" s="10">
        <v>41772</v>
      </c>
      <c r="F181" s="1">
        <v>41512</v>
      </c>
      <c r="G181">
        <v>14100</v>
      </c>
      <c r="H181" s="1">
        <f t="shared" si="7"/>
        <v>41512</v>
      </c>
      <c r="I181">
        <f>IF(AND(MyRowHidden(ROW())=FALSE,MyRowHidden(ROW()-1)=TRUE),0,(E181-E180)*unitsOfDHp+I180)</f>
        <v>117720</v>
      </c>
      <c r="J181">
        <f>IF(AND(MyRowHidden(ROW())=FALSE,MyRowHidden(ROW()-1)=TRUE),0,(G181-G180)*unitsOfExo+J180)</f>
        <v>85300</v>
      </c>
      <c r="K181" s="9">
        <f t="shared" si="8"/>
        <v>-85300</v>
      </c>
      <c r="L181">
        <f t="shared" si="9"/>
        <v>203020</v>
      </c>
    </row>
    <row r="182" spans="1:12" x14ac:dyDescent="0.25">
      <c r="A182" s="1"/>
      <c r="C182" s="1"/>
      <c r="D182" s="1">
        <v>41513</v>
      </c>
      <c r="E182" s="10">
        <v>41212</v>
      </c>
      <c r="F182" s="1">
        <v>41513</v>
      </c>
      <c r="G182">
        <v>14430</v>
      </c>
      <c r="H182" s="1">
        <f t="shared" si="7"/>
        <v>41513</v>
      </c>
      <c r="I182">
        <f>IF(AND(MyRowHidden(ROW())=FALSE,MyRowHidden(ROW()-1)=TRUE),0,(E182-E181)*unitsOfDHp+I181)</f>
        <v>112120</v>
      </c>
      <c r="J182">
        <f>IF(AND(MyRowHidden(ROW())=FALSE,MyRowHidden(ROW()-1)=TRUE),0,(G182-G181)*unitsOfExo+J181)</f>
        <v>88600</v>
      </c>
      <c r="K182" s="9">
        <f t="shared" si="8"/>
        <v>-88600</v>
      </c>
      <c r="L182">
        <f t="shared" si="9"/>
        <v>200720</v>
      </c>
    </row>
    <row r="183" spans="1:12" x14ac:dyDescent="0.25">
      <c r="A183" s="1"/>
      <c r="C183" s="1"/>
      <c r="D183" s="1">
        <v>41514</v>
      </c>
      <c r="E183" s="10">
        <v>41352</v>
      </c>
      <c r="F183" s="1">
        <v>41514</v>
      </c>
      <c r="G183">
        <v>14200</v>
      </c>
      <c r="H183" s="1">
        <f t="shared" si="7"/>
        <v>41514</v>
      </c>
      <c r="I183">
        <f>IF(AND(MyRowHidden(ROW())=FALSE,MyRowHidden(ROW()-1)=TRUE),0,(E183-E182)*unitsOfDHp+I182)</f>
        <v>113520</v>
      </c>
      <c r="J183">
        <f>IF(AND(MyRowHidden(ROW())=FALSE,MyRowHidden(ROW()-1)=TRUE),0,(G183-G182)*unitsOfExo+J182)</f>
        <v>86300</v>
      </c>
      <c r="K183" s="9">
        <f t="shared" si="8"/>
        <v>-86300</v>
      </c>
      <c r="L183">
        <f t="shared" si="9"/>
        <v>199820</v>
      </c>
    </row>
    <row r="184" spans="1:12" x14ac:dyDescent="0.25">
      <c r="A184" s="1"/>
      <c r="C184" s="1"/>
      <c r="D184" s="1">
        <v>41515</v>
      </c>
      <c r="E184" s="10">
        <v>40828</v>
      </c>
      <c r="F184" s="1">
        <v>41515</v>
      </c>
      <c r="G184">
        <v>14630</v>
      </c>
      <c r="H184" s="1">
        <f t="shared" si="7"/>
        <v>41515</v>
      </c>
      <c r="I184">
        <f>IF(AND(MyRowHidden(ROW())=FALSE,MyRowHidden(ROW()-1)=TRUE),0,(E184-E183)*unitsOfDHp+I183)</f>
        <v>108280</v>
      </c>
      <c r="J184">
        <f>IF(AND(MyRowHidden(ROW())=FALSE,MyRowHidden(ROW()-1)=TRUE),0,(G184-G183)*unitsOfExo+J183)</f>
        <v>90600</v>
      </c>
      <c r="K184" s="9">
        <f t="shared" si="8"/>
        <v>-90600</v>
      </c>
      <c r="L184">
        <f t="shared" si="9"/>
        <v>198880</v>
      </c>
    </row>
    <row r="185" spans="1:12" x14ac:dyDescent="0.25">
      <c r="A185" s="1"/>
      <c r="C185" s="1"/>
      <c r="D185" s="1">
        <v>41516</v>
      </c>
      <c r="E185" s="10">
        <v>41288</v>
      </c>
      <c r="F185" s="1">
        <v>41516</v>
      </c>
      <c r="G185">
        <v>14890</v>
      </c>
      <c r="H185" s="1">
        <f t="shared" si="7"/>
        <v>41516</v>
      </c>
      <c r="I185">
        <f>IF(AND(MyRowHidden(ROW())=FALSE,MyRowHidden(ROW()-1)=TRUE),0,(E185-E184)*unitsOfDHp+I184)</f>
        <v>112880</v>
      </c>
      <c r="J185">
        <f>IF(AND(MyRowHidden(ROW())=FALSE,MyRowHidden(ROW()-1)=TRUE),0,(G185-G184)*unitsOfExo+J184)</f>
        <v>93200</v>
      </c>
      <c r="K185" s="9">
        <f t="shared" si="8"/>
        <v>-93200</v>
      </c>
      <c r="L185">
        <f t="shared" si="9"/>
        <v>206080</v>
      </c>
    </row>
    <row r="186" spans="1:12" x14ac:dyDescent="0.25">
      <c r="A186" s="1"/>
      <c r="C186" s="1"/>
      <c r="D186" s="1">
        <v>41519</v>
      </c>
      <c r="E186" s="10">
        <v>40982</v>
      </c>
      <c r="F186" s="1">
        <v>41519</v>
      </c>
      <c r="G186">
        <v>14730</v>
      </c>
      <c r="H186" s="1">
        <f t="shared" si="7"/>
        <v>41519</v>
      </c>
      <c r="I186">
        <f>IF(AND(MyRowHidden(ROW())=FALSE,MyRowHidden(ROW()-1)=TRUE),0,(E186-E185)*unitsOfDHp+I185)</f>
        <v>109820</v>
      </c>
      <c r="J186">
        <f>IF(AND(MyRowHidden(ROW())=FALSE,MyRowHidden(ROW()-1)=TRUE),0,(G186-G185)*unitsOfExo+J185)</f>
        <v>91600</v>
      </c>
      <c r="K186" s="9">
        <f t="shared" si="8"/>
        <v>-91600</v>
      </c>
      <c r="L186">
        <f t="shared" si="9"/>
        <v>201420</v>
      </c>
    </row>
    <row r="187" spans="1:12" x14ac:dyDescent="0.25">
      <c r="A187" s="1"/>
      <c r="C187" s="1"/>
      <c r="D187" s="1">
        <v>41520</v>
      </c>
      <c r="E187" s="10">
        <v>41222</v>
      </c>
      <c r="F187" s="1">
        <v>41520</v>
      </c>
      <c r="G187">
        <v>14890</v>
      </c>
      <c r="H187" s="1">
        <f t="shared" si="7"/>
        <v>41520</v>
      </c>
      <c r="I187">
        <f>IF(AND(MyRowHidden(ROW())=FALSE,MyRowHidden(ROW()-1)=TRUE),0,(E187-E186)*unitsOfDHp+I186)</f>
        <v>112220</v>
      </c>
      <c r="J187">
        <f>IF(AND(MyRowHidden(ROW())=FALSE,MyRowHidden(ROW()-1)=TRUE),0,(G187-G186)*unitsOfExo+J186)</f>
        <v>93200</v>
      </c>
      <c r="K187" s="9">
        <f t="shared" si="8"/>
        <v>-93200</v>
      </c>
      <c r="L187">
        <f t="shared" si="9"/>
        <v>205420</v>
      </c>
    </row>
    <row r="188" spans="1:12" x14ac:dyDescent="0.25">
      <c r="A188" s="1"/>
      <c r="C188" s="1"/>
      <c r="D188" s="1">
        <v>41521</v>
      </c>
      <c r="E188" s="10">
        <v>41940</v>
      </c>
      <c r="F188" s="1">
        <v>41521</v>
      </c>
      <c r="G188">
        <v>15480</v>
      </c>
      <c r="H188" s="1">
        <f t="shared" si="7"/>
        <v>41521</v>
      </c>
      <c r="I188">
        <f>IF(AND(MyRowHidden(ROW())=FALSE,MyRowHidden(ROW()-1)=TRUE),0,(E188-E187)*unitsOfDHp+I187)</f>
        <v>119400</v>
      </c>
      <c r="J188">
        <f>IF(AND(MyRowHidden(ROW())=FALSE,MyRowHidden(ROW()-1)=TRUE),0,(G188-G187)*unitsOfExo+J187)</f>
        <v>99100</v>
      </c>
      <c r="K188" s="9">
        <f t="shared" si="8"/>
        <v>-99100</v>
      </c>
      <c r="L188">
        <f t="shared" si="9"/>
        <v>218500</v>
      </c>
    </row>
    <row r="189" spans="1:12" x14ac:dyDescent="0.25">
      <c r="A189" s="1"/>
      <c r="C189" s="1"/>
      <c r="D189" s="1">
        <v>41522</v>
      </c>
      <c r="E189" s="10">
        <v>41642</v>
      </c>
      <c r="F189" s="1">
        <v>41522</v>
      </c>
      <c r="G189">
        <v>15480</v>
      </c>
      <c r="H189" s="1">
        <f t="shared" si="7"/>
        <v>41522</v>
      </c>
      <c r="I189">
        <f>IF(AND(MyRowHidden(ROW())=FALSE,MyRowHidden(ROW()-1)=TRUE),0,(E189-E188)*unitsOfDHp+I188)</f>
        <v>116420</v>
      </c>
      <c r="J189">
        <f>IF(AND(MyRowHidden(ROW())=FALSE,MyRowHidden(ROW()-1)=TRUE),0,(G189-G188)*unitsOfExo+J188)</f>
        <v>99100</v>
      </c>
      <c r="K189" s="9">
        <f t="shared" si="8"/>
        <v>-99100</v>
      </c>
      <c r="L189">
        <f t="shared" si="9"/>
        <v>215520</v>
      </c>
    </row>
    <row r="190" spans="1:12" x14ac:dyDescent="0.25">
      <c r="A190" s="1"/>
      <c r="C190" s="1"/>
      <c r="D190" s="1">
        <v>41523</v>
      </c>
      <c r="E190" s="10">
        <v>43082</v>
      </c>
      <c r="F190" s="1">
        <v>41523</v>
      </c>
      <c r="G190">
        <v>16150</v>
      </c>
      <c r="H190" s="1">
        <f t="shared" si="7"/>
        <v>41523</v>
      </c>
      <c r="I190">
        <f>IF(AND(MyRowHidden(ROW())=FALSE,MyRowHidden(ROW()-1)=TRUE),0,(E190-E189)*unitsOfDHp+I189)</f>
        <v>130820</v>
      </c>
      <c r="J190">
        <f>IF(AND(MyRowHidden(ROW())=FALSE,MyRowHidden(ROW()-1)=TRUE),0,(G190-G189)*unitsOfExo+J189)</f>
        <v>105800</v>
      </c>
      <c r="K190" s="9">
        <f t="shared" si="8"/>
        <v>-105800</v>
      </c>
      <c r="L190">
        <f t="shared" si="9"/>
        <v>236620</v>
      </c>
    </row>
    <row r="191" spans="1:12" x14ac:dyDescent="0.25">
      <c r="A191" s="1"/>
      <c r="C191" s="1"/>
      <c r="D191" s="1">
        <v>41526</v>
      </c>
      <c r="E191" s="10">
        <v>43172</v>
      </c>
      <c r="F191" s="1">
        <v>41526</v>
      </c>
      <c r="G191">
        <v>16150</v>
      </c>
      <c r="H191" s="1">
        <f t="shared" si="7"/>
        <v>41526</v>
      </c>
      <c r="I191">
        <f>IF(AND(MyRowHidden(ROW())=FALSE,MyRowHidden(ROW()-1)=TRUE),0,(E191-E190)*unitsOfDHp+I190)</f>
        <v>131720</v>
      </c>
      <c r="J191">
        <f>IF(AND(MyRowHidden(ROW())=FALSE,MyRowHidden(ROW()-1)=TRUE),0,(G191-G190)*unitsOfExo+J190)</f>
        <v>105800</v>
      </c>
      <c r="K191" s="9">
        <f t="shared" si="8"/>
        <v>-105800</v>
      </c>
      <c r="L191">
        <f t="shared" si="9"/>
        <v>237520</v>
      </c>
    </row>
    <row r="192" spans="1:12" x14ac:dyDescent="0.25">
      <c r="A192" s="1"/>
      <c r="C192" s="1"/>
      <c r="D192" s="1">
        <v>41527</v>
      </c>
      <c r="E192" s="10">
        <v>43012</v>
      </c>
      <c r="F192" s="1">
        <v>41527</v>
      </c>
      <c r="G192">
        <v>16030</v>
      </c>
      <c r="H192" s="1">
        <f t="shared" si="7"/>
        <v>41527</v>
      </c>
      <c r="I192">
        <f>IF(AND(MyRowHidden(ROW())=FALSE,MyRowHidden(ROW()-1)=TRUE),0,(E192-E191)*unitsOfDHp+I191)</f>
        <v>130120</v>
      </c>
      <c r="J192">
        <f>IF(AND(MyRowHidden(ROW())=FALSE,MyRowHidden(ROW()-1)=TRUE),0,(G192-G191)*unitsOfExo+J191)</f>
        <v>104600</v>
      </c>
      <c r="K192" s="9">
        <f t="shared" si="8"/>
        <v>-104600</v>
      </c>
      <c r="L192">
        <f t="shared" si="9"/>
        <v>234720</v>
      </c>
    </row>
    <row r="193" spans="1:12" x14ac:dyDescent="0.25">
      <c r="A193" s="1"/>
      <c r="C193" s="1"/>
      <c r="D193" s="1">
        <v>41528</v>
      </c>
      <c r="E193" s="10">
        <v>42872</v>
      </c>
      <c r="F193" s="1">
        <v>41528</v>
      </c>
      <c r="G193">
        <v>15930</v>
      </c>
      <c r="H193" s="1">
        <f t="shared" si="7"/>
        <v>41528</v>
      </c>
      <c r="I193">
        <f>IF(AND(MyRowHidden(ROW())=FALSE,MyRowHidden(ROW()-1)=TRUE),0,(E193-E192)*unitsOfDHp+I192)</f>
        <v>128720</v>
      </c>
      <c r="J193">
        <f>IF(AND(MyRowHidden(ROW())=FALSE,MyRowHidden(ROW()-1)=TRUE),0,(G193-G192)*unitsOfExo+J192)</f>
        <v>103600</v>
      </c>
      <c r="K193" s="9">
        <f t="shared" si="8"/>
        <v>-103600</v>
      </c>
      <c r="L193">
        <f t="shared" si="9"/>
        <v>232320</v>
      </c>
    </row>
    <row r="194" spans="1:12" x14ac:dyDescent="0.25">
      <c r="A194" s="1"/>
      <c r="C194" s="1"/>
      <c r="D194" s="1">
        <v>41529</v>
      </c>
      <c r="E194" s="10">
        <v>42932</v>
      </c>
      <c r="F194" s="1">
        <v>41529</v>
      </c>
      <c r="G194">
        <v>16020</v>
      </c>
      <c r="H194" s="1">
        <f t="shared" si="7"/>
        <v>41529</v>
      </c>
      <c r="I194">
        <f>IF(AND(MyRowHidden(ROW())=FALSE,MyRowHidden(ROW()-1)=TRUE),0,(E194-E193)*unitsOfDHp+I193)</f>
        <v>129320</v>
      </c>
      <c r="J194">
        <f>IF(AND(MyRowHidden(ROW())=FALSE,MyRowHidden(ROW()-1)=TRUE),0,(G194-G193)*unitsOfExo+J193)</f>
        <v>104500</v>
      </c>
      <c r="K194" s="9">
        <f t="shared" si="8"/>
        <v>-104500</v>
      </c>
      <c r="L194">
        <f t="shared" si="9"/>
        <v>233820</v>
      </c>
    </row>
    <row r="195" spans="1:12" x14ac:dyDescent="0.25">
      <c r="A195" s="1"/>
      <c r="C195" s="1"/>
      <c r="D195" s="1">
        <v>41530</v>
      </c>
      <c r="E195" s="10">
        <v>42972</v>
      </c>
      <c r="F195" s="1">
        <v>41530</v>
      </c>
      <c r="G195">
        <v>15990</v>
      </c>
      <c r="H195" s="1">
        <f t="shared" si="7"/>
        <v>41530</v>
      </c>
      <c r="I195">
        <f>IF(AND(MyRowHidden(ROW())=FALSE,MyRowHidden(ROW()-1)=TRUE),0,(E195-E194)*unitsOfDHp+I194)</f>
        <v>129720</v>
      </c>
      <c r="J195">
        <f>IF(AND(MyRowHidden(ROW())=FALSE,MyRowHidden(ROW()-1)=TRUE),0,(G195-G194)*unitsOfExo+J194)</f>
        <v>104200</v>
      </c>
      <c r="K195" s="9">
        <f t="shared" si="8"/>
        <v>-104200</v>
      </c>
      <c r="L195">
        <f t="shared" si="9"/>
        <v>233920</v>
      </c>
    </row>
    <row r="196" spans="1:12" x14ac:dyDescent="0.25">
      <c r="A196" s="1"/>
      <c r="C196" s="1"/>
      <c r="D196" s="1">
        <v>41533</v>
      </c>
      <c r="E196" s="10">
        <v>44142</v>
      </c>
      <c r="F196" s="1">
        <v>41533</v>
      </c>
      <c r="G196">
        <v>16590</v>
      </c>
      <c r="H196" s="1">
        <f t="shared" si="7"/>
        <v>41533</v>
      </c>
      <c r="I196">
        <f>IF(AND(MyRowHidden(ROW())=FALSE,MyRowHidden(ROW()-1)=TRUE),0,(E196-E195)*unitsOfDHp+I195)</f>
        <v>141420</v>
      </c>
      <c r="J196">
        <f>IF(AND(MyRowHidden(ROW())=FALSE,MyRowHidden(ROW()-1)=TRUE),0,(G196-G195)*unitsOfExo+J195)</f>
        <v>110200</v>
      </c>
      <c r="K196" s="9">
        <f t="shared" si="8"/>
        <v>-110200</v>
      </c>
      <c r="L196">
        <f t="shared" si="9"/>
        <v>251620</v>
      </c>
    </row>
    <row r="197" spans="1:12" x14ac:dyDescent="0.25">
      <c r="A197" s="1"/>
      <c r="C197" s="1"/>
      <c r="D197" s="1">
        <v>41534</v>
      </c>
      <c r="E197" s="10">
        <v>43452</v>
      </c>
      <c r="F197" s="1">
        <v>41534</v>
      </c>
      <c r="G197">
        <v>16150</v>
      </c>
      <c r="H197" s="1">
        <f t="shared" si="7"/>
        <v>41534</v>
      </c>
      <c r="I197">
        <f>IF(AND(MyRowHidden(ROW())=FALSE,MyRowHidden(ROW()-1)=TRUE),0,(E197-E196)*unitsOfDHp+I196)</f>
        <v>134520</v>
      </c>
      <c r="J197">
        <f>IF(AND(MyRowHidden(ROW())=FALSE,MyRowHidden(ROW()-1)=TRUE),0,(G197-G196)*unitsOfExo+J196)</f>
        <v>105800</v>
      </c>
      <c r="K197" s="9">
        <f t="shared" si="8"/>
        <v>-105800</v>
      </c>
      <c r="L197">
        <f t="shared" si="9"/>
        <v>240320</v>
      </c>
    </row>
    <row r="198" spans="1:12" x14ac:dyDescent="0.25">
      <c r="A198" s="1"/>
      <c r="C198" s="1"/>
      <c r="D198" s="1">
        <v>41535</v>
      </c>
      <c r="E198" s="10">
        <v>43602</v>
      </c>
      <c r="F198" s="1">
        <v>41535</v>
      </c>
      <c r="G198">
        <v>16360</v>
      </c>
      <c r="H198" s="1">
        <f t="shared" si="7"/>
        <v>41535</v>
      </c>
      <c r="I198">
        <f>IF(AND(MyRowHidden(ROW())=FALSE,MyRowHidden(ROW()-1)=TRUE),0,(E198-E197)*unitsOfDHp+I197)</f>
        <v>136020</v>
      </c>
      <c r="J198">
        <f>IF(AND(MyRowHidden(ROW())=FALSE,MyRowHidden(ROW()-1)=TRUE),0,(G198-G197)*unitsOfExo+J197)</f>
        <v>107900</v>
      </c>
      <c r="K198" s="9">
        <f t="shared" si="8"/>
        <v>-107900</v>
      </c>
      <c r="L198">
        <f t="shared" si="9"/>
        <v>243920</v>
      </c>
    </row>
    <row r="199" spans="1:12" x14ac:dyDescent="0.25">
      <c r="A199" s="1"/>
      <c r="C199" s="1"/>
      <c r="D199" s="1">
        <v>41536</v>
      </c>
      <c r="E199" s="10">
        <v>43780</v>
      </c>
      <c r="F199" s="1">
        <v>41536</v>
      </c>
      <c r="G199">
        <v>16300</v>
      </c>
      <c r="H199" s="1">
        <f t="shared" si="7"/>
        <v>41536</v>
      </c>
      <c r="I199">
        <f>IF(AND(MyRowHidden(ROW())=FALSE,MyRowHidden(ROW()-1)=TRUE),0,(E199-E198)*unitsOfDHp+I198)</f>
        <v>137800</v>
      </c>
      <c r="J199">
        <f>IF(AND(MyRowHidden(ROW())=FALSE,MyRowHidden(ROW()-1)=TRUE),0,(G199-G198)*unitsOfExo+J198)</f>
        <v>107300</v>
      </c>
      <c r="K199" s="9">
        <f t="shared" si="8"/>
        <v>-107300</v>
      </c>
      <c r="L199">
        <f t="shared" si="9"/>
        <v>245100</v>
      </c>
    </row>
    <row r="200" spans="1:12" x14ac:dyDescent="0.25">
      <c r="A200" s="1"/>
      <c r="C200" s="1"/>
      <c r="D200" s="1">
        <v>41537</v>
      </c>
      <c r="E200" s="10">
        <v>42908</v>
      </c>
      <c r="F200" s="1">
        <v>41537</v>
      </c>
      <c r="G200">
        <v>15740</v>
      </c>
      <c r="H200" s="1">
        <f t="shared" si="7"/>
        <v>41537</v>
      </c>
      <c r="I200">
        <f>IF(AND(MyRowHidden(ROW())=FALSE,MyRowHidden(ROW()-1)=TRUE),0,(E200-E199)*unitsOfDHp+I199)</f>
        <v>129080</v>
      </c>
      <c r="J200">
        <f>IF(AND(MyRowHidden(ROW())=FALSE,MyRowHidden(ROW()-1)=TRUE),0,(G200-G199)*unitsOfExo+J199)</f>
        <v>101700</v>
      </c>
      <c r="K200" s="9">
        <f t="shared" si="8"/>
        <v>-101700</v>
      </c>
      <c r="L200">
        <f t="shared" si="9"/>
        <v>230780</v>
      </c>
    </row>
    <row r="201" spans="1:12" x14ac:dyDescent="0.25">
      <c r="A201" s="1"/>
      <c r="C201" s="1"/>
      <c r="D201" s="1">
        <v>41540</v>
      </c>
      <c r="E201" s="10">
        <v>43038</v>
      </c>
      <c r="F201" s="1">
        <v>41540</v>
      </c>
      <c r="G201">
        <v>15810</v>
      </c>
      <c r="H201" s="1">
        <f t="shared" si="7"/>
        <v>41540</v>
      </c>
      <c r="I201">
        <f>IF(AND(MyRowHidden(ROW())=FALSE,MyRowHidden(ROW()-1)=TRUE),0,(E201-E200)*unitsOfDHp+I200)</f>
        <v>130380</v>
      </c>
      <c r="J201">
        <f>IF(AND(MyRowHidden(ROW())=FALSE,MyRowHidden(ROW()-1)=TRUE),0,(G201-G200)*unitsOfExo+J200)</f>
        <v>102400</v>
      </c>
      <c r="K201" s="9">
        <f t="shared" si="8"/>
        <v>-102400</v>
      </c>
      <c r="L201">
        <f t="shared" si="9"/>
        <v>232780</v>
      </c>
    </row>
    <row r="202" spans="1:12" x14ac:dyDescent="0.25">
      <c r="A202" s="1"/>
      <c r="C202" s="1"/>
      <c r="D202" s="1">
        <v>41541</v>
      </c>
      <c r="E202" s="10">
        <v>45732</v>
      </c>
      <c r="F202" s="1">
        <v>41541</v>
      </c>
      <c r="G202">
        <v>16970</v>
      </c>
      <c r="H202" s="1">
        <f t="shared" si="7"/>
        <v>41541</v>
      </c>
      <c r="I202">
        <f>IF(AND(MyRowHidden(ROW())=FALSE,MyRowHidden(ROW()-1)=TRUE),0,(E202-E201)*unitsOfDHp+I201)</f>
        <v>157320</v>
      </c>
      <c r="J202">
        <f>IF(AND(MyRowHidden(ROW())=FALSE,MyRowHidden(ROW()-1)=TRUE),0,(G202-G201)*unitsOfExo+J201)</f>
        <v>114000</v>
      </c>
      <c r="K202" s="9">
        <f t="shared" si="8"/>
        <v>-114000</v>
      </c>
      <c r="L202">
        <f t="shared" si="9"/>
        <v>271320</v>
      </c>
    </row>
    <row r="203" spans="1:12" x14ac:dyDescent="0.25">
      <c r="A203" s="1"/>
      <c r="C203" s="1"/>
      <c r="D203" s="1">
        <v>41542</v>
      </c>
      <c r="E203" s="10">
        <v>46404</v>
      </c>
      <c r="F203" s="1">
        <v>41542</v>
      </c>
      <c r="G203">
        <v>17150</v>
      </c>
      <c r="H203" s="1">
        <f t="shared" si="7"/>
        <v>41542</v>
      </c>
      <c r="I203">
        <f>IF(AND(MyRowHidden(ROW())=FALSE,MyRowHidden(ROW()-1)=TRUE),0,(E203-E202)*unitsOfDHp+I202)</f>
        <v>164040</v>
      </c>
      <c r="J203">
        <f>IF(AND(MyRowHidden(ROW())=FALSE,MyRowHidden(ROW()-1)=TRUE),0,(G203-G202)*unitsOfExo+J202)</f>
        <v>115800</v>
      </c>
      <c r="K203" s="9">
        <f t="shared" si="8"/>
        <v>-115800</v>
      </c>
      <c r="L203">
        <f t="shared" si="9"/>
        <v>279840</v>
      </c>
    </row>
    <row r="204" spans="1:12" x14ac:dyDescent="0.25">
      <c r="A204" s="1"/>
      <c r="C204" s="1"/>
      <c r="D204" s="1">
        <v>41543</v>
      </c>
      <c r="E204" s="10">
        <v>45530</v>
      </c>
      <c r="F204" s="1">
        <v>41543</v>
      </c>
      <c r="G204">
        <v>16860</v>
      </c>
      <c r="H204" s="1">
        <f t="shared" si="7"/>
        <v>41543</v>
      </c>
      <c r="I204">
        <f>IF(AND(MyRowHidden(ROW())=FALSE,MyRowHidden(ROW()-1)=TRUE),0,(E204-E203)*unitsOfDHp+I203)</f>
        <v>155300</v>
      </c>
      <c r="J204">
        <f>IF(AND(MyRowHidden(ROW())=FALSE,MyRowHidden(ROW()-1)=TRUE),0,(G204-G203)*unitsOfExo+J203)</f>
        <v>112900</v>
      </c>
      <c r="K204" s="9">
        <f t="shared" si="8"/>
        <v>-112900</v>
      </c>
      <c r="L204">
        <f t="shared" si="9"/>
        <v>268200</v>
      </c>
    </row>
    <row r="205" spans="1:12" x14ac:dyDescent="0.25">
      <c r="A205" s="1"/>
      <c r="C205" s="1"/>
      <c r="D205" s="1">
        <v>41544</v>
      </c>
      <c r="E205" s="10">
        <v>45650</v>
      </c>
      <c r="F205" s="1">
        <v>41544</v>
      </c>
      <c r="G205">
        <v>16940</v>
      </c>
      <c r="H205" s="1">
        <f t="shared" ref="H205:H268" si="10">D205</f>
        <v>41544</v>
      </c>
      <c r="I205">
        <f>IF(AND(MyRowHidden(ROW())=FALSE,MyRowHidden(ROW()-1)=TRUE),0,(E205-E204)*unitsOfDHp+I204)</f>
        <v>156500</v>
      </c>
      <c r="J205">
        <f>IF(AND(MyRowHidden(ROW())=FALSE,MyRowHidden(ROW()-1)=TRUE),0,(G205-G204)*unitsOfExo+J204)</f>
        <v>113700</v>
      </c>
      <c r="K205" s="9">
        <f t="shared" ref="K205:K268" si="11">-(J205-J204)+K204</f>
        <v>-113700</v>
      </c>
      <c r="L205">
        <f t="shared" ref="L205:L268" si="12">I205+J205</f>
        <v>270200</v>
      </c>
    </row>
    <row r="206" spans="1:12" x14ac:dyDescent="0.25">
      <c r="A206" s="1"/>
      <c r="C206" s="1"/>
      <c r="D206" s="1">
        <v>41547</v>
      </c>
      <c r="E206" s="10">
        <v>44900</v>
      </c>
      <c r="F206" s="1">
        <v>41547</v>
      </c>
      <c r="G206">
        <v>16570</v>
      </c>
      <c r="H206" s="1">
        <f t="shared" si="10"/>
        <v>41547</v>
      </c>
      <c r="I206">
        <f>IF(AND(MyRowHidden(ROW())=FALSE,MyRowHidden(ROW()-1)=TRUE),0,(E206-E205)*unitsOfDHp+I205)</f>
        <v>149000</v>
      </c>
      <c r="J206">
        <f>IF(AND(MyRowHidden(ROW())=FALSE,MyRowHidden(ROW()-1)=TRUE),0,(G206-G205)*unitsOfExo+J205)</f>
        <v>110000</v>
      </c>
      <c r="K206" s="9">
        <f t="shared" si="11"/>
        <v>-110000</v>
      </c>
      <c r="L206">
        <f t="shared" si="12"/>
        <v>259000</v>
      </c>
    </row>
    <row r="207" spans="1:12" x14ac:dyDescent="0.25">
      <c r="A207" s="1"/>
      <c r="C207" s="1"/>
      <c r="D207" s="1">
        <v>41548</v>
      </c>
      <c r="E207" s="10">
        <v>43990</v>
      </c>
      <c r="F207" s="1">
        <v>41548</v>
      </c>
      <c r="G207">
        <v>16128</v>
      </c>
      <c r="H207" s="1">
        <f t="shared" si="10"/>
        <v>41548</v>
      </c>
      <c r="I207">
        <f>IF(AND(MyRowHidden(ROW())=FALSE,MyRowHidden(ROW()-1)=TRUE),0,(E207-E206)*unitsOfDHp+I206)</f>
        <v>139900</v>
      </c>
      <c r="J207">
        <f>IF(AND(MyRowHidden(ROW())=FALSE,MyRowHidden(ROW()-1)=TRUE),0,(G207-G206)*unitsOfExo+J206)</f>
        <v>105580</v>
      </c>
      <c r="K207" s="9">
        <f t="shared" si="11"/>
        <v>-105580</v>
      </c>
      <c r="L207">
        <f t="shared" si="12"/>
        <v>245480</v>
      </c>
    </row>
    <row r="208" spans="1:12" x14ac:dyDescent="0.25">
      <c r="A208" s="1"/>
      <c r="C208" s="1"/>
      <c r="D208" s="1">
        <v>41549</v>
      </c>
      <c r="E208" s="10">
        <v>43764</v>
      </c>
      <c r="F208" s="1">
        <v>41549</v>
      </c>
      <c r="G208">
        <v>16048</v>
      </c>
      <c r="H208" s="1">
        <f t="shared" si="10"/>
        <v>41549</v>
      </c>
      <c r="I208">
        <f>IF(AND(MyRowHidden(ROW())=FALSE,MyRowHidden(ROW()-1)=TRUE),0,(E208-E207)*unitsOfDHp+I207)</f>
        <v>137640</v>
      </c>
      <c r="J208">
        <f>IF(AND(MyRowHidden(ROW())=FALSE,MyRowHidden(ROW()-1)=TRUE),0,(G208-G207)*unitsOfExo+J207)</f>
        <v>104780</v>
      </c>
      <c r="K208" s="9">
        <f t="shared" si="11"/>
        <v>-104780</v>
      </c>
      <c r="L208">
        <f t="shared" si="12"/>
        <v>242420</v>
      </c>
    </row>
    <row r="209" spans="1:12" x14ac:dyDescent="0.25">
      <c r="A209" s="1"/>
      <c r="C209" s="1"/>
      <c r="D209" s="1">
        <v>41550</v>
      </c>
      <c r="E209" s="10">
        <v>43884</v>
      </c>
      <c r="F209" s="1">
        <v>41550</v>
      </c>
      <c r="G209">
        <v>16188</v>
      </c>
      <c r="H209" s="1">
        <f t="shared" si="10"/>
        <v>41550</v>
      </c>
      <c r="I209">
        <f>IF(AND(MyRowHidden(ROW())=FALSE,MyRowHidden(ROW()-1)=TRUE),0,(E209-E208)*unitsOfDHp+I208)</f>
        <v>138840</v>
      </c>
      <c r="J209">
        <f>IF(AND(MyRowHidden(ROW())=FALSE,MyRowHidden(ROW()-1)=TRUE),0,(G209-G208)*unitsOfExo+J208)</f>
        <v>106180</v>
      </c>
      <c r="K209" s="9">
        <f t="shared" si="11"/>
        <v>-106180</v>
      </c>
      <c r="L209">
        <f t="shared" si="12"/>
        <v>245020</v>
      </c>
    </row>
    <row r="210" spans="1:12" x14ac:dyDescent="0.25">
      <c r="A210" s="1"/>
      <c r="C210" s="1"/>
      <c r="D210" s="1">
        <v>41551</v>
      </c>
      <c r="E210" s="10">
        <v>44084</v>
      </c>
      <c r="F210" s="1">
        <v>41551</v>
      </c>
      <c r="G210">
        <v>16458</v>
      </c>
      <c r="H210" s="1">
        <f t="shared" si="10"/>
        <v>41551</v>
      </c>
      <c r="I210">
        <f>IF(AND(MyRowHidden(ROW())=FALSE,MyRowHidden(ROW()-1)=TRUE),0,(E210-E209)*unitsOfDHp+I209)</f>
        <v>140840</v>
      </c>
      <c r="J210">
        <f>IF(AND(MyRowHidden(ROW())=FALSE,MyRowHidden(ROW()-1)=TRUE),0,(G210-G209)*unitsOfExo+J209)</f>
        <v>108880</v>
      </c>
      <c r="K210" s="9">
        <f t="shared" si="11"/>
        <v>-108880</v>
      </c>
      <c r="L210">
        <f t="shared" si="12"/>
        <v>249720</v>
      </c>
    </row>
    <row r="211" spans="1:12" x14ac:dyDescent="0.25">
      <c r="A211" s="1"/>
      <c r="C211" s="1"/>
      <c r="D211" s="1">
        <v>41554</v>
      </c>
      <c r="E211" s="10">
        <v>44184</v>
      </c>
      <c r="F211" s="1">
        <v>41554</v>
      </c>
      <c r="G211">
        <v>16428</v>
      </c>
      <c r="H211" s="1">
        <f t="shared" si="10"/>
        <v>41554</v>
      </c>
      <c r="I211">
        <f>IF(AND(MyRowHidden(ROW())=FALSE,MyRowHidden(ROW()-1)=TRUE),0,(E211-E210)*unitsOfDHp+I210)</f>
        <v>141840</v>
      </c>
      <c r="J211">
        <f>IF(AND(MyRowHidden(ROW())=FALSE,MyRowHidden(ROW()-1)=TRUE),0,(G211-G210)*unitsOfExo+J210)</f>
        <v>108580</v>
      </c>
      <c r="K211" s="9">
        <f t="shared" si="11"/>
        <v>-108580</v>
      </c>
      <c r="L211">
        <f t="shared" si="12"/>
        <v>250420</v>
      </c>
    </row>
    <row r="212" spans="1:12" x14ac:dyDescent="0.25">
      <c r="A212" s="1"/>
      <c r="C212" s="1"/>
      <c r="D212" s="1">
        <v>41555</v>
      </c>
      <c r="E212" s="10">
        <v>44164</v>
      </c>
      <c r="F212" s="1">
        <v>41555</v>
      </c>
      <c r="G212">
        <v>16268</v>
      </c>
      <c r="H212" s="1">
        <f t="shared" si="10"/>
        <v>41555</v>
      </c>
      <c r="I212">
        <f>IF(AND(MyRowHidden(ROW())=FALSE,MyRowHidden(ROW()-1)=TRUE),0,(E212-E211)*unitsOfDHp+I211)</f>
        <v>141640</v>
      </c>
      <c r="J212">
        <f>IF(AND(MyRowHidden(ROW())=FALSE,MyRowHidden(ROW()-1)=TRUE),0,(G212-G211)*unitsOfExo+J211)</f>
        <v>106980</v>
      </c>
      <c r="K212" s="9">
        <f t="shared" si="11"/>
        <v>-106980</v>
      </c>
      <c r="L212">
        <f t="shared" si="12"/>
        <v>248620</v>
      </c>
    </row>
    <row r="213" spans="1:12" x14ac:dyDescent="0.25">
      <c r="A213" s="1"/>
      <c r="C213" s="1"/>
      <c r="D213" s="1">
        <v>41556</v>
      </c>
      <c r="E213" s="10">
        <v>43636</v>
      </c>
      <c r="F213" s="1">
        <v>41556</v>
      </c>
      <c r="G213">
        <v>15638</v>
      </c>
      <c r="H213" s="1">
        <f t="shared" si="10"/>
        <v>41556</v>
      </c>
      <c r="I213">
        <f>IF(AND(MyRowHidden(ROW())=FALSE,MyRowHidden(ROW()-1)=TRUE),0,(E213-E212)*unitsOfDHp+I212)</f>
        <v>136360</v>
      </c>
      <c r="J213">
        <f>IF(AND(MyRowHidden(ROW())=FALSE,MyRowHidden(ROW()-1)=TRUE),0,(G213-G212)*unitsOfExo+J212)</f>
        <v>100680</v>
      </c>
      <c r="K213" s="9">
        <f t="shared" si="11"/>
        <v>-100680</v>
      </c>
      <c r="L213">
        <f t="shared" si="12"/>
        <v>237040</v>
      </c>
    </row>
    <row r="214" spans="1:12" x14ac:dyDescent="0.25">
      <c r="A214" s="1"/>
      <c r="C214" s="1"/>
      <c r="D214" s="1">
        <v>41557</v>
      </c>
      <c r="E214" s="10">
        <v>43978</v>
      </c>
      <c r="F214" s="1">
        <v>41557</v>
      </c>
      <c r="G214">
        <v>15838</v>
      </c>
      <c r="H214" s="1">
        <f t="shared" si="10"/>
        <v>41557</v>
      </c>
      <c r="I214">
        <f>IF(AND(MyRowHidden(ROW())=FALSE,MyRowHidden(ROW()-1)=TRUE),0,(E214-E213)*unitsOfDHp+I213)</f>
        <v>139780</v>
      </c>
      <c r="J214">
        <f>IF(AND(MyRowHidden(ROW())=FALSE,MyRowHidden(ROW()-1)=TRUE),0,(G214-G213)*unitsOfExo+J213)</f>
        <v>102680</v>
      </c>
      <c r="K214" s="9">
        <f t="shared" si="11"/>
        <v>-102680</v>
      </c>
      <c r="L214">
        <f t="shared" si="12"/>
        <v>242460</v>
      </c>
    </row>
    <row r="215" spans="1:12" x14ac:dyDescent="0.25">
      <c r="A215" s="1"/>
      <c r="C215" s="1"/>
      <c r="D215" s="1">
        <v>41558</v>
      </c>
      <c r="E215" s="10">
        <v>44410</v>
      </c>
      <c r="F215" s="1">
        <v>41558</v>
      </c>
      <c r="G215">
        <v>15998</v>
      </c>
      <c r="H215" s="1">
        <f t="shared" si="10"/>
        <v>41558</v>
      </c>
      <c r="I215">
        <f>IF(AND(MyRowHidden(ROW())=FALSE,MyRowHidden(ROW()-1)=TRUE),0,(E215-E214)*unitsOfDHp+I214)</f>
        <v>144100</v>
      </c>
      <c r="J215">
        <f>IF(AND(MyRowHidden(ROW())=FALSE,MyRowHidden(ROW()-1)=TRUE),0,(G215-G214)*unitsOfExo+J214)</f>
        <v>104280</v>
      </c>
      <c r="K215" s="9">
        <f t="shared" si="11"/>
        <v>-104280</v>
      </c>
      <c r="L215">
        <f t="shared" si="12"/>
        <v>248380</v>
      </c>
    </row>
    <row r="216" spans="1:12" x14ac:dyDescent="0.25">
      <c r="A216" s="1"/>
      <c r="C216" s="1"/>
      <c r="D216" s="1">
        <v>41561</v>
      </c>
      <c r="E216" s="10">
        <v>44452</v>
      </c>
      <c r="F216" s="1">
        <v>41561</v>
      </c>
      <c r="G216">
        <v>16018</v>
      </c>
      <c r="H216" s="1">
        <f t="shared" si="10"/>
        <v>41561</v>
      </c>
      <c r="I216">
        <f>IF(AND(MyRowHidden(ROW())=FALSE,MyRowHidden(ROW()-1)=TRUE),0,(E216-E215)*unitsOfDHp+I215)</f>
        <v>144520</v>
      </c>
      <c r="J216">
        <f>IF(AND(MyRowHidden(ROW())=FALSE,MyRowHidden(ROW()-1)=TRUE),0,(G216-G215)*unitsOfExo+J215)</f>
        <v>104480</v>
      </c>
      <c r="K216" s="9">
        <f t="shared" si="11"/>
        <v>-104480</v>
      </c>
      <c r="L216">
        <f t="shared" si="12"/>
        <v>249000</v>
      </c>
    </row>
    <row r="217" spans="1:12" x14ac:dyDescent="0.25">
      <c r="A217" s="1"/>
      <c r="C217" s="1"/>
      <c r="D217" s="1">
        <v>41562</v>
      </c>
      <c r="E217" s="10">
        <v>45540</v>
      </c>
      <c r="F217" s="1">
        <v>41562</v>
      </c>
      <c r="G217">
        <v>16578</v>
      </c>
      <c r="H217" s="1">
        <f t="shared" si="10"/>
        <v>41562</v>
      </c>
      <c r="I217">
        <f>IF(AND(MyRowHidden(ROW())=FALSE,MyRowHidden(ROW()-1)=TRUE),0,(E217-E216)*unitsOfDHp+I216)</f>
        <v>155400</v>
      </c>
      <c r="J217">
        <f>IF(AND(MyRowHidden(ROW())=FALSE,MyRowHidden(ROW()-1)=TRUE),0,(G217-G216)*unitsOfExo+J216)</f>
        <v>110080</v>
      </c>
      <c r="K217" s="9">
        <f t="shared" si="11"/>
        <v>-110080</v>
      </c>
      <c r="L217">
        <f t="shared" si="12"/>
        <v>265480</v>
      </c>
    </row>
    <row r="218" spans="1:12" x14ac:dyDescent="0.25">
      <c r="A218" s="1"/>
      <c r="C218" s="1"/>
      <c r="D218" s="1">
        <v>41563</v>
      </c>
      <c r="E218" s="10">
        <v>46620</v>
      </c>
      <c r="F218" s="1">
        <v>41563</v>
      </c>
      <c r="G218">
        <v>17018</v>
      </c>
      <c r="H218" s="1">
        <f t="shared" si="10"/>
        <v>41563</v>
      </c>
      <c r="I218">
        <f>IF(AND(MyRowHidden(ROW())=FALSE,MyRowHidden(ROW()-1)=TRUE),0,(E218-E217)*unitsOfDHp+I217)</f>
        <v>166200</v>
      </c>
      <c r="J218">
        <f>IF(AND(MyRowHidden(ROW())=FALSE,MyRowHidden(ROW()-1)=TRUE),0,(G218-G217)*unitsOfExo+J217)</f>
        <v>114480</v>
      </c>
      <c r="K218" s="9">
        <f t="shared" si="11"/>
        <v>-114480</v>
      </c>
      <c r="L218">
        <f t="shared" si="12"/>
        <v>280680</v>
      </c>
    </row>
    <row r="219" spans="1:12" x14ac:dyDescent="0.25">
      <c r="A219" s="1"/>
      <c r="C219" s="1"/>
      <c r="D219" s="1">
        <v>41564</v>
      </c>
      <c r="E219" s="10">
        <v>46382</v>
      </c>
      <c r="F219" s="1">
        <v>41564</v>
      </c>
      <c r="G219">
        <v>16968</v>
      </c>
      <c r="H219" s="1">
        <f t="shared" si="10"/>
        <v>41564</v>
      </c>
      <c r="I219">
        <f>IF(AND(MyRowHidden(ROW())=FALSE,MyRowHidden(ROW()-1)=TRUE),0,(E219-E218)*unitsOfDHp+I218)</f>
        <v>163820</v>
      </c>
      <c r="J219">
        <f>IF(AND(MyRowHidden(ROW())=FALSE,MyRowHidden(ROW()-1)=TRUE),0,(G219-G218)*unitsOfExo+J218)</f>
        <v>113980</v>
      </c>
      <c r="K219" s="9">
        <f t="shared" si="11"/>
        <v>-113980</v>
      </c>
      <c r="L219">
        <f t="shared" si="12"/>
        <v>277800</v>
      </c>
    </row>
    <row r="220" spans="1:12" x14ac:dyDescent="0.25">
      <c r="A220" s="1"/>
      <c r="C220" s="1"/>
      <c r="D220" s="1">
        <v>41565</v>
      </c>
      <c r="E220" s="10">
        <v>45762</v>
      </c>
      <c r="F220" s="1">
        <v>41565</v>
      </c>
      <c r="G220">
        <v>16578</v>
      </c>
      <c r="H220" s="1">
        <f t="shared" si="10"/>
        <v>41565</v>
      </c>
      <c r="I220">
        <f>IF(AND(MyRowHidden(ROW())=FALSE,MyRowHidden(ROW()-1)=TRUE),0,(E220-E219)*unitsOfDHp+I219)</f>
        <v>157620</v>
      </c>
      <c r="J220">
        <f>IF(AND(MyRowHidden(ROW())=FALSE,MyRowHidden(ROW()-1)=TRUE),0,(G220-G219)*unitsOfExo+J219)</f>
        <v>110080</v>
      </c>
      <c r="K220" s="9">
        <f t="shared" si="11"/>
        <v>-110080</v>
      </c>
      <c r="L220">
        <f t="shared" si="12"/>
        <v>267700</v>
      </c>
    </row>
    <row r="221" spans="1:12" x14ac:dyDescent="0.25">
      <c r="A221" s="1"/>
      <c r="C221" s="1"/>
      <c r="D221" s="1">
        <v>41568</v>
      </c>
      <c r="E221" s="10">
        <v>45682</v>
      </c>
      <c r="F221" s="1">
        <v>41568</v>
      </c>
      <c r="G221">
        <v>16518</v>
      </c>
      <c r="H221" s="1">
        <f t="shared" si="10"/>
        <v>41568</v>
      </c>
      <c r="I221">
        <f>IF(AND(MyRowHidden(ROW())=FALSE,MyRowHidden(ROW()-1)=TRUE),0,(E221-E220)*unitsOfDHp+I220)</f>
        <v>156820</v>
      </c>
      <c r="J221">
        <f>IF(AND(MyRowHidden(ROW())=FALSE,MyRowHidden(ROW()-1)=TRUE),0,(G221-G220)*unitsOfExo+J220)</f>
        <v>109480</v>
      </c>
      <c r="K221" s="9">
        <f t="shared" si="11"/>
        <v>-109480</v>
      </c>
      <c r="L221">
        <f t="shared" si="12"/>
        <v>266300</v>
      </c>
    </row>
    <row r="222" spans="1:12" x14ac:dyDescent="0.25">
      <c r="A222" s="1"/>
      <c r="C222" s="1"/>
      <c r="D222" s="1">
        <v>41569</v>
      </c>
      <c r="E222" s="10">
        <v>46402</v>
      </c>
      <c r="F222" s="1">
        <v>41569</v>
      </c>
      <c r="G222">
        <v>16938</v>
      </c>
      <c r="H222" s="1">
        <f t="shared" si="10"/>
        <v>41569</v>
      </c>
      <c r="I222">
        <f>IF(AND(MyRowHidden(ROW())=FALSE,MyRowHidden(ROW()-1)=TRUE),0,(E222-E221)*unitsOfDHp+I221)</f>
        <v>164020</v>
      </c>
      <c r="J222">
        <f>IF(AND(MyRowHidden(ROW())=FALSE,MyRowHidden(ROW()-1)=TRUE),0,(G222-G221)*unitsOfExo+J221)</f>
        <v>113680</v>
      </c>
      <c r="K222" s="9">
        <f t="shared" si="11"/>
        <v>-113680</v>
      </c>
      <c r="L222">
        <f t="shared" si="12"/>
        <v>277700</v>
      </c>
    </row>
    <row r="223" spans="1:12" x14ac:dyDescent="0.25">
      <c r="A223" s="1"/>
      <c r="C223" s="1"/>
      <c r="D223" s="1">
        <v>41570</v>
      </c>
      <c r="E223" s="10">
        <v>46062</v>
      </c>
      <c r="F223" s="1">
        <v>41570</v>
      </c>
      <c r="G223">
        <v>16768</v>
      </c>
      <c r="H223" s="1">
        <f t="shared" si="10"/>
        <v>41570</v>
      </c>
      <c r="I223">
        <f>IF(AND(MyRowHidden(ROW())=FALSE,MyRowHidden(ROW()-1)=TRUE),0,(E223-E222)*unitsOfDHp+I222)</f>
        <v>160620</v>
      </c>
      <c r="J223">
        <f>IF(AND(MyRowHidden(ROW())=FALSE,MyRowHidden(ROW()-1)=TRUE),0,(G223-G222)*unitsOfExo+J222)</f>
        <v>111980</v>
      </c>
      <c r="K223" s="9">
        <f t="shared" si="11"/>
        <v>-111980</v>
      </c>
      <c r="L223">
        <f t="shared" si="12"/>
        <v>272600</v>
      </c>
    </row>
    <row r="224" spans="1:12" x14ac:dyDescent="0.25">
      <c r="A224" s="1"/>
      <c r="C224" s="1"/>
      <c r="D224" s="1">
        <v>41571</v>
      </c>
      <c r="E224" s="10">
        <v>46912</v>
      </c>
      <c r="F224" s="1">
        <v>41571</v>
      </c>
      <c r="G224">
        <v>17338</v>
      </c>
      <c r="H224" s="1">
        <f t="shared" si="10"/>
        <v>41571</v>
      </c>
      <c r="I224">
        <f>IF(AND(MyRowHidden(ROW())=FALSE,MyRowHidden(ROW()-1)=TRUE),0,(E224-E223)*unitsOfDHp+I223)</f>
        <v>169120</v>
      </c>
      <c r="J224">
        <f>IF(AND(MyRowHidden(ROW())=FALSE,MyRowHidden(ROW()-1)=TRUE),0,(G224-G223)*unitsOfExo+J223)</f>
        <v>117680</v>
      </c>
      <c r="K224" s="9">
        <f t="shared" si="11"/>
        <v>-117680</v>
      </c>
      <c r="L224">
        <f t="shared" si="12"/>
        <v>286800</v>
      </c>
    </row>
    <row r="225" spans="1:12" x14ac:dyDescent="0.25">
      <c r="A225" s="1"/>
      <c r="C225" s="1"/>
      <c r="D225" s="1">
        <v>41572</v>
      </c>
      <c r="E225" s="10">
        <v>47422</v>
      </c>
      <c r="F225" s="1">
        <v>41572</v>
      </c>
      <c r="G225">
        <v>17658</v>
      </c>
      <c r="H225" s="1">
        <f t="shared" si="10"/>
        <v>41572</v>
      </c>
      <c r="I225">
        <f>IF(AND(MyRowHidden(ROW())=FALSE,MyRowHidden(ROW()-1)=TRUE),0,(E225-E224)*unitsOfDHp+I224)</f>
        <v>174220</v>
      </c>
      <c r="J225">
        <f>IF(AND(MyRowHidden(ROW())=FALSE,MyRowHidden(ROW()-1)=TRUE),0,(G225-G224)*unitsOfExo+J224)</f>
        <v>120880</v>
      </c>
      <c r="K225" s="9">
        <f t="shared" si="11"/>
        <v>-120880</v>
      </c>
      <c r="L225">
        <f t="shared" si="12"/>
        <v>295100</v>
      </c>
    </row>
    <row r="226" spans="1:12" x14ac:dyDescent="0.25">
      <c r="A226" s="1"/>
      <c r="C226" s="1"/>
      <c r="D226" s="1">
        <v>41575</v>
      </c>
      <c r="E226" s="10">
        <v>48100</v>
      </c>
      <c r="F226" s="1">
        <v>41575</v>
      </c>
      <c r="G226">
        <v>18278</v>
      </c>
      <c r="H226" s="1">
        <f t="shared" si="10"/>
        <v>41575</v>
      </c>
      <c r="I226">
        <f>IF(AND(MyRowHidden(ROW())=FALSE,MyRowHidden(ROW()-1)=TRUE),0,(E226-E225)*unitsOfDHp+I225)</f>
        <v>181000</v>
      </c>
      <c r="J226">
        <f>IF(AND(MyRowHidden(ROW())=FALSE,MyRowHidden(ROW()-1)=TRUE),0,(G226-G225)*unitsOfExo+J225)</f>
        <v>127080</v>
      </c>
      <c r="K226" s="9">
        <f t="shared" si="11"/>
        <v>-127080</v>
      </c>
      <c r="L226">
        <f t="shared" si="12"/>
        <v>308080</v>
      </c>
    </row>
    <row r="227" spans="1:12" x14ac:dyDescent="0.25">
      <c r="A227" s="1"/>
      <c r="C227" s="1"/>
      <c r="D227" s="1">
        <v>41576</v>
      </c>
      <c r="E227" s="10">
        <v>47690</v>
      </c>
      <c r="F227" s="1">
        <v>41576</v>
      </c>
      <c r="G227">
        <v>18078</v>
      </c>
      <c r="H227" s="1">
        <f t="shared" si="10"/>
        <v>41576</v>
      </c>
      <c r="I227">
        <f>IF(AND(MyRowHidden(ROW())=FALSE,MyRowHidden(ROW()-1)=TRUE),0,(E227-E226)*unitsOfDHp+I226)</f>
        <v>176900</v>
      </c>
      <c r="J227">
        <f>IF(AND(MyRowHidden(ROW())=FALSE,MyRowHidden(ROW()-1)=TRUE),0,(G227-G226)*unitsOfExo+J226)</f>
        <v>125080</v>
      </c>
      <c r="K227" s="9">
        <f t="shared" si="11"/>
        <v>-125080</v>
      </c>
      <c r="L227">
        <f t="shared" si="12"/>
        <v>301980</v>
      </c>
    </row>
    <row r="228" spans="1:12" x14ac:dyDescent="0.25">
      <c r="A228" s="1"/>
      <c r="C228" s="1"/>
      <c r="D228" s="1">
        <v>41577</v>
      </c>
      <c r="E228" s="10">
        <v>46542</v>
      </c>
      <c r="F228" s="1">
        <v>41577</v>
      </c>
      <c r="G228">
        <v>17578</v>
      </c>
      <c r="H228" s="1">
        <f t="shared" si="10"/>
        <v>41577</v>
      </c>
      <c r="I228">
        <f>IF(AND(MyRowHidden(ROW())=FALSE,MyRowHidden(ROW()-1)=TRUE),0,(E228-E227)*unitsOfDHp+I227)</f>
        <v>165420</v>
      </c>
      <c r="J228">
        <f>IF(AND(MyRowHidden(ROW())=FALSE,MyRowHidden(ROW()-1)=TRUE),0,(G228-G227)*unitsOfExo+J227)</f>
        <v>120080</v>
      </c>
      <c r="K228" s="9">
        <f t="shared" si="11"/>
        <v>-120080</v>
      </c>
      <c r="L228">
        <f t="shared" si="12"/>
        <v>285500</v>
      </c>
    </row>
    <row r="229" spans="1:12" x14ac:dyDescent="0.25">
      <c r="A229" s="1"/>
      <c r="C229" s="1"/>
      <c r="D229" s="1">
        <v>41578</v>
      </c>
      <c r="E229" s="10">
        <v>45620</v>
      </c>
      <c r="F229" s="1">
        <v>41578</v>
      </c>
      <c r="G229">
        <v>17178</v>
      </c>
      <c r="H229" s="1">
        <f t="shared" si="10"/>
        <v>41578</v>
      </c>
      <c r="I229">
        <f>IF(AND(MyRowHidden(ROW())=FALSE,MyRowHidden(ROW()-1)=TRUE),0,(E229-E228)*unitsOfDHp+I228)</f>
        <v>156200</v>
      </c>
      <c r="J229">
        <f>IF(AND(MyRowHidden(ROW())=FALSE,MyRowHidden(ROW()-1)=TRUE),0,(G229-G228)*unitsOfExo+J228)</f>
        <v>116080</v>
      </c>
      <c r="K229" s="9">
        <f t="shared" si="11"/>
        <v>-116080</v>
      </c>
      <c r="L229">
        <f t="shared" si="12"/>
        <v>272280</v>
      </c>
    </row>
    <row r="230" spans="1:12" x14ac:dyDescent="0.25">
      <c r="A230" s="1"/>
      <c r="C230" s="1"/>
      <c r="D230" s="1">
        <v>41579</v>
      </c>
      <c r="E230" s="10">
        <v>45266</v>
      </c>
      <c r="F230" s="1">
        <v>41579</v>
      </c>
      <c r="G230">
        <v>16908</v>
      </c>
      <c r="H230" s="1">
        <f t="shared" si="10"/>
        <v>41579</v>
      </c>
      <c r="I230">
        <f>IF(AND(MyRowHidden(ROW())=FALSE,MyRowHidden(ROW()-1)=TRUE),0,(E230-E229)*unitsOfDHp+I229)</f>
        <v>152660</v>
      </c>
      <c r="J230">
        <f>IF(AND(MyRowHidden(ROW())=FALSE,MyRowHidden(ROW()-1)=TRUE),0,(G230-G229)*unitsOfExo+J229)</f>
        <v>113380</v>
      </c>
      <c r="K230" s="9">
        <f t="shared" si="11"/>
        <v>-113380</v>
      </c>
      <c r="L230">
        <f t="shared" si="12"/>
        <v>266040</v>
      </c>
    </row>
    <row r="231" spans="1:12" x14ac:dyDescent="0.25">
      <c r="A231" s="1"/>
      <c r="C231" s="1"/>
      <c r="D231" s="1">
        <v>41582</v>
      </c>
      <c r="E231" s="10">
        <v>45266</v>
      </c>
      <c r="F231" s="1">
        <v>41582</v>
      </c>
      <c r="G231">
        <v>16918</v>
      </c>
      <c r="H231" s="1">
        <f t="shared" si="10"/>
        <v>41582</v>
      </c>
      <c r="I231">
        <f>IF(AND(MyRowHidden(ROW())=FALSE,MyRowHidden(ROW()-1)=TRUE),0,(E231-E230)*unitsOfDHp+I230)</f>
        <v>152660</v>
      </c>
      <c r="J231">
        <f>IF(AND(MyRowHidden(ROW())=FALSE,MyRowHidden(ROW()-1)=TRUE),0,(G231-G230)*unitsOfExo+J230)</f>
        <v>113480</v>
      </c>
      <c r="K231" s="9">
        <f t="shared" si="11"/>
        <v>-113480</v>
      </c>
      <c r="L231">
        <f t="shared" si="12"/>
        <v>266140</v>
      </c>
    </row>
    <row r="232" spans="1:12" x14ac:dyDescent="0.25">
      <c r="A232" s="1"/>
      <c r="C232" s="1"/>
      <c r="D232" s="1">
        <v>41583</v>
      </c>
      <c r="E232" s="10">
        <v>45206</v>
      </c>
      <c r="F232" s="1">
        <v>41583</v>
      </c>
      <c r="G232">
        <v>16818</v>
      </c>
      <c r="H232" s="1">
        <f t="shared" si="10"/>
        <v>41583</v>
      </c>
      <c r="I232">
        <f>IF(AND(MyRowHidden(ROW())=FALSE,MyRowHidden(ROW()-1)=TRUE),0,(E232-E231)*unitsOfDHp+I231)</f>
        <v>152060</v>
      </c>
      <c r="J232">
        <f>IF(AND(MyRowHidden(ROW())=FALSE,MyRowHidden(ROW()-1)=TRUE),0,(G232-G231)*unitsOfExo+J231)</f>
        <v>112480</v>
      </c>
      <c r="K232" s="9">
        <f t="shared" si="11"/>
        <v>-112480</v>
      </c>
      <c r="L232">
        <f t="shared" si="12"/>
        <v>264540</v>
      </c>
    </row>
    <row r="233" spans="1:12" x14ac:dyDescent="0.25">
      <c r="A233" s="1"/>
      <c r="C233" s="1"/>
      <c r="D233" s="1">
        <v>41584</v>
      </c>
      <c r="E233" s="10">
        <v>44928</v>
      </c>
      <c r="F233" s="1">
        <v>41584</v>
      </c>
      <c r="G233">
        <v>16538</v>
      </c>
      <c r="H233" s="1">
        <f t="shared" si="10"/>
        <v>41584</v>
      </c>
      <c r="I233">
        <f>IF(AND(MyRowHidden(ROW())=FALSE,MyRowHidden(ROW()-1)=TRUE),0,(E233-E232)*unitsOfDHp+I232)</f>
        <v>149280</v>
      </c>
      <c r="J233">
        <f>IF(AND(MyRowHidden(ROW())=FALSE,MyRowHidden(ROW()-1)=TRUE),0,(G233-G232)*unitsOfExo+J232)</f>
        <v>109680</v>
      </c>
      <c r="K233" s="9">
        <f t="shared" si="11"/>
        <v>-109680</v>
      </c>
      <c r="L233">
        <f t="shared" si="12"/>
        <v>258960</v>
      </c>
    </row>
    <row r="234" spans="1:12" x14ac:dyDescent="0.25">
      <c r="A234" s="1"/>
      <c r="C234" s="1"/>
      <c r="D234" s="1">
        <v>41585</v>
      </c>
      <c r="E234" s="10">
        <v>44988</v>
      </c>
      <c r="F234" s="1">
        <v>41585</v>
      </c>
      <c r="G234">
        <v>16558</v>
      </c>
      <c r="H234" s="1">
        <f t="shared" si="10"/>
        <v>41585</v>
      </c>
      <c r="I234">
        <f>IF(AND(MyRowHidden(ROW())=FALSE,MyRowHidden(ROW()-1)=TRUE),0,(E234-E233)*unitsOfDHp+I233)</f>
        <v>149880</v>
      </c>
      <c r="J234">
        <f>IF(AND(MyRowHidden(ROW())=FALSE,MyRowHidden(ROW()-1)=TRUE),0,(G234-G233)*unitsOfExo+J233)</f>
        <v>109880</v>
      </c>
      <c r="K234" s="9">
        <f t="shared" si="11"/>
        <v>-109880</v>
      </c>
      <c r="L234">
        <f t="shared" si="12"/>
        <v>259760</v>
      </c>
    </row>
    <row r="235" spans="1:12" x14ac:dyDescent="0.25">
      <c r="A235" s="1"/>
      <c r="C235" s="1"/>
      <c r="D235" s="1">
        <v>41586</v>
      </c>
      <c r="E235" s="10">
        <v>45328</v>
      </c>
      <c r="F235" s="1">
        <v>41586</v>
      </c>
      <c r="G235">
        <v>16748</v>
      </c>
      <c r="H235" s="1">
        <f t="shared" si="10"/>
        <v>41586</v>
      </c>
      <c r="I235">
        <f>IF(AND(MyRowHidden(ROW())=FALSE,MyRowHidden(ROW()-1)=TRUE),0,(E235-E234)*unitsOfDHp+I234)</f>
        <v>153280</v>
      </c>
      <c r="J235">
        <f>IF(AND(MyRowHidden(ROW())=FALSE,MyRowHidden(ROW()-1)=TRUE),0,(G235-G234)*unitsOfExo+J234)</f>
        <v>111780</v>
      </c>
      <c r="K235" s="9">
        <f t="shared" si="11"/>
        <v>-111780</v>
      </c>
      <c r="L235">
        <f t="shared" si="12"/>
        <v>265060</v>
      </c>
    </row>
    <row r="236" spans="1:12" x14ac:dyDescent="0.25">
      <c r="A236" s="1"/>
      <c r="C236" s="1"/>
      <c r="D236" s="1">
        <v>41589</v>
      </c>
      <c r="E236" s="10">
        <v>45226</v>
      </c>
      <c r="F236" s="1">
        <v>41589</v>
      </c>
      <c r="G236">
        <v>16678</v>
      </c>
      <c r="H236" s="1">
        <f t="shared" si="10"/>
        <v>41589</v>
      </c>
      <c r="I236">
        <f>IF(AND(MyRowHidden(ROW())=FALSE,MyRowHidden(ROW()-1)=TRUE),0,(E236-E235)*unitsOfDHp+I235)</f>
        <v>152260</v>
      </c>
      <c r="J236">
        <f>IF(AND(MyRowHidden(ROW())=FALSE,MyRowHidden(ROW()-1)=TRUE),0,(G236-G235)*unitsOfExo+J235)</f>
        <v>111080</v>
      </c>
      <c r="K236" s="9">
        <f t="shared" si="11"/>
        <v>-111080</v>
      </c>
      <c r="L236">
        <f t="shared" si="12"/>
        <v>263340</v>
      </c>
    </row>
    <row r="237" spans="1:12" x14ac:dyDescent="0.25">
      <c r="A237" s="1"/>
      <c r="C237" s="1"/>
      <c r="D237" s="1">
        <v>41590</v>
      </c>
      <c r="E237" s="10">
        <v>44428</v>
      </c>
      <c r="F237" s="1">
        <v>41590</v>
      </c>
      <c r="G237">
        <v>16338</v>
      </c>
      <c r="H237" s="1">
        <f t="shared" si="10"/>
        <v>41590</v>
      </c>
      <c r="I237">
        <f>IF(AND(MyRowHidden(ROW())=FALSE,MyRowHidden(ROW()-1)=TRUE),0,(E237-E236)*unitsOfDHp+I236)</f>
        <v>144280</v>
      </c>
      <c r="J237">
        <f>IF(AND(MyRowHidden(ROW())=FALSE,MyRowHidden(ROW()-1)=TRUE),0,(G237-G236)*unitsOfExo+J236)</f>
        <v>107680</v>
      </c>
      <c r="K237" s="9">
        <f t="shared" si="11"/>
        <v>-107680</v>
      </c>
      <c r="L237">
        <f t="shared" si="12"/>
        <v>251960</v>
      </c>
    </row>
    <row r="238" spans="1:12" x14ac:dyDescent="0.25">
      <c r="A238" s="1"/>
      <c r="C238" s="1"/>
      <c r="D238" s="1">
        <v>41591</v>
      </c>
      <c r="E238" s="10">
        <v>44306</v>
      </c>
      <c r="F238" s="1">
        <v>41591</v>
      </c>
      <c r="G238">
        <v>15998</v>
      </c>
      <c r="H238" s="1">
        <f t="shared" si="10"/>
        <v>41591</v>
      </c>
      <c r="I238">
        <f>IF(AND(MyRowHidden(ROW())=FALSE,MyRowHidden(ROW()-1)=TRUE),0,(E238-E237)*unitsOfDHp+I237)</f>
        <v>143060</v>
      </c>
      <c r="J238">
        <f>IF(AND(MyRowHidden(ROW())=FALSE,MyRowHidden(ROW()-1)=TRUE),0,(G238-G237)*unitsOfExo+J237)</f>
        <v>104280</v>
      </c>
      <c r="K238" s="9">
        <f t="shared" si="11"/>
        <v>-104280</v>
      </c>
      <c r="L238">
        <f t="shared" si="12"/>
        <v>247340</v>
      </c>
    </row>
    <row r="239" spans="1:12" x14ac:dyDescent="0.25">
      <c r="A239" s="1"/>
      <c r="C239" s="1"/>
      <c r="D239" s="1">
        <v>41592</v>
      </c>
      <c r="E239" s="10">
        <v>44406</v>
      </c>
      <c r="F239" s="1">
        <v>41592</v>
      </c>
      <c r="G239">
        <v>15738</v>
      </c>
      <c r="H239" s="1">
        <f t="shared" si="10"/>
        <v>41592</v>
      </c>
      <c r="I239">
        <f>IF(AND(MyRowHidden(ROW())=FALSE,MyRowHidden(ROW()-1)=TRUE),0,(E239-E238)*unitsOfDHp+I238)</f>
        <v>144060</v>
      </c>
      <c r="J239">
        <f>IF(AND(MyRowHidden(ROW())=FALSE,MyRowHidden(ROW()-1)=TRUE),0,(G239-G238)*unitsOfExo+J238)</f>
        <v>101680</v>
      </c>
      <c r="K239" s="9">
        <f t="shared" si="11"/>
        <v>-101680</v>
      </c>
      <c r="L239">
        <f t="shared" si="12"/>
        <v>245740</v>
      </c>
    </row>
    <row r="240" spans="1:12" x14ac:dyDescent="0.25">
      <c r="A240" s="1"/>
      <c r="C240" s="1"/>
      <c r="D240" s="1">
        <v>41593</v>
      </c>
      <c r="E240" s="10">
        <v>44308</v>
      </c>
      <c r="F240" s="1">
        <v>41593</v>
      </c>
      <c r="G240">
        <v>15898</v>
      </c>
      <c r="H240" s="1">
        <f t="shared" si="10"/>
        <v>41593</v>
      </c>
      <c r="I240">
        <f>IF(AND(MyRowHidden(ROW())=FALSE,MyRowHidden(ROW()-1)=TRUE),0,(E240-E239)*unitsOfDHp+I239)</f>
        <v>143080</v>
      </c>
      <c r="J240">
        <f>IF(AND(MyRowHidden(ROW())=FALSE,MyRowHidden(ROW()-1)=TRUE),0,(G240-G239)*unitsOfExo+J239)</f>
        <v>103280</v>
      </c>
      <c r="K240" s="9">
        <f t="shared" si="11"/>
        <v>-103280</v>
      </c>
      <c r="L240">
        <f t="shared" si="12"/>
        <v>246360</v>
      </c>
    </row>
    <row r="241" spans="1:12" x14ac:dyDescent="0.25">
      <c r="A241" s="1"/>
      <c r="C241" s="1"/>
      <c r="D241" s="1">
        <v>41596</v>
      </c>
      <c r="E241" s="10">
        <v>44342</v>
      </c>
      <c r="F241" s="1">
        <v>41596</v>
      </c>
      <c r="G241">
        <v>15758</v>
      </c>
      <c r="H241" s="1">
        <f t="shared" si="10"/>
        <v>41596</v>
      </c>
      <c r="I241">
        <f>IF(AND(MyRowHidden(ROW())=FALSE,MyRowHidden(ROW()-1)=TRUE),0,(E241-E240)*unitsOfDHp+I240)</f>
        <v>143420</v>
      </c>
      <c r="J241">
        <f>IF(AND(MyRowHidden(ROW())=FALSE,MyRowHidden(ROW()-1)=TRUE),0,(G241-G240)*unitsOfExo+J240)</f>
        <v>101880</v>
      </c>
      <c r="K241" s="9">
        <f t="shared" si="11"/>
        <v>-101880</v>
      </c>
      <c r="L241">
        <f t="shared" si="12"/>
        <v>245300</v>
      </c>
    </row>
    <row r="242" spans="1:12" x14ac:dyDescent="0.25">
      <c r="A242" s="1"/>
      <c r="C242" s="1"/>
      <c r="D242" s="1">
        <v>41597</v>
      </c>
      <c r="E242" s="10">
        <v>44292</v>
      </c>
      <c r="F242" s="1">
        <v>41597</v>
      </c>
      <c r="G242">
        <v>15698</v>
      </c>
      <c r="H242" s="1">
        <f t="shared" si="10"/>
        <v>41597</v>
      </c>
      <c r="I242">
        <f>IF(AND(MyRowHidden(ROW())=FALSE,MyRowHidden(ROW()-1)=TRUE),0,(E242-E241)*unitsOfDHp+I241)</f>
        <v>142920</v>
      </c>
      <c r="J242">
        <f>IF(AND(MyRowHidden(ROW())=FALSE,MyRowHidden(ROW()-1)=TRUE),0,(G242-G241)*unitsOfExo+J241)</f>
        <v>101280</v>
      </c>
      <c r="K242" s="9">
        <f t="shared" si="11"/>
        <v>-101280</v>
      </c>
      <c r="L242">
        <f t="shared" si="12"/>
        <v>244200</v>
      </c>
    </row>
    <row r="243" spans="1:12" x14ac:dyDescent="0.25">
      <c r="A243" s="1"/>
      <c r="C243" s="1"/>
      <c r="D243" s="1">
        <v>41598</v>
      </c>
      <c r="E243" s="10">
        <v>44342</v>
      </c>
      <c r="F243" s="1">
        <v>41598</v>
      </c>
      <c r="G243">
        <v>15898</v>
      </c>
      <c r="H243" s="1">
        <f t="shared" si="10"/>
        <v>41598</v>
      </c>
      <c r="I243">
        <f>IF(AND(MyRowHidden(ROW())=FALSE,MyRowHidden(ROW()-1)=TRUE),0,(E243-E242)*unitsOfDHp+I242)</f>
        <v>143420</v>
      </c>
      <c r="J243">
        <f>IF(AND(MyRowHidden(ROW())=FALSE,MyRowHidden(ROW()-1)=TRUE),0,(G243-G242)*unitsOfExo+J242)</f>
        <v>103280</v>
      </c>
      <c r="K243" s="9">
        <f t="shared" si="11"/>
        <v>-103280</v>
      </c>
      <c r="L243">
        <f t="shared" si="12"/>
        <v>246700</v>
      </c>
    </row>
    <row r="244" spans="1:12" x14ac:dyDescent="0.25">
      <c r="A244" s="1"/>
      <c r="C244" s="1"/>
      <c r="D244" s="1">
        <v>41599</v>
      </c>
      <c r="E244" s="10">
        <v>44382</v>
      </c>
      <c r="F244" s="1">
        <v>41599</v>
      </c>
      <c r="G244">
        <v>15948</v>
      </c>
      <c r="H244" s="1">
        <f t="shared" si="10"/>
        <v>41599</v>
      </c>
      <c r="I244">
        <f>IF(AND(MyRowHidden(ROW())=FALSE,MyRowHidden(ROW()-1)=TRUE),0,(E244-E243)*unitsOfDHp+I243)</f>
        <v>143820</v>
      </c>
      <c r="J244">
        <f>IF(AND(MyRowHidden(ROW())=FALSE,MyRowHidden(ROW()-1)=TRUE),0,(G244-G243)*unitsOfExo+J243)</f>
        <v>103780</v>
      </c>
      <c r="K244" s="9">
        <f t="shared" si="11"/>
        <v>-103780</v>
      </c>
      <c r="L244">
        <f t="shared" si="12"/>
        <v>247600</v>
      </c>
    </row>
    <row r="245" spans="1:12" x14ac:dyDescent="0.25">
      <c r="A245" s="1"/>
      <c r="C245" s="1"/>
      <c r="D245" s="1">
        <v>41600</v>
      </c>
      <c r="E245" s="10">
        <v>44142</v>
      </c>
      <c r="F245" s="1">
        <v>41600</v>
      </c>
      <c r="G245">
        <v>15738</v>
      </c>
      <c r="H245" s="1">
        <f t="shared" si="10"/>
        <v>41600</v>
      </c>
      <c r="I245">
        <f>IF(AND(MyRowHidden(ROW())=FALSE,MyRowHidden(ROW()-1)=TRUE),0,(E245-E244)*unitsOfDHp+I244)</f>
        <v>141420</v>
      </c>
      <c r="J245">
        <f>IF(AND(MyRowHidden(ROW())=FALSE,MyRowHidden(ROW()-1)=TRUE),0,(G245-G244)*unitsOfExo+J244)</f>
        <v>101680</v>
      </c>
      <c r="K245" s="9">
        <f t="shared" si="11"/>
        <v>-101680</v>
      </c>
      <c r="L245">
        <f t="shared" si="12"/>
        <v>243100</v>
      </c>
    </row>
    <row r="246" spans="1:12" x14ac:dyDescent="0.25">
      <c r="A246" s="1"/>
      <c r="C246" s="1"/>
      <c r="D246" s="1">
        <v>41603</v>
      </c>
      <c r="E246" s="10">
        <v>44122</v>
      </c>
      <c r="F246" s="1">
        <v>41603</v>
      </c>
      <c r="G246">
        <v>15678</v>
      </c>
      <c r="H246" s="1">
        <f t="shared" si="10"/>
        <v>41603</v>
      </c>
      <c r="I246">
        <f>IF(AND(MyRowHidden(ROW())=FALSE,MyRowHidden(ROW()-1)=TRUE),0,(E246-E245)*unitsOfDHp+I245)</f>
        <v>141220</v>
      </c>
      <c r="J246">
        <f>IF(AND(MyRowHidden(ROW())=FALSE,MyRowHidden(ROW()-1)=TRUE),0,(G246-G245)*unitsOfExo+J245)</f>
        <v>101080</v>
      </c>
      <c r="K246" s="9">
        <f t="shared" si="11"/>
        <v>-101080</v>
      </c>
      <c r="L246">
        <f t="shared" si="12"/>
        <v>242300</v>
      </c>
    </row>
    <row r="247" spans="1:12" x14ac:dyDescent="0.25">
      <c r="A247" s="1"/>
      <c r="C247" s="1"/>
      <c r="D247" s="1">
        <v>41604</v>
      </c>
      <c r="E247" s="10">
        <v>44056</v>
      </c>
      <c r="F247" s="1">
        <v>41604</v>
      </c>
      <c r="G247">
        <v>15718</v>
      </c>
      <c r="H247" s="1">
        <f t="shared" si="10"/>
        <v>41604</v>
      </c>
      <c r="I247">
        <f>IF(AND(MyRowHidden(ROW())=FALSE,MyRowHidden(ROW()-1)=TRUE),0,(E247-E246)*unitsOfDHp+I246)</f>
        <v>140560</v>
      </c>
      <c r="J247">
        <f>IF(AND(MyRowHidden(ROW())=FALSE,MyRowHidden(ROW()-1)=TRUE),0,(G247-G246)*unitsOfExo+J246)</f>
        <v>101480</v>
      </c>
      <c r="K247" s="9">
        <f t="shared" si="11"/>
        <v>-101480</v>
      </c>
      <c r="L247">
        <f t="shared" si="12"/>
        <v>242040</v>
      </c>
    </row>
    <row r="248" spans="1:12" x14ac:dyDescent="0.25">
      <c r="A248" s="1"/>
      <c r="C248" s="1"/>
      <c r="D248" s="1">
        <v>41605</v>
      </c>
      <c r="E248" s="10">
        <v>44024</v>
      </c>
      <c r="F248" s="1">
        <v>41605</v>
      </c>
      <c r="G248">
        <v>15898</v>
      </c>
      <c r="H248" s="1">
        <f t="shared" si="10"/>
        <v>41605</v>
      </c>
      <c r="I248">
        <f>IF(AND(MyRowHidden(ROW())=FALSE,MyRowHidden(ROW()-1)=TRUE),0,(E248-E247)*unitsOfDHp+I247)</f>
        <v>140240</v>
      </c>
      <c r="J248">
        <f>IF(AND(MyRowHidden(ROW())=FALSE,MyRowHidden(ROW()-1)=TRUE),0,(G248-G247)*unitsOfExo+J247)</f>
        <v>103280</v>
      </c>
      <c r="K248" s="9">
        <f t="shared" si="11"/>
        <v>-103280</v>
      </c>
      <c r="L248">
        <f t="shared" si="12"/>
        <v>243520</v>
      </c>
    </row>
    <row r="249" spans="1:12" x14ac:dyDescent="0.25">
      <c r="A249" s="1"/>
      <c r="C249" s="1"/>
      <c r="D249" s="1">
        <v>41606</v>
      </c>
      <c r="E249" s="10">
        <v>43994</v>
      </c>
      <c r="F249" s="1">
        <v>41606</v>
      </c>
      <c r="G249">
        <v>15728</v>
      </c>
      <c r="H249" s="1">
        <f t="shared" si="10"/>
        <v>41606</v>
      </c>
      <c r="I249">
        <f>IF(AND(MyRowHidden(ROW())=FALSE,MyRowHidden(ROW()-1)=TRUE),0,(E249-E248)*unitsOfDHp+I248)</f>
        <v>139940</v>
      </c>
      <c r="J249">
        <f>IF(AND(MyRowHidden(ROW())=FALSE,MyRowHidden(ROW()-1)=TRUE),0,(G249-G248)*unitsOfExo+J248)</f>
        <v>101580</v>
      </c>
      <c r="K249" s="9">
        <f t="shared" si="11"/>
        <v>-101580</v>
      </c>
      <c r="L249">
        <f t="shared" si="12"/>
        <v>241520</v>
      </c>
    </row>
    <row r="250" spans="1:12" x14ac:dyDescent="0.25">
      <c r="A250" s="1"/>
      <c r="C250" s="1"/>
      <c r="D250" s="1">
        <v>41607</v>
      </c>
      <c r="E250" s="10">
        <v>44044</v>
      </c>
      <c r="F250" s="1">
        <v>41607</v>
      </c>
      <c r="G250">
        <v>15698</v>
      </c>
      <c r="H250" s="1">
        <f t="shared" si="10"/>
        <v>41607</v>
      </c>
      <c r="I250">
        <f>IF(AND(MyRowHidden(ROW())=FALSE,MyRowHidden(ROW()-1)=TRUE),0,(E250-E249)*unitsOfDHp+I249)</f>
        <v>140440</v>
      </c>
      <c r="J250">
        <f>IF(AND(MyRowHidden(ROW())=FALSE,MyRowHidden(ROW()-1)=TRUE),0,(G250-G249)*unitsOfExo+J249)</f>
        <v>101280</v>
      </c>
      <c r="K250" s="9">
        <f t="shared" si="11"/>
        <v>-101280</v>
      </c>
      <c r="L250">
        <f t="shared" si="12"/>
        <v>241720</v>
      </c>
    </row>
    <row r="251" spans="1:12" x14ac:dyDescent="0.25">
      <c r="A251" s="1"/>
      <c r="C251" s="1"/>
      <c r="D251" s="1">
        <v>41610</v>
      </c>
      <c r="E251" s="10">
        <v>44094</v>
      </c>
      <c r="F251" s="1">
        <v>41610</v>
      </c>
      <c r="G251">
        <v>15896</v>
      </c>
      <c r="H251" s="1">
        <f t="shared" si="10"/>
        <v>41610</v>
      </c>
      <c r="I251">
        <f>IF(AND(MyRowHidden(ROW())=FALSE,MyRowHidden(ROW()-1)=TRUE),0,(E251-E250)*unitsOfDHp+I250)</f>
        <v>140940</v>
      </c>
      <c r="J251">
        <f>IF(AND(MyRowHidden(ROW())=FALSE,MyRowHidden(ROW()-1)=TRUE),0,(G251-G250)*unitsOfExo+J250)</f>
        <v>103260</v>
      </c>
      <c r="K251" s="9">
        <f t="shared" si="11"/>
        <v>-103260</v>
      </c>
      <c r="L251">
        <f t="shared" si="12"/>
        <v>244200</v>
      </c>
    </row>
    <row r="252" spans="1:12" x14ac:dyDescent="0.25">
      <c r="A252" s="1"/>
      <c r="C252" s="1"/>
      <c r="D252" s="1">
        <v>41611</v>
      </c>
      <c r="E252" s="10">
        <v>43948</v>
      </c>
      <c r="F252" s="1">
        <v>41611</v>
      </c>
      <c r="G252">
        <v>15396</v>
      </c>
      <c r="H252" s="1">
        <f t="shared" si="10"/>
        <v>41611</v>
      </c>
      <c r="I252">
        <f>IF(AND(MyRowHidden(ROW())=FALSE,MyRowHidden(ROW()-1)=TRUE),0,(E252-E251)*unitsOfDHp+I251)</f>
        <v>139480</v>
      </c>
      <c r="J252">
        <f>IF(AND(MyRowHidden(ROW())=FALSE,MyRowHidden(ROW()-1)=TRUE),0,(G252-G251)*unitsOfExo+J251)</f>
        <v>98260</v>
      </c>
      <c r="K252" s="9">
        <f t="shared" si="11"/>
        <v>-98260</v>
      </c>
      <c r="L252">
        <f t="shared" si="12"/>
        <v>237740</v>
      </c>
    </row>
    <row r="253" spans="1:12" x14ac:dyDescent="0.25">
      <c r="A253" s="1"/>
      <c r="C253" s="1"/>
      <c r="D253" s="1">
        <v>41612</v>
      </c>
      <c r="E253" s="10">
        <v>44528</v>
      </c>
      <c r="F253" s="1">
        <v>41612</v>
      </c>
      <c r="G253">
        <v>15036</v>
      </c>
      <c r="H253" s="1">
        <f t="shared" si="10"/>
        <v>41612</v>
      </c>
      <c r="I253">
        <f>IF(AND(MyRowHidden(ROW())=FALSE,MyRowHidden(ROW()-1)=TRUE),0,(E253-E252)*unitsOfDHp+I252)</f>
        <v>145280</v>
      </c>
      <c r="J253">
        <f>IF(AND(MyRowHidden(ROW())=FALSE,MyRowHidden(ROW()-1)=TRUE),0,(G253-G252)*unitsOfExo+J252)</f>
        <v>94660</v>
      </c>
      <c r="K253" s="9">
        <f t="shared" si="11"/>
        <v>-94660</v>
      </c>
      <c r="L253">
        <f t="shared" si="12"/>
        <v>239940</v>
      </c>
    </row>
    <row r="254" spans="1:12" x14ac:dyDescent="0.25">
      <c r="A254" s="1"/>
      <c r="C254" s="1"/>
      <c r="D254" s="1">
        <v>41613</v>
      </c>
      <c r="E254" s="10">
        <v>44944</v>
      </c>
      <c r="F254" s="1">
        <v>41613</v>
      </c>
      <c r="G254">
        <v>14516</v>
      </c>
      <c r="H254" s="1">
        <f t="shared" si="10"/>
        <v>41613</v>
      </c>
      <c r="I254">
        <f>IF(AND(MyRowHidden(ROW())=FALSE,MyRowHidden(ROW()-1)=TRUE),0,(E254-E253)*unitsOfDHp+I253)</f>
        <v>149440</v>
      </c>
      <c r="J254">
        <f>IF(AND(MyRowHidden(ROW())=FALSE,MyRowHidden(ROW()-1)=TRUE),0,(G254-G253)*unitsOfExo+J253)</f>
        <v>89460</v>
      </c>
      <c r="K254" s="9">
        <f t="shared" si="11"/>
        <v>-89460</v>
      </c>
      <c r="L254">
        <f t="shared" si="12"/>
        <v>238900</v>
      </c>
    </row>
    <row r="255" spans="1:12" x14ac:dyDescent="0.25">
      <c r="A255" s="1"/>
      <c r="C255" s="1"/>
      <c r="D255" s="1">
        <v>41614</v>
      </c>
      <c r="E255" s="10">
        <v>45242</v>
      </c>
      <c r="F255" s="1">
        <v>41614</v>
      </c>
      <c r="G255">
        <v>14276</v>
      </c>
      <c r="H255" s="1">
        <f t="shared" si="10"/>
        <v>41614</v>
      </c>
      <c r="I255">
        <f>IF(AND(MyRowHidden(ROW())=FALSE,MyRowHidden(ROW()-1)=TRUE),0,(E255-E254)*unitsOfDHp+I254)</f>
        <v>152420</v>
      </c>
      <c r="J255">
        <f>IF(AND(MyRowHidden(ROW())=FALSE,MyRowHidden(ROW()-1)=TRUE),0,(G255-G254)*unitsOfExo+J254)</f>
        <v>87060</v>
      </c>
      <c r="K255" s="9">
        <f t="shared" si="11"/>
        <v>-87060</v>
      </c>
      <c r="L255">
        <f t="shared" si="12"/>
        <v>239480</v>
      </c>
    </row>
    <row r="256" spans="1:12" x14ac:dyDescent="0.25">
      <c r="A256" s="1"/>
      <c r="C256" s="1"/>
      <c r="D256" s="1">
        <v>41617</v>
      </c>
      <c r="E256" s="10">
        <v>45230</v>
      </c>
      <c r="F256" s="1">
        <v>41617</v>
      </c>
      <c r="G256">
        <v>14116</v>
      </c>
      <c r="H256" s="1">
        <f t="shared" si="10"/>
        <v>41617</v>
      </c>
      <c r="I256">
        <f>IF(AND(MyRowHidden(ROW())=FALSE,MyRowHidden(ROW()-1)=TRUE),0,(E256-E255)*unitsOfDHp+I255)</f>
        <v>152300</v>
      </c>
      <c r="J256">
        <f>IF(AND(MyRowHidden(ROW())=FALSE,MyRowHidden(ROW()-1)=TRUE),0,(G256-G255)*unitsOfExo+J255)</f>
        <v>85460</v>
      </c>
      <c r="K256" s="9">
        <f t="shared" si="11"/>
        <v>-85460</v>
      </c>
      <c r="L256">
        <f t="shared" si="12"/>
        <v>237760</v>
      </c>
    </row>
    <row r="257" spans="1:12" x14ac:dyDescent="0.25">
      <c r="A257" s="1"/>
      <c r="C257" s="1"/>
      <c r="D257" s="1">
        <v>41618</v>
      </c>
      <c r="E257" s="10">
        <v>45530</v>
      </c>
      <c r="F257" s="1">
        <v>41618</v>
      </c>
      <c r="G257">
        <v>13826</v>
      </c>
      <c r="H257" s="1">
        <f t="shared" si="10"/>
        <v>41618</v>
      </c>
      <c r="I257">
        <f>IF(AND(MyRowHidden(ROW())=FALSE,MyRowHidden(ROW()-1)=TRUE),0,(E257-E256)*unitsOfDHp+I256)</f>
        <v>155300</v>
      </c>
      <c r="J257">
        <f>IF(AND(MyRowHidden(ROW())=FALSE,MyRowHidden(ROW()-1)=TRUE),0,(G257-G256)*unitsOfExo+J256)</f>
        <v>82560</v>
      </c>
      <c r="K257" s="9">
        <f t="shared" si="11"/>
        <v>-82560</v>
      </c>
      <c r="L257">
        <f t="shared" si="12"/>
        <v>237860</v>
      </c>
    </row>
    <row r="258" spans="1:12" x14ac:dyDescent="0.25">
      <c r="A258" s="1"/>
      <c r="C258" s="1"/>
      <c r="D258" s="1">
        <v>41619</v>
      </c>
      <c r="E258" s="10">
        <v>45530</v>
      </c>
      <c r="F258" s="1">
        <v>41619</v>
      </c>
      <c r="G258">
        <v>13826</v>
      </c>
      <c r="H258" s="1">
        <f t="shared" si="10"/>
        <v>41619</v>
      </c>
      <c r="I258">
        <f>IF(AND(MyRowHidden(ROW())=FALSE,MyRowHidden(ROW()-1)=TRUE),0,(E258-E257)*unitsOfDHp+I257)</f>
        <v>155300</v>
      </c>
      <c r="J258">
        <f>IF(AND(MyRowHidden(ROW())=FALSE,MyRowHidden(ROW()-1)=TRUE),0,(G258-G257)*unitsOfExo+J257)</f>
        <v>82560</v>
      </c>
      <c r="K258" s="9">
        <f t="shared" si="11"/>
        <v>-82560</v>
      </c>
      <c r="L258">
        <f t="shared" si="12"/>
        <v>237860</v>
      </c>
    </row>
    <row r="259" spans="1:12" x14ac:dyDescent="0.25">
      <c r="A259" s="1"/>
      <c r="C259" s="1"/>
      <c r="D259" s="1">
        <v>41620</v>
      </c>
      <c r="E259" s="10">
        <v>45360</v>
      </c>
      <c r="F259" s="1">
        <v>41620</v>
      </c>
      <c r="G259">
        <v>13986</v>
      </c>
      <c r="H259" s="1">
        <f t="shared" si="10"/>
        <v>41620</v>
      </c>
      <c r="I259">
        <f>IF(AND(MyRowHidden(ROW())=FALSE,MyRowHidden(ROW()-1)=TRUE),0,(E259-E258)*unitsOfDHp+I258)</f>
        <v>153600</v>
      </c>
      <c r="J259">
        <f>IF(AND(MyRowHidden(ROW())=FALSE,MyRowHidden(ROW()-1)=TRUE),0,(G259-G258)*unitsOfExo+J258)</f>
        <v>84160</v>
      </c>
      <c r="K259" s="9">
        <f t="shared" si="11"/>
        <v>-84160</v>
      </c>
      <c r="L259">
        <f t="shared" si="12"/>
        <v>237760</v>
      </c>
    </row>
    <row r="260" spans="1:12" x14ac:dyDescent="0.25">
      <c r="A260" s="1"/>
      <c r="C260" s="1"/>
      <c r="D260" s="1">
        <v>41621</v>
      </c>
      <c r="E260" s="10">
        <v>45288</v>
      </c>
      <c r="F260" s="1">
        <v>41621</v>
      </c>
      <c r="G260">
        <v>13976</v>
      </c>
      <c r="H260" s="1">
        <f t="shared" si="10"/>
        <v>41621</v>
      </c>
      <c r="I260">
        <f>IF(AND(MyRowHidden(ROW())=FALSE,MyRowHidden(ROW()-1)=TRUE),0,(E260-E259)*unitsOfDHp+I259)</f>
        <v>152880</v>
      </c>
      <c r="J260">
        <f>IF(AND(MyRowHidden(ROW())=FALSE,MyRowHidden(ROW()-1)=TRUE),0,(G260-G259)*unitsOfExo+J259)</f>
        <v>84060</v>
      </c>
      <c r="K260" s="9">
        <f t="shared" si="11"/>
        <v>-84060</v>
      </c>
      <c r="L260">
        <f t="shared" si="12"/>
        <v>236940</v>
      </c>
    </row>
    <row r="261" spans="1:12" x14ac:dyDescent="0.25">
      <c r="A261" s="1"/>
      <c r="C261" s="1"/>
      <c r="D261" s="1">
        <v>41624</v>
      </c>
      <c r="E261" s="10">
        <v>45468</v>
      </c>
      <c r="F261" s="1">
        <v>41624</v>
      </c>
      <c r="G261">
        <v>13766</v>
      </c>
      <c r="H261" s="1">
        <f t="shared" si="10"/>
        <v>41624</v>
      </c>
      <c r="I261">
        <f>IF(AND(MyRowHidden(ROW())=FALSE,MyRowHidden(ROW()-1)=TRUE),0,(E261-E260)*unitsOfDHp+I260)</f>
        <v>154680</v>
      </c>
      <c r="J261">
        <f>IF(AND(MyRowHidden(ROW())=FALSE,MyRowHidden(ROW()-1)=TRUE),0,(G261-G260)*unitsOfExo+J260)</f>
        <v>81960</v>
      </c>
      <c r="K261" s="9">
        <f t="shared" si="11"/>
        <v>-81960</v>
      </c>
      <c r="L261">
        <f t="shared" si="12"/>
        <v>236640</v>
      </c>
    </row>
    <row r="262" spans="1:12" x14ac:dyDescent="0.25">
      <c r="A262" s="1"/>
      <c r="C262" s="1"/>
      <c r="D262" s="1">
        <v>41625</v>
      </c>
      <c r="E262" s="10">
        <v>45998</v>
      </c>
      <c r="F262" s="1">
        <v>41625</v>
      </c>
      <c r="G262">
        <v>13346</v>
      </c>
      <c r="H262" s="1">
        <f t="shared" si="10"/>
        <v>41625</v>
      </c>
      <c r="I262">
        <f>IF(AND(MyRowHidden(ROW())=FALSE,MyRowHidden(ROW()-1)=TRUE),0,(E262-E261)*unitsOfDHp+I261)</f>
        <v>159980</v>
      </c>
      <c r="J262">
        <f>IF(AND(MyRowHidden(ROW())=FALSE,MyRowHidden(ROW()-1)=TRUE),0,(G262-G261)*unitsOfExo+J261)</f>
        <v>77760</v>
      </c>
      <c r="K262" s="9">
        <f t="shared" si="11"/>
        <v>-77760</v>
      </c>
      <c r="L262">
        <f t="shared" si="12"/>
        <v>237740</v>
      </c>
    </row>
    <row r="263" spans="1:12" x14ac:dyDescent="0.25">
      <c r="A263" s="1"/>
      <c r="C263" s="1"/>
      <c r="D263" s="1">
        <v>41626</v>
      </c>
      <c r="E263" s="10">
        <v>45578</v>
      </c>
      <c r="F263" s="1">
        <v>41626</v>
      </c>
      <c r="G263">
        <v>13666</v>
      </c>
      <c r="H263" s="1">
        <f t="shared" si="10"/>
        <v>41626</v>
      </c>
      <c r="I263">
        <f>IF(AND(MyRowHidden(ROW())=FALSE,MyRowHidden(ROW()-1)=TRUE),0,(E263-E262)*unitsOfDHp+I262)</f>
        <v>155780</v>
      </c>
      <c r="J263">
        <f>IF(AND(MyRowHidden(ROW())=FALSE,MyRowHidden(ROW()-1)=TRUE),0,(G263-G262)*unitsOfExo+J262)</f>
        <v>80960</v>
      </c>
      <c r="K263" s="9">
        <f t="shared" si="11"/>
        <v>-80960</v>
      </c>
      <c r="L263">
        <f t="shared" si="12"/>
        <v>236740</v>
      </c>
    </row>
    <row r="264" spans="1:12" x14ac:dyDescent="0.25">
      <c r="A264" s="1"/>
      <c r="C264" s="1"/>
      <c r="D264" s="1">
        <v>41627</v>
      </c>
      <c r="E264" s="10">
        <v>45578</v>
      </c>
      <c r="F264" s="1">
        <v>41627</v>
      </c>
      <c r="G264">
        <v>13646</v>
      </c>
      <c r="H264" s="1">
        <f t="shared" si="10"/>
        <v>41627</v>
      </c>
      <c r="I264">
        <f>IF(AND(MyRowHidden(ROW())=FALSE,MyRowHidden(ROW()-1)=TRUE),0,(E264-E263)*unitsOfDHp+I263)</f>
        <v>155780</v>
      </c>
      <c r="J264">
        <f>IF(AND(MyRowHidden(ROW())=FALSE,MyRowHidden(ROW()-1)=TRUE),0,(G264-G263)*unitsOfExo+J263)</f>
        <v>80760</v>
      </c>
      <c r="K264" s="9">
        <f t="shared" si="11"/>
        <v>-80760</v>
      </c>
      <c r="L264">
        <f t="shared" si="12"/>
        <v>236540</v>
      </c>
    </row>
    <row r="265" spans="1:12" x14ac:dyDescent="0.25">
      <c r="A265" s="1"/>
      <c r="C265" s="1"/>
      <c r="D265" s="1">
        <v>41628</v>
      </c>
      <c r="E265" s="10">
        <v>45658</v>
      </c>
      <c r="F265" s="1">
        <v>41628</v>
      </c>
      <c r="G265">
        <v>13556</v>
      </c>
      <c r="H265" s="1">
        <f t="shared" si="10"/>
        <v>41628</v>
      </c>
      <c r="I265">
        <f>IF(AND(MyRowHidden(ROW())=FALSE,MyRowHidden(ROW()-1)=TRUE),0,(E265-E264)*unitsOfDHp+I264)</f>
        <v>156580</v>
      </c>
      <c r="J265">
        <f>IF(AND(MyRowHidden(ROW())=FALSE,MyRowHidden(ROW()-1)=TRUE),0,(G265-G264)*unitsOfExo+J264)</f>
        <v>79860</v>
      </c>
      <c r="K265" s="9">
        <f t="shared" si="11"/>
        <v>-79860</v>
      </c>
      <c r="L265">
        <f t="shared" si="12"/>
        <v>236440</v>
      </c>
    </row>
    <row r="266" spans="1:12" x14ac:dyDescent="0.25">
      <c r="A266" s="1"/>
      <c r="C266" s="1"/>
      <c r="D266" s="1">
        <v>41631</v>
      </c>
      <c r="E266" s="10">
        <v>45558</v>
      </c>
      <c r="F266" s="1">
        <v>41631</v>
      </c>
      <c r="G266">
        <v>13626</v>
      </c>
      <c r="H266" s="1">
        <f t="shared" si="10"/>
        <v>41631</v>
      </c>
      <c r="I266">
        <f>IF(AND(MyRowHidden(ROW())=FALSE,MyRowHidden(ROW()-1)=TRUE),0,(E266-E265)*unitsOfDHp+I265)</f>
        <v>155580</v>
      </c>
      <c r="J266">
        <f>IF(AND(MyRowHidden(ROW())=FALSE,MyRowHidden(ROW()-1)=TRUE),0,(G266-G265)*unitsOfExo+J265)</f>
        <v>80560</v>
      </c>
      <c r="K266" s="9">
        <f t="shared" si="11"/>
        <v>-80560</v>
      </c>
      <c r="L266">
        <f t="shared" si="12"/>
        <v>236140</v>
      </c>
    </row>
    <row r="267" spans="1:12" x14ac:dyDescent="0.25">
      <c r="A267" s="1"/>
      <c r="C267" s="1"/>
      <c r="D267" s="1">
        <v>41632</v>
      </c>
      <c r="E267" s="10">
        <v>46028</v>
      </c>
      <c r="F267" s="1">
        <v>41632</v>
      </c>
      <c r="G267">
        <v>13276</v>
      </c>
      <c r="H267" s="1">
        <f t="shared" si="10"/>
        <v>41632</v>
      </c>
      <c r="I267">
        <f>IF(AND(MyRowHidden(ROW())=FALSE,MyRowHidden(ROW()-1)=TRUE),0,(E267-E266)*unitsOfDHp+I266)</f>
        <v>160280</v>
      </c>
      <c r="J267">
        <f>IF(AND(MyRowHidden(ROW())=FALSE,MyRowHidden(ROW()-1)=TRUE),0,(G267-G266)*unitsOfExo+J266)</f>
        <v>77060</v>
      </c>
      <c r="K267" s="9">
        <f t="shared" si="11"/>
        <v>-77060</v>
      </c>
      <c r="L267">
        <f t="shared" si="12"/>
        <v>237340</v>
      </c>
    </row>
    <row r="268" spans="1:12" x14ac:dyDescent="0.25">
      <c r="A268" s="1"/>
      <c r="C268" s="1"/>
      <c r="D268" s="1">
        <v>41633</v>
      </c>
      <c r="E268" s="10">
        <v>45858</v>
      </c>
      <c r="F268" s="1">
        <v>41633</v>
      </c>
      <c r="G268">
        <v>13406</v>
      </c>
      <c r="H268" s="1">
        <f t="shared" si="10"/>
        <v>41633</v>
      </c>
      <c r="I268">
        <f>IF(AND(MyRowHidden(ROW())=FALSE,MyRowHidden(ROW()-1)=TRUE),0,(E268-E267)*unitsOfDHp+I267)</f>
        <v>158580</v>
      </c>
      <c r="J268">
        <f>IF(AND(MyRowHidden(ROW())=FALSE,MyRowHidden(ROW()-1)=TRUE),0,(G268-G267)*unitsOfExo+J267)</f>
        <v>78360</v>
      </c>
      <c r="K268" s="9">
        <f t="shared" si="11"/>
        <v>-78360</v>
      </c>
      <c r="L268">
        <f t="shared" si="12"/>
        <v>236940</v>
      </c>
    </row>
    <row r="269" spans="1:12" x14ac:dyDescent="0.25">
      <c r="A269" s="1"/>
      <c r="C269" s="1"/>
      <c r="D269" s="1">
        <v>41634</v>
      </c>
      <c r="E269" s="10">
        <v>46108</v>
      </c>
      <c r="F269" s="1">
        <v>41634</v>
      </c>
      <c r="G269">
        <v>13246</v>
      </c>
      <c r="H269" s="1">
        <f t="shared" ref="H269:H332" si="13">D269</f>
        <v>41634</v>
      </c>
      <c r="I269">
        <f>IF(AND(MyRowHidden(ROW())=FALSE,MyRowHidden(ROW()-1)=TRUE),0,(E269-E268)*unitsOfDHp+I268)</f>
        <v>161080</v>
      </c>
      <c r="J269">
        <f>IF(AND(MyRowHidden(ROW())=FALSE,MyRowHidden(ROW()-1)=TRUE),0,(G269-G268)*unitsOfExo+J268)</f>
        <v>76760</v>
      </c>
      <c r="K269" s="9">
        <f t="shared" ref="K269:K332" si="14">-(J269-J268)+K268</f>
        <v>-76760</v>
      </c>
      <c r="L269">
        <f t="shared" ref="L269:L332" si="15">I269+J269</f>
        <v>237840</v>
      </c>
    </row>
    <row r="270" spans="1:12" x14ac:dyDescent="0.25">
      <c r="A270" s="1"/>
      <c r="C270" s="1"/>
      <c r="D270" s="1">
        <v>41635</v>
      </c>
      <c r="E270" s="10">
        <v>45878</v>
      </c>
      <c r="F270" s="1">
        <v>41635</v>
      </c>
      <c r="G270">
        <v>13406</v>
      </c>
      <c r="H270" s="1">
        <f t="shared" si="13"/>
        <v>41635</v>
      </c>
      <c r="I270">
        <f>IF(AND(MyRowHidden(ROW())=FALSE,MyRowHidden(ROW()-1)=TRUE),0,(E270-E269)*unitsOfDHp+I269)</f>
        <v>158780</v>
      </c>
      <c r="J270">
        <f>IF(AND(MyRowHidden(ROW())=FALSE,MyRowHidden(ROW()-1)=TRUE),0,(G270-G269)*unitsOfExo+J269)</f>
        <v>78360</v>
      </c>
      <c r="K270" s="9">
        <f t="shared" si="14"/>
        <v>-78360</v>
      </c>
      <c r="L270">
        <f t="shared" si="15"/>
        <v>237140</v>
      </c>
    </row>
    <row r="271" spans="1:12" x14ac:dyDescent="0.25">
      <c r="A271" s="1"/>
      <c r="C271" s="1"/>
      <c r="D271" s="1">
        <v>41638</v>
      </c>
      <c r="E271" s="10">
        <v>46088</v>
      </c>
      <c r="F271" s="1">
        <v>41638</v>
      </c>
      <c r="G271">
        <v>13226</v>
      </c>
      <c r="H271" s="1">
        <f t="shared" si="13"/>
        <v>41638</v>
      </c>
      <c r="I271">
        <f>IF(AND(MyRowHidden(ROW())=FALSE,MyRowHidden(ROW()-1)=TRUE),0,(E271-E270)*unitsOfDHp+I270)</f>
        <v>160880</v>
      </c>
      <c r="J271">
        <f>IF(AND(MyRowHidden(ROW())=FALSE,MyRowHidden(ROW()-1)=TRUE),0,(G271-G270)*unitsOfExo+J270)</f>
        <v>76560</v>
      </c>
      <c r="K271" s="9">
        <f t="shared" si="14"/>
        <v>-76560</v>
      </c>
      <c r="L271">
        <f t="shared" si="15"/>
        <v>237440</v>
      </c>
    </row>
    <row r="272" spans="1:12" x14ac:dyDescent="0.25">
      <c r="A272" s="1"/>
      <c r="C272" s="1"/>
      <c r="D272" s="1">
        <v>41639</v>
      </c>
      <c r="E272" s="10">
        <v>45798</v>
      </c>
      <c r="F272" s="1">
        <v>41639</v>
      </c>
      <c r="G272">
        <v>13306</v>
      </c>
      <c r="H272" s="1">
        <f t="shared" si="13"/>
        <v>41639</v>
      </c>
      <c r="I272">
        <f>IF(AND(MyRowHidden(ROW())=FALSE,MyRowHidden(ROW()-1)=TRUE),0,(E272-E271)*unitsOfDHp+I271)</f>
        <v>157980</v>
      </c>
      <c r="J272">
        <f>IF(AND(MyRowHidden(ROW())=FALSE,MyRowHidden(ROW()-1)=TRUE),0,(G272-G271)*unitsOfExo+J271)</f>
        <v>77360</v>
      </c>
      <c r="K272" s="9">
        <f t="shared" si="14"/>
        <v>-77360</v>
      </c>
      <c r="L272">
        <f t="shared" si="15"/>
        <v>235340</v>
      </c>
    </row>
    <row r="273" spans="1:12" x14ac:dyDescent="0.25">
      <c r="A273" s="1"/>
      <c r="C273" s="1"/>
      <c r="D273" s="1">
        <v>41640</v>
      </c>
      <c r="E273" s="10">
        <v>45162</v>
      </c>
      <c r="F273" s="1">
        <v>41640</v>
      </c>
      <c r="G273">
        <v>13706</v>
      </c>
      <c r="H273" s="1">
        <f t="shared" si="13"/>
        <v>41640</v>
      </c>
      <c r="I273">
        <f>IF(AND(MyRowHidden(ROW())=FALSE,MyRowHidden(ROW()-1)=TRUE),0,(E273-E272)*unitsOfDHp+I272)</f>
        <v>151620</v>
      </c>
      <c r="J273">
        <f>IF(AND(MyRowHidden(ROW())=FALSE,MyRowHidden(ROW()-1)=TRUE),0,(G273-G272)*unitsOfExo+J272)</f>
        <v>81360</v>
      </c>
      <c r="K273" s="9">
        <f t="shared" si="14"/>
        <v>-81360</v>
      </c>
      <c r="L273">
        <f t="shared" si="15"/>
        <v>232980</v>
      </c>
    </row>
    <row r="274" spans="1:12" x14ac:dyDescent="0.25">
      <c r="A274" s="1"/>
      <c r="C274" s="1"/>
      <c r="D274" s="1">
        <v>41641</v>
      </c>
      <c r="E274" s="10">
        <v>45150</v>
      </c>
      <c r="F274" s="1">
        <v>41641</v>
      </c>
      <c r="G274">
        <v>13886</v>
      </c>
      <c r="H274" s="1">
        <f t="shared" si="13"/>
        <v>41641</v>
      </c>
      <c r="I274">
        <f>IF(AND(MyRowHidden(ROW())=FALSE,MyRowHidden(ROW()-1)=TRUE),0,(E274-E273)*unitsOfDHp+I273)</f>
        <v>151500</v>
      </c>
      <c r="J274">
        <f>IF(AND(MyRowHidden(ROW())=FALSE,MyRowHidden(ROW()-1)=TRUE),0,(G274-G273)*unitsOfExo+J273)</f>
        <v>83160</v>
      </c>
      <c r="K274" s="9">
        <f t="shared" si="14"/>
        <v>-83160</v>
      </c>
      <c r="L274">
        <f t="shared" si="15"/>
        <v>234660</v>
      </c>
    </row>
    <row r="275" spans="1:12" x14ac:dyDescent="0.25">
      <c r="A275" s="1"/>
      <c r="C275" s="1"/>
      <c r="D275" s="1">
        <v>41642</v>
      </c>
      <c r="E275" s="10">
        <v>45180</v>
      </c>
      <c r="F275" s="1">
        <v>41642</v>
      </c>
      <c r="G275">
        <v>13786</v>
      </c>
      <c r="H275" s="1">
        <f t="shared" si="13"/>
        <v>41642</v>
      </c>
      <c r="I275">
        <f>IF(AND(MyRowHidden(ROW())=FALSE,MyRowHidden(ROW()-1)=TRUE),0,(E275-E274)*unitsOfDHp+I274)</f>
        <v>151800</v>
      </c>
      <c r="J275">
        <f>IF(AND(MyRowHidden(ROW())=FALSE,MyRowHidden(ROW()-1)=TRUE),0,(G275-G274)*unitsOfExo+J274)</f>
        <v>82160</v>
      </c>
      <c r="K275" s="9">
        <f t="shared" si="14"/>
        <v>-82160</v>
      </c>
      <c r="L275">
        <f t="shared" si="15"/>
        <v>233960</v>
      </c>
    </row>
    <row r="276" spans="1:12" x14ac:dyDescent="0.25">
      <c r="A276" s="1"/>
      <c r="C276" s="1"/>
      <c r="D276" s="1">
        <v>41645</v>
      </c>
      <c r="E276" s="10">
        <v>45160</v>
      </c>
      <c r="F276" s="1">
        <v>41645</v>
      </c>
      <c r="G276">
        <v>13736</v>
      </c>
      <c r="H276" s="1">
        <f t="shared" si="13"/>
        <v>41645</v>
      </c>
      <c r="I276">
        <f>IF(AND(MyRowHidden(ROW())=FALSE,MyRowHidden(ROW()-1)=TRUE),0,(E276-E275)*unitsOfDHp+I275)</f>
        <v>151600</v>
      </c>
      <c r="J276">
        <f>IF(AND(MyRowHidden(ROW())=FALSE,MyRowHidden(ROW()-1)=TRUE),0,(G276-G275)*unitsOfExo+J275)</f>
        <v>81660</v>
      </c>
      <c r="K276" s="9">
        <f t="shared" si="14"/>
        <v>-81660</v>
      </c>
      <c r="L276">
        <f t="shared" si="15"/>
        <v>233260</v>
      </c>
    </row>
    <row r="277" spans="1:12" x14ac:dyDescent="0.25">
      <c r="A277" s="1"/>
      <c r="C277" s="1"/>
      <c r="D277" s="1">
        <v>41646</v>
      </c>
      <c r="E277" s="10">
        <v>45446</v>
      </c>
      <c r="F277" s="1">
        <v>41646</v>
      </c>
      <c r="G277">
        <v>13216</v>
      </c>
      <c r="H277" s="1">
        <f t="shared" si="13"/>
        <v>41646</v>
      </c>
      <c r="I277">
        <f>IF(AND(MyRowHidden(ROW())=FALSE,MyRowHidden(ROW()-1)=TRUE),0,(E277-E276)*unitsOfDHp+I276)</f>
        <v>154460</v>
      </c>
      <c r="J277">
        <f>IF(AND(MyRowHidden(ROW())=FALSE,MyRowHidden(ROW()-1)=TRUE),0,(G277-G276)*unitsOfExo+J276)</f>
        <v>76460</v>
      </c>
      <c r="K277" s="9">
        <f t="shared" si="14"/>
        <v>-76460</v>
      </c>
      <c r="L277">
        <f t="shared" si="15"/>
        <v>230920</v>
      </c>
    </row>
    <row r="278" spans="1:12" x14ac:dyDescent="0.25">
      <c r="A278" s="1"/>
      <c r="C278" s="1"/>
      <c r="D278" s="1">
        <v>41647</v>
      </c>
      <c r="E278" s="10">
        <v>45416</v>
      </c>
      <c r="F278" s="1">
        <v>41647</v>
      </c>
      <c r="G278">
        <v>13336</v>
      </c>
      <c r="H278" s="1">
        <f t="shared" si="13"/>
        <v>41647</v>
      </c>
      <c r="I278">
        <f>IF(AND(MyRowHidden(ROW())=FALSE,MyRowHidden(ROW()-1)=TRUE),0,(E278-E277)*unitsOfDHp+I277)</f>
        <v>154160</v>
      </c>
      <c r="J278">
        <f>IF(AND(MyRowHidden(ROW())=FALSE,MyRowHidden(ROW()-1)=TRUE),0,(G278-G277)*unitsOfExo+J277)</f>
        <v>77660</v>
      </c>
      <c r="K278" s="9">
        <f t="shared" si="14"/>
        <v>-77660</v>
      </c>
      <c r="L278">
        <f t="shared" si="15"/>
        <v>231820</v>
      </c>
    </row>
    <row r="279" spans="1:12" x14ac:dyDescent="0.25">
      <c r="A279" s="1"/>
      <c r="C279" s="1"/>
      <c r="D279" s="1">
        <v>41648</v>
      </c>
      <c r="E279" s="10">
        <v>45556</v>
      </c>
      <c r="F279" s="1">
        <v>41648</v>
      </c>
      <c r="G279">
        <v>13206</v>
      </c>
      <c r="H279" s="1">
        <f t="shared" si="13"/>
        <v>41648</v>
      </c>
      <c r="I279">
        <f>IF(AND(MyRowHidden(ROW())=FALSE,MyRowHidden(ROW()-1)=TRUE),0,(E279-E278)*unitsOfDHp+I278)</f>
        <v>155560</v>
      </c>
      <c r="J279">
        <f>IF(AND(MyRowHidden(ROW())=FALSE,MyRowHidden(ROW()-1)=TRUE),0,(G279-G278)*unitsOfExo+J278)</f>
        <v>76360</v>
      </c>
      <c r="K279" s="9">
        <f t="shared" si="14"/>
        <v>-76360</v>
      </c>
      <c r="L279">
        <f t="shared" si="15"/>
        <v>231920</v>
      </c>
    </row>
    <row r="280" spans="1:12" x14ac:dyDescent="0.25">
      <c r="A280" s="1"/>
      <c r="C280" s="1"/>
      <c r="D280" s="1">
        <v>41649</v>
      </c>
      <c r="E280" s="10">
        <v>45316</v>
      </c>
      <c r="F280" s="1">
        <v>41649</v>
      </c>
      <c r="G280">
        <v>13446</v>
      </c>
      <c r="H280" s="1">
        <f t="shared" si="13"/>
        <v>41649</v>
      </c>
      <c r="I280">
        <f>IF(AND(MyRowHidden(ROW())=FALSE,MyRowHidden(ROW()-1)=TRUE),0,(E280-E279)*unitsOfDHp+I279)</f>
        <v>153160</v>
      </c>
      <c r="J280">
        <f>IF(AND(MyRowHidden(ROW())=FALSE,MyRowHidden(ROW()-1)=TRUE),0,(G280-G279)*unitsOfExo+J279)</f>
        <v>78760</v>
      </c>
      <c r="K280" s="9">
        <f t="shared" si="14"/>
        <v>-78760</v>
      </c>
      <c r="L280">
        <f t="shared" si="15"/>
        <v>231920</v>
      </c>
    </row>
    <row r="281" spans="1:12" x14ac:dyDescent="0.25">
      <c r="A281" s="1"/>
      <c r="C281" s="1"/>
      <c r="D281" s="1">
        <v>41652</v>
      </c>
      <c r="E281" s="10">
        <v>45582</v>
      </c>
      <c r="F281" s="1">
        <v>41652</v>
      </c>
      <c r="G281">
        <v>13236</v>
      </c>
      <c r="H281" s="1">
        <f t="shared" si="13"/>
        <v>41652</v>
      </c>
      <c r="I281">
        <f>IF(AND(MyRowHidden(ROW())=FALSE,MyRowHidden(ROW()-1)=TRUE),0,(E281-E280)*unitsOfDHp+I280)</f>
        <v>155820</v>
      </c>
      <c r="J281">
        <f>IF(AND(MyRowHidden(ROW())=FALSE,MyRowHidden(ROW()-1)=TRUE),0,(G281-G280)*unitsOfExo+J280)</f>
        <v>76660</v>
      </c>
      <c r="K281" s="9">
        <f t="shared" si="14"/>
        <v>-76660</v>
      </c>
      <c r="L281">
        <f t="shared" si="15"/>
        <v>232480</v>
      </c>
    </row>
    <row r="282" spans="1:12" x14ac:dyDescent="0.25">
      <c r="A282" s="1"/>
      <c r="C282" s="1"/>
      <c r="D282" s="1">
        <v>41653</v>
      </c>
      <c r="E282" s="10">
        <v>44826</v>
      </c>
      <c r="F282" s="1">
        <v>41653</v>
      </c>
      <c r="G282">
        <v>13506</v>
      </c>
      <c r="H282" s="1">
        <f t="shared" si="13"/>
        <v>41653</v>
      </c>
      <c r="I282">
        <f>IF(AND(MyRowHidden(ROW())=FALSE,MyRowHidden(ROW()-1)=TRUE),0,(E282-E281)*unitsOfDHp+I281)</f>
        <v>148260</v>
      </c>
      <c r="J282">
        <f>IF(AND(MyRowHidden(ROW())=FALSE,MyRowHidden(ROW()-1)=TRUE),0,(G282-G281)*unitsOfExo+J281)</f>
        <v>79360</v>
      </c>
      <c r="K282" s="9">
        <f t="shared" si="14"/>
        <v>-79360</v>
      </c>
      <c r="L282">
        <f t="shared" si="15"/>
        <v>227620</v>
      </c>
    </row>
    <row r="283" spans="1:12" x14ac:dyDescent="0.25">
      <c r="A283" s="1"/>
      <c r="C283" s="1"/>
      <c r="D283" s="1">
        <v>41654</v>
      </c>
      <c r="E283" s="10">
        <v>44516</v>
      </c>
      <c r="F283" s="1">
        <v>41654</v>
      </c>
      <c r="G283">
        <v>13876</v>
      </c>
      <c r="H283" s="1">
        <f t="shared" si="13"/>
        <v>41654</v>
      </c>
      <c r="I283">
        <f>IF(AND(MyRowHidden(ROW())=FALSE,MyRowHidden(ROW()-1)=TRUE),0,(E283-E282)*unitsOfDHp+I282)</f>
        <v>145160</v>
      </c>
      <c r="J283">
        <f>IF(AND(MyRowHidden(ROW())=FALSE,MyRowHidden(ROW()-1)=TRUE),0,(G283-G282)*unitsOfExo+J282)</f>
        <v>83060</v>
      </c>
      <c r="K283" s="9">
        <f t="shared" si="14"/>
        <v>-83060</v>
      </c>
      <c r="L283">
        <f t="shared" si="15"/>
        <v>228220</v>
      </c>
    </row>
    <row r="284" spans="1:12" x14ac:dyDescent="0.25">
      <c r="A284" s="1"/>
      <c r="C284" s="1"/>
      <c r="D284" s="1">
        <v>41655</v>
      </c>
      <c r="E284" s="10">
        <v>44516</v>
      </c>
      <c r="F284" s="1">
        <v>41655</v>
      </c>
      <c r="G284">
        <v>13866</v>
      </c>
      <c r="H284" s="1">
        <f t="shared" si="13"/>
        <v>41655</v>
      </c>
      <c r="I284">
        <f>IF(AND(MyRowHidden(ROW())=FALSE,MyRowHidden(ROW()-1)=TRUE),0,(E284-E283)*unitsOfDHp+I283)</f>
        <v>145160</v>
      </c>
      <c r="J284">
        <f>IF(AND(MyRowHidden(ROW())=FALSE,MyRowHidden(ROW()-1)=TRUE),0,(G284-G283)*unitsOfExo+J283)</f>
        <v>82960</v>
      </c>
      <c r="K284" s="9">
        <f t="shared" si="14"/>
        <v>-82960</v>
      </c>
      <c r="L284">
        <f t="shared" si="15"/>
        <v>228120</v>
      </c>
    </row>
    <row r="285" spans="1:12" x14ac:dyDescent="0.25">
      <c r="A285" s="1"/>
      <c r="C285" s="1"/>
      <c r="D285" s="1">
        <v>41656</v>
      </c>
      <c r="E285" s="10">
        <v>44486</v>
      </c>
      <c r="F285" s="1">
        <v>41656</v>
      </c>
      <c r="G285">
        <v>13616</v>
      </c>
      <c r="H285" s="1">
        <f t="shared" si="13"/>
        <v>41656</v>
      </c>
      <c r="I285">
        <f>IF(AND(MyRowHidden(ROW())=FALSE,MyRowHidden(ROW()-1)=TRUE),0,(E285-E284)*unitsOfDHp+I284)</f>
        <v>144860</v>
      </c>
      <c r="J285">
        <f>IF(AND(MyRowHidden(ROW())=FALSE,MyRowHidden(ROW()-1)=TRUE),0,(G285-G284)*unitsOfExo+J284)</f>
        <v>80460</v>
      </c>
      <c r="K285" s="9">
        <f t="shared" si="14"/>
        <v>-80460</v>
      </c>
      <c r="L285">
        <f t="shared" si="15"/>
        <v>225320</v>
      </c>
    </row>
    <row r="286" spans="1:12" x14ac:dyDescent="0.25">
      <c r="A286" s="1"/>
      <c r="C286" s="1"/>
      <c r="D286" s="1">
        <v>41659</v>
      </c>
      <c r="E286" s="10">
        <v>44476</v>
      </c>
      <c r="F286" s="1">
        <v>41659</v>
      </c>
      <c r="G286">
        <v>13476</v>
      </c>
      <c r="H286" s="1">
        <f t="shared" si="13"/>
        <v>41659</v>
      </c>
      <c r="I286">
        <f>IF(AND(MyRowHidden(ROW())=FALSE,MyRowHidden(ROW()-1)=TRUE),0,(E286-E285)*unitsOfDHp+I285)</f>
        <v>144760</v>
      </c>
      <c r="J286">
        <f>IF(AND(MyRowHidden(ROW())=FALSE,MyRowHidden(ROW()-1)=TRUE),0,(G286-G285)*unitsOfExo+J285)</f>
        <v>79060</v>
      </c>
      <c r="K286" s="9">
        <f t="shared" si="14"/>
        <v>-79060</v>
      </c>
      <c r="L286">
        <f t="shared" si="15"/>
        <v>223820</v>
      </c>
    </row>
    <row r="287" spans="1:12" x14ac:dyDescent="0.25">
      <c r="A287" s="1"/>
      <c r="C287" s="1"/>
      <c r="D287" s="1">
        <v>41660</v>
      </c>
      <c r="E287" s="10">
        <v>44462</v>
      </c>
      <c r="F287" s="1">
        <v>41660</v>
      </c>
      <c r="G287">
        <v>13456</v>
      </c>
      <c r="H287" s="1">
        <f t="shared" si="13"/>
        <v>41660</v>
      </c>
      <c r="I287">
        <f>IF(AND(MyRowHidden(ROW())=FALSE,MyRowHidden(ROW()-1)=TRUE),0,(E287-E286)*unitsOfDHp+I286)</f>
        <v>144620</v>
      </c>
      <c r="J287">
        <f>IF(AND(MyRowHidden(ROW())=FALSE,MyRowHidden(ROW()-1)=TRUE),0,(G287-G286)*unitsOfExo+J286)</f>
        <v>78860</v>
      </c>
      <c r="K287" s="9">
        <f t="shared" si="14"/>
        <v>-78860</v>
      </c>
      <c r="L287">
        <f t="shared" si="15"/>
        <v>223480</v>
      </c>
    </row>
    <row r="288" spans="1:12" x14ac:dyDescent="0.25">
      <c r="A288" s="1"/>
      <c r="C288" s="1"/>
      <c r="D288" s="1">
        <v>41661</v>
      </c>
      <c r="E288" s="10">
        <v>44592</v>
      </c>
      <c r="F288" s="1">
        <v>41661</v>
      </c>
      <c r="G288">
        <v>13326</v>
      </c>
      <c r="H288" s="1">
        <f t="shared" si="13"/>
        <v>41661</v>
      </c>
      <c r="I288">
        <f>IF(AND(MyRowHidden(ROW())=FALSE,MyRowHidden(ROW()-1)=TRUE),0,(E288-E287)*unitsOfDHp+I287)</f>
        <v>145920</v>
      </c>
      <c r="J288">
        <f>IF(AND(MyRowHidden(ROW())=FALSE,MyRowHidden(ROW()-1)=TRUE),0,(G288-G287)*unitsOfExo+J287)</f>
        <v>77560</v>
      </c>
      <c r="K288" s="9">
        <f t="shared" si="14"/>
        <v>-77560</v>
      </c>
      <c r="L288">
        <f t="shared" si="15"/>
        <v>223480</v>
      </c>
    </row>
    <row r="289" spans="1:12" x14ac:dyDescent="0.25">
      <c r="A289" s="1"/>
      <c r="C289" s="1"/>
      <c r="D289" s="1">
        <v>41662</v>
      </c>
      <c r="E289" s="10">
        <v>44582</v>
      </c>
      <c r="F289" s="1">
        <v>41662</v>
      </c>
      <c r="G289">
        <v>13306</v>
      </c>
      <c r="H289" s="1">
        <f t="shared" si="13"/>
        <v>41662</v>
      </c>
      <c r="I289">
        <f>IF(AND(MyRowHidden(ROW())=FALSE,MyRowHidden(ROW()-1)=TRUE),0,(E289-E288)*unitsOfDHp+I288)</f>
        <v>145820</v>
      </c>
      <c r="J289">
        <f>IF(AND(MyRowHidden(ROW())=FALSE,MyRowHidden(ROW()-1)=TRUE),0,(G289-G288)*unitsOfExo+J288)</f>
        <v>77360</v>
      </c>
      <c r="K289" s="9">
        <f t="shared" si="14"/>
        <v>-77360</v>
      </c>
      <c r="L289">
        <f t="shared" si="15"/>
        <v>223180</v>
      </c>
    </row>
    <row r="290" spans="1:12" x14ac:dyDescent="0.25">
      <c r="A290" s="1"/>
      <c r="C290" s="1"/>
      <c r="D290" s="1">
        <v>41663</v>
      </c>
      <c r="E290" s="10">
        <v>44292</v>
      </c>
      <c r="F290" s="1">
        <v>41663</v>
      </c>
      <c r="G290">
        <v>13746</v>
      </c>
      <c r="H290" s="1">
        <f t="shared" si="13"/>
        <v>41663</v>
      </c>
      <c r="I290">
        <f>IF(AND(MyRowHidden(ROW())=FALSE,MyRowHidden(ROW()-1)=TRUE),0,(E290-E289)*unitsOfDHp+I289)</f>
        <v>142920</v>
      </c>
      <c r="J290">
        <f>IF(AND(MyRowHidden(ROW())=FALSE,MyRowHidden(ROW()-1)=TRUE),0,(G290-G289)*unitsOfExo+J289)</f>
        <v>81760</v>
      </c>
      <c r="K290" s="9">
        <f t="shared" si="14"/>
        <v>-81760</v>
      </c>
      <c r="L290">
        <f t="shared" si="15"/>
        <v>224680</v>
      </c>
    </row>
    <row r="291" spans="1:12" x14ac:dyDescent="0.25">
      <c r="A291" s="1"/>
      <c r="C291" s="1"/>
      <c r="D291" s="1">
        <v>41666</v>
      </c>
      <c r="E291" s="10">
        <v>44680</v>
      </c>
      <c r="F291" s="1">
        <v>41666</v>
      </c>
      <c r="G291">
        <v>13386</v>
      </c>
      <c r="H291" s="1">
        <f t="shared" si="13"/>
        <v>41666</v>
      </c>
      <c r="I291">
        <f>IF(AND(MyRowHidden(ROW())=FALSE,MyRowHidden(ROW()-1)=TRUE),0,(E291-E290)*unitsOfDHp+I290)</f>
        <v>146800</v>
      </c>
      <c r="J291">
        <f>IF(AND(MyRowHidden(ROW())=FALSE,MyRowHidden(ROW()-1)=TRUE),0,(G291-G290)*unitsOfExo+J290)</f>
        <v>78160</v>
      </c>
      <c r="K291" s="9">
        <f t="shared" si="14"/>
        <v>-78160</v>
      </c>
      <c r="L291">
        <f t="shared" si="15"/>
        <v>224960</v>
      </c>
    </row>
    <row r="292" spans="1:12" x14ac:dyDescent="0.25">
      <c r="A292" s="1"/>
      <c r="C292" s="1"/>
      <c r="D292" s="1">
        <v>41667</v>
      </c>
      <c r="E292" s="10">
        <v>44810</v>
      </c>
      <c r="F292" s="1">
        <v>41667</v>
      </c>
      <c r="G292">
        <v>13196</v>
      </c>
      <c r="H292" s="1">
        <f t="shared" si="13"/>
        <v>41667</v>
      </c>
      <c r="I292">
        <f>IF(AND(MyRowHidden(ROW())=FALSE,MyRowHidden(ROW()-1)=TRUE),0,(E292-E291)*unitsOfDHp+I291)</f>
        <v>148100</v>
      </c>
      <c r="J292">
        <f>IF(AND(MyRowHidden(ROW())=FALSE,MyRowHidden(ROW()-1)=TRUE),0,(G292-G291)*unitsOfExo+J291)</f>
        <v>76260</v>
      </c>
      <c r="K292" s="9">
        <f t="shared" si="14"/>
        <v>-76260</v>
      </c>
      <c r="L292">
        <f t="shared" si="15"/>
        <v>224360</v>
      </c>
    </row>
    <row r="293" spans="1:12" x14ac:dyDescent="0.25">
      <c r="A293" s="1"/>
      <c r="C293" s="1"/>
      <c r="D293" s="1">
        <v>41668</v>
      </c>
      <c r="E293" s="10">
        <v>44490</v>
      </c>
      <c r="F293" s="1">
        <v>41668</v>
      </c>
      <c r="G293">
        <v>13646</v>
      </c>
      <c r="H293" s="1">
        <f t="shared" si="13"/>
        <v>41668</v>
      </c>
      <c r="I293">
        <f>IF(AND(MyRowHidden(ROW())=FALSE,MyRowHidden(ROW()-1)=TRUE),0,(E293-E292)*unitsOfDHp+I292)</f>
        <v>144900</v>
      </c>
      <c r="J293">
        <f>IF(AND(MyRowHidden(ROW())=FALSE,MyRowHidden(ROW()-1)=TRUE),0,(G293-G292)*unitsOfExo+J292)</f>
        <v>80760</v>
      </c>
      <c r="K293" s="9">
        <f t="shared" si="14"/>
        <v>-80760</v>
      </c>
      <c r="L293">
        <f t="shared" si="15"/>
        <v>225660</v>
      </c>
    </row>
    <row r="294" spans="1:12" x14ac:dyDescent="0.25">
      <c r="A294" s="1"/>
      <c r="C294" s="1"/>
      <c r="D294" s="1">
        <v>41669</v>
      </c>
      <c r="E294" s="10">
        <v>44360</v>
      </c>
      <c r="F294" s="1">
        <v>41669</v>
      </c>
      <c r="G294">
        <v>13576</v>
      </c>
      <c r="H294" s="1">
        <f t="shared" si="13"/>
        <v>41669</v>
      </c>
      <c r="I294">
        <f>IF(AND(MyRowHidden(ROW())=FALSE,MyRowHidden(ROW()-1)=TRUE),0,(E294-E293)*unitsOfDHp+I293)</f>
        <v>143600</v>
      </c>
      <c r="J294">
        <f>IF(AND(MyRowHidden(ROW())=FALSE,MyRowHidden(ROW()-1)=TRUE),0,(G294-G293)*unitsOfExo+J293)</f>
        <v>80060</v>
      </c>
      <c r="K294" s="9">
        <f t="shared" si="14"/>
        <v>-80060</v>
      </c>
      <c r="L294">
        <f t="shared" si="15"/>
        <v>223660</v>
      </c>
    </row>
    <row r="295" spans="1:12" x14ac:dyDescent="0.25">
      <c r="A295" s="1"/>
      <c r="C295" s="1"/>
      <c r="D295" s="1">
        <v>41670</v>
      </c>
      <c r="E295" s="10">
        <v>44390</v>
      </c>
      <c r="F295" s="1">
        <v>41670</v>
      </c>
      <c r="G295">
        <v>13506</v>
      </c>
      <c r="H295" s="1">
        <f t="shared" si="13"/>
        <v>41670</v>
      </c>
      <c r="I295">
        <f>IF(AND(MyRowHidden(ROW())=FALSE,MyRowHidden(ROW()-1)=TRUE),0,(E295-E294)*unitsOfDHp+I294)</f>
        <v>143900</v>
      </c>
      <c r="J295">
        <f>IF(AND(MyRowHidden(ROW())=FALSE,MyRowHidden(ROW()-1)=TRUE),0,(G295-G294)*unitsOfExo+J294)</f>
        <v>79360</v>
      </c>
      <c r="K295" s="9">
        <f t="shared" si="14"/>
        <v>-79360</v>
      </c>
      <c r="L295">
        <f t="shared" si="15"/>
        <v>223260</v>
      </c>
    </row>
    <row r="296" spans="1:12" x14ac:dyDescent="0.25">
      <c r="A296" s="1"/>
      <c r="C296" s="1"/>
      <c r="D296" s="1">
        <v>41673</v>
      </c>
      <c r="E296" s="10">
        <v>45008</v>
      </c>
      <c r="F296" s="1">
        <v>41673</v>
      </c>
      <c r="G296">
        <v>13024</v>
      </c>
      <c r="H296" s="1">
        <f t="shared" si="13"/>
        <v>41673</v>
      </c>
      <c r="I296">
        <f>IF(AND(MyRowHidden(ROW())=FALSE,MyRowHidden(ROW()-1)=TRUE),0,(E296-E295)*unitsOfDHp+I295)</f>
        <v>150080</v>
      </c>
      <c r="J296">
        <f>IF(AND(MyRowHidden(ROW())=FALSE,MyRowHidden(ROW()-1)=TRUE),0,(G296-G295)*unitsOfExo+J295)</f>
        <v>74540</v>
      </c>
      <c r="K296" s="9">
        <f t="shared" si="14"/>
        <v>-74540</v>
      </c>
      <c r="L296">
        <f t="shared" si="15"/>
        <v>224620</v>
      </c>
    </row>
    <row r="297" spans="1:12" x14ac:dyDescent="0.25">
      <c r="A297" s="1"/>
      <c r="C297" s="1"/>
      <c r="D297" s="1">
        <v>41674</v>
      </c>
      <c r="E297" s="10">
        <v>44798</v>
      </c>
      <c r="F297" s="1">
        <v>41674</v>
      </c>
      <c r="G297">
        <v>13164</v>
      </c>
      <c r="H297" s="1">
        <f t="shared" si="13"/>
        <v>41674</v>
      </c>
      <c r="I297">
        <f>IF(AND(MyRowHidden(ROW())=FALSE,MyRowHidden(ROW()-1)=TRUE),0,(E297-E296)*unitsOfDHp+I296)</f>
        <v>147980</v>
      </c>
      <c r="J297">
        <f>IF(AND(MyRowHidden(ROW())=FALSE,MyRowHidden(ROW()-1)=TRUE),0,(G297-G296)*unitsOfExo+J296)</f>
        <v>75940</v>
      </c>
      <c r="K297" s="9">
        <f t="shared" si="14"/>
        <v>-75940</v>
      </c>
      <c r="L297">
        <f t="shared" si="15"/>
        <v>223920</v>
      </c>
    </row>
    <row r="298" spans="1:12" x14ac:dyDescent="0.25">
      <c r="A298" s="1"/>
      <c r="C298" s="1"/>
      <c r="D298" s="1">
        <v>41675</v>
      </c>
      <c r="E298" s="10">
        <v>44142</v>
      </c>
      <c r="F298" s="1">
        <v>41675</v>
      </c>
      <c r="G298">
        <v>13654</v>
      </c>
      <c r="H298" s="1">
        <f t="shared" si="13"/>
        <v>41675</v>
      </c>
      <c r="I298">
        <f>IF(AND(MyRowHidden(ROW())=FALSE,MyRowHidden(ROW()-1)=TRUE),0,(E298-E297)*unitsOfDHp+I297)</f>
        <v>141420</v>
      </c>
      <c r="J298">
        <f>IF(AND(MyRowHidden(ROW())=FALSE,MyRowHidden(ROW()-1)=TRUE),0,(G298-G297)*unitsOfExo+J297)</f>
        <v>80840</v>
      </c>
      <c r="K298" s="9">
        <f t="shared" si="14"/>
        <v>-80840</v>
      </c>
      <c r="L298">
        <f t="shared" si="15"/>
        <v>222260</v>
      </c>
    </row>
    <row r="299" spans="1:12" x14ac:dyDescent="0.25">
      <c r="A299" s="1"/>
      <c r="C299" s="1"/>
      <c r="D299" s="1">
        <v>41676</v>
      </c>
      <c r="E299" s="10">
        <v>44132</v>
      </c>
      <c r="F299" s="1">
        <v>41676</v>
      </c>
      <c r="G299">
        <v>13684</v>
      </c>
      <c r="H299" s="1">
        <f t="shared" si="13"/>
        <v>41676</v>
      </c>
      <c r="I299">
        <f>IF(AND(MyRowHidden(ROW())=FALSE,MyRowHidden(ROW()-1)=TRUE),0,(E299-E298)*unitsOfDHp+I298)</f>
        <v>141320</v>
      </c>
      <c r="J299">
        <f>IF(AND(MyRowHidden(ROW())=FALSE,MyRowHidden(ROW()-1)=TRUE),0,(G299-G298)*unitsOfExo+J298)</f>
        <v>81140</v>
      </c>
      <c r="K299" s="9">
        <f t="shared" si="14"/>
        <v>-81140</v>
      </c>
      <c r="L299">
        <f t="shared" si="15"/>
        <v>222460</v>
      </c>
    </row>
    <row r="300" spans="1:12" x14ac:dyDescent="0.25">
      <c r="A300" s="1"/>
      <c r="C300" s="1"/>
      <c r="D300" s="1">
        <v>41677</v>
      </c>
      <c r="E300" s="10">
        <v>44134</v>
      </c>
      <c r="F300" s="1">
        <v>41677</v>
      </c>
      <c r="G300">
        <v>13734</v>
      </c>
      <c r="H300" s="1">
        <f t="shared" si="13"/>
        <v>41677</v>
      </c>
      <c r="I300">
        <f>IF(AND(MyRowHidden(ROW())=FALSE,MyRowHidden(ROW()-1)=TRUE),0,(E300-E299)*unitsOfDHp+I299)</f>
        <v>141340</v>
      </c>
      <c r="J300">
        <f>IF(AND(MyRowHidden(ROW())=FALSE,MyRowHidden(ROW()-1)=TRUE),0,(G300-G299)*unitsOfExo+J299)</f>
        <v>81640</v>
      </c>
      <c r="K300" s="9">
        <f t="shared" si="14"/>
        <v>-81640</v>
      </c>
      <c r="L300">
        <f t="shared" si="15"/>
        <v>222980</v>
      </c>
    </row>
    <row r="301" spans="1:12" x14ac:dyDescent="0.25">
      <c r="A301" s="1"/>
      <c r="C301" s="1"/>
      <c r="D301" s="1">
        <v>41680</v>
      </c>
      <c r="E301" s="10">
        <v>44150</v>
      </c>
      <c r="F301" s="1">
        <v>41680</v>
      </c>
      <c r="G301">
        <v>13644</v>
      </c>
      <c r="H301" s="1">
        <f t="shared" si="13"/>
        <v>41680</v>
      </c>
      <c r="I301">
        <f>IF(AND(MyRowHidden(ROW())=FALSE,MyRowHidden(ROW()-1)=TRUE),0,(E301-E300)*unitsOfDHp+I300)</f>
        <v>141500</v>
      </c>
      <c r="J301">
        <f>IF(AND(MyRowHidden(ROW())=FALSE,MyRowHidden(ROW()-1)=TRUE),0,(G301-G300)*unitsOfExo+J300)</f>
        <v>80740</v>
      </c>
      <c r="K301" s="9">
        <f t="shared" si="14"/>
        <v>-80740</v>
      </c>
      <c r="L301">
        <f t="shared" si="15"/>
        <v>222240</v>
      </c>
    </row>
    <row r="302" spans="1:12" x14ac:dyDescent="0.25">
      <c r="A302" s="1"/>
      <c r="C302" s="1"/>
      <c r="D302" s="1">
        <v>41681</v>
      </c>
      <c r="E302" s="10">
        <v>43976</v>
      </c>
      <c r="F302" s="1">
        <v>41681</v>
      </c>
      <c r="G302">
        <v>13534</v>
      </c>
      <c r="H302" s="1">
        <f t="shared" si="13"/>
        <v>41681</v>
      </c>
      <c r="I302">
        <f>IF(AND(MyRowHidden(ROW())=FALSE,MyRowHidden(ROW()-1)=TRUE),0,(E302-E301)*unitsOfDHp+I301)</f>
        <v>139760</v>
      </c>
      <c r="J302">
        <f>IF(AND(MyRowHidden(ROW())=FALSE,MyRowHidden(ROW()-1)=TRUE),0,(G302-G301)*unitsOfExo+J301)</f>
        <v>79640</v>
      </c>
      <c r="K302" s="9">
        <f t="shared" si="14"/>
        <v>-79640</v>
      </c>
      <c r="L302">
        <f t="shared" si="15"/>
        <v>219400</v>
      </c>
    </row>
    <row r="303" spans="1:12" x14ac:dyDescent="0.25">
      <c r="A303" s="1"/>
      <c r="C303" s="1"/>
      <c r="D303" s="1">
        <v>41682</v>
      </c>
      <c r="E303" s="10">
        <v>44004</v>
      </c>
      <c r="F303" s="1">
        <v>41682</v>
      </c>
      <c r="G303">
        <v>13634</v>
      </c>
      <c r="H303" s="1">
        <f t="shared" si="13"/>
        <v>41682</v>
      </c>
      <c r="I303">
        <f>IF(AND(MyRowHidden(ROW())=FALSE,MyRowHidden(ROW()-1)=TRUE),0,(E303-E302)*unitsOfDHp+I302)</f>
        <v>140040</v>
      </c>
      <c r="J303">
        <f>IF(AND(MyRowHidden(ROW())=FALSE,MyRowHidden(ROW()-1)=TRUE),0,(G303-G302)*unitsOfExo+J302)</f>
        <v>80640</v>
      </c>
      <c r="K303" s="9">
        <f t="shared" si="14"/>
        <v>-80640</v>
      </c>
      <c r="L303">
        <f t="shared" si="15"/>
        <v>220680</v>
      </c>
    </row>
    <row r="304" spans="1:12" x14ac:dyDescent="0.25">
      <c r="A304" s="1"/>
      <c r="C304" s="1"/>
      <c r="D304" s="1">
        <v>41683</v>
      </c>
      <c r="E304" s="10">
        <v>44054</v>
      </c>
      <c r="F304" s="1">
        <v>41683</v>
      </c>
      <c r="G304">
        <v>13584</v>
      </c>
      <c r="H304" s="1">
        <f t="shared" si="13"/>
        <v>41683</v>
      </c>
      <c r="I304">
        <f>IF(AND(MyRowHidden(ROW())=FALSE,MyRowHidden(ROW()-1)=TRUE),0,(E304-E303)*unitsOfDHp+I303)</f>
        <v>140540</v>
      </c>
      <c r="J304">
        <f>IF(AND(MyRowHidden(ROW())=FALSE,MyRowHidden(ROW()-1)=TRUE),0,(G304-G303)*unitsOfExo+J303)</f>
        <v>80140</v>
      </c>
      <c r="K304" s="9">
        <f t="shared" si="14"/>
        <v>-80140</v>
      </c>
      <c r="L304">
        <f t="shared" si="15"/>
        <v>220680</v>
      </c>
    </row>
    <row r="305" spans="1:12" x14ac:dyDescent="0.25">
      <c r="A305" s="1"/>
      <c r="C305" s="1"/>
      <c r="D305" s="1">
        <v>41684</v>
      </c>
      <c r="E305" s="10">
        <v>43946</v>
      </c>
      <c r="F305" s="1">
        <v>41684</v>
      </c>
      <c r="G305">
        <v>13684</v>
      </c>
      <c r="H305" s="1">
        <f t="shared" si="13"/>
        <v>41684</v>
      </c>
      <c r="I305">
        <f>IF(AND(MyRowHidden(ROW())=FALSE,MyRowHidden(ROW()-1)=TRUE),0,(E305-E304)*unitsOfDHp+I304)</f>
        <v>139460</v>
      </c>
      <c r="J305">
        <f>IF(AND(MyRowHidden(ROW())=FALSE,MyRowHidden(ROW()-1)=TRUE),0,(G305-G304)*unitsOfExo+J304)</f>
        <v>81140</v>
      </c>
      <c r="K305" s="9">
        <f t="shared" si="14"/>
        <v>-81140</v>
      </c>
      <c r="L305">
        <f t="shared" si="15"/>
        <v>220600</v>
      </c>
    </row>
    <row r="306" spans="1:12" x14ac:dyDescent="0.25">
      <c r="A306" s="1"/>
      <c r="C306" s="1"/>
      <c r="D306" s="1">
        <v>41687</v>
      </c>
      <c r="E306" s="10">
        <v>43726</v>
      </c>
      <c r="F306" s="1">
        <v>41687</v>
      </c>
      <c r="G306">
        <v>14004</v>
      </c>
      <c r="H306" s="1">
        <f t="shared" si="13"/>
        <v>41687</v>
      </c>
      <c r="I306">
        <f>IF(AND(MyRowHidden(ROW())=FALSE,MyRowHidden(ROW()-1)=TRUE),0,(E306-E305)*unitsOfDHp+I305)</f>
        <v>137260</v>
      </c>
      <c r="J306">
        <f>IF(AND(MyRowHidden(ROW())=FALSE,MyRowHidden(ROW()-1)=TRUE),0,(G306-G305)*unitsOfExo+J305)</f>
        <v>84340</v>
      </c>
      <c r="K306" s="9">
        <f t="shared" si="14"/>
        <v>-84340</v>
      </c>
      <c r="L306">
        <f t="shared" si="15"/>
        <v>221600</v>
      </c>
    </row>
    <row r="307" spans="1:12" x14ac:dyDescent="0.25">
      <c r="A307" s="1"/>
      <c r="C307" s="1"/>
      <c r="D307" s="1">
        <v>41688</v>
      </c>
      <c r="E307" s="10">
        <v>43828</v>
      </c>
      <c r="F307" s="1">
        <v>41688</v>
      </c>
      <c r="G307">
        <v>14154</v>
      </c>
      <c r="H307" s="1">
        <f t="shared" si="13"/>
        <v>41688</v>
      </c>
      <c r="I307">
        <f>IF(AND(MyRowHidden(ROW())=FALSE,MyRowHidden(ROW()-1)=TRUE),0,(E307-E306)*unitsOfDHp+I306)</f>
        <v>138280</v>
      </c>
      <c r="J307">
        <f>IF(AND(MyRowHidden(ROW())=FALSE,MyRowHidden(ROW()-1)=TRUE),0,(G307-G306)*unitsOfExo+J306)</f>
        <v>85840</v>
      </c>
      <c r="K307" s="9">
        <f t="shared" si="14"/>
        <v>-85840</v>
      </c>
      <c r="L307">
        <f t="shared" si="15"/>
        <v>224120</v>
      </c>
    </row>
    <row r="308" spans="1:12" x14ac:dyDescent="0.25">
      <c r="A308" s="1"/>
      <c r="C308" s="1"/>
      <c r="D308" s="1">
        <v>41689</v>
      </c>
      <c r="E308" s="10">
        <v>43788</v>
      </c>
      <c r="F308" s="1">
        <v>41689</v>
      </c>
      <c r="G308">
        <v>14154</v>
      </c>
      <c r="H308" s="1">
        <f t="shared" si="13"/>
        <v>41689</v>
      </c>
      <c r="I308">
        <f>IF(AND(MyRowHidden(ROW())=FALSE,MyRowHidden(ROW()-1)=TRUE),0,(E308-E307)*unitsOfDHp+I307)</f>
        <v>137880</v>
      </c>
      <c r="J308">
        <f>IF(AND(MyRowHidden(ROW())=FALSE,MyRowHidden(ROW()-1)=TRUE),0,(G308-G307)*unitsOfExo+J307)</f>
        <v>85840</v>
      </c>
      <c r="K308" s="9">
        <f t="shared" si="14"/>
        <v>-85840</v>
      </c>
      <c r="L308">
        <f t="shared" si="15"/>
        <v>223720</v>
      </c>
    </row>
    <row r="309" spans="1:12" x14ac:dyDescent="0.25">
      <c r="A309" s="1"/>
      <c r="C309" s="1"/>
      <c r="D309" s="1">
        <v>41690</v>
      </c>
      <c r="E309" s="10">
        <v>44198</v>
      </c>
      <c r="F309" s="1">
        <v>41690</v>
      </c>
      <c r="G309">
        <v>14314</v>
      </c>
      <c r="H309" s="1">
        <f t="shared" si="13"/>
        <v>41690</v>
      </c>
      <c r="I309">
        <f>IF(AND(MyRowHidden(ROW())=FALSE,MyRowHidden(ROW()-1)=TRUE),0,(E309-E308)*unitsOfDHp+I308)</f>
        <v>141980</v>
      </c>
      <c r="J309">
        <f>IF(AND(MyRowHidden(ROW())=FALSE,MyRowHidden(ROW()-1)=TRUE),0,(G309-G308)*unitsOfExo+J308)</f>
        <v>87440</v>
      </c>
      <c r="K309" s="9">
        <f t="shared" si="14"/>
        <v>-87440</v>
      </c>
      <c r="L309">
        <f t="shared" si="15"/>
        <v>229420</v>
      </c>
    </row>
    <row r="310" spans="1:12" x14ac:dyDescent="0.25">
      <c r="A310" s="1"/>
      <c r="C310" s="1"/>
      <c r="D310" s="1">
        <v>41691</v>
      </c>
      <c r="E310" s="10">
        <v>45742</v>
      </c>
      <c r="F310" s="1">
        <v>41691</v>
      </c>
      <c r="G310">
        <v>14944</v>
      </c>
      <c r="H310" s="1">
        <f t="shared" si="13"/>
        <v>41691</v>
      </c>
      <c r="I310">
        <f>IF(AND(MyRowHidden(ROW())=FALSE,MyRowHidden(ROW()-1)=TRUE),0,(E310-E309)*unitsOfDHp+I309)</f>
        <v>157420</v>
      </c>
      <c r="J310">
        <f>IF(AND(MyRowHidden(ROW())=FALSE,MyRowHidden(ROW()-1)=TRUE),0,(G310-G309)*unitsOfExo+J309)</f>
        <v>93740</v>
      </c>
      <c r="K310" s="9">
        <f t="shared" si="14"/>
        <v>-93740</v>
      </c>
      <c r="L310">
        <f t="shared" si="15"/>
        <v>251160</v>
      </c>
    </row>
    <row r="311" spans="1:12" x14ac:dyDescent="0.25">
      <c r="A311" s="1"/>
      <c r="C311" s="1"/>
      <c r="D311" s="1">
        <v>41694</v>
      </c>
      <c r="E311" s="10">
        <v>45810</v>
      </c>
      <c r="F311" s="1">
        <v>41694</v>
      </c>
      <c r="G311">
        <v>14964</v>
      </c>
      <c r="H311" s="1">
        <f t="shared" si="13"/>
        <v>41694</v>
      </c>
      <c r="I311">
        <f>IF(AND(MyRowHidden(ROW())=FALSE,MyRowHidden(ROW()-1)=TRUE),0,(E311-E310)*unitsOfDHp+I310)</f>
        <v>158100</v>
      </c>
      <c r="J311">
        <f>IF(AND(MyRowHidden(ROW())=FALSE,MyRowHidden(ROW()-1)=TRUE),0,(G311-G310)*unitsOfExo+J310)</f>
        <v>93940</v>
      </c>
      <c r="K311" s="9">
        <f t="shared" si="14"/>
        <v>-93940</v>
      </c>
      <c r="L311">
        <f t="shared" si="15"/>
        <v>252040</v>
      </c>
    </row>
    <row r="312" spans="1:12" x14ac:dyDescent="0.25">
      <c r="A312" s="1"/>
      <c r="C312" s="1"/>
      <c r="D312" s="1">
        <v>41695</v>
      </c>
      <c r="E312" s="10">
        <v>47200</v>
      </c>
      <c r="F312" s="1">
        <v>41695</v>
      </c>
      <c r="G312">
        <v>15384</v>
      </c>
      <c r="H312" s="1">
        <f t="shared" si="13"/>
        <v>41695</v>
      </c>
      <c r="I312">
        <f>IF(AND(MyRowHidden(ROW())=FALSE,MyRowHidden(ROW()-1)=TRUE),0,(E312-E311)*unitsOfDHp+I311)</f>
        <v>172000</v>
      </c>
      <c r="J312">
        <f>IF(AND(MyRowHidden(ROW())=FALSE,MyRowHidden(ROW()-1)=TRUE),0,(G312-G311)*unitsOfExo+J311)</f>
        <v>98140</v>
      </c>
      <c r="K312" s="9">
        <f t="shared" si="14"/>
        <v>-98140</v>
      </c>
      <c r="L312">
        <f t="shared" si="15"/>
        <v>270140</v>
      </c>
    </row>
    <row r="313" spans="1:12" x14ac:dyDescent="0.25">
      <c r="A313" s="1"/>
      <c r="C313" s="1"/>
      <c r="D313" s="1">
        <v>41696</v>
      </c>
      <c r="E313" s="10">
        <v>47966</v>
      </c>
      <c r="F313" s="1">
        <v>41696</v>
      </c>
      <c r="G313">
        <v>15764</v>
      </c>
      <c r="H313" s="1">
        <f t="shared" si="13"/>
        <v>41696</v>
      </c>
      <c r="I313">
        <f>IF(AND(MyRowHidden(ROW())=FALSE,MyRowHidden(ROW()-1)=TRUE),0,(E313-E312)*unitsOfDHp+I312)</f>
        <v>179660</v>
      </c>
      <c r="J313">
        <f>IF(AND(MyRowHidden(ROW())=FALSE,MyRowHidden(ROW()-1)=TRUE),0,(G313-G312)*unitsOfExo+J312)</f>
        <v>101940</v>
      </c>
      <c r="K313" s="9">
        <f t="shared" si="14"/>
        <v>-101940</v>
      </c>
      <c r="L313">
        <f t="shared" si="15"/>
        <v>281600</v>
      </c>
    </row>
    <row r="314" spans="1:12" x14ac:dyDescent="0.25">
      <c r="A314" s="1"/>
      <c r="C314" s="1"/>
      <c r="D314" s="1">
        <v>41697</v>
      </c>
      <c r="E314" s="10">
        <v>49106</v>
      </c>
      <c r="F314" s="1">
        <v>41697</v>
      </c>
      <c r="G314">
        <v>16794</v>
      </c>
      <c r="H314" s="1">
        <f t="shared" si="13"/>
        <v>41697</v>
      </c>
      <c r="I314">
        <f>IF(AND(MyRowHidden(ROW())=FALSE,MyRowHidden(ROW()-1)=TRUE),0,(E314-E313)*unitsOfDHp+I313)</f>
        <v>191060</v>
      </c>
      <c r="J314">
        <f>IF(AND(MyRowHidden(ROW())=FALSE,MyRowHidden(ROW()-1)=TRUE),0,(G314-G313)*unitsOfExo+J313)</f>
        <v>112240</v>
      </c>
      <c r="K314" s="9">
        <f t="shared" si="14"/>
        <v>-112240</v>
      </c>
      <c r="L314">
        <f t="shared" si="15"/>
        <v>303300</v>
      </c>
    </row>
    <row r="315" spans="1:12" x14ac:dyDescent="0.25">
      <c r="A315" s="1"/>
      <c r="C315" s="1"/>
      <c r="D315" s="1">
        <v>41698</v>
      </c>
      <c r="E315" s="10">
        <v>50264</v>
      </c>
      <c r="F315" s="1">
        <v>41698</v>
      </c>
      <c r="G315">
        <v>17974</v>
      </c>
      <c r="H315" s="1">
        <f t="shared" si="13"/>
        <v>41698</v>
      </c>
      <c r="I315">
        <f>IF(AND(MyRowHidden(ROW())=FALSE,MyRowHidden(ROW()-1)=TRUE),0,(E315-E314)*unitsOfDHp+I314)</f>
        <v>202640</v>
      </c>
      <c r="J315">
        <f>IF(AND(MyRowHidden(ROW())=FALSE,MyRowHidden(ROW()-1)=TRUE),0,(G315-G314)*unitsOfExo+J314)</f>
        <v>124040</v>
      </c>
      <c r="K315" s="9">
        <f t="shared" si="14"/>
        <v>-124040</v>
      </c>
      <c r="L315">
        <f t="shared" si="15"/>
        <v>326680</v>
      </c>
    </row>
    <row r="316" spans="1:12" x14ac:dyDescent="0.25">
      <c r="A316" s="1"/>
      <c r="C316" s="1"/>
      <c r="D316" s="1">
        <v>41701</v>
      </c>
      <c r="E316" s="10">
        <v>50294</v>
      </c>
      <c r="F316" s="1">
        <v>41701</v>
      </c>
      <c r="G316">
        <v>18504</v>
      </c>
      <c r="H316" s="1">
        <f t="shared" si="13"/>
        <v>41701</v>
      </c>
      <c r="I316">
        <f>IF(AND(MyRowHidden(ROW())=FALSE,MyRowHidden(ROW()-1)=TRUE),0,(E316-E315)*unitsOfDHp+I315)</f>
        <v>202940</v>
      </c>
      <c r="J316">
        <f>IF(AND(MyRowHidden(ROW())=FALSE,MyRowHidden(ROW()-1)=TRUE),0,(G316-G315)*unitsOfExo+J315)</f>
        <v>129340</v>
      </c>
      <c r="K316" s="9">
        <f t="shared" si="14"/>
        <v>-129340</v>
      </c>
      <c r="L316">
        <f t="shared" si="15"/>
        <v>332280</v>
      </c>
    </row>
    <row r="317" spans="1:12" x14ac:dyDescent="0.25">
      <c r="A317" s="1"/>
      <c r="C317" s="1"/>
      <c r="D317" s="1">
        <v>41702</v>
      </c>
      <c r="E317" s="10">
        <v>50374</v>
      </c>
      <c r="F317" s="1">
        <v>41702</v>
      </c>
      <c r="G317">
        <v>19904</v>
      </c>
      <c r="H317" s="1">
        <f t="shared" si="13"/>
        <v>41702</v>
      </c>
      <c r="I317">
        <f>IF(AND(MyRowHidden(ROW())=FALSE,MyRowHidden(ROW()-1)=TRUE),0,(E317-E316)*unitsOfDHp+I316)</f>
        <v>203740</v>
      </c>
      <c r="J317">
        <f>IF(AND(MyRowHidden(ROW())=FALSE,MyRowHidden(ROW()-1)=TRUE),0,(G317-G316)*unitsOfExo+J316)</f>
        <v>143340</v>
      </c>
      <c r="K317" s="9">
        <f t="shared" si="14"/>
        <v>-143340</v>
      </c>
      <c r="L317">
        <f t="shared" si="15"/>
        <v>347080</v>
      </c>
    </row>
    <row r="318" spans="1:12" x14ac:dyDescent="0.25">
      <c r="A318" s="1"/>
      <c r="C318" s="1"/>
      <c r="D318" s="1">
        <v>41703</v>
      </c>
      <c r="E318" s="10">
        <v>50304</v>
      </c>
      <c r="F318" s="1">
        <v>41703</v>
      </c>
      <c r="G318">
        <v>19374</v>
      </c>
      <c r="H318" s="1">
        <f t="shared" si="13"/>
        <v>41703</v>
      </c>
      <c r="I318">
        <f>IF(AND(MyRowHidden(ROW())=FALSE,MyRowHidden(ROW()-1)=TRUE),0,(E318-E317)*unitsOfDHp+I317)</f>
        <v>203040</v>
      </c>
      <c r="J318">
        <f>IF(AND(MyRowHidden(ROW())=FALSE,MyRowHidden(ROW()-1)=TRUE),0,(G318-G317)*unitsOfExo+J317)</f>
        <v>138040</v>
      </c>
      <c r="K318" s="9">
        <f t="shared" si="14"/>
        <v>-138040</v>
      </c>
      <c r="L318">
        <f t="shared" si="15"/>
        <v>341080</v>
      </c>
    </row>
    <row r="319" spans="1:12" x14ac:dyDescent="0.25">
      <c r="A319" s="1"/>
      <c r="C319" s="1"/>
      <c r="D319" s="1">
        <v>41704</v>
      </c>
      <c r="E319" s="10">
        <v>50374</v>
      </c>
      <c r="F319" s="1">
        <v>41704</v>
      </c>
      <c r="G319">
        <v>20204</v>
      </c>
      <c r="H319" s="1">
        <f t="shared" si="13"/>
        <v>41704</v>
      </c>
      <c r="I319">
        <f>IF(AND(MyRowHidden(ROW())=FALSE,MyRowHidden(ROW()-1)=TRUE),0,(E319-E318)*unitsOfDHp+I318)</f>
        <v>203740</v>
      </c>
      <c r="J319">
        <f>IF(AND(MyRowHidden(ROW())=FALSE,MyRowHidden(ROW()-1)=TRUE),0,(G319-G318)*unitsOfExo+J318)</f>
        <v>146340</v>
      </c>
      <c r="K319" s="9">
        <f t="shared" si="14"/>
        <v>-146340</v>
      </c>
      <c r="L319">
        <f t="shared" si="15"/>
        <v>350080</v>
      </c>
    </row>
    <row r="320" spans="1:12" x14ac:dyDescent="0.25">
      <c r="A320" s="1"/>
      <c r="C320" s="1"/>
      <c r="D320" s="1">
        <v>41705</v>
      </c>
      <c r="E320" s="10">
        <v>50394</v>
      </c>
      <c r="F320" s="1">
        <v>41705</v>
      </c>
      <c r="G320">
        <v>20374</v>
      </c>
      <c r="H320" s="1">
        <f t="shared" si="13"/>
        <v>41705</v>
      </c>
      <c r="I320">
        <f>IF(AND(MyRowHidden(ROW())=FALSE,MyRowHidden(ROW()-1)=TRUE),0,(E320-E319)*unitsOfDHp+I319)</f>
        <v>203940</v>
      </c>
      <c r="J320">
        <f>IF(AND(MyRowHidden(ROW())=FALSE,MyRowHidden(ROW()-1)=TRUE),0,(G320-G319)*unitsOfExo+J319)</f>
        <v>148040</v>
      </c>
      <c r="K320" s="9">
        <f t="shared" si="14"/>
        <v>-148040</v>
      </c>
      <c r="L320">
        <f t="shared" si="15"/>
        <v>351980</v>
      </c>
    </row>
    <row r="321" spans="1:12" x14ac:dyDescent="0.25">
      <c r="A321" s="1"/>
      <c r="C321" s="1"/>
      <c r="D321" s="1">
        <v>41708</v>
      </c>
      <c r="E321" s="10">
        <v>50424</v>
      </c>
      <c r="F321" s="1">
        <v>41708</v>
      </c>
      <c r="G321">
        <v>21594</v>
      </c>
      <c r="H321" s="1">
        <f t="shared" si="13"/>
        <v>41708</v>
      </c>
      <c r="I321">
        <f>IF(AND(MyRowHidden(ROW())=FALSE,MyRowHidden(ROW()-1)=TRUE),0,(E321-E320)*unitsOfDHp+I320)</f>
        <v>204240</v>
      </c>
      <c r="J321">
        <f>IF(AND(MyRowHidden(ROW())=FALSE,MyRowHidden(ROW()-1)=TRUE),0,(G321-G320)*unitsOfExo+J320)</f>
        <v>160240</v>
      </c>
      <c r="K321" s="9">
        <f t="shared" si="14"/>
        <v>-160240</v>
      </c>
      <c r="L321">
        <f t="shared" si="15"/>
        <v>364480</v>
      </c>
    </row>
    <row r="322" spans="1:12" x14ac:dyDescent="0.25">
      <c r="A322" s="1"/>
      <c r="C322" s="1"/>
      <c r="D322" s="1">
        <v>41709</v>
      </c>
      <c r="E322" s="10">
        <v>50424</v>
      </c>
      <c r="F322" s="1">
        <v>41709</v>
      </c>
      <c r="G322">
        <v>21954</v>
      </c>
      <c r="H322" s="1">
        <f t="shared" si="13"/>
        <v>41709</v>
      </c>
      <c r="I322">
        <f>IF(AND(MyRowHidden(ROW())=FALSE,MyRowHidden(ROW()-1)=TRUE),0,(E322-E321)*unitsOfDHp+I321)</f>
        <v>204240</v>
      </c>
      <c r="J322">
        <f>IF(AND(MyRowHidden(ROW())=FALSE,MyRowHidden(ROW()-1)=TRUE),0,(G322-G321)*unitsOfExo+J321)</f>
        <v>163840</v>
      </c>
      <c r="K322" s="9">
        <f t="shared" si="14"/>
        <v>-163840</v>
      </c>
      <c r="L322">
        <f t="shared" si="15"/>
        <v>368080</v>
      </c>
    </row>
    <row r="323" spans="1:12" x14ac:dyDescent="0.25">
      <c r="A323" s="1"/>
      <c r="C323" s="1"/>
      <c r="D323" s="1">
        <v>41710</v>
      </c>
      <c r="E323" s="10">
        <v>50404</v>
      </c>
      <c r="F323" s="1">
        <v>41710</v>
      </c>
      <c r="G323">
        <v>21624</v>
      </c>
      <c r="H323" s="1">
        <f t="shared" si="13"/>
        <v>41710</v>
      </c>
      <c r="I323">
        <f>IF(AND(MyRowHidden(ROW())=FALSE,MyRowHidden(ROW()-1)=TRUE),0,(E323-E322)*unitsOfDHp+I322)</f>
        <v>204040</v>
      </c>
      <c r="J323">
        <f>IF(AND(MyRowHidden(ROW())=FALSE,MyRowHidden(ROW()-1)=TRUE),0,(G323-G322)*unitsOfExo+J322)</f>
        <v>160540</v>
      </c>
      <c r="K323" s="9">
        <f t="shared" si="14"/>
        <v>-160540</v>
      </c>
      <c r="L323">
        <f t="shared" si="15"/>
        <v>364580</v>
      </c>
    </row>
    <row r="324" spans="1:12" x14ac:dyDescent="0.25">
      <c r="A324" s="1"/>
      <c r="C324" s="1"/>
      <c r="D324" s="1">
        <v>41711</v>
      </c>
      <c r="E324" s="10">
        <v>50414</v>
      </c>
      <c r="F324" s="1">
        <v>41711</v>
      </c>
      <c r="G324">
        <v>22764</v>
      </c>
      <c r="H324" s="1">
        <f t="shared" si="13"/>
        <v>41711</v>
      </c>
      <c r="I324">
        <f>IF(AND(MyRowHidden(ROW())=FALSE,MyRowHidden(ROW()-1)=TRUE),0,(E324-E323)*unitsOfDHp+I323)</f>
        <v>204140</v>
      </c>
      <c r="J324">
        <f>IF(AND(MyRowHidden(ROW())=FALSE,MyRowHidden(ROW()-1)=TRUE),0,(G324-G323)*unitsOfExo+J323)</f>
        <v>171940</v>
      </c>
      <c r="K324" s="9">
        <f t="shared" si="14"/>
        <v>-171940</v>
      </c>
      <c r="L324">
        <f t="shared" si="15"/>
        <v>376080</v>
      </c>
    </row>
    <row r="325" spans="1:12" x14ac:dyDescent="0.25">
      <c r="A325" s="1"/>
      <c r="C325" s="1"/>
      <c r="D325" s="1">
        <v>41712</v>
      </c>
      <c r="E325" s="10">
        <v>50424</v>
      </c>
      <c r="F325" s="1">
        <v>41712</v>
      </c>
      <c r="G325">
        <v>23024</v>
      </c>
      <c r="H325" s="1">
        <f t="shared" si="13"/>
        <v>41712</v>
      </c>
      <c r="I325">
        <f>IF(AND(MyRowHidden(ROW())=FALSE,MyRowHidden(ROW()-1)=TRUE),0,(E325-E324)*unitsOfDHp+I324)</f>
        <v>204240</v>
      </c>
      <c r="J325">
        <f>IF(AND(MyRowHidden(ROW())=FALSE,MyRowHidden(ROW()-1)=TRUE),0,(G325-G324)*unitsOfExo+J324)</f>
        <v>174540</v>
      </c>
      <c r="K325" s="9">
        <f t="shared" si="14"/>
        <v>-174540</v>
      </c>
      <c r="L325">
        <f t="shared" si="15"/>
        <v>378780</v>
      </c>
    </row>
    <row r="326" spans="1:12" x14ac:dyDescent="0.25">
      <c r="A326" s="1"/>
      <c r="C326" s="1"/>
      <c r="D326" s="1">
        <v>41715</v>
      </c>
      <c r="E326" s="10">
        <v>50434</v>
      </c>
      <c r="F326" s="1">
        <v>41715</v>
      </c>
      <c r="G326">
        <v>23904</v>
      </c>
      <c r="H326" s="1">
        <f t="shared" si="13"/>
        <v>41715</v>
      </c>
      <c r="I326">
        <f>IF(AND(MyRowHidden(ROW())=FALSE,MyRowHidden(ROW()-1)=TRUE),0,(E326-E325)*unitsOfDHp+I325)</f>
        <v>204340</v>
      </c>
      <c r="J326">
        <f>IF(AND(MyRowHidden(ROW())=FALSE,MyRowHidden(ROW()-1)=TRUE),0,(G326-G325)*unitsOfExo+J325)</f>
        <v>183340</v>
      </c>
      <c r="K326" s="9">
        <f t="shared" si="14"/>
        <v>-183340</v>
      </c>
      <c r="L326">
        <f t="shared" si="15"/>
        <v>387680</v>
      </c>
    </row>
    <row r="327" spans="1:12" x14ac:dyDescent="0.25">
      <c r="A327" s="1"/>
      <c r="C327" s="1"/>
      <c r="D327" s="1">
        <v>41716</v>
      </c>
      <c r="E327" s="10">
        <v>50444</v>
      </c>
      <c r="F327" s="1">
        <v>41716</v>
      </c>
      <c r="G327">
        <v>24594</v>
      </c>
      <c r="H327" s="1">
        <f t="shared" si="13"/>
        <v>41716</v>
      </c>
      <c r="I327">
        <f>IF(AND(MyRowHidden(ROW())=FALSE,MyRowHidden(ROW()-1)=TRUE),0,(E327-E326)*unitsOfDHp+I326)</f>
        <v>204440</v>
      </c>
      <c r="J327">
        <f>IF(AND(MyRowHidden(ROW())=FALSE,MyRowHidden(ROW()-1)=TRUE),0,(G327-G326)*unitsOfExo+J326)</f>
        <v>190240</v>
      </c>
      <c r="K327" s="9">
        <f t="shared" si="14"/>
        <v>-190240</v>
      </c>
      <c r="L327">
        <f t="shared" si="15"/>
        <v>394680</v>
      </c>
    </row>
    <row r="328" spans="1:12" x14ac:dyDescent="0.25">
      <c r="A328" s="1"/>
      <c r="C328" s="1"/>
      <c r="D328" s="1">
        <v>41717</v>
      </c>
      <c r="E328" s="10">
        <v>50434</v>
      </c>
      <c r="F328" s="1">
        <v>41717</v>
      </c>
      <c r="G328">
        <v>24974</v>
      </c>
      <c r="H328" s="1">
        <f t="shared" si="13"/>
        <v>41717</v>
      </c>
      <c r="I328">
        <f>IF(AND(MyRowHidden(ROW())=FALSE,MyRowHidden(ROW()-1)=TRUE),0,(E328-E327)*unitsOfDHp+I327)</f>
        <v>204340</v>
      </c>
      <c r="J328">
        <f>IF(AND(MyRowHidden(ROW())=FALSE,MyRowHidden(ROW()-1)=TRUE),0,(G328-G327)*unitsOfExo+J327)</f>
        <v>194040</v>
      </c>
      <c r="K328" s="9">
        <f t="shared" si="14"/>
        <v>-194040</v>
      </c>
      <c r="L328">
        <f t="shared" si="15"/>
        <v>398380</v>
      </c>
    </row>
    <row r="329" spans="1:12" x14ac:dyDescent="0.25">
      <c r="A329" s="1"/>
      <c r="C329" s="1"/>
      <c r="D329" s="1">
        <v>41718</v>
      </c>
      <c r="E329" s="10">
        <v>50444</v>
      </c>
      <c r="F329" s="1">
        <v>41718</v>
      </c>
      <c r="G329">
        <v>25364</v>
      </c>
      <c r="H329" s="1">
        <f t="shared" si="13"/>
        <v>41718</v>
      </c>
      <c r="I329">
        <f>IF(AND(MyRowHidden(ROW())=FALSE,MyRowHidden(ROW()-1)=TRUE),0,(E329-E328)*unitsOfDHp+I328)</f>
        <v>204440</v>
      </c>
      <c r="J329">
        <f>IF(AND(MyRowHidden(ROW())=FALSE,MyRowHidden(ROW()-1)=TRUE),0,(G329-G328)*unitsOfExo+J328)</f>
        <v>197940</v>
      </c>
      <c r="K329" s="9">
        <f t="shared" si="14"/>
        <v>-197940</v>
      </c>
      <c r="L329">
        <f t="shared" si="15"/>
        <v>402380</v>
      </c>
    </row>
    <row r="330" spans="1:12" x14ac:dyDescent="0.25">
      <c r="A330" s="1"/>
      <c r="C330" s="1"/>
      <c r="D330" s="1">
        <v>41719</v>
      </c>
      <c r="E330" s="10">
        <v>50444</v>
      </c>
      <c r="F330" s="1">
        <v>41719</v>
      </c>
      <c r="G330">
        <v>25374</v>
      </c>
      <c r="H330" s="1">
        <f t="shared" si="13"/>
        <v>41719</v>
      </c>
      <c r="I330">
        <f>IF(AND(MyRowHidden(ROW())=FALSE,MyRowHidden(ROW()-1)=TRUE),0,(E330-E329)*unitsOfDHp+I329)</f>
        <v>204440</v>
      </c>
      <c r="J330">
        <f>IF(AND(MyRowHidden(ROW())=FALSE,MyRowHidden(ROW()-1)=TRUE),0,(G330-G329)*unitsOfExo+J329)</f>
        <v>198040</v>
      </c>
      <c r="K330" s="9">
        <f t="shared" si="14"/>
        <v>-198040</v>
      </c>
      <c r="L330">
        <f t="shared" si="15"/>
        <v>402480</v>
      </c>
    </row>
    <row r="331" spans="1:12" x14ac:dyDescent="0.25">
      <c r="A331" s="1"/>
      <c r="C331" s="1"/>
      <c r="D331" s="1">
        <v>41722</v>
      </c>
      <c r="E331" s="10">
        <v>50444</v>
      </c>
      <c r="F331" s="1">
        <v>41722</v>
      </c>
      <c r="G331">
        <v>25164</v>
      </c>
      <c r="H331" s="1">
        <f t="shared" si="13"/>
        <v>41722</v>
      </c>
      <c r="I331">
        <f>IF(AND(MyRowHidden(ROW())=FALSE,MyRowHidden(ROW()-1)=TRUE),0,(E331-E330)*unitsOfDHp+I330)</f>
        <v>204440</v>
      </c>
      <c r="J331">
        <f>IF(AND(MyRowHidden(ROW())=FALSE,MyRowHidden(ROW()-1)=TRUE),0,(G331-G330)*unitsOfExo+J330)</f>
        <v>195940</v>
      </c>
      <c r="K331" s="9">
        <f t="shared" si="14"/>
        <v>-195940</v>
      </c>
      <c r="L331">
        <f t="shared" si="15"/>
        <v>400380</v>
      </c>
    </row>
    <row r="332" spans="1:12" x14ac:dyDescent="0.25">
      <c r="A332" s="1"/>
      <c r="C332" s="1"/>
      <c r="D332" s="1">
        <v>41723</v>
      </c>
      <c r="E332" s="10">
        <v>50410</v>
      </c>
      <c r="F332" s="1">
        <v>41723</v>
      </c>
      <c r="G332">
        <v>23894</v>
      </c>
      <c r="H332" s="1">
        <f t="shared" si="13"/>
        <v>41723</v>
      </c>
      <c r="I332">
        <f>IF(AND(MyRowHidden(ROW())=FALSE,MyRowHidden(ROW()-1)=TRUE),0,(E332-E331)*unitsOfDHp+I331)</f>
        <v>204100</v>
      </c>
      <c r="J332">
        <f>IF(AND(MyRowHidden(ROW())=FALSE,MyRowHidden(ROW()-1)=TRUE),0,(G332-G331)*unitsOfExo+J331)</f>
        <v>183240</v>
      </c>
      <c r="K332" s="9">
        <f t="shared" si="14"/>
        <v>-183240</v>
      </c>
      <c r="L332">
        <f t="shared" si="15"/>
        <v>387340</v>
      </c>
    </row>
    <row r="333" spans="1:12" x14ac:dyDescent="0.25">
      <c r="A333" s="1"/>
      <c r="C333" s="1"/>
      <c r="D333" s="1">
        <v>41724</v>
      </c>
      <c r="E333" s="10">
        <v>50410</v>
      </c>
      <c r="F333" s="1">
        <v>41724</v>
      </c>
      <c r="G333">
        <v>24414</v>
      </c>
      <c r="H333" s="1">
        <f t="shared" ref="H333:H396" si="16">D333</f>
        <v>41724</v>
      </c>
      <c r="I333">
        <f>IF(AND(MyRowHidden(ROW())=FALSE,MyRowHidden(ROW()-1)=TRUE),0,(E333-E332)*unitsOfDHp+I332)</f>
        <v>204100</v>
      </c>
      <c r="J333">
        <f>IF(AND(MyRowHidden(ROW())=FALSE,MyRowHidden(ROW()-1)=TRUE),0,(G333-G332)*unitsOfExo+J332)</f>
        <v>188440</v>
      </c>
      <c r="K333" s="9">
        <f t="shared" ref="K333:K396" si="17">-(J333-J332)+K332</f>
        <v>-188440</v>
      </c>
      <c r="L333">
        <f t="shared" ref="L333:L396" si="18">I333+J333</f>
        <v>392540</v>
      </c>
    </row>
    <row r="334" spans="1:12" x14ac:dyDescent="0.25">
      <c r="A334" s="1"/>
      <c r="C334" s="1"/>
      <c r="D334" s="1">
        <v>41725</v>
      </c>
      <c r="E334" s="10">
        <v>50398</v>
      </c>
      <c r="F334" s="1">
        <v>41725</v>
      </c>
      <c r="G334">
        <v>25424</v>
      </c>
      <c r="H334" s="1">
        <f t="shared" si="16"/>
        <v>41725</v>
      </c>
      <c r="I334">
        <f>IF(AND(MyRowHidden(ROW())=FALSE,MyRowHidden(ROW()-1)=TRUE),0,(E334-E333)*unitsOfDHp+I333)</f>
        <v>203980</v>
      </c>
      <c r="J334">
        <f>IF(AND(MyRowHidden(ROW())=FALSE,MyRowHidden(ROW()-1)=TRUE),0,(G334-G333)*unitsOfExo+J333)</f>
        <v>198540</v>
      </c>
      <c r="K334" s="9">
        <f t="shared" si="17"/>
        <v>-198540</v>
      </c>
      <c r="L334">
        <f t="shared" si="18"/>
        <v>402520</v>
      </c>
    </row>
    <row r="335" spans="1:12" x14ac:dyDescent="0.25">
      <c r="A335" s="1"/>
      <c r="C335" s="1"/>
      <c r="D335" s="1">
        <v>41726</v>
      </c>
      <c r="E335" s="10">
        <v>50398</v>
      </c>
      <c r="F335" s="1">
        <v>41726</v>
      </c>
      <c r="G335">
        <v>25354</v>
      </c>
      <c r="H335" s="1">
        <f t="shared" si="16"/>
        <v>41726</v>
      </c>
      <c r="I335">
        <f>IF(AND(MyRowHidden(ROW())=FALSE,MyRowHidden(ROW()-1)=TRUE),0,(E335-E334)*unitsOfDHp+I334)</f>
        <v>203980</v>
      </c>
      <c r="J335">
        <f>IF(AND(MyRowHidden(ROW())=FALSE,MyRowHidden(ROW()-1)=TRUE),0,(G335-G334)*unitsOfExo+J334)</f>
        <v>197840</v>
      </c>
      <c r="K335" s="9">
        <f t="shared" si="17"/>
        <v>-197840</v>
      </c>
      <c r="L335">
        <f t="shared" si="18"/>
        <v>401820</v>
      </c>
    </row>
    <row r="336" spans="1:12" x14ac:dyDescent="0.25">
      <c r="A336" s="1"/>
      <c r="C336" s="1"/>
      <c r="D336" s="1">
        <v>41729</v>
      </c>
      <c r="E336" s="10">
        <v>50398</v>
      </c>
      <c r="F336" s="1">
        <v>41729</v>
      </c>
      <c r="G336">
        <v>25584</v>
      </c>
      <c r="H336" s="1">
        <f t="shared" si="16"/>
        <v>41729</v>
      </c>
      <c r="I336">
        <f>IF(AND(MyRowHidden(ROW())=FALSE,MyRowHidden(ROW()-1)=TRUE),0,(E336-E335)*unitsOfDHp+I335)</f>
        <v>203980</v>
      </c>
      <c r="J336">
        <f>IF(AND(MyRowHidden(ROW())=FALSE,MyRowHidden(ROW()-1)=TRUE),0,(G336-G335)*unitsOfExo+J335)</f>
        <v>200140</v>
      </c>
      <c r="K336" s="9">
        <f t="shared" si="17"/>
        <v>-200140</v>
      </c>
      <c r="L336">
        <f t="shared" si="18"/>
        <v>404120</v>
      </c>
    </row>
    <row r="337" spans="1:12" x14ac:dyDescent="0.25">
      <c r="A337" s="1"/>
      <c r="C337" s="1"/>
      <c r="D337" s="1">
        <v>41730</v>
      </c>
      <c r="E337" s="10">
        <v>50374</v>
      </c>
      <c r="F337" s="1">
        <v>41730</v>
      </c>
      <c r="G337">
        <v>26312</v>
      </c>
      <c r="H337" s="1">
        <f t="shared" si="16"/>
        <v>41730</v>
      </c>
      <c r="I337">
        <f>IF(AND(MyRowHidden(ROW())=FALSE,MyRowHidden(ROW()-1)=TRUE),0,(E337-E336)*unitsOfDHp+I336)</f>
        <v>203740</v>
      </c>
      <c r="J337">
        <f>IF(AND(MyRowHidden(ROW())=FALSE,MyRowHidden(ROW()-1)=TRUE),0,(G337-G336)*unitsOfExo+J336)</f>
        <v>207420</v>
      </c>
      <c r="K337" s="9">
        <f t="shared" si="17"/>
        <v>-207420</v>
      </c>
      <c r="L337">
        <f t="shared" si="18"/>
        <v>411160</v>
      </c>
    </row>
    <row r="338" spans="1:12" x14ac:dyDescent="0.25">
      <c r="A338" s="1"/>
      <c r="C338" s="1"/>
      <c r="D338" s="1">
        <v>41731</v>
      </c>
      <c r="E338" s="10">
        <v>50374</v>
      </c>
      <c r="F338" s="1">
        <v>41731</v>
      </c>
      <c r="G338">
        <v>26032</v>
      </c>
      <c r="H338" s="1">
        <f t="shared" si="16"/>
        <v>41731</v>
      </c>
      <c r="I338">
        <f>IF(AND(MyRowHidden(ROW())=FALSE,MyRowHidden(ROW()-1)=TRUE),0,(E338-E337)*unitsOfDHp+I337)</f>
        <v>203740</v>
      </c>
      <c r="J338">
        <f>IF(AND(MyRowHidden(ROW())=FALSE,MyRowHidden(ROW()-1)=TRUE),0,(G338-G337)*unitsOfExo+J337)</f>
        <v>204620</v>
      </c>
      <c r="K338" s="9">
        <f t="shared" si="17"/>
        <v>-204620</v>
      </c>
      <c r="L338">
        <f t="shared" si="18"/>
        <v>408360</v>
      </c>
    </row>
    <row r="339" spans="1:12" x14ac:dyDescent="0.25">
      <c r="A339" s="1"/>
      <c r="C339" s="1"/>
      <c r="D339" s="1">
        <v>41732</v>
      </c>
      <c r="E339" s="10">
        <v>50374</v>
      </c>
      <c r="F339" s="1">
        <v>41732</v>
      </c>
      <c r="G339">
        <v>25522</v>
      </c>
      <c r="H339" s="1">
        <f t="shared" si="16"/>
        <v>41732</v>
      </c>
      <c r="I339">
        <f>IF(AND(MyRowHidden(ROW())=FALSE,MyRowHidden(ROW()-1)=TRUE),0,(E339-E338)*unitsOfDHp+I338)</f>
        <v>203740</v>
      </c>
      <c r="J339">
        <f>IF(AND(MyRowHidden(ROW())=FALSE,MyRowHidden(ROW()-1)=TRUE),0,(G339-G338)*unitsOfExo+J338)</f>
        <v>199520</v>
      </c>
      <c r="K339" s="9">
        <f t="shared" si="17"/>
        <v>-199520</v>
      </c>
      <c r="L339">
        <f t="shared" si="18"/>
        <v>403260</v>
      </c>
    </row>
    <row r="340" spans="1:12" x14ac:dyDescent="0.25">
      <c r="A340" s="1"/>
      <c r="C340" s="1"/>
      <c r="D340" s="1">
        <v>41733</v>
      </c>
      <c r="E340" s="10">
        <v>50374</v>
      </c>
      <c r="F340" s="1">
        <v>41733</v>
      </c>
      <c r="G340">
        <v>24402</v>
      </c>
      <c r="H340" s="1">
        <f t="shared" si="16"/>
        <v>41733</v>
      </c>
      <c r="I340">
        <f>IF(AND(MyRowHidden(ROW())=FALSE,MyRowHidden(ROW()-1)=TRUE),0,(E340-E339)*unitsOfDHp+I339)</f>
        <v>203740</v>
      </c>
      <c r="J340">
        <f>IF(AND(MyRowHidden(ROW())=FALSE,MyRowHidden(ROW()-1)=TRUE),0,(G340-G339)*unitsOfExo+J339)</f>
        <v>188320</v>
      </c>
      <c r="K340" s="9">
        <f t="shared" si="17"/>
        <v>-188320</v>
      </c>
      <c r="L340">
        <f t="shared" si="18"/>
        <v>392060</v>
      </c>
    </row>
    <row r="341" spans="1:12" x14ac:dyDescent="0.25">
      <c r="A341" s="1"/>
      <c r="C341" s="1"/>
      <c r="D341" s="1">
        <v>41736</v>
      </c>
      <c r="E341" s="10">
        <v>50374</v>
      </c>
      <c r="F341" s="1">
        <v>41736</v>
      </c>
      <c r="G341">
        <v>25312</v>
      </c>
      <c r="H341" s="1">
        <f t="shared" si="16"/>
        <v>41736</v>
      </c>
      <c r="I341">
        <f>IF(AND(MyRowHidden(ROW())=FALSE,MyRowHidden(ROW()-1)=TRUE),0,(E341-E340)*unitsOfDHp+I340)</f>
        <v>203740</v>
      </c>
      <c r="J341">
        <f>IF(AND(MyRowHidden(ROW())=FALSE,MyRowHidden(ROW()-1)=TRUE),0,(G341-G340)*unitsOfExo+J340)</f>
        <v>197420</v>
      </c>
      <c r="K341" s="9">
        <f t="shared" si="17"/>
        <v>-197420</v>
      </c>
      <c r="L341">
        <f t="shared" si="18"/>
        <v>401160</v>
      </c>
    </row>
    <row r="342" spans="1:12" x14ac:dyDescent="0.25">
      <c r="A342" s="1"/>
      <c r="C342" s="1"/>
      <c r="D342" s="1">
        <v>41737</v>
      </c>
      <c r="E342" s="10">
        <v>50374</v>
      </c>
      <c r="F342" s="1">
        <v>41737</v>
      </c>
      <c r="G342">
        <v>24532</v>
      </c>
      <c r="H342" s="1">
        <f t="shared" si="16"/>
        <v>41737</v>
      </c>
      <c r="I342">
        <f>IF(AND(MyRowHidden(ROW())=FALSE,MyRowHidden(ROW()-1)=TRUE),0,(E342-E341)*unitsOfDHp+I341)</f>
        <v>203740</v>
      </c>
      <c r="J342">
        <f>IF(AND(MyRowHidden(ROW())=FALSE,MyRowHidden(ROW()-1)=TRUE),0,(G342-G341)*unitsOfExo+J341)</f>
        <v>189620</v>
      </c>
      <c r="K342" s="9">
        <f t="shared" si="17"/>
        <v>-189620</v>
      </c>
      <c r="L342">
        <f t="shared" si="18"/>
        <v>393360</v>
      </c>
    </row>
    <row r="343" spans="1:12" x14ac:dyDescent="0.25">
      <c r="A343" s="1"/>
      <c r="C343" s="1"/>
      <c r="D343" s="1">
        <v>41738</v>
      </c>
      <c r="E343" s="10">
        <v>50374</v>
      </c>
      <c r="F343" s="1">
        <v>41738</v>
      </c>
      <c r="G343">
        <v>25282</v>
      </c>
      <c r="H343" s="1">
        <f t="shared" si="16"/>
        <v>41738</v>
      </c>
      <c r="I343">
        <f>IF(AND(MyRowHidden(ROW())=FALSE,MyRowHidden(ROW()-1)=TRUE),0,(E343-E342)*unitsOfDHp+I342)</f>
        <v>203740</v>
      </c>
      <c r="J343">
        <f>IF(AND(MyRowHidden(ROW())=FALSE,MyRowHidden(ROW()-1)=TRUE),0,(G343-G342)*unitsOfExo+J342)</f>
        <v>197120</v>
      </c>
      <c r="K343" s="9">
        <f t="shared" si="17"/>
        <v>-197120</v>
      </c>
      <c r="L343">
        <f t="shared" si="18"/>
        <v>400860</v>
      </c>
    </row>
    <row r="344" spans="1:12" x14ac:dyDescent="0.25">
      <c r="A344" s="1"/>
      <c r="C344" s="1"/>
      <c r="D344" s="1">
        <v>41739</v>
      </c>
      <c r="E344" s="10">
        <v>50374</v>
      </c>
      <c r="F344" s="1">
        <v>41739</v>
      </c>
      <c r="G344">
        <v>25252</v>
      </c>
      <c r="H344" s="1">
        <f t="shared" si="16"/>
        <v>41739</v>
      </c>
      <c r="I344">
        <f>IF(AND(MyRowHidden(ROW())=FALSE,MyRowHidden(ROW()-1)=TRUE),0,(E344-E343)*unitsOfDHp+I343)</f>
        <v>203740</v>
      </c>
      <c r="J344">
        <f>IF(AND(MyRowHidden(ROW())=FALSE,MyRowHidden(ROW()-1)=TRUE),0,(G344-G343)*unitsOfExo+J343)</f>
        <v>196820</v>
      </c>
      <c r="K344" s="9">
        <f t="shared" si="17"/>
        <v>-196820</v>
      </c>
      <c r="L344">
        <f t="shared" si="18"/>
        <v>400560</v>
      </c>
    </row>
    <row r="345" spans="1:12" x14ac:dyDescent="0.25">
      <c r="A345" s="1"/>
      <c r="C345" s="1"/>
      <c r="D345" s="1">
        <v>41740</v>
      </c>
      <c r="E345" s="10">
        <v>50374</v>
      </c>
      <c r="F345" s="1">
        <v>41740</v>
      </c>
      <c r="G345">
        <v>25152</v>
      </c>
      <c r="H345" s="1">
        <f t="shared" si="16"/>
        <v>41740</v>
      </c>
      <c r="I345">
        <f>IF(AND(MyRowHidden(ROW())=FALSE,MyRowHidden(ROW()-1)=TRUE),0,(E345-E344)*unitsOfDHp+I344)</f>
        <v>203740</v>
      </c>
      <c r="J345">
        <f>IF(AND(MyRowHidden(ROW())=FALSE,MyRowHidden(ROW()-1)=TRUE),0,(G345-G344)*unitsOfExo+J344)</f>
        <v>195820</v>
      </c>
      <c r="K345" s="9">
        <f t="shared" si="17"/>
        <v>-195820</v>
      </c>
      <c r="L345">
        <f t="shared" si="18"/>
        <v>399560</v>
      </c>
    </row>
    <row r="346" spans="1:12" x14ac:dyDescent="0.25">
      <c r="A346" s="1"/>
      <c r="C346" s="1"/>
      <c r="D346" s="1">
        <v>41743</v>
      </c>
      <c r="E346" s="10">
        <v>50326</v>
      </c>
      <c r="F346" s="1">
        <v>41743</v>
      </c>
      <c r="G346">
        <v>25082</v>
      </c>
      <c r="H346" s="1">
        <f t="shared" si="16"/>
        <v>41743</v>
      </c>
      <c r="I346">
        <f>IF(AND(MyRowHidden(ROW())=FALSE,MyRowHidden(ROW()-1)=TRUE),0,(E346-E345)*unitsOfDHp+I345)</f>
        <v>203260</v>
      </c>
      <c r="J346">
        <f>IF(AND(MyRowHidden(ROW())=FALSE,MyRowHidden(ROW()-1)=TRUE),0,(G346-G345)*unitsOfExo+J345)</f>
        <v>195120</v>
      </c>
      <c r="K346" s="9">
        <f t="shared" si="17"/>
        <v>-195120</v>
      </c>
      <c r="L346">
        <f t="shared" si="18"/>
        <v>398380</v>
      </c>
    </row>
    <row r="347" spans="1:12" x14ac:dyDescent="0.25">
      <c r="A347" s="1"/>
      <c r="C347" s="1"/>
      <c r="D347" s="1">
        <v>41744</v>
      </c>
      <c r="E347" s="10">
        <v>52164</v>
      </c>
      <c r="F347" s="1">
        <v>41744</v>
      </c>
      <c r="G347">
        <v>25152</v>
      </c>
      <c r="H347" s="1">
        <f t="shared" si="16"/>
        <v>41744</v>
      </c>
      <c r="I347">
        <f>IF(AND(MyRowHidden(ROW())=FALSE,MyRowHidden(ROW()-1)=TRUE),0,(E347-E346)*unitsOfDHp+I346)</f>
        <v>221640</v>
      </c>
      <c r="J347">
        <f>IF(AND(MyRowHidden(ROW())=FALSE,MyRowHidden(ROW()-1)=TRUE),0,(G347-G346)*unitsOfExo+J346)</f>
        <v>195820</v>
      </c>
      <c r="K347" s="9">
        <f t="shared" si="17"/>
        <v>-195820</v>
      </c>
      <c r="L347">
        <f t="shared" si="18"/>
        <v>417460</v>
      </c>
    </row>
    <row r="348" spans="1:12" x14ac:dyDescent="0.25">
      <c r="A348" s="1"/>
      <c r="C348" s="1"/>
      <c r="D348" s="1">
        <v>41745</v>
      </c>
      <c r="E348" s="10">
        <v>51700</v>
      </c>
      <c r="F348" s="1">
        <v>41745</v>
      </c>
      <c r="G348">
        <v>25692</v>
      </c>
      <c r="H348" s="1">
        <f t="shared" si="16"/>
        <v>41745</v>
      </c>
      <c r="I348">
        <f>IF(AND(MyRowHidden(ROW())=FALSE,MyRowHidden(ROW()-1)=TRUE),0,(E348-E347)*unitsOfDHp+I347)</f>
        <v>217000</v>
      </c>
      <c r="J348">
        <f>IF(AND(MyRowHidden(ROW())=FALSE,MyRowHidden(ROW()-1)=TRUE),0,(G348-G347)*unitsOfExo+J347)</f>
        <v>201220</v>
      </c>
      <c r="K348" s="9">
        <f t="shared" si="17"/>
        <v>-201220</v>
      </c>
      <c r="L348">
        <f t="shared" si="18"/>
        <v>418220</v>
      </c>
    </row>
    <row r="349" spans="1:12" x14ac:dyDescent="0.25">
      <c r="A349" s="1"/>
      <c r="C349" s="1"/>
      <c r="D349" s="1">
        <v>41746</v>
      </c>
      <c r="E349" s="10">
        <v>51336</v>
      </c>
      <c r="F349" s="1">
        <v>41746</v>
      </c>
      <c r="G349">
        <v>26122</v>
      </c>
      <c r="H349" s="1">
        <f t="shared" si="16"/>
        <v>41746</v>
      </c>
      <c r="I349">
        <f>IF(AND(MyRowHidden(ROW())=FALSE,MyRowHidden(ROW()-1)=TRUE),0,(E349-E348)*unitsOfDHp+I348)</f>
        <v>213360</v>
      </c>
      <c r="J349">
        <f>IF(AND(MyRowHidden(ROW())=FALSE,MyRowHidden(ROW()-1)=TRUE),0,(G349-G348)*unitsOfExo+J348)</f>
        <v>205520</v>
      </c>
      <c r="K349" s="9">
        <f t="shared" si="17"/>
        <v>-205520</v>
      </c>
      <c r="L349">
        <f t="shared" si="18"/>
        <v>418880</v>
      </c>
    </row>
    <row r="350" spans="1:12" x14ac:dyDescent="0.25">
      <c r="A350" s="1"/>
      <c r="C350" s="1"/>
      <c r="D350" s="1">
        <v>41747</v>
      </c>
      <c r="E350" s="10">
        <v>51536</v>
      </c>
      <c r="F350" s="1">
        <v>41747</v>
      </c>
      <c r="G350">
        <v>25832</v>
      </c>
      <c r="H350" s="1">
        <f t="shared" si="16"/>
        <v>41747</v>
      </c>
      <c r="I350">
        <f>IF(AND(MyRowHidden(ROW())=FALSE,MyRowHidden(ROW()-1)=TRUE),0,(E350-E349)*unitsOfDHp+I349)</f>
        <v>215360</v>
      </c>
      <c r="J350">
        <f>IF(AND(MyRowHidden(ROW())=FALSE,MyRowHidden(ROW()-1)=TRUE),0,(G350-G349)*unitsOfExo+J349)</f>
        <v>202620</v>
      </c>
      <c r="K350" s="9">
        <f t="shared" si="17"/>
        <v>-202620</v>
      </c>
      <c r="L350">
        <f t="shared" si="18"/>
        <v>417980</v>
      </c>
    </row>
    <row r="351" spans="1:12" x14ac:dyDescent="0.25">
      <c r="A351" s="1"/>
      <c r="C351" s="1"/>
      <c r="D351" s="1">
        <v>41750</v>
      </c>
      <c r="E351" s="10">
        <v>52076</v>
      </c>
      <c r="F351" s="1">
        <v>41750</v>
      </c>
      <c r="G351">
        <v>25102</v>
      </c>
      <c r="H351" s="1">
        <f t="shared" si="16"/>
        <v>41750</v>
      </c>
      <c r="I351">
        <f>IF(AND(MyRowHidden(ROW())=FALSE,MyRowHidden(ROW()-1)=TRUE),0,(E351-E350)*unitsOfDHp+I350)</f>
        <v>220760</v>
      </c>
      <c r="J351">
        <f>IF(AND(MyRowHidden(ROW())=FALSE,MyRowHidden(ROW()-1)=TRUE),0,(G351-G350)*unitsOfExo+J350)</f>
        <v>195320</v>
      </c>
      <c r="K351" s="9">
        <f t="shared" si="17"/>
        <v>-195320</v>
      </c>
      <c r="L351">
        <f t="shared" si="18"/>
        <v>416080</v>
      </c>
    </row>
    <row r="352" spans="1:12" x14ac:dyDescent="0.25">
      <c r="A352" s="1"/>
      <c r="C352" s="1"/>
      <c r="D352" s="1">
        <v>41751</v>
      </c>
      <c r="E352" s="10">
        <v>51592</v>
      </c>
      <c r="F352" s="1">
        <v>41751</v>
      </c>
      <c r="G352">
        <v>25382</v>
      </c>
      <c r="H352" s="1">
        <f t="shared" si="16"/>
        <v>41751</v>
      </c>
      <c r="I352">
        <f>IF(AND(MyRowHidden(ROW())=FALSE,MyRowHidden(ROW()-1)=TRUE),0,(E352-E351)*unitsOfDHp+I351)</f>
        <v>215920</v>
      </c>
      <c r="J352">
        <f>IF(AND(MyRowHidden(ROW())=FALSE,MyRowHidden(ROW()-1)=TRUE),0,(G352-G351)*unitsOfExo+J351)</f>
        <v>198120</v>
      </c>
      <c r="K352" s="9">
        <f t="shared" si="17"/>
        <v>-198120</v>
      </c>
      <c r="L352">
        <f t="shared" si="18"/>
        <v>414040</v>
      </c>
    </row>
    <row r="353" spans="1:12" x14ac:dyDescent="0.25">
      <c r="A353" s="1"/>
      <c r="C353" s="1"/>
      <c r="D353" s="1">
        <v>41752</v>
      </c>
      <c r="E353" s="10">
        <v>51592</v>
      </c>
      <c r="F353" s="1">
        <v>41752</v>
      </c>
      <c r="G353">
        <v>26532</v>
      </c>
      <c r="H353" s="1">
        <f t="shared" si="16"/>
        <v>41752</v>
      </c>
      <c r="I353">
        <f>IF(AND(MyRowHidden(ROW())=FALSE,MyRowHidden(ROW()-1)=TRUE),0,(E353-E352)*unitsOfDHp+I352)</f>
        <v>215920</v>
      </c>
      <c r="J353">
        <f>IF(AND(MyRowHidden(ROW())=FALSE,MyRowHidden(ROW()-1)=TRUE),0,(G353-G352)*unitsOfExo+J352)</f>
        <v>209620</v>
      </c>
      <c r="K353" s="9">
        <f t="shared" si="17"/>
        <v>-209620</v>
      </c>
      <c r="L353">
        <f t="shared" si="18"/>
        <v>425540</v>
      </c>
    </row>
    <row r="354" spans="1:12" x14ac:dyDescent="0.25">
      <c r="A354" s="1"/>
      <c r="C354" s="1"/>
      <c r="D354" s="1">
        <v>41753</v>
      </c>
      <c r="E354" s="10">
        <v>51592</v>
      </c>
      <c r="F354" s="1">
        <v>41753</v>
      </c>
      <c r="G354">
        <v>26362</v>
      </c>
      <c r="H354" s="1">
        <f t="shared" si="16"/>
        <v>41753</v>
      </c>
      <c r="I354">
        <f>IF(AND(MyRowHidden(ROW())=FALSE,MyRowHidden(ROW()-1)=TRUE),0,(E354-E353)*unitsOfDHp+I353)</f>
        <v>215920</v>
      </c>
      <c r="J354">
        <f>IF(AND(MyRowHidden(ROW())=FALSE,MyRowHidden(ROW()-1)=TRUE),0,(G354-G353)*unitsOfExo+J353)</f>
        <v>207920</v>
      </c>
      <c r="K354" s="9">
        <f t="shared" si="17"/>
        <v>-207920</v>
      </c>
      <c r="L354">
        <f t="shared" si="18"/>
        <v>423840</v>
      </c>
    </row>
    <row r="355" spans="1:12" x14ac:dyDescent="0.25">
      <c r="A355" s="1"/>
      <c r="C355" s="1"/>
      <c r="D355" s="1">
        <v>41754</v>
      </c>
      <c r="E355" s="10">
        <v>51592</v>
      </c>
      <c r="F355" s="1">
        <v>41754</v>
      </c>
      <c r="G355">
        <v>25762</v>
      </c>
      <c r="H355" s="1">
        <f t="shared" si="16"/>
        <v>41754</v>
      </c>
      <c r="I355">
        <f>IF(AND(MyRowHidden(ROW())=FALSE,MyRowHidden(ROW()-1)=TRUE),0,(E355-E354)*unitsOfDHp+I354)</f>
        <v>215920</v>
      </c>
      <c r="J355">
        <f>IF(AND(MyRowHidden(ROW())=FALSE,MyRowHidden(ROW()-1)=TRUE),0,(G355-G354)*unitsOfExo+J354)</f>
        <v>201920</v>
      </c>
      <c r="K355" s="9">
        <f t="shared" si="17"/>
        <v>-201920</v>
      </c>
      <c r="L355">
        <f t="shared" si="18"/>
        <v>417840</v>
      </c>
    </row>
    <row r="356" spans="1:12" x14ac:dyDescent="0.25">
      <c r="A356" s="1"/>
      <c r="C356" s="1"/>
      <c r="D356" s="1">
        <v>41757</v>
      </c>
      <c r="E356" s="10">
        <v>51592</v>
      </c>
      <c r="F356" s="1">
        <v>41757</v>
      </c>
      <c r="G356">
        <v>25882</v>
      </c>
      <c r="H356" s="1">
        <f t="shared" si="16"/>
        <v>41757</v>
      </c>
      <c r="I356">
        <f>IF(AND(MyRowHidden(ROW())=FALSE,MyRowHidden(ROW()-1)=TRUE),0,(E356-E355)*unitsOfDHp+I355)</f>
        <v>215920</v>
      </c>
      <c r="J356">
        <f>IF(AND(MyRowHidden(ROW())=FALSE,MyRowHidden(ROW()-1)=TRUE),0,(G356-G355)*unitsOfExo+J355)</f>
        <v>203120</v>
      </c>
      <c r="K356" s="9">
        <f t="shared" si="17"/>
        <v>-203120</v>
      </c>
      <c r="L356">
        <f t="shared" si="18"/>
        <v>419040</v>
      </c>
    </row>
    <row r="357" spans="1:12" x14ac:dyDescent="0.25">
      <c r="A357" s="1"/>
      <c r="C357" s="1"/>
      <c r="D357" s="1">
        <v>41758</v>
      </c>
      <c r="E357" s="10">
        <v>51592</v>
      </c>
      <c r="F357" s="1">
        <v>41758</v>
      </c>
      <c r="G357">
        <v>26232</v>
      </c>
      <c r="H357" s="1">
        <f t="shared" si="16"/>
        <v>41758</v>
      </c>
      <c r="I357">
        <f>IF(AND(MyRowHidden(ROW())=FALSE,MyRowHidden(ROW()-1)=TRUE),0,(E357-E356)*unitsOfDHp+I356)</f>
        <v>215920</v>
      </c>
      <c r="J357">
        <f>IF(AND(MyRowHidden(ROW())=FALSE,MyRowHidden(ROW()-1)=TRUE),0,(G357-G356)*unitsOfExo+J356)</f>
        <v>206620</v>
      </c>
      <c r="K357" s="9">
        <f t="shared" si="17"/>
        <v>-206620</v>
      </c>
      <c r="L357">
        <f t="shared" si="18"/>
        <v>422540</v>
      </c>
    </row>
    <row r="358" spans="1:12" x14ac:dyDescent="0.25">
      <c r="A358" s="1"/>
      <c r="C358" s="1"/>
      <c r="D358" s="1">
        <v>41759</v>
      </c>
      <c r="E358" s="10">
        <v>51592</v>
      </c>
      <c r="F358" s="1">
        <v>41759</v>
      </c>
      <c r="G358">
        <v>25282</v>
      </c>
      <c r="H358" s="1">
        <f t="shared" si="16"/>
        <v>41759</v>
      </c>
      <c r="I358">
        <f>IF(AND(MyRowHidden(ROW())=FALSE,MyRowHidden(ROW()-1)=TRUE),0,(E358-E357)*unitsOfDHp+I357)</f>
        <v>215920</v>
      </c>
      <c r="J358">
        <f>IF(AND(MyRowHidden(ROW())=FALSE,MyRowHidden(ROW()-1)=TRUE),0,(G358-G357)*unitsOfExo+J357)</f>
        <v>197120</v>
      </c>
      <c r="K358" s="9">
        <f t="shared" si="17"/>
        <v>-197120</v>
      </c>
      <c r="L358">
        <f t="shared" si="18"/>
        <v>413040</v>
      </c>
    </row>
    <row r="359" spans="1:12" x14ac:dyDescent="0.25">
      <c r="A359" s="1"/>
      <c r="C359" s="1"/>
      <c r="D359" s="1">
        <v>41760</v>
      </c>
      <c r="E359" s="10">
        <v>51592</v>
      </c>
      <c r="F359" s="1">
        <v>41760</v>
      </c>
      <c r="G359">
        <v>25132</v>
      </c>
      <c r="H359" s="1">
        <f t="shared" si="16"/>
        <v>41760</v>
      </c>
      <c r="I359">
        <f>IF(AND(MyRowHidden(ROW())=FALSE,MyRowHidden(ROW()-1)=TRUE),0,(E359-E358)*unitsOfDHp+I358)</f>
        <v>215920</v>
      </c>
      <c r="J359">
        <f>IF(AND(MyRowHidden(ROW())=FALSE,MyRowHidden(ROW()-1)=TRUE),0,(G359-G358)*unitsOfExo+J358)</f>
        <v>195620</v>
      </c>
      <c r="K359" s="9">
        <f t="shared" si="17"/>
        <v>-195620</v>
      </c>
      <c r="L359">
        <f t="shared" si="18"/>
        <v>411540</v>
      </c>
    </row>
    <row r="360" spans="1:12" x14ac:dyDescent="0.25">
      <c r="A360" s="1"/>
      <c r="C360" s="1"/>
      <c r="D360" s="1">
        <v>41761</v>
      </c>
      <c r="E360" s="10">
        <v>51592</v>
      </c>
      <c r="F360" s="1">
        <v>41761</v>
      </c>
      <c r="G360">
        <v>25032</v>
      </c>
      <c r="H360" s="1">
        <f t="shared" si="16"/>
        <v>41761</v>
      </c>
      <c r="I360">
        <f>IF(AND(MyRowHidden(ROW())=FALSE,MyRowHidden(ROW()-1)=TRUE),0,(E360-E359)*unitsOfDHp+I359)</f>
        <v>215920</v>
      </c>
      <c r="J360">
        <f>IF(AND(MyRowHidden(ROW())=FALSE,MyRowHidden(ROW()-1)=TRUE),0,(G360-G359)*unitsOfExo+J359)</f>
        <v>194620</v>
      </c>
      <c r="K360" s="9">
        <f t="shared" si="17"/>
        <v>-194620</v>
      </c>
      <c r="L360">
        <f t="shared" si="18"/>
        <v>410540</v>
      </c>
    </row>
    <row r="361" spans="1:12" x14ac:dyDescent="0.25">
      <c r="A361" s="1"/>
      <c r="C361" s="1"/>
      <c r="D361" s="1">
        <v>41764</v>
      </c>
      <c r="E361" s="10">
        <v>51580</v>
      </c>
      <c r="F361" s="1">
        <v>41764</v>
      </c>
      <c r="G361">
        <v>24902</v>
      </c>
      <c r="H361" s="1">
        <f t="shared" si="16"/>
        <v>41764</v>
      </c>
      <c r="I361">
        <f>IF(AND(MyRowHidden(ROW())=FALSE,MyRowHidden(ROW()-1)=TRUE),0,(E361-E360)*unitsOfDHp+I360)</f>
        <v>215800</v>
      </c>
      <c r="J361">
        <f>IF(AND(MyRowHidden(ROW())=FALSE,MyRowHidden(ROW()-1)=TRUE),0,(G361-G360)*unitsOfExo+J360)</f>
        <v>193320</v>
      </c>
      <c r="K361" s="9">
        <f t="shared" si="17"/>
        <v>-193320</v>
      </c>
      <c r="L361">
        <f t="shared" si="18"/>
        <v>409120</v>
      </c>
    </row>
    <row r="362" spans="1:12" x14ac:dyDescent="0.25">
      <c r="A362" s="1"/>
      <c r="C362" s="1"/>
      <c r="D362" s="1">
        <v>41765</v>
      </c>
      <c r="E362" s="10">
        <v>51690</v>
      </c>
      <c r="F362" s="1">
        <v>41765</v>
      </c>
      <c r="G362">
        <v>25312</v>
      </c>
      <c r="H362" s="1">
        <f t="shared" si="16"/>
        <v>41765</v>
      </c>
      <c r="I362">
        <f>IF(AND(MyRowHidden(ROW())=FALSE,MyRowHidden(ROW()-1)=TRUE),0,(E362-E361)*unitsOfDHp+I361)</f>
        <v>216900</v>
      </c>
      <c r="J362">
        <f>IF(AND(MyRowHidden(ROW())=FALSE,MyRowHidden(ROW()-1)=TRUE),0,(G362-G361)*unitsOfExo+J361)</f>
        <v>197420</v>
      </c>
      <c r="K362" s="9">
        <f t="shared" si="17"/>
        <v>-197420</v>
      </c>
      <c r="L362">
        <f t="shared" si="18"/>
        <v>414320</v>
      </c>
    </row>
    <row r="363" spans="1:12" x14ac:dyDescent="0.25">
      <c r="A363" s="1"/>
      <c r="C363" s="1"/>
      <c r="D363" s="1">
        <v>41766</v>
      </c>
      <c r="E363" s="10">
        <v>51298</v>
      </c>
      <c r="F363" s="1">
        <v>41766</v>
      </c>
      <c r="G363">
        <v>24562</v>
      </c>
      <c r="H363" s="1">
        <f t="shared" si="16"/>
        <v>41766</v>
      </c>
      <c r="I363">
        <f>IF(AND(MyRowHidden(ROW())=FALSE,MyRowHidden(ROW()-1)=TRUE),0,(E363-E362)*unitsOfDHp+I362)</f>
        <v>212980</v>
      </c>
      <c r="J363">
        <f>IF(AND(MyRowHidden(ROW())=FALSE,MyRowHidden(ROW()-1)=TRUE),0,(G363-G362)*unitsOfExo+J362)</f>
        <v>189920</v>
      </c>
      <c r="K363" s="9">
        <f t="shared" si="17"/>
        <v>-189920</v>
      </c>
      <c r="L363">
        <f t="shared" si="18"/>
        <v>402900</v>
      </c>
    </row>
    <row r="364" spans="1:12" x14ac:dyDescent="0.25">
      <c r="A364" s="1"/>
      <c r="C364" s="1"/>
      <c r="D364" s="1">
        <v>41767</v>
      </c>
      <c r="E364" s="10">
        <v>50782</v>
      </c>
      <c r="F364" s="1">
        <v>41767</v>
      </c>
      <c r="G364">
        <v>24102</v>
      </c>
      <c r="H364" s="1">
        <f t="shared" si="16"/>
        <v>41767</v>
      </c>
      <c r="I364">
        <f>IF(AND(MyRowHidden(ROW())=FALSE,MyRowHidden(ROW()-1)=TRUE),0,(E364-E363)*unitsOfDHp+I363)</f>
        <v>207820</v>
      </c>
      <c r="J364">
        <f>IF(AND(MyRowHidden(ROW())=FALSE,MyRowHidden(ROW()-1)=TRUE),0,(G364-G363)*unitsOfExo+J363)</f>
        <v>185320</v>
      </c>
      <c r="K364" s="9">
        <f t="shared" si="17"/>
        <v>-185320</v>
      </c>
      <c r="L364">
        <f t="shared" si="18"/>
        <v>393140</v>
      </c>
    </row>
    <row r="365" spans="1:12" x14ac:dyDescent="0.25">
      <c r="A365" s="1"/>
      <c r="C365" s="1"/>
      <c r="D365" s="1">
        <v>41768</v>
      </c>
      <c r="E365" s="10">
        <v>50832</v>
      </c>
      <c r="F365" s="1">
        <v>41768</v>
      </c>
      <c r="G365">
        <v>24122</v>
      </c>
      <c r="H365" s="1">
        <f t="shared" si="16"/>
        <v>41768</v>
      </c>
      <c r="I365">
        <f>IF(AND(MyRowHidden(ROW())=FALSE,MyRowHidden(ROW()-1)=TRUE),0,(E365-E364)*unitsOfDHp+I364)</f>
        <v>208320</v>
      </c>
      <c r="J365">
        <f>IF(AND(MyRowHidden(ROW())=FALSE,MyRowHidden(ROW()-1)=TRUE),0,(G365-G364)*unitsOfExo+J364)</f>
        <v>185520</v>
      </c>
      <c r="K365" s="9">
        <f t="shared" si="17"/>
        <v>-185520</v>
      </c>
      <c r="L365">
        <f t="shared" si="18"/>
        <v>393840</v>
      </c>
    </row>
    <row r="366" spans="1:12" x14ac:dyDescent="0.25">
      <c r="A366" s="1"/>
      <c r="C366" s="1"/>
      <c r="D366" s="1">
        <v>41771</v>
      </c>
      <c r="E366" s="10">
        <v>50336</v>
      </c>
      <c r="F366" s="1">
        <v>41771</v>
      </c>
      <c r="G366">
        <v>23662</v>
      </c>
      <c r="H366" s="1">
        <f t="shared" si="16"/>
        <v>41771</v>
      </c>
      <c r="I366">
        <f>IF(AND(MyRowHidden(ROW())=FALSE,MyRowHidden(ROW()-1)=TRUE),0,(E366-E365)*unitsOfDHp+I365)</f>
        <v>203360</v>
      </c>
      <c r="J366">
        <f>IF(AND(MyRowHidden(ROW())=FALSE,MyRowHidden(ROW()-1)=TRUE),0,(G366-G365)*unitsOfExo+J365)</f>
        <v>180920</v>
      </c>
      <c r="K366" s="9">
        <f t="shared" si="17"/>
        <v>-180920</v>
      </c>
      <c r="L366">
        <f t="shared" si="18"/>
        <v>384280</v>
      </c>
    </row>
    <row r="367" spans="1:12" x14ac:dyDescent="0.25">
      <c r="A367" s="1"/>
      <c r="C367" s="1"/>
      <c r="D367" s="1">
        <v>41772</v>
      </c>
      <c r="E367" s="10">
        <v>50336</v>
      </c>
      <c r="F367" s="1">
        <v>41772</v>
      </c>
      <c r="G367">
        <v>23892</v>
      </c>
      <c r="H367" s="1">
        <f t="shared" si="16"/>
        <v>41772</v>
      </c>
      <c r="I367">
        <f>IF(AND(MyRowHidden(ROW())=FALSE,MyRowHidden(ROW()-1)=TRUE),0,(E367-E366)*unitsOfDHp+I366)</f>
        <v>203360</v>
      </c>
      <c r="J367">
        <f>IF(AND(MyRowHidden(ROW())=FALSE,MyRowHidden(ROW()-1)=TRUE),0,(G367-G366)*unitsOfExo+J366)</f>
        <v>183220</v>
      </c>
      <c r="K367" s="9">
        <f t="shared" si="17"/>
        <v>-183220</v>
      </c>
      <c r="L367">
        <f t="shared" si="18"/>
        <v>386580</v>
      </c>
    </row>
    <row r="368" spans="1:12" x14ac:dyDescent="0.25">
      <c r="A368" s="1"/>
      <c r="C368" s="1"/>
      <c r="D368" s="1">
        <v>41773</v>
      </c>
      <c r="E368" s="10">
        <v>50288</v>
      </c>
      <c r="F368" s="1">
        <v>41773</v>
      </c>
      <c r="G368">
        <v>23852</v>
      </c>
      <c r="H368" s="1">
        <f t="shared" si="16"/>
        <v>41773</v>
      </c>
      <c r="I368">
        <f>IF(AND(MyRowHidden(ROW())=FALSE,MyRowHidden(ROW()-1)=TRUE),0,(E368-E367)*unitsOfDHp+I367)</f>
        <v>202880</v>
      </c>
      <c r="J368">
        <f>IF(AND(MyRowHidden(ROW())=FALSE,MyRowHidden(ROW()-1)=TRUE),0,(G368-G367)*unitsOfExo+J367)</f>
        <v>182820</v>
      </c>
      <c r="K368" s="9">
        <f t="shared" si="17"/>
        <v>-182820</v>
      </c>
      <c r="L368">
        <f t="shared" si="18"/>
        <v>385700</v>
      </c>
    </row>
    <row r="369" spans="1:12" x14ac:dyDescent="0.25">
      <c r="A369" s="1"/>
      <c r="C369" s="1"/>
      <c r="D369" s="1">
        <v>41774</v>
      </c>
      <c r="E369" s="10">
        <v>50148</v>
      </c>
      <c r="F369" s="1">
        <v>41774</v>
      </c>
      <c r="G369">
        <v>23802</v>
      </c>
      <c r="H369" s="1">
        <f t="shared" si="16"/>
        <v>41774</v>
      </c>
      <c r="I369">
        <f>IF(AND(MyRowHidden(ROW())=FALSE,MyRowHidden(ROW()-1)=TRUE),0,(E369-E368)*unitsOfDHp+I368)</f>
        <v>201480</v>
      </c>
      <c r="J369">
        <f>IF(AND(MyRowHidden(ROW())=FALSE,MyRowHidden(ROW()-1)=TRUE),0,(G369-G368)*unitsOfExo+J368)</f>
        <v>182320</v>
      </c>
      <c r="K369" s="9">
        <f t="shared" si="17"/>
        <v>-182320</v>
      </c>
      <c r="L369">
        <f t="shared" si="18"/>
        <v>383800</v>
      </c>
    </row>
    <row r="370" spans="1:12" x14ac:dyDescent="0.25">
      <c r="A370" s="1"/>
      <c r="C370" s="1"/>
      <c r="D370" s="1">
        <v>41775</v>
      </c>
      <c r="E370" s="10">
        <v>49928</v>
      </c>
      <c r="F370" s="1">
        <v>41775</v>
      </c>
      <c r="G370">
        <v>23532</v>
      </c>
      <c r="H370" s="1">
        <f t="shared" si="16"/>
        <v>41775</v>
      </c>
      <c r="I370">
        <f>IF(AND(MyRowHidden(ROW())=FALSE,MyRowHidden(ROW()-1)=TRUE),0,(E370-E369)*unitsOfDHp+I369)</f>
        <v>199280</v>
      </c>
      <c r="J370">
        <f>IF(AND(MyRowHidden(ROW())=FALSE,MyRowHidden(ROW()-1)=TRUE),0,(G370-G369)*unitsOfExo+J369)</f>
        <v>179620</v>
      </c>
      <c r="K370" s="9">
        <f t="shared" si="17"/>
        <v>-179620</v>
      </c>
      <c r="L370">
        <f t="shared" si="18"/>
        <v>378900</v>
      </c>
    </row>
    <row r="371" spans="1:12" x14ac:dyDescent="0.25">
      <c r="A371" s="1"/>
      <c r="C371" s="1"/>
      <c r="D371" s="1">
        <v>41778</v>
      </c>
      <c r="E371" s="10">
        <v>50048</v>
      </c>
      <c r="F371" s="1">
        <v>41778</v>
      </c>
      <c r="G371">
        <v>23832</v>
      </c>
      <c r="H371" s="1">
        <f t="shared" si="16"/>
        <v>41778</v>
      </c>
      <c r="I371">
        <f>IF(AND(MyRowHidden(ROW())=FALSE,MyRowHidden(ROW()-1)=TRUE),0,(E371-E370)*unitsOfDHp+I370)</f>
        <v>200480</v>
      </c>
      <c r="J371">
        <f>IF(AND(MyRowHidden(ROW())=FALSE,MyRowHidden(ROW()-1)=TRUE),0,(G371-G370)*unitsOfExo+J370)</f>
        <v>182620</v>
      </c>
      <c r="K371" s="9">
        <f t="shared" si="17"/>
        <v>-182620</v>
      </c>
      <c r="L371">
        <f t="shared" si="18"/>
        <v>383100</v>
      </c>
    </row>
    <row r="372" spans="1:12" x14ac:dyDescent="0.25">
      <c r="A372" s="1"/>
      <c r="C372" s="1"/>
      <c r="D372" s="1">
        <v>41779</v>
      </c>
      <c r="E372" s="10">
        <v>49788</v>
      </c>
      <c r="F372" s="1">
        <v>41779</v>
      </c>
      <c r="G372">
        <v>23512</v>
      </c>
      <c r="H372" s="1">
        <f t="shared" si="16"/>
        <v>41779</v>
      </c>
      <c r="I372">
        <f>IF(AND(MyRowHidden(ROW())=FALSE,MyRowHidden(ROW()-1)=TRUE),0,(E372-E371)*unitsOfDHp+I371)</f>
        <v>197880</v>
      </c>
      <c r="J372">
        <f>IF(AND(MyRowHidden(ROW())=FALSE,MyRowHidden(ROW()-1)=TRUE),0,(G372-G371)*unitsOfExo+J371)</f>
        <v>179420</v>
      </c>
      <c r="K372" s="9">
        <f t="shared" si="17"/>
        <v>-179420</v>
      </c>
      <c r="L372">
        <f t="shared" si="18"/>
        <v>377300</v>
      </c>
    </row>
    <row r="373" spans="1:12" x14ac:dyDescent="0.25">
      <c r="A373" s="1"/>
      <c r="C373" s="1"/>
      <c r="D373" s="1">
        <v>41780</v>
      </c>
      <c r="E373" s="10">
        <v>49980</v>
      </c>
      <c r="F373" s="1">
        <v>41780</v>
      </c>
      <c r="G373">
        <v>23992</v>
      </c>
      <c r="H373" s="1">
        <f t="shared" si="16"/>
        <v>41780</v>
      </c>
      <c r="I373">
        <f>IF(AND(MyRowHidden(ROW())=FALSE,MyRowHidden(ROW()-1)=TRUE),0,(E373-E372)*unitsOfDHp+I372)</f>
        <v>199800</v>
      </c>
      <c r="J373">
        <f>IF(AND(MyRowHidden(ROW())=FALSE,MyRowHidden(ROW()-1)=TRUE),0,(G373-G372)*unitsOfExo+J372)</f>
        <v>184220</v>
      </c>
      <c r="K373" s="9">
        <f t="shared" si="17"/>
        <v>-184220</v>
      </c>
      <c r="L373">
        <f t="shared" si="18"/>
        <v>384020</v>
      </c>
    </row>
    <row r="374" spans="1:12" x14ac:dyDescent="0.25">
      <c r="A374" s="1"/>
      <c r="C374" s="1"/>
      <c r="D374" s="1">
        <v>41781</v>
      </c>
      <c r="E374" s="10">
        <v>49980</v>
      </c>
      <c r="F374" s="1">
        <v>41781</v>
      </c>
      <c r="G374">
        <v>23102</v>
      </c>
      <c r="H374" s="1">
        <f t="shared" si="16"/>
        <v>41781</v>
      </c>
      <c r="I374">
        <f>IF(AND(MyRowHidden(ROW())=FALSE,MyRowHidden(ROW()-1)=TRUE),0,(E374-E373)*unitsOfDHp+I373)</f>
        <v>199800</v>
      </c>
      <c r="J374">
        <f>IF(AND(MyRowHidden(ROW())=FALSE,MyRowHidden(ROW()-1)=TRUE),0,(G374-G373)*unitsOfExo+J373)</f>
        <v>175320</v>
      </c>
      <c r="K374" s="9">
        <f t="shared" si="17"/>
        <v>-175320</v>
      </c>
      <c r="L374">
        <f t="shared" si="18"/>
        <v>375120</v>
      </c>
    </row>
    <row r="375" spans="1:12" x14ac:dyDescent="0.25">
      <c r="A375" s="1"/>
      <c r="C375" s="1"/>
      <c r="D375" s="1">
        <v>41782</v>
      </c>
      <c r="E375" s="10">
        <v>49980</v>
      </c>
      <c r="F375" s="1">
        <v>41782</v>
      </c>
      <c r="G375">
        <v>22692</v>
      </c>
      <c r="H375" s="1">
        <f t="shared" si="16"/>
        <v>41782</v>
      </c>
      <c r="I375">
        <f>IF(AND(MyRowHidden(ROW())=FALSE,MyRowHidden(ROW()-1)=TRUE),0,(E375-E374)*unitsOfDHp+I374)</f>
        <v>199800</v>
      </c>
      <c r="J375">
        <f>IF(AND(MyRowHidden(ROW())=FALSE,MyRowHidden(ROW()-1)=TRUE),0,(G375-G374)*unitsOfExo+J374)</f>
        <v>171220</v>
      </c>
      <c r="K375" s="9">
        <f t="shared" si="17"/>
        <v>-171220</v>
      </c>
      <c r="L375">
        <f t="shared" si="18"/>
        <v>371020</v>
      </c>
    </row>
    <row r="376" spans="1:12" x14ac:dyDescent="0.25">
      <c r="A376" s="1"/>
      <c r="C376" s="1"/>
      <c r="D376" s="1">
        <v>41785</v>
      </c>
      <c r="E376" s="10">
        <v>49980</v>
      </c>
      <c r="F376" s="1">
        <v>41785</v>
      </c>
      <c r="G376">
        <v>22872</v>
      </c>
      <c r="H376" s="1">
        <f t="shared" si="16"/>
        <v>41785</v>
      </c>
      <c r="I376">
        <f>IF(AND(MyRowHidden(ROW())=FALSE,MyRowHidden(ROW()-1)=TRUE),0,(E376-E375)*unitsOfDHp+I375)</f>
        <v>199800</v>
      </c>
      <c r="J376">
        <f>IF(AND(MyRowHidden(ROW())=FALSE,MyRowHidden(ROW()-1)=TRUE),0,(G376-G375)*unitsOfExo+J375)</f>
        <v>173020</v>
      </c>
      <c r="K376" s="9">
        <f t="shared" si="17"/>
        <v>-173020</v>
      </c>
      <c r="L376">
        <f t="shared" si="18"/>
        <v>372820</v>
      </c>
    </row>
    <row r="377" spans="1:12" x14ac:dyDescent="0.25">
      <c r="A377" s="1"/>
      <c r="C377" s="1"/>
      <c r="D377" s="1">
        <v>41786</v>
      </c>
      <c r="E377" s="10">
        <v>49980</v>
      </c>
      <c r="F377" s="1">
        <v>41786</v>
      </c>
      <c r="G377">
        <v>22552</v>
      </c>
      <c r="H377" s="1">
        <f t="shared" si="16"/>
        <v>41786</v>
      </c>
      <c r="I377">
        <f>IF(AND(MyRowHidden(ROW())=FALSE,MyRowHidden(ROW()-1)=TRUE),0,(E377-E376)*unitsOfDHp+I376)</f>
        <v>199800</v>
      </c>
      <c r="J377">
        <f>IF(AND(MyRowHidden(ROW())=FALSE,MyRowHidden(ROW()-1)=TRUE),0,(G377-G376)*unitsOfExo+J376)</f>
        <v>169820</v>
      </c>
      <c r="K377" s="9">
        <f t="shared" si="17"/>
        <v>-169820</v>
      </c>
      <c r="L377">
        <f t="shared" si="18"/>
        <v>369620</v>
      </c>
    </row>
    <row r="378" spans="1:12" x14ac:dyDescent="0.25">
      <c r="A378" s="1"/>
      <c r="C378" s="1"/>
      <c r="D378" s="1">
        <v>41787</v>
      </c>
      <c r="E378" s="10">
        <v>49980</v>
      </c>
      <c r="F378" s="1">
        <v>41787</v>
      </c>
      <c r="G378">
        <v>21822</v>
      </c>
      <c r="H378" s="1">
        <f t="shared" si="16"/>
        <v>41787</v>
      </c>
      <c r="I378">
        <f>IF(AND(MyRowHidden(ROW())=FALSE,MyRowHidden(ROW()-1)=TRUE),0,(E378-E377)*unitsOfDHp+I377)</f>
        <v>199800</v>
      </c>
      <c r="J378">
        <f>IF(AND(MyRowHidden(ROW())=FALSE,MyRowHidden(ROW()-1)=TRUE),0,(G378-G377)*unitsOfExo+J377)</f>
        <v>162520</v>
      </c>
      <c r="K378" s="9">
        <f t="shared" si="17"/>
        <v>-162520</v>
      </c>
      <c r="L378">
        <f t="shared" si="18"/>
        <v>362320</v>
      </c>
    </row>
    <row r="379" spans="1:12" x14ac:dyDescent="0.25">
      <c r="A379" s="1"/>
      <c r="C379" s="1"/>
      <c r="D379" s="1">
        <v>41788</v>
      </c>
      <c r="E379" s="10">
        <v>49980</v>
      </c>
      <c r="F379" s="1">
        <v>41788</v>
      </c>
      <c r="G379">
        <v>21562</v>
      </c>
      <c r="H379" s="1">
        <f t="shared" si="16"/>
        <v>41788</v>
      </c>
      <c r="I379">
        <f>IF(AND(MyRowHidden(ROW())=FALSE,MyRowHidden(ROW()-1)=TRUE),0,(E379-E378)*unitsOfDHp+I378)</f>
        <v>199800</v>
      </c>
      <c r="J379">
        <f>IF(AND(MyRowHidden(ROW())=FALSE,MyRowHidden(ROW()-1)=TRUE),0,(G379-G378)*unitsOfExo+J378)</f>
        <v>159920</v>
      </c>
      <c r="K379" s="9">
        <f t="shared" si="17"/>
        <v>-159920</v>
      </c>
      <c r="L379">
        <f t="shared" si="18"/>
        <v>359720</v>
      </c>
    </row>
    <row r="380" spans="1:12" x14ac:dyDescent="0.25">
      <c r="A380" s="1"/>
      <c r="C380" s="1"/>
      <c r="D380" s="1">
        <v>41789</v>
      </c>
      <c r="E380" s="10">
        <v>49980</v>
      </c>
      <c r="F380" s="1">
        <v>41789</v>
      </c>
      <c r="G380">
        <v>21332</v>
      </c>
      <c r="H380" s="1">
        <f t="shared" si="16"/>
        <v>41789</v>
      </c>
      <c r="I380">
        <f>IF(AND(MyRowHidden(ROW())=FALSE,MyRowHidden(ROW()-1)=TRUE),0,(E380-E379)*unitsOfDHp+I379)</f>
        <v>199800</v>
      </c>
      <c r="J380">
        <f>IF(AND(MyRowHidden(ROW())=FALSE,MyRowHidden(ROW()-1)=TRUE),0,(G380-G379)*unitsOfExo+J379)</f>
        <v>157620</v>
      </c>
      <c r="K380" s="9">
        <f t="shared" si="17"/>
        <v>-157620</v>
      </c>
      <c r="L380">
        <f t="shared" si="18"/>
        <v>357420</v>
      </c>
    </row>
    <row r="381" spans="1:12" x14ac:dyDescent="0.25">
      <c r="A381" s="1"/>
      <c r="C381" s="1"/>
      <c r="D381" s="1">
        <v>41792</v>
      </c>
      <c r="E381" s="10">
        <v>49970</v>
      </c>
      <c r="F381" s="1">
        <v>41792</v>
      </c>
      <c r="G381">
        <v>21270</v>
      </c>
      <c r="H381" s="1">
        <f t="shared" si="16"/>
        <v>41792</v>
      </c>
      <c r="I381">
        <f>IF(AND(MyRowHidden(ROW())=FALSE,MyRowHidden(ROW()-1)=TRUE),0,(E381-E380)*unitsOfDHp+I380)</f>
        <v>199700</v>
      </c>
      <c r="J381">
        <f>IF(AND(MyRowHidden(ROW())=FALSE,MyRowHidden(ROW()-1)=TRUE),0,(G381-G380)*unitsOfExo+J380)</f>
        <v>157000</v>
      </c>
      <c r="K381" s="9">
        <f t="shared" si="17"/>
        <v>-157000</v>
      </c>
      <c r="L381">
        <f t="shared" si="18"/>
        <v>356700</v>
      </c>
    </row>
    <row r="382" spans="1:12" x14ac:dyDescent="0.25">
      <c r="A382" s="1"/>
      <c r="C382" s="1"/>
      <c r="D382" s="1">
        <v>41793</v>
      </c>
      <c r="E382" s="10">
        <v>49980</v>
      </c>
      <c r="F382" s="1">
        <v>41793</v>
      </c>
      <c r="G382">
        <v>21420</v>
      </c>
      <c r="H382" s="1">
        <f t="shared" si="16"/>
        <v>41793</v>
      </c>
      <c r="I382">
        <f>IF(AND(MyRowHidden(ROW())=FALSE,MyRowHidden(ROW()-1)=TRUE),0,(E382-E381)*unitsOfDHp+I381)</f>
        <v>199800</v>
      </c>
      <c r="J382">
        <f>IF(AND(MyRowHidden(ROW())=FALSE,MyRowHidden(ROW()-1)=TRUE),0,(G382-G381)*unitsOfExo+J381)</f>
        <v>158500</v>
      </c>
      <c r="K382" s="9">
        <f t="shared" si="17"/>
        <v>-158500</v>
      </c>
      <c r="L382">
        <f t="shared" si="18"/>
        <v>358300</v>
      </c>
    </row>
    <row r="383" spans="1:12" x14ac:dyDescent="0.25">
      <c r="A383" s="1"/>
      <c r="C383" s="1"/>
      <c r="D383" s="1">
        <v>41794</v>
      </c>
      <c r="E383" s="10">
        <v>49980</v>
      </c>
      <c r="F383" s="1">
        <v>41794</v>
      </c>
      <c r="G383">
        <v>20980</v>
      </c>
      <c r="H383" s="1">
        <f t="shared" si="16"/>
        <v>41794</v>
      </c>
      <c r="I383">
        <f>IF(AND(MyRowHidden(ROW())=FALSE,MyRowHidden(ROW()-1)=TRUE),0,(E383-E382)*unitsOfDHp+I382)</f>
        <v>199800</v>
      </c>
      <c r="J383">
        <f>IF(AND(MyRowHidden(ROW())=FALSE,MyRowHidden(ROW()-1)=TRUE),0,(G383-G382)*unitsOfExo+J382)</f>
        <v>154100</v>
      </c>
      <c r="K383" s="9">
        <f t="shared" si="17"/>
        <v>-154100</v>
      </c>
      <c r="L383">
        <f t="shared" si="18"/>
        <v>353900</v>
      </c>
    </row>
    <row r="384" spans="1:12" x14ac:dyDescent="0.25">
      <c r="A384" s="1"/>
      <c r="C384" s="1"/>
      <c r="D384" s="1">
        <v>41795</v>
      </c>
      <c r="E384" s="10">
        <v>49980</v>
      </c>
      <c r="F384" s="1">
        <v>41795</v>
      </c>
      <c r="G384">
        <v>21320</v>
      </c>
      <c r="H384" s="1">
        <f t="shared" si="16"/>
        <v>41795</v>
      </c>
      <c r="I384">
        <f>IF(AND(MyRowHidden(ROW())=FALSE,MyRowHidden(ROW()-1)=TRUE),0,(E384-E383)*unitsOfDHp+I383)</f>
        <v>199800</v>
      </c>
      <c r="J384">
        <f>IF(AND(MyRowHidden(ROW())=FALSE,MyRowHidden(ROW()-1)=TRUE),0,(G384-G383)*unitsOfExo+J383)</f>
        <v>157500</v>
      </c>
      <c r="K384" s="9">
        <f t="shared" si="17"/>
        <v>-157500</v>
      </c>
      <c r="L384">
        <f t="shared" si="18"/>
        <v>357300</v>
      </c>
    </row>
    <row r="385" spans="1:12" x14ac:dyDescent="0.25">
      <c r="A385" s="1"/>
      <c r="C385" s="1"/>
      <c r="D385" s="1">
        <v>41796</v>
      </c>
      <c r="E385" s="10">
        <v>49970</v>
      </c>
      <c r="F385" s="1">
        <v>41796</v>
      </c>
      <c r="G385">
        <v>21910</v>
      </c>
      <c r="H385" s="1">
        <f t="shared" si="16"/>
        <v>41796</v>
      </c>
      <c r="I385">
        <f>IF(AND(MyRowHidden(ROW())=FALSE,MyRowHidden(ROW()-1)=TRUE),0,(E385-E384)*unitsOfDHp+I384)</f>
        <v>199700</v>
      </c>
      <c r="J385">
        <f>IF(AND(MyRowHidden(ROW())=FALSE,MyRowHidden(ROW()-1)=TRUE),0,(G385-G384)*unitsOfExo+J384)</f>
        <v>163400</v>
      </c>
      <c r="K385" s="9">
        <f t="shared" si="17"/>
        <v>-163400</v>
      </c>
      <c r="L385">
        <f t="shared" si="18"/>
        <v>363100</v>
      </c>
    </row>
    <row r="386" spans="1:12" x14ac:dyDescent="0.25">
      <c r="A386" s="1"/>
      <c r="C386" s="1"/>
      <c r="D386" s="1">
        <v>41799</v>
      </c>
      <c r="E386" s="10">
        <v>49970</v>
      </c>
      <c r="F386" s="1">
        <v>41799</v>
      </c>
      <c r="G386">
        <v>21680</v>
      </c>
      <c r="H386" s="1">
        <f t="shared" si="16"/>
        <v>41799</v>
      </c>
      <c r="I386">
        <f>IF(AND(MyRowHidden(ROW())=FALSE,MyRowHidden(ROW()-1)=TRUE),0,(E386-E385)*unitsOfDHp+I385)</f>
        <v>199700</v>
      </c>
      <c r="J386">
        <f>IF(AND(MyRowHidden(ROW())=FALSE,MyRowHidden(ROW()-1)=TRUE),0,(G386-G385)*unitsOfExo+J385)</f>
        <v>161100</v>
      </c>
      <c r="K386" s="9">
        <f t="shared" si="17"/>
        <v>-161100</v>
      </c>
      <c r="L386">
        <f t="shared" si="18"/>
        <v>360800</v>
      </c>
    </row>
    <row r="387" spans="1:12" x14ac:dyDescent="0.25">
      <c r="A387" s="1"/>
      <c r="C387" s="1"/>
      <c r="D387" s="1">
        <v>41800</v>
      </c>
      <c r="E387" s="10">
        <v>49970</v>
      </c>
      <c r="F387" s="1">
        <v>41800</v>
      </c>
      <c r="G387">
        <v>22130</v>
      </c>
      <c r="H387" s="1">
        <f t="shared" si="16"/>
        <v>41800</v>
      </c>
      <c r="I387">
        <f>IF(AND(MyRowHidden(ROW())=FALSE,MyRowHidden(ROW()-1)=TRUE),0,(E387-E386)*unitsOfDHp+I386)</f>
        <v>199700</v>
      </c>
      <c r="J387">
        <f>IF(AND(MyRowHidden(ROW())=FALSE,MyRowHidden(ROW()-1)=TRUE),0,(G387-G386)*unitsOfExo+J386)</f>
        <v>165600</v>
      </c>
      <c r="K387" s="9">
        <f t="shared" si="17"/>
        <v>-165600</v>
      </c>
      <c r="L387">
        <f t="shared" si="18"/>
        <v>365300</v>
      </c>
    </row>
    <row r="388" spans="1:12" x14ac:dyDescent="0.25">
      <c r="A388" s="1"/>
      <c r="C388" s="1"/>
      <c r="D388" s="1">
        <v>41801</v>
      </c>
      <c r="E388" s="10">
        <v>49980</v>
      </c>
      <c r="F388" s="1">
        <v>41801</v>
      </c>
      <c r="G388">
        <v>22320</v>
      </c>
      <c r="H388" s="1">
        <f t="shared" si="16"/>
        <v>41801</v>
      </c>
      <c r="I388">
        <f>IF(AND(MyRowHidden(ROW())=FALSE,MyRowHidden(ROW()-1)=TRUE),0,(E388-E387)*unitsOfDHp+I387)</f>
        <v>199800</v>
      </c>
      <c r="J388">
        <f>IF(AND(MyRowHidden(ROW())=FALSE,MyRowHidden(ROW()-1)=TRUE),0,(G388-G387)*unitsOfExo+J387)</f>
        <v>167500</v>
      </c>
      <c r="K388" s="9">
        <f t="shared" si="17"/>
        <v>-167500</v>
      </c>
      <c r="L388">
        <f t="shared" si="18"/>
        <v>367300</v>
      </c>
    </row>
    <row r="389" spans="1:12" x14ac:dyDescent="0.25">
      <c r="A389" s="1"/>
      <c r="C389" s="1"/>
      <c r="D389" s="1">
        <v>41802</v>
      </c>
      <c r="E389" s="10">
        <v>49970</v>
      </c>
      <c r="F389" s="1">
        <v>41802</v>
      </c>
      <c r="G389">
        <v>22380</v>
      </c>
      <c r="H389" s="1">
        <f t="shared" si="16"/>
        <v>41802</v>
      </c>
      <c r="I389">
        <f>IF(AND(MyRowHidden(ROW())=FALSE,MyRowHidden(ROW()-1)=TRUE),0,(E389-E388)*unitsOfDHp+I388)</f>
        <v>199700</v>
      </c>
      <c r="J389">
        <f>IF(AND(MyRowHidden(ROW())=FALSE,MyRowHidden(ROW()-1)=TRUE),0,(G389-G388)*unitsOfExo+J388)</f>
        <v>168100</v>
      </c>
      <c r="K389" s="9">
        <f t="shared" si="17"/>
        <v>-168100</v>
      </c>
      <c r="L389">
        <f t="shared" si="18"/>
        <v>367800</v>
      </c>
    </row>
    <row r="390" spans="1:12" x14ac:dyDescent="0.25">
      <c r="A390" s="1"/>
      <c r="C390" s="1"/>
      <c r="D390" s="1">
        <v>41803</v>
      </c>
      <c r="E390" s="10">
        <v>49932</v>
      </c>
      <c r="F390" s="1">
        <v>41803</v>
      </c>
      <c r="G390">
        <v>22350</v>
      </c>
      <c r="H390" s="1">
        <f t="shared" si="16"/>
        <v>41803</v>
      </c>
      <c r="I390">
        <f>IF(AND(MyRowHidden(ROW())=FALSE,MyRowHidden(ROW()-1)=TRUE),0,(E390-E389)*unitsOfDHp+I389)</f>
        <v>199320</v>
      </c>
      <c r="J390">
        <f>IF(AND(MyRowHidden(ROW())=FALSE,MyRowHidden(ROW()-1)=TRUE),0,(G390-G389)*unitsOfExo+J389)</f>
        <v>167800</v>
      </c>
      <c r="K390" s="9">
        <f t="shared" si="17"/>
        <v>-167800</v>
      </c>
      <c r="L390">
        <f t="shared" si="18"/>
        <v>367120</v>
      </c>
    </row>
    <row r="391" spans="1:12" x14ac:dyDescent="0.25">
      <c r="A391" s="1"/>
      <c r="C391" s="1"/>
      <c r="D391" s="1">
        <v>41806</v>
      </c>
      <c r="E391" s="10">
        <v>50520</v>
      </c>
      <c r="F391" s="1">
        <v>41806</v>
      </c>
      <c r="G391">
        <v>21270</v>
      </c>
      <c r="H391" s="1">
        <f t="shared" si="16"/>
        <v>41806</v>
      </c>
      <c r="I391">
        <f>IF(AND(MyRowHidden(ROW())=FALSE,MyRowHidden(ROW()-1)=TRUE),0,(E391-E390)*unitsOfDHp+I390)</f>
        <v>205200</v>
      </c>
      <c r="J391">
        <f>IF(AND(MyRowHidden(ROW())=FALSE,MyRowHidden(ROW()-1)=TRUE),0,(G391-G390)*unitsOfExo+J390)</f>
        <v>157000</v>
      </c>
      <c r="K391" s="9">
        <f t="shared" si="17"/>
        <v>-157000</v>
      </c>
      <c r="L391">
        <f t="shared" si="18"/>
        <v>362200</v>
      </c>
    </row>
    <row r="392" spans="1:12" x14ac:dyDescent="0.25">
      <c r="A392" s="1"/>
      <c r="C392" s="1"/>
      <c r="D392" s="1">
        <v>41807</v>
      </c>
      <c r="E392" s="10">
        <v>50500</v>
      </c>
      <c r="F392" s="1">
        <v>41807</v>
      </c>
      <c r="G392">
        <v>21500</v>
      </c>
      <c r="H392" s="1">
        <f t="shared" si="16"/>
        <v>41807</v>
      </c>
      <c r="I392">
        <f>IF(AND(MyRowHidden(ROW())=FALSE,MyRowHidden(ROW()-1)=TRUE),0,(E392-E391)*unitsOfDHp+I391)</f>
        <v>205000</v>
      </c>
      <c r="J392">
        <f>IF(AND(MyRowHidden(ROW())=FALSE,MyRowHidden(ROW()-1)=TRUE),0,(G392-G391)*unitsOfExo+J391)</f>
        <v>159300</v>
      </c>
      <c r="K392" s="9">
        <f t="shared" si="17"/>
        <v>-159300</v>
      </c>
      <c r="L392">
        <f t="shared" si="18"/>
        <v>364300</v>
      </c>
    </row>
    <row r="393" spans="1:12" x14ac:dyDescent="0.25">
      <c r="A393" s="1"/>
      <c r="C393" s="1"/>
      <c r="D393" s="1">
        <v>41808</v>
      </c>
      <c r="E393" s="10">
        <v>50470</v>
      </c>
      <c r="F393" s="1">
        <v>41808</v>
      </c>
      <c r="G393">
        <v>21720</v>
      </c>
      <c r="H393" s="1">
        <f t="shared" si="16"/>
        <v>41808</v>
      </c>
      <c r="I393">
        <f>IF(AND(MyRowHidden(ROW())=FALSE,MyRowHidden(ROW()-1)=TRUE),0,(E393-E392)*unitsOfDHp+I392)</f>
        <v>204700</v>
      </c>
      <c r="J393">
        <f>IF(AND(MyRowHidden(ROW())=FALSE,MyRowHidden(ROW()-1)=TRUE),0,(G393-G392)*unitsOfExo+J392)</f>
        <v>161500</v>
      </c>
      <c r="K393" s="9">
        <f t="shared" si="17"/>
        <v>-161500</v>
      </c>
      <c r="L393">
        <f t="shared" si="18"/>
        <v>366200</v>
      </c>
    </row>
    <row r="394" spans="1:12" x14ac:dyDescent="0.25">
      <c r="A394" s="1"/>
      <c r="C394" s="1"/>
      <c r="D394" s="1">
        <v>41809</v>
      </c>
      <c r="E394" s="10">
        <v>50378</v>
      </c>
      <c r="F394" s="1">
        <v>41809</v>
      </c>
      <c r="G394">
        <v>22720</v>
      </c>
      <c r="H394" s="1">
        <f t="shared" si="16"/>
        <v>41809</v>
      </c>
      <c r="I394">
        <f>IF(AND(MyRowHidden(ROW())=FALSE,MyRowHidden(ROW()-1)=TRUE),0,(E394-E393)*unitsOfDHp+I393)</f>
        <v>203780</v>
      </c>
      <c r="J394">
        <f>IF(AND(MyRowHidden(ROW())=FALSE,MyRowHidden(ROW()-1)=TRUE),0,(G394-G393)*unitsOfExo+J393)</f>
        <v>171500</v>
      </c>
      <c r="K394" s="9">
        <f t="shared" si="17"/>
        <v>-171500</v>
      </c>
      <c r="L394">
        <f t="shared" si="18"/>
        <v>375280</v>
      </c>
    </row>
    <row r="395" spans="1:12" x14ac:dyDescent="0.25">
      <c r="A395" s="1"/>
      <c r="C395" s="1"/>
      <c r="D395" s="1">
        <v>41810</v>
      </c>
      <c r="E395" s="10">
        <v>50358</v>
      </c>
      <c r="F395" s="1">
        <v>41810</v>
      </c>
      <c r="G395">
        <v>22800</v>
      </c>
      <c r="H395" s="1">
        <f t="shared" si="16"/>
        <v>41810</v>
      </c>
      <c r="I395">
        <f>IF(AND(MyRowHidden(ROW())=FALSE,MyRowHidden(ROW()-1)=TRUE),0,(E395-E394)*unitsOfDHp+I394)</f>
        <v>203580</v>
      </c>
      <c r="J395">
        <f>IF(AND(MyRowHidden(ROW())=FALSE,MyRowHidden(ROW()-1)=TRUE),0,(G395-G394)*unitsOfExo+J394)</f>
        <v>172300</v>
      </c>
      <c r="K395" s="9">
        <f t="shared" si="17"/>
        <v>-172300</v>
      </c>
      <c r="L395">
        <f t="shared" si="18"/>
        <v>375880</v>
      </c>
    </row>
    <row r="396" spans="1:12" x14ac:dyDescent="0.25">
      <c r="A396" s="1"/>
      <c r="C396" s="1"/>
      <c r="D396" s="1">
        <v>41813</v>
      </c>
      <c r="E396" s="10">
        <v>50630</v>
      </c>
      <c r="F396" s="1">
        <v>41813</v>
      </c>
      <c r="G396">
        <v>22870</v>
      </c>
      <c r="H396" s="1">
        <f t="shared" si="16"/>
        <v>41813</v>
      </c>
      <c r="I396">
        <f>IF(AND(MyRowHidden(ROW())=FALSE,MyRowHidden(ROW()-1)=TRUE),0,(E396-E395)*unitsOfDHp+I395)</f>
        <v>206300</v>
      </c>
      <c r="J396">
        <f>IF(AND(MyRowHidden(ROW())=FALSE,MyRowHidden(ROW()-1)=TRUE),0,(G396-G395)*unitsOfExo+J395)</f>
        <v>173000</v>
      </c>
      <c r="K396" s="9">
        <f t="shared" si="17"/>
        <v>-173000</v>
      </c>
      <c r="L396">
        <f t="shared" si="18"/>
        <v>379300</v>
      </c>
    </row>
    <row r="397" spans="1:12" x14ac:dyDescent="0.25">
      <c r="A397" s="1"/>
      <c r="C397" s="1"/>
      <c r="D397" s="1">
        <v>41814</v>
      </c>
      <c r="E397" s="10">
        <v>54650</v>
      </c>
      <c r="F397" s="1">
        <v>41814</v>
      </c>
      <c r="G397">
        <v>23650</v>
      </c>
      <c r="H397" s="1">
        <f t="shared" ref="H397:H460" si="19">D397</f>
        <v>41814</v>
      </c>
      <c r="I397">
        <f>IF(AND(MyRowHidden(ROW())=FALSE,MyRowHidden(ROW()-1)=TRUE),0,(E397-E396)*unitsOfDHp+I396)</f>
        <v>246500</v>
      </c>
      <c r="J397">
        <f>IF(AND(MyRowHidden(ROW())=FALSE,MyRowHidden(ROW()-1)=TRUE),0,(G397-G396)*unitsOfExo+J396)</f>
        <v>180800</v>
      </c>
      <c r="K397" s="9">
        <f t="shared" ref="K397:K460" si="20">-(J397-J396)+K396</f>
        <v>-180800</v>
      </c>
      <c r="L397">
        <f t="shared" ref="L397:L460" si="21">I397+J397</f>
        <v>427300</v>
      </c>
    </row>
    <row r="398" spans="1:12" x14ac:dyDescent="0.25">
      <c r="A398" s="1"/>
      <c r="C398" s="1"/>
      <c r="D398" s="1">
        <v>41815</v>
      </c>
      <c r="E398" s="10">
        <v>53754</v>
      </c>
      <c r="F398" s="1">
        <v>41815</v>
      </c>
      <c r="G398">
        <v>23410</v>
      </c>
      <c r="H398" s="1">
        <f t="shared" si="19"/>
        <v>41815</v>
      </c>
      <c r="I398">
        <f>IF(AND(MyRowHidden(ROW())=FALSE,MyRowHidden(ROW()-1)=TRUE),0,(E398-E397)*unitsOfDHp+I397)</f>
        <v>237540</v>
      </c>
      <c r="J398">
        <f>IF(AND(MyRowHidden(ROW())=FALSE,MyRowHidden(ROW()-1)=TRUE),0,(G398-G397)*unitsOfExo+J397)</f>
        <v>178400</v>
      </c>
      <c r="K398" s="9">
        <f t="shared" si="20"/>
        <v>-178400</v>
      </c>
      <c r="L398">
        <f t="shared" si="21"/>
        <v>415940</v>
      </c>
    </row>
    <row r="399" spans="1:12" x14ac:dyDescent="0.25">
      <c r="A399" s="1"/>
      <c r="C399" s="1"/>
      <c r="D399" s="1">
        <v>41816</v>
      </c>
      <c r="E399" s="10">
        <v>54304</v>
      </c>
      <c r="F399" s="1">
        <v>41816</v>
      </c>
      <c r="G399">
        <v>23580</v>
      </c>
      <c r="H399" s="1">
        <f t="shared" si="19"/>
        <v>41816</v>
      </c>
      <c r="I399">
        <f>IF(AND(MyRowHidden(ROW())=FALSE,MyRowHidden(ROW()-1)=TRUE),0,(E399-E398)*unitsOfDHp+I398)</f>
        <v>243040</v>
      </c>
      <c r="J399">
        <f>IF(AND(MyRowHidden(ROW())=FALSE,MyRowHidden(ROW()-1)=TRUE),0,(G399-G398)*unitsOfExo+J398)</f>
        <v>180100</v>
      </c>
      <c r="K399" s="9">
        <f t="shared" si="20"/>
        <v>-180100</v>
      </c>
      <c r="L399">
        <f t="shared" si="21"/>
        <v>423140</v>
      </c>
    </row>
    <row r="400" spans="1:12" x14ac:dyDescent="0.25">
      <c r="A400" s="1"/>
      <c r="C400" s="1"/>
      <c r="D400" s="1">
        <v>41817</v>
      </c>
      <c r="E400" s="10">
        <v>56422</v>
      </c>
      <c r="F400" s="1">
        <v>41817</v>
      </c>
      <c r="G400">
        <v>23960</v>
      </c>
      <c r="H400" s="1">
        <f t="shared" si="19"/>
        <v>41817</v>
      </c>
      <c r="I400">
        <f>IF(AND(MyRowHidden(ROW())=FALSE,MyRowHidden(ROW()-1)=TRUE),0,(E400-E399)*unitsOfDHp+I399)</f>
        <v>264220</v>
      </c>
      <c r="J400">
        <f>IF(AND(MyRowHidden(ROW())=FALSE,MyRowHidden(ROW()-1)=TRUE),0,(G400-G399)*unitsOfExo+J399)</f>
        <v>183900</v>
      </c>
      <c r="K400" s="9">
        <f t="shared" si="20"/>
        <v>-183900</v>
      </c>
      <c r="L400">
        <f t="shared" si="21"/>
        <v>448120</v>
      </c>
    </row>
    <row r="401" spans="1:12" x14ac:dyDescent="0.25">
      <c r="A401" s="1"/>
      <c r="C401" s="1"/>
      <c r="D401" s="1">
        <v>41820</v>
      </c>
      <c r="E401" s="10">
        <v>60032</v>
      </c>
      <c r="F401" s="1">
        <v>41820</v>
      </c>
      <c r="G401">
        <v>24580</v>
      </c>
      <c r="H401" s="1">
        <f t="shared" si="19"/>
        <v>41820</v>
      </c>
      <c r="I401">
        <f>IF(AND(MyRowHidden(ROW())=FALSE,MyRowHidden(ROW()-1)=TRUE),0,(E401-E400)*unitsOfDHp+I400)</f>
        <v>300320</v>
      </c>
      <c r="J401">
        <f>IF(AND(MyRowHidden(ROW())=FALSE,MyRowHidden(ROW()-1)=TRUE),0,(G401-G400)*unitsOfExo+J400)</f>
        <v>190100</v>
      </c>
      <c r="K401" s="9">
        <f t="shared" si="20"/>
        <v>-190100</v>
      </c>
      <c r="L401">
        <f t="shared" si="21"/>
        <v>490420</v>
      </c>
    </row>
    <row r="402" spans="1:12" x14ac:dyDescent="0.25">
      <c r="A402" s="1"/>
      <c r="C402" s="1"/>
      <c r="D402" s="1">
        <v>41821</v>
      </c>
      <c r="E402" s="10">
        <v>55224</v>
      </c>
      <c r="F402" s="1">
        <v>41821</v>
      </c>
      <c r="G402">
        <v>23868</v>
      </c>
      <c r="H402" s="1">
        <f t="shared" si="19"/>
        <v>41821</v>
      </c>
      <c r="I402">
        <f>IF(AND(MyRowHidden(ROW())=FALSE,MyRowHidden(ROW()-1)=TRUE),0,(E402-E401)*unitsOfDHp+I401)</f>
        <v>252240</v>
      </c>
      <c r="J402">
        <f>IF(AND(MyRowHidden(ROW())=FALSE,MyRowHidden(ROW()-1)=TRUE),0,(G402-G401)*unitsOfExo+J401)</f>
        <v>182980</v>
      </c>
      <c r="K402" s="9">
        <f t="shared" si="20"/>
        <v>-182980</v>
      </c>
      <c r="L402">
        <f t="shared" si="21"/>
        <v>435220</v>
      </c>
    </row>
    <row r="403" spans="1:12" x14ac:dyDescent="0.25">
      <c r="A403" s="1"/>
      <c r="C403" s="1"/>
      <c r="D403" s="1">
        <v>41822</v>
      </c>
      <c r="E403" s="10">
        <v>54424</v>
      </c>
      <c r="F403" s="1">
        <v>41822</v>
      </c>
      <c r="G403">
        <v>23798</v>
      </c>
      <c r="H403" s="1">
        <f t="shared" si="19"/>
        <v>41822</v>
      </c>
      <c r="I403">
        <f>IF(AND(MyRowHidden(ROW())=FALSE,MyRowHidden(ROW()-1)=TRUE),0,(E403-E402)*unitsOfDHp+I402)</f>
        <v>244240</v>
      </c>
      <c r="J403">
        <f>IF(AND(MyRowHidden(ROW())=FALSE,MyRowHidden(ROW()-1)=TRUE),0,(G403-G402)*unitsOfExo+J402)</f>
        <v>182280</v>
      </c>
      <c r="K403" s="9">
        <f t="shared" si="20"/>
        <v>-182280</v>
      </c>
      <c r="L403">
        <f t="shared" si="21"/>
        <v>426520</v>
      </c>
    </row>
    <row r="404" spans="1:12" x14ac:dyDescent="0.25">
      <c r="A404" s="1"/>
      <c r="C404" s="1"/>
      <c r="D404" s="1">
        <v>41823</v>
      </c>
      <c r="E404" s="10">
        <v>57424</v>
      </c>
      <c r="F404" s="1">
        <v>41823</v>
      </c>
      <c r="G404">
        <v>24308</v>
      </c>
      <c r="H404" s="1">
        <f t="shared" si="19"/>
        <v>41823</v>
      </c>
      <c r="I404">
        <f>IF(AND(MyRowHidden(ROW())=FALSE,MyRowHidden(ROW()-1)=TRUE),0,(E404-E403)*unitsOfDHp+I403)</f>
        <v>274240</v>
      </c>
      <c r="J404">
        <f>IF(AND(MyRowHidden(ROW())=FALSE,MyRowHidden(ROW()-1)=TRUE),0,(G404-G403)*unitsOfExo+J403)</f>
        <v>187380</v>
      </c>
      <c r="K404" s="9">
        <f t="shared" si="20"/>
        <v>-187380</v>
      </c>
      <c r="L404">
        <f t="shared" si="21"/>
        <v>461620</v>
      </c>
    </row>
    <row r="405" spans="1:12" x14ac:dyDescent="0.25">
      <c r="A405" s="1"/>
      <c r="C405" s="1"/>
      <c r="D405" s="1">
        <v>41824</v>
      </c>
      <c r="E405" s="10">
        <v>57814</v>
      </c>
      <c r="F405" s="1">
        <v>41824</v>
      </c>
      <c r="G405">
        <v>24368</v>
      </c>
      <c r="H405" s="1">
        <f t="shared" si="19"/>
        <v>41824</v>
      </c>
      <c r="I405">
        <f>IF(AND(MyRowHidden(ROW())=FALSE,MyRowHidden(ROW()-1)=TRUE),0,(E405-E404)*unitsOfDHp+I404)</f>
        <v>278140</v>
      </c>
      <c r="J405">
        <f>IF(AND(MyRowHidden(ROW())=FALSE,MyRowHidden(ROW()-1)=TRUE),0,(G405-G404)*unitsOfExo+J404)</f>
        <v>187980</v>
      </c>
      <c r="K405" s="9">
        <f t="shared" si="20"/>
        <v>-187980</v>
      </c>
      <c r="L405">
        <f t="shared" si="21"/>
        <v>466120</v>
      </c>
    </row>
    <row r="406" spans="1:12" x14ac:dyDescent="0.25">
      <c r="A406" s="1"/>
      <c r="C406" s="1"/>
      <c r="D406" s="1">
        <v>41827</v>
      </c>
      <c r="E406" s="10">
        <v>57644</v>
      </c>
      <c r="F406" s="1">
        <v>41827</v>
      </c>
      <c r="G406">
        <v>24318</v>
      </c>
      <c r="H406" s="1">
        <f t="shared" si="19"/>
        <v>41827</v>
      </c>
      <c r="I406">
        <f>IF(AND(MyRowHidden(ROW())=FALSE,MyRowHidden(ROW()-1)=TRUE),0,(E406-E405)*unitsOfDHp+I405)</f>
        <v>276440</v>
      </c>
      <c r="J406">
        <f>IF(AND(MyRowHidden(ROW())=FALSE,MyRowHidden(ROW()-1)=TRUE),0,(G406-G405)*unitsOfExo+J405)</f>
        <v>187480</v>
      </c>
      <c r="K406" s="9">
        <f t="shared" si="20"/>
        <v>-187480</v>
      </c>
      <c r="L406">
        <f t="shared" si="21"/>
        <v>463920</v>
      </c>
    </row>
    <row r="407" spans="1:12" x14ac:dyDescent="0.25">
      <c r="A407" s="1"/>
      <c r="C407" s="1"/>
      <c r="D407" s="1">
        <v>41828</v>
      </c>
      <c r="E407" s="10">
        <v>58324</v>
      </c>
      <c r="F407" s="1">
        <v>41828</v>
      </c>
      <c r="G407">
        <v>24418</v>
      </c>
      <c r="H407" s="1">
        <f t="shared" si="19"/>
        <v>41828</v>
      </c>
      <c r="I407">
        <f>IF(AND(MyRowHidden(ROW())=FALSE,MyRowHidden(ROW()-1)=TRUE),0,(E407-E406)*unitsOfDHp+I406)</f>
        <v>283240</v>
      </c>
      <c r="J407">
        <f>IF(AND(MyRowHidden(ROW())=FALSE,MyRowHidden(ROW()-1)=TRUE),0,(G407-G406)*unitsOfExo+J406)</f>
        <v>188480</v>
      </c>
      <c r="K407" s="9">
        <f t="shared" si="20"/>
        <v>-188480</v>
      </c>
      <c r="L407">
        <f t="shared" si="21"/>
        <v>471720</v>
      </c>
    </row>
    <row r="408" spans="1:12" x14ac:dyDescent="0.25">
      <c r="A408" s="1"/>
      <c r="C408" s="1"/>
      <c r="D408" s="1">
        <v>41829</v>
      </c>
      <c r="E408" s="10">
        <v>61654</v>
      </c>
      <c r="F408" s="1">
        <v>41829</v>
      </c>
      <c r="G408">
        <v>24928</v>
      </c>
      <c r="H408" s="1">
        <f t="shared" si="19"/>
        <v>41829</v>
      </c>
      <c r="I408">
        <f>IF(AND(MyRowHidden(ROW())=FALSE,MyRowHidden(ROW()-1)=TRUE),0,(E408-E407)*unitsOfDHp+I407)</f>
        <v>316540</v>
      </c>
      <c r="J408">
        <f>IF(AND(MyRowHidden(ROW())=FALSE,MyRowHidden(ROW()-1)=TRUE),0,(G408-G407)*unitsOfExo+J407)</f>
        <v>193580</v>
      </c>
      <c r="K408" s="9">
        <f t="shared" si="20"/>
        <v>-193580</v>
      </c>
      <c r="L408">
        <f t="shared" si="21"/>
        <v>510120</v>
      </c>
    </row>
    <row r="409" spans="1:12" x14ac:dyDescent="0.25">
      <c r="A409" s="1"/>
      <c r="C409" s="1"/>
      <c r="D409" s="1">
        <v>41830</v>
      </c>
      <c r="E409" s="10">
        <v>60146</v>
      </c>
      <c r="F409" s="1">
        <v>41830</v>
      </c>
      <c r="G409">
        <v>24778</v>
      </c>
      <c r="H409" s="1">
        <f t="shared" si="19"/>
        <v>41830</v>
      </c>
      <c r="I409">
        <f>IF(AND(MyRowHidden(ROW())=FALSE,MyRowHidden(ROW()-1)=TRUE),0,(E409-E408)*unitsOfDHp+I408)</f>
        <v>301460</v>
      </c>
      <c r="J409">
        <f>IF(AND(MyRowHidden(ROW())=FALSE,MyRowHidden(ROW()-1)=TRUE),0,(G409-G408)*unitsOfExo+J408)</f>
        <v>192080</v>
      </c>
      <c r="K409" s="9">
        <f t="shared" si="20"/>
        <v>-192080</v>
      </c>
      <c r="L409">
        <f t="shared" si="21"/>
        <v>493540</v>
      </c>
    </row>
    <row r="410" spans="1:12" x14ac:dyDescent="0.25">
      <c r="A410" s="1"/>
      <c r="C410" s="1"/>
      <c r="D410" s="1">
        <v>41831</v>
      </c>
      <c r="E410" s="10">
        <v>59896</v>
      </c>
      <c r="F410" s="1">
        <v>41831</v>
      </c>
      <c r="G410">
        <v>24698</v>
      </c>
      <c r="H410" s="1">
        <f t="shared" si="19"/>
        <v>41831</v>
      </c>
      <c r="I410">
        <f>IF(AND(MyRowHidden(ROW())=FALSE,MyRowHidden(ROW()-1)=TRUE),0,(E410-E409)*unitsOfDHp+I409)</f>
        <v>298960</v>
      </c>
      <c r="J410">
        <f>IF(AND(MyRowHidden(ROW())=FALSE,MyRowHidden(ROW()-1)=TRUE),0,(G410-G409)*unitsOfExo+J409)</f>
        <v>191280</v>
      </c>
      <c r="K410" s="9">
        <f t="shared" si="20"/>
        <v>-191280</v>
      </c>
      <c r="L410">
        <f t="shared" si="21"/>
        <v>490240</v>
      </c>
    </row>
    <row r="411" spans="1:12" x14ac:dyDescent="0.25">
      <c r="A411" s="1"/>
      <c r="C411" s="1"/>
      <c r="D411" s="1">
        <v>41834</v>
      </c>
      <c r="E411" s="10">
        <v>60946</v>
      </c>
      <c r="F411" s="1">
        <v>41834</v>
      </c>
      <c r="G411">
        <v>24928</v>
      </c>
      <c r="H411" s="1">
        <f t="shared" si="19"/>
        <v>41834</v>
      </c>
      <c r="I411">
        <f>IF(AND(MyRowHidden(ROW())=FALSE,MyRowHidden(ROW()-1)=TRUE),0,(E411-E410)*unitsOfDHp+I410)</f>
        <v>309460</v>
      </c>
      <c r="J411">
        <f>IF(AND(MyRowHidden(ROW())=FALSE,MyRowHidden(ROW()-1)=TRUE),0,(G411-G410)*unitsOfExo+J410)</f>
        <v>193580</v>
      </c>
      <c r="K411" s="9">
        <f t="shared" si="20"/>
        <v>-193580</v>
      </c>
      <c r="L411">
        <f t="shared" si="21"/>
        <v>503040</v>
      </c>
    </row>
    <row r="412" spans="1:12" x14ac:dyDescent="0.25">
      <c r="A412" s="1"/>
      <c r="C412" s="1"/>
      <c r="D412" s="1">
        <v>41835</v>
      </c>
      <c r="E412" s="10">
        <v>62198</v>
      </c>
      <c r="F412" s="1">
        <v>41835</v>
      </c>
      <c r="G412">
        <v>25168</v>
      </c>
      <c r="H412" s="1">
        <f t="shared" si="19"/>
        <v>41835</v>
      </c>
      <c r="I412">
        <f>IF(AND(MyRowHidden(ROW())=FALSE,MyRowHidden(ROW()-1)=TRUE),0,(E412-E411)*unitsOfDHp+I411)</f>
        <v>321980</v>
      </c>
      <c r="J412">
        <f>IF(AND(MyRowHidden(ROW())=FALSE,MyRowHidden(ROW()-1)=TRUE),0,(G412-G411)*unitsOfExo+J411)</f>
        <v>195980</v>
      </c>
      <c r="K412" s="9">
        <f t="shared" si="20"/>
        <v>-195980</v>
      </c>
      <c r="L412">
        <f t="shared" si="21"/>
        <v>517960</v>
      </c>
    </row>
    <row r="413" spans="1:12" x14ac:dyDescent="0.25">
      <c r="A413" s="1"/>
      <c r="C413" s="1"/>
      <c r="D413" s="1">
        <v>41836</v>
      </c>
      <c r="E413" s="10">
        <v>61502</v>
      </c>
      <c r="F413" s="1">
        <v>41836</v>
      </c>
      <c r="G413">
        <v>25148</v>
      </c>
      <c r="H413" s="1">
        <f t="shared" si="19"/>
        <v>41836</v>
      </c>
      <c r="I413">
        <f>IF(AND(MyRowHidden(ROW())=FALSE,MyRowHidden(ROW()-1)=TRUE),0,(E413-E412)*unitsOfDHp+I412)</f>
        <v>315020</v>
      </c>
      <c r="J413">
        <f>IF(AND(MyRowHidden(ROW())=FALSE,MyRowHidden(ROW()-1)=TRUE),0,(G413-G412)*unitsOfExo+J412)</f>
        <v>195780</v>
      </c>
      <c r="K413" s="9">
        <f t="shared" si="20"/>
        <v>-195780</v>
      </c>
      <c r="L413">
        <f t="shared" si="21"/>
        <v>510800</v>
      </c>
    </row>
    <row r="414" spans="1:12" x14ac:dyDescent="0.25">
      <c r="A414" s="1"/>
      <c r="C414" s="1"/>
      <c r="D414" s="1">
        <v>41837</v>
      </c>
      <c r="E414" s="10">
        <v>60026</v>
      </c>
      <c r="F414" s="1">
        <v>41837</v>
      </c>
      <c r="G414">
        <v>24318</v>
      </c>
      <c r="H414" s="1">
        <f t="shared" si="19"/>
        <v>41837</v>
      </c>
      <c r="I414">
        <f>IF(AND(MyRowHidden(ROW())=FALSE,MyRowHidden(ROW()-1)=TRUE),0,(E414-E413)*unitsOfDHp+I413)</f>
        <v>300260</v>
      </c>
      <c r="J414">
        <f>IF(AND(MyRowHidden(ROW())=FALSE,MyRowHidden(ROW()-1)=TRUE),0,(G414-G413)*unitsOfExo+J413)</f>
        <v>187480</v>
      </c>
      <c r="K414" s="9">
        <f t="shared" si="20"/>
        <v>-187480</v>
      </c>
      <c r="L414">
        <f t="shared" si="21"/>
        <v>487740</v>
      </c>
    </row>
    <row r="415" spans="1:12" x14ac:dyDescent="0.25">
      <c r="A415" s="1"/>
      <c r="C415" s="1"/>
      <c r="D415" s="1">
        <v>41838</v>
      </c>
      <c r="E415" s="10">
        <v>59842</v>
      </c>
      <c r="F415" s="1">
        <v>41838</v>
      </c>
      <c r="G415">
        <v>23688</v>
      </c>
      <c r="H415" s="1">
        <f t="shared" si="19"/>
        <v>41838</v>
      </c>
      <c r="I415">
        <f>IF(AND(MyRowHidden(ROW())=FALSE,MyRowHidden(ROW()-1)=TRUE),0,(E415-E414)*unitsOfDHp+I414)</f>
        <v>298420</v>
      </c>
      <c r="J415">
        <f>IF(AND(MyRowHidden(ROW())=FALSE,MyRowHidden(ROW()-1)=TRUE),0,(G415-G414)*unitsOfExo+J414)</f>
        <v>181180</v>
      </c>
      <c r="K415" s="9">
        <f t="shared" si="20"/>
        <v>-181180</v>
      </c>
      <c r="L415">
        <f t="shared" si="21"/>
        <v>479600</v>
      </c>
    </row>
    <row r="416" spans="1:12" x14ac:dyDescent="0.25">
      <c r="A416" s="1"/>
      <c r="C416" s="1"/>
      <c r="D416" s="1">
        <v>41841</v>
      </c>
      <c r="E416" s="10">
        <v>60826</v>
      </c>
      <c r="F416" s="1">
        <v>41841</v>
      </c>
      <c r="G416">
        <v>22908</v>
      </c>
      <c r="H416" s="1">
        <f t="shared" si="19"/>
        <v>41841</v>
      </c>
      <c r="I416">
        <f>IF(AND(MyRowHidden(ROW())=FALSE,MyRowHidden(ROW()-1)=TRUE),0,(E416-E415)*unitsOfDHp+I415)</f>
        <v>308260</v>
      </c>
      <c r="J416">
        <f>IF(AND(MyRowHidden(ROW())=FALSE,MyRowHidden(ROW()-1)=TRUE),0,(G416-G415)*unitsOfExo+J415)</f>
        <v>173380</v>
      </c>
      <c r="K416" s="9">
        <f t="shared" si="20"/>
        <v>-173380</v>
      </c>
      <c r="L416">
        <f t="shared" si="21"/>
        <v>481640</v>
      </c>
    </row>
    <row r="417" spans="1:12" x14ac:dyDescent="0.25">
      <c r="A417" s="1"/>
      <c r="C417" s="1"/>
      <c r="D417" s="1">
        <v>41842</v>
      </c>
      <c r="E417" s="10">
        <v>59010</v>
      </c>
      <c r="F417" s="1">
        <v>41842</v>
      </c>
      <c r="G417">
        <v>23848</v>
      </c>
      <c r="H417" s="1">
        <f t="shared" si="19"/>
        <v>41842</v>
      </c>
      <c r="I417">
        <f>IF(AND(MyRowHidden(ROW())=FALSE,MyRowHidden(ROW()-1)=TRUE),0,(E417-E416)*unitsOfDHp+I416)</f>
        <v>290100</v>
      </c>
      <c r="J417">
        <f>IF(AND(MyRowHidden(ROW())=FALSE,MyRowHidden(ROW()-1)=TRUE),0,(G417-G416)*unitsOfExo+J416)</f>
        <v>182780</v>
      </c>
      <c r="K417" s="9">
        <f t="shared" si="20"/>
        <v>-182780</v>
      </c>
      <c r="L417">
        <f t="shared" si="21"/>
        <v>472880</v>
      </c>
    </row>
    <row r="418" spans="1:12" x14ac:dyDescent="0.25">
      <c r="A418" s="1"/>
      <c r="C418" s="1"/>
      <c r="D418" s="1">
        <v>41843</v>
      </c>
      <c r="E418" s="10">
        <v>63020</v>
      </c>
      <c r="F418" s="1">
        <v>41843</v>
      </c>
      <c r="G418">
        <v>22678</v>
      </c>
      <c r="H418" s="1">
        <f t="shared" si="19"/>
        <v>41843</v>
      </c>
      <c r="I418">
        <f>IF(AND(MyRowHidden(ROW())=FALSE,MyRowHidden(ROW()-1)=TRUE),0,(E418-E417)*unitsOfDHp+I417)</f>
        <v>330200</v>
      </c>
      <c r="J418">
        <f>IF(AND(MyRowHidden(ROW())=FALSE,MyRowHidden(ROW()-1)=TRUE),0,(G418-G417)*unitsOfExo+J417)</f>
        <v>171080</v>
      </c>
      <c r="K418" s="9">
        <f t="shared" si="20"/>
        <v>-171080</v>
      </c>
      <c r="L418">
        <f t="shared" si="21"/>
        <v>501280</v>
      </c>
    </row>
    <row r="419" spans="1:12" x14ac:dyDescent="0.25">
      <c r="A419" s="1"/>
      <c r="C419" s="1"/>
      <c r="D419" s="1">
        <v>41844</v>
      </c>
      <c r="E419" s="10">
        <v>65504</v>
      </c>
      <c r="F419" s="1">
        <v>41844</v>
      </c>
      <c r="G419">
        <v>21978</v>
      </c>
      <c r="H419" s="1">
        <f t="shared" si="19"/>
        <v>41844</v>
      </c>
      <c r="I419">
        <f>IF(AND(MyRowHidden(ROW())=FALSE,MyRowHidden(ROW()-1)=TRUE),0,(E419-E418)*unitsOfDHp+I418)</f>
        <v>355040</v>
      </c>
      <c r="J419">
        <f>IF(AND(MyRowHidden(ROW())=FALSE,MyRowHidden(ROW()-1)=TRUE),0,(G419-G418)*unitsOfExo+J418)</f>
        <v>164080</v>
      </c>
      <c r="K419" s="9">
        <f t="shared" si="20"/>
        <v>-164080</v>
      </c>
      <c r="L419">
        <f t="shared" si="21"/>
        <v>519120</v>
      </c>
    </row>
    <row r="420" spans="1:12" x14ac:dyDescent="0.25">
      <c r="A420" s="1"/>
      <c r="C420" s="1"/>
      <c r="D420" s="1">
        <v>41845</v>
      </c>
      <c r="E420" s="10">
        <v>64734</v>
      </c>
      <c r="F420" s="1">
        <v>41845</v>
      </c>
      <c r="G420">
        <v>22388</v>
      </c>
      <c r="H420" s="1">
        <f t="shared" si="19"/>
        <v>41845</v>
      </c>
      <c r="I420">
        <f>IF(AND(MyRowHidden(ROW())=FALSE,MyRowHidden(ROW()-1)=TRUE),0,(E420-E419)*unitsOfDHp+I419)</f>
        <v>347340</v>
      </c>
      <c r="J420">
        <f>IF(AND(MyRowHidden(ROW())=FALSE,MyRowHidden(ROW()-1)=TRUE),0,(G420-G419)*unitsOfExo+J419)</f>
        <v>168180</v>
      </c>
      <c r="K420" s="9">
        <f t="shared" si="20"/>
        <v>-168180</v>
      </c>
      <c r="L420">
        <f t="shared" si="21"/>
        <v>515520</v>
      </c>
    </row>
    <row r="421" spans="1:12" x14ac:dyDescent="0.25">
      <c r="A421" s="1"/>
      <c r="C421" s="1"/>
      <c r="D421" s="1">
        <v>41848</v>
      </c>
      <c r="E421" s="10">
        <v>65004</v>
      </c>
      <c r="F421" s="1">
        <v>41848</v>
      </c>
      <c r="G421">
        <v>22318</v>
      </c>
      <c r="H421" s="1">
        <f t="shared" si="19"/>
        <v>41848</v>
      </c>
      <c r="I421">
        <f>IF(AND(MyRowHidden(ROW())=FALSE,MyRowHidden(ROW()-1)=TRUE),0,(E421-E420)*unitsOfDHp+I420)</f>
        <v>350040</v>
      </c>
      <c r="J421">
        <f>IF(AND(MyRowHidden(ROW())=FALSE,MyRowHidden(ROW()-1)=TRUE),0,(G421-G420)*unitsOfExo+J420)</f>
        <v>167480</v>
      </c>
      <c r="K421" s="9">
        <f t="shared" si="20"/>
        <v>-167480</v>
      </c>
      <c r="L421">
        <f t="shared" si="21"/>
        <v>517520</v>
      </c>
    </row>
    <row r="422" spans="1:12" x14ac:dyDescent="0.25">
      <c r="A422" s="1"/>
      <c r="C422" s="1"/>
      <c r="D422" s="1">
        <v>41849</v>
      </c>
      <c r="E422" s="10">
        <v>67180</v>
      </c>
      <c r="F422" s="1">
        <v>41849</v>
      </c>
      <c r="G422">
        <v>21468</v>
      </c>
      <c r="H422" s="1">
        <f t="shared" si="19"/>
        <v>41849</v>
      </c>
      <c r="I422">
        <f>IF(AND(MyRowHidden(ROW())=FALSE,MyRowHidden(ROW()-1)=TRUE),0,(E422-E421)*unitsOfDHp+I421)</f>
        <v>371800</v>
      </c>
      <c r="J422">
        <f>IF(AND(MyRowHidden(ROW())=FALSE,MyRowHidden(ROW()-1)=TRUE),0,(G422-G421)*unitsOfExo+J421)</f>
        <v>158980</v>
      </c>
      <c r="K422" s="9">
        <f t="shared" si="20"/>
        <v>-158980</v>
      </c>
      <c r="L422">
        <f t="shared" si="21"/>
        <v>530780</v>
      </c>
    </row>
    <row r="423" spans="1:12" x14ac:dyDescent="0.25">
      <c r="A423" s="1"/>
      <c r="C423" s="1"/>
      <c r="D423" s="1">
        <v>41850</v>
      </c>
      <c r="E423" s="10">
        <v>70678</v>
      </c>
      <c r="F423" s="1">
        <v>41850</v>
      </c>
      <c r="G423">
        <v>20318</v>
      </c>
      <c r="H423" s="1">
        <f t="shared" si="19"/>
        <v>41850</v>
      </c>
      <c r="I423">
        <f>IF(AND(MyRowHidden(ROW())=FALSE,MyRowHidden(ROW()-1)=TRUE),0,(E423-E422)*unitsOfDHp+I422)</f>
        <v>406780</v>
      </c>
      <c r="J423">
        <f>IF(AND(MyRowHidden(ROW())=FALSE,MyRowHidden(ROW()-1)=TRUE),0,(G423-G422)*unitsOfExo+J422)</f>
        <v>147480</v>
      </c>
      <c r="K423" s="9">
        <f t="shared" si="20"/>
        <v>-147480</v>
      </c>
      <c r="L423">
        <f t="shared" si="21"/>
        <v>554260</v>
      </c>
    </row>
    <row r="424" spans="1:12" x14ac:dyDescent="0.25">
      <c r="A424" s="1"/>
      <c r="C424" s="1"/>
      <c r="D424" s="1">
        <v>41851</v>
      </c>
      <c r="E424" s="10">
        <v>70846</v>
      </c>
      <c r="F424" s="1">
        <v>41851</v>
      </c>
      <c r="G424">
        <v>20148</v>
      </c>
      <c r="H424" s="1">
        <f t="shared" si="19"/>
        <v>41851</v>
      </c>
      <c r="I424">
        <f>IF(AND(MyRowHidden(ROW())=FALSE,MyRowHidden(ROW()-1)=TRUE),0,(E424-E423)*unitsOfDHp+I423)</f>
        <v>408460</v>
      </c>
      <c r="J424">
        <f>IF(AND(MyRowHidden(ROW())=FALSE,MyRowHidden(ROW()-1)=TRUE),0,(G424-G423)*unitsOfExo+J423)</f>
        <v>145780</v>
      </c>
      <c r="K424" s="9">
        <f t="shared" si="20"/>
        <v>-145780</v>
      </c>
      <c r="L424">
        <f t="shared" si="21"/>
        <v>554240</v>
      </c>
    </row>
    <row r="425" spans="1:12" x14ac:dyDescent="0.25">
      <c r="A425" s="1"/>
      <c r="C425" s="1"/>
      <c r="D425" s="1">
        <v>41852</v>
      </c>
      <c r="E425" s="10">
        <v>70996</v>
      </c>
      <c r="F425" s="1">
        <v>41852</v>
      </c>
      <c r="G425">
        <v>20006</v>
      </c>
      <c r="H425" s="1">
        <f t="shared" si="19"/>
        <v>41852</v>
      </c>
      <c r="I425">
        <f>IF(AND(MyRowHidden(ROW())=FALSE,MyRowHidden(ROW()-1)=TRUE),0,(E425-E424)*unitsOfDHp+I424)</f>
        <v>409960</v>
      </c>
      <c r="J425">
        <f>IF(AND(MyRowHidden(ROW())=FALSE,MyRowHidden(ROW()-1)=TRUE),0,(G425-G424)*unitsOfExo+J424)</f>
        <v>144360</v>
      </c>
      <c r="K425" s="9">
        <f t="shared" si="20"/>
        <v>-144360</v>
      </c>
      <c r="L425">
        <f t="shared" si="21"/>
        <v>554320</v>
      </c>
    </row>
    <row r="426" spans="1:12" x14ac:dyDescent="0.25">
      <c r="A426" s="1"/>
      <c r="C426" s="1"/>
      <c r="D426" s="1">
        <v>41855</v>
      </c>
      <c r="E426" s="10">
        <v>71136</v>
      </c>
      <c r="F426" s="1">
        <v>41855</v>
      </c>
      <c r="G426">
        <v>19666</v>
      </c>
      <c r="H426" s="1">
        <f t="shared" si="19"/>
        <v>41855</v>
      </c>
      <c r="I426">
        <f>IF(AND(MyRowHidden(ROW())=FALSE,MyRowHidden(ROW()-1)=TRUE),0,(E426-E425)*unitsOfDHp+I425)</f>
        <v>411360</v>
      </c>
      <c r="J426">
        <f>IF(AND(MyRowHidden(ROW())=FALSE,MyRowHidden(ROW()-1)=TRUE),0,(G426-G425)*unitsOfExo+J425)</f>
        <v>140960</v>
      </c>
      <c r="K426" s="9">
        <f t="shared" si="20"/>
        <v>-140960</v>
      </c>
      <c r="L426">
        <f t="shared" si="21"/>
        <v>552320</v>
      </c>
    </row>
    <row r="427" spans="1:12" x14ac:dyDescent="0.25">
      <c r="A427" s="1"/>
      <c r="C427" s="1"/>
      <c r="D427" s="1">
        <v>41856</v>
      </c>
      <c r="E427" s="10">
        <v>71196</v>
      </c>
      <c r="F427" s="1">
        <v>41856</v>
      </c>
      <c r="G427">
        <v>19106</v>
      </c>
      <c r="H427" s="1">
        <f t="shared" si="19"/>
        <v>41856</v>
      </c>
      <c r="I427">
        <f>IF(AND(MyRowHidden(ROW())=FALSE,MyRowHidden(ROW()-1)=TRUE),0,(E427-E426)*unitsOfDHp+I426)</f>
        <v>411960</v>
      </c>
      <c r="J427">
        <f>IF(AND(MyRowHidden(ROW())=FALSE,MyRowHidden(ROW()-1)=TRUE),0,(G427-G426)*unitsOfExo+J426)</f>
        <v>135360</v>
      </c>
      <c r="K427" s="9">
        <f t="shared" si="20"/>
        <v>-135360</v>
      </c>
      <c r="L427">
        <f t="shared" si="21"/>
        <v>547320</v>
      </c>
    </row>
    <row r="428" spans="1:12" x14ac:dyDescent="0.25">
      <c r="A428" s="1"/>
      <c r="C428" s="1"/>
      <c r="D428" s="1">
        <v>41857</v>
      </c>
      <c r="E428" s="10">
        <v>71196</v>
      </c>
      <c r="F428" s="1">
        <v>41857</v>
      </c>
      <c r="G428">
        <v>19316</v>
      </c>
      <c r="H428" s="1">
        <f t="shared" si="19"/>
        <v>41857</v>
      </c>
      <c r="I428">
        <f>IF(AND(MyRowHidden(ROW())=FALSE,MyRowHidden(ROW()-1)=TRUE),0,(E428-E427)*unitsOfDHp+I427)</f>
        <v>411960</v>
      </c>
      <c r="J428">
        <f>IF(AND(MyRowHidden(ROW())=FALSE,MyRowHidden(ROW()-1)=TRUE),0,(G428-G427)*unitsOfExo+J427)</f>
        <v>137460</v>
      </c>
      <c r="K428" s="9">
        <f t="shared" si="20"/>
        <v>-137460</v>
      </c>
      <c r="L428">
        <f t="shared" si="21"/>
        <v>549420</v>
      </c>
    </row>
    <row r="429" spans="1:12" x14ac:dyDescent="0.25">
      <c r="A429" s="1"/>
      <c r="C429" s="1"/>
      <c r="D429" s="1">
        <v>41858</v>
      </c>
      <c r="E429" s="10">
        <v>71178</v>
      </c>
      <c r="F429" s="1">
        <v>41858</v>
      </c>
      <c r="G429">
        <v>18866</v>
      </c>
      <c r="H429" s="1">
        <f t="shared" si="19"/>
        <v>41858</v>
      </c>
      <c r="I429">
        <f>IF(AND(MyRowHidden(ROW())=FALSE,MyRowHidden(ROW()-1)=TRUE),0,(E429-E428)*unitsOfDHp+I428)</f>
        <v>411780</v>
      </c>
      <c r="J429">
        <f>IF(AND(MyRowHidden(ROW())=FALSE,MyRowHidden(ROW()-1)=TRUE),0,(G429-G428)*unitsOfExo+J428)</f>
        <v>132960</v>
      </c>
      <c r="K429" s="9">
        <f t="shared" si="20"/>
        <v>-132960</v>
      </c>
      <c r="L429">
        <f t="shared" si="21"/>
        <v>544740</v>
      </c>
    </row>
    <row r="430" spans="1:12" x14ac:dyDescent="0.25">
      <c r="A430" s="1"/>
      <c r="C430" s="1"/>
      <c r="D430" s="1">
        <v>41859</v>
      </c>
      <c r="E430" s="10">
        <v>71198</v>
      </c>
      <c r="F430" s="1">
        <v>41859</v>
      </c>
      <c r="G430">
        <v>18666</v>
      </c>
      <c r="H430" s="1">
        <f t="shared" si="19"/>
        <v>41859</v>
      </c>
      <c r="I430">
        <f>IF(AND(MyRowHidden(ROW())=FALSE,MyRowHidden(ROW()-1)=TRUE),0,(E430-E429)*unitsOfDHp+I429)</f>
        <v>411980</v>
      </c>
      <c r="J430">
        <f>IF(AND(MyRowHidden(ROW())=FALSE,MyRowHidden(ROW()-1)=TRUE),0,(G430-G429)*unitsOfExo+J429)</f>
        <v>130960</v>
      </c>
      <c r="K430" s="9">
        <f t="shared" si="20"/>
        <v>-130960</v>
      </c>
      <c r="L430">
        <f t="shared" si="21"/>
        <v>542940</v>
      </c>
    </row>
    <row r="431" spans="1:12" x14ac:dyDescent="0.25">
      <c r="A431" s="1"/>
      <c r="C431" s="1"/>
      <c r="D431" s="1">
        <v>41862</v>
      </c>
      <c r="E431" s="10">
        <v>71198</v>
      </c>
      <c r="F431" s="1">
        <v>41862</v>
      </c>
      <c r="G431">
        <v>18516</v>
      </c>
      <c r="H431" s="1">
        <f t="shared" si="19"/>
        <v>41862</v>
      </c>
      <c r="I431">
        <f>IF(AND(MyRowHidden(ROW())=FALSE,MyRowHidden(ROW()-1)=TRUE),0,(E431-E430)*unitsOfDHp+I430)</f>
        <v>411980</v>
      </c>
      <c r="J431">
        <f>IF(AND(MyRowHidden(ROW())=FALSE,MyRowHidden(ROW()-1)=TRUE),0,(G431-G430)*unitsOfExo+J430)</f>
        <v>129460</v>
      </c>
      <c r="K431" s="9">
        <f t="shared" si="20"/>
        <v>-129460</v>
      </c>
      <c r="L431">
        <f t="shared" si="21"/>
        <v>541440</v>
      </c>
    </row>
    <row r="432" spans="1:12" x14ac:dyDescent="0.25">
      <c r="A432" s="1"/>
      <c r="C432" s="1"/>
      <c r="D432" s="1">
        <v>41863</v>
      </c>
      <c r="E432" s="10">
        <v>71198</v>
      </c>
      <c r="F432" s="1">
        <v>41863</v>
      </c>
      <c r="G432">
        <v>18476</v>
      </c>
      <c r="H432" s="1">
        <f t="shared" si="19"/>
        <v>41863</v>
      </c>
      <c r="I432">
        <f>IF(AND(MyRowHidden(ROW())=FALSE,MyRowHidden(ROW()-1)=TRUE),0,(E432-E431)*unitsOfDHp+I431)</f>
        <v>411980</v>
      </c>
      <c r="J432">
        <f>IF(AND(MyRowHidden(ROW())=FALSE,MyRowHidden(ROW()-1)=TRUE),0,(G432-G431)*unitsOfExo+J431)</f>
        <v>129060</v>
      </c>
      <c r="K432" s="9">
        <f t="shared" si="20"/>
        <v>-129060</v>
      </c>
      <c r="L432">
        <f t="shared" si="21"/>
        <v>541040</v>
      </c>
    </row>
    <row r="433" spans="1:12" x14ac:dyDescent="0.25">
      <c r="A433" s="1"/>
      <c r="C433" s="1"/>
      <c r="D433" s="1">
        <v>41864</v>
      </c>
      <c r="E433" s="10">
        <v>71198</v>
      </c>
      <c r="F433" s="1">
        <v>41864</v>
      </c>
      <c r="G433">
        <v>18856</v>
      </c>
      <c r="H433" s="1">
        <f t="shared" si="19"/>
        <v>41864</v>
      </c>
      <c r="I433">
        <f>IF(AND(MyRowHidden(ROW())=FALSE,MyRowHidden(ROW()-1)=TRUE),0,(E433-E432)*unitsOfDHp+I432)</f>
        <v>411980</v>
      </c>
      <c r="J433">
        <f>IF(AND(MyRowHidden(ROW())=FALSE,MyRowHidden(ROW()-1)=TRUE),0,(G433-G432)*unitsOfExo+J432)</f>
        <v>132860</v>
      </c>
      <c r="K433" s="9">
        <f t="shared" si="20"/>
        <v>-132860</v>
      </c>
      <c r="L433">
        <f t="shared" si="21"/>
        <v>544840</v>
      </c>
    </row>
    <row r="434" spans="1:12" x14ac:dyDescent="0.25">
      <c r="A434" s="1"/>
      <c r="C434" s="1"/>
      <c r="D434" s="1">
        <v>41865</v>
      </c>
      <c r="E434" s="10">
        <v>71170</v>
      </c>
      <c r="F434" s="1">
        <v>41865</v>
      </c>
      <c r="G434">
        <v>18746</v>
      </c>
      <c r="H434" s="1">
        <f t="shared" si="19"/>
        <v>41865</v>
      </c>
      <c r="I434">
        <f>IF(AND(MyRowHidden(ROW())=FALSE,MyRowHidden(ROW()-1)=TRUE),0,(E434-E433)*unitsOfDHp+I433)</f>
        <v>411700</v>
      </c>
      <c r="J434">
        <f>IF(AND(MyRowHidden(ROW())=FALSE,MyRowHidden(ROW()-1)=TRUE),0,(G434-G433)*unitsOfExo+J433)</f>
        <v>131760</v>
      </c>
      <c r="K434" s="9">
        <f t="shared" si="20"/>
        <v>-131760</v>
      </c>
      <c r="L434">
        <f t="shared" si="21"/>
        <v>543460</v>
      </c>
    </row>
    <row r="435" spans="1:12" x14ac:dyDescent="0.25">
      <c r="A435" s="1"/>
      <c r="C435" s="1"/>
      <c r="D435" s="1">
        <v>41866</v>
      </c>
      <c r="E435" s="10">
        <v>71216</v>
      </c>
      <c r="F435" s="1">
        <v>41866</v>
      </c>
      <c r="G435">
        <v>18786</v>
      </c>
      <c r="H435" s="1">
        <f t="shared" si="19"/>
        <v>41866</v>
      </c>
      <c r="I435">
        <f>IF(AND(MyRowHidden(ROW())=FALSE,MyRowHidden(ROW()-1)=TRUE),0,(E435-E434)*unitsOfDHp+I434)</f>
        <v>412160</v>
      </c>
      <c r="J435">
        <f>IF(AND(MyRowHidden(ROW())=FALSE,MyRowHidden(ROW()-1)=TRUE),0,(G435-G434)*unitsOfExo+J434)</f>
        <v>132160</v>
      </c>
      <c r="K435" s="9">
        <f t="shared" si="20"/>
        <v>-132160</v>
      </c>
      <c r="L435">
        <f t="shared" si="21"/>
        <v>544320</v>
      </c>
    </row>
    <row r="436" spans="1:12" x14ac:dyDescent="0.25">
      <c r="A436" s="1"/>
      <c r="C436" s="1"/>
      <c r="D436" s="1">
        <v>41869</v>
      </c>
      <c r="E436" s="10">
        <v>71016</v>
      </c>
      <c r="F436" s="1">
        <v>41869</v>
      </c>
      <c r="G436">
        <v>18816</v>
      </c>
      <c r="H436" s="1">
        <f t="shared" si="19"/>
        <v>41869</v>
      </c>
      <c r="I436">
        <f>IF(AND(MyRowHidden(ROW())=FALSE,MyRowHidden(ROW()-1)=TRUE),0,(E436-E435)*unitsOfDHp+I435)</f>
        <v>410160</v>
      </c>
      <c r="J436">
        <f>IF(AND(MyRowHidden(ROW())=FALSE,MyRowHidden(ROW()-1)=TRUE),0,(G436-G435)*unitsOfExo+J435)</f>
        <v>132460</v>
      </c>
      <c r="K436" s="9">
        <f t="shared" si="20"/>
        <v>-132460</v>
      </c>
      <c r="L436">
        <f t="shared" si="21"/>
        <v>542620</v>
      </c>
    </row>
    <row r="437" spans="1:12" x14ac:dyDescent="0.25">
      <c r="A437" s="1"/>
      <c r="C437" s="1"/>
      <c r="D437" s="1">
        <v>41870</v>
      </c>
      <c r="E437" s="10">
        <v>70988</v>
      </c>
      <c r="F437" s="1">
        <v>41870</v>
      </c>
      <c r="G437">
        <v>18606</v>
      </c>
      <c r="H437" s="1">
        <f t="shared" si="19"/>
        <v>41870</v>
      </c>
      <c r="I437">
        <f>IF(AND(MyRowHidden(ROW())=FALSE,MyRowHidden(ROW()-1)=TRUE),0,(E437-E436)*unitsOfDHp+I436)</f>
        <v>409880</v>
      </c>
      <c r="J437">
        <f>IF(AND(MyRowHidden(ROW())=FALSE,MyRowHidden(ROW()-1)=TRUE),0,(G437-G436)*unitsOfExo+J436)</f>
        <v>130360</v>
      </c>
      <c r="K437" s="9">
        <f t="shared" si="20"/>
        <v>-130360</v>
      </c>
      <c r="L437">
        <f t="shared" si="21"/>
        <v>540240</v>
      </c>
    </row>
    <row r="438" spans="1:12" x14ac:dyDescent="0.25">
      <c r="A438" s="1"/>
      <c r="C438" s="1"/>
      <c r="D438" s="1">
        <v>41871</v>
      </c>
      <c r="E438" s="10">
        <v>72418</v>
      </c>
      <c r="F438" s="1">
        <v>41871</v>
      </c>
      <c r="G438">
        <v>17686</v>
      </c>
      <c r="H438" s="1">
        <f t="shared" si="19"/>
        <v>41871</v>
      </c>
      <c r="I438">
        <f>IF(AND(MyRowHidden(ROW())=FALSE,MyRowHidden(ROW()-1)=TRUE),0,(E438-E437)*unitsOfDHp+I437)</f>
        <v>424180</v>
      </c>
      <c r="J438">
        <f>IF(AND(MyRowHidden(ROW())=FALSE,MyRowHidden(ROW()-1)=TRUE),0,(G438-G437)*unitsOfExo+J437)</f>
        <v>121160</v>
      </c>
      <c r="K438" s="9">
        <f t="shared" si="20"/>
        <v>-121160</v>
      </c>
      <c r="L438">
        <f t="shared" si="21"/>
        <v>545340</v>
      </c>
    </row>
    <row r="439" spans="1:12" x14ac:dyDescent="0.25">
      <c r="A439" s="1"/>
      <c r="C439" s="1"/>
      <c r="D439" s="1">
        <v>41872</v>
      </c>
      <c r="E439" s="10">
        <v>71438</v>
      </c>
      <c r="F439" s="1">
        <v>41872</v>
      </c>
      <c r="G439">
        <v>18326</v>
      </c>
      <c r="H439" s="1">
        <f t="shared" si="19"/>
        <v>41872</v>
      </c>
      <c r="I439">
        <f>IF(AND(MyRowHidden(ROW())=FALSE,MyRowHidden(ROW()-1)=TRUE),0,(E439-E438)*unitsOfDHp+I438)</f>
        <v>414380</v>
      </c>
      <c r="J439">
        <f>IF(AND(MyRowHidden(ROW())=FALSE,MyRowHidden(ROW()-1)=TRUE),0,(G439-G438)*unitsOfExo+J438)</f>
        <v>127560</v>
      </c>
      <c r="K439" s="9">
        <f t="shared" si="20"/>
        <v>-127560</v>
      </c>
      <c r="L439">
        <f t="shared" si="21"/>
        <v>541940</v>
      </c>
    </row>
    <row r="440" spans="1:12" x14ac:dyDescent="0.25">
      <c r="A440" s="1"/>
      <c r="C440" s="1"/>
      <c r="D440" s="1">
        <v>41873</v>
      </c>
      <c r="E440" s="10">
        <v>72088</v>
      </c>
      <c r="F440" s="1">
        <v>41873</v>
      </c>
      <c r="G440">
        <v>17886</v>
      </c>
      <c r="H440" s="1">
        <f t="shared" si="19"/>
        <v>41873</v>
      </c>
      <c r="I440">
        <f>IF(AND(MyRowHidden(ROW())=FALSE,MyRowHidden(ROW()-1)=TRUE),0,(E440-E439)*unitsOfDHp+I439)</f>
        <v>420880</v>
      </c>
      <c r="J440">
        <f>IF(AND(MyRowHidden(ROW())=FALSE,MyRowHidden(ROW()-1)=TRUE),0,(G440-G439)*unitsOfExo+J439)</f>
        <v>123160</v>
      </c>
      <c r="K440" s="9">
        <f t="shared" si="20"/>
        <v>-123160</v>
      </c>
      <c r="L440">
        <f t="shared" si="21"/>
        <v>544040</v>
      </c>
    </row>
    <row r="441" spans="1:12" x14ac:dyDescent="0.25">
      <c r="A441" s="1"/>
      <c r="C441" s="1"/>
      <c r="D441" s="1">
        <v>41876</v>
      </c>
      <c r="E441" s="10">
        <v>71758</v>
      </c>
      <c r="F441" s="1">
        <v>41876</v>
      </c>
      <c r="G441">
        <v>18116</v>
      </c>
      <c r="H441" s="1">
        <f t="shared" si="19"/>
        <v>41876</v>
      </c>
      <c r="I441">
        <f>IF(AND(MyRowHidden(ROW())=FALSE,MyRowHidden(ROW()-1)=TRUE),0,(E441-E440)*unitsOfDHp+I440)</f>
        <v>417580</v>
      </c>
      <c r="J441">
        <f>IF(AND(MyRowHidden(ROW())=FALSE,MyRowHidden(ROW()-1)=TRUE),0,(G441-G440)*unitsOfExo+J440)</f>
        <v>125460</v>
      </c>
      <c r="K441" s="9">
        <f t="shared" si="20"/>
        <v>-125460</v>
      </c>
      <c r="L441">
        <f t="shared" si="21"/>
        <v>543040</v>
      </c>
    </row>
    <row r="442" spans="1:12" x14ac:dyDescent="0.25">
      <c r="A442" s="1"/>
      <c r="C442" s="1"/>
      <c r="D442" s="1">
        <v>41877</v>
      </c>
      <c r="E442" s="10">
        <v>70664</v>
      </c>
      <c r="F442" s="1">
        <v>41877</v>
      </c>
      <c r="G442">
        <v>18736</v>
      </c>
      <c r="H442" s="1">
        <f t="shared" si="19"/>
        <v>41877</v>
      </c>
      <c r="I442">
        <f>IF(AND(MyRowHidden(ROW())=FALSE,MyRowHidden(ROW()-1)=TRUE),0,(E442-E441)*unitsOfDHp+I441)</f>
        <v>406640</v>
      </c>
      <c r="J442">
        <f>IF(AND(MyRowHidden(ROW())=FALSE,MyRowHidden(ROW()-1)=TRUE),0,(G442-G441)*unitsOfExo+J441)</f>
        <v>131660</v>
      </c>
      <c r="K442" s="9">
        <f t="shared" si="20"/>
        <v>-131660</v>
      </c>
      <c r="L442">
        <f t="shared" si="21"/>
        <v>538300</v>
      </c>
    </row>
    <row r="443" spans="1:12" x14ac:dyDescent="0.25">
      <c r="A443" s="1"/>
      <c r="C443" s="1"/>
      <c r="D443" s="1">
        <v>41878</v>
      </c>
      <c r="E443" s="10">
        <v>70212</v>
      </c>
      <c r="F443" s="1">
        <v>41878</v>
      </c>
      <c r="G443">
        <v>19106</v>
      </c>
      <c r="H443" s="1">
        <f t="shared" si="19"/>
        <v>41878</v>
      </c>
      <c r="I443">
        <f>IF(AND(MyRowHidden(ROW())=FALSE,MyRowHidden(ROW()-1)=TRUE),0,(E443-E442)*unitsOfDHp+I442)</f>
        <v>402120</v>
      </c>
      <c r="J443">
        <f>IF(AND(MyRowHidden(ROW())=FALSE,MyRowHidden(ROW()-1)=TRUE),0,(G443-G442)*unitsOfExo+J442)</f>
        <v>135360</v>
      </c>
      <c r="K443" s="9">
        <f t="shared" si="20"/>
        <v>-135360</v>
      </c>
      <c r="L443">
        <f t="shared" si="21"/>
        <v>537480</v>
      </c>
    </row>
    <row r="444" spans="1:12" x14ac:dyDescent="0.25">
      <c r="A444" s="1"/>
      <c r="C444" s="1"/>
      <c r="D444" s="1">
        <v>41879</v>
      </c>
      <c r="E444" s="10">
        <v>70408</v>
      </c>
      <c r="F444" s="1">
        <v>41879</v>
      </c>
      <c r="G444">
        <v>18946</v>
      </c>
      <c r="H444" s="1">
        <f t="shared" si="19"/>
        <v>41879</v>
      </c>
      <c r="I444">
        <f>IF(AND(MyRowHidden(ROW())=FALSE,MyRowHidden(ROW()-1)=TRUE),0,(E444-E443)*unitsOfDHp+I443)</f>
        <v>404080</v>
      </c>
      <c r="J444">
        <f>IF(AND(MyRowHidden(ROW())=FALSE,MyRowHidden(ROW()-1)=TRUE),0,(G444-G443)*unitsOfExo+J443)</f>
        <v>133760</v>
      </c>
      <c r="K444" s="9">
        <f t="shared" si="20"/>
        <v>-133760</v>
      </c>
      <c r="L444">
        <f t="shared" si="21"/>
        <v>537840</v>
      </c>
    </row>
    <row r="445" spans="1:12" x14ac:dyDescent="0.25">
      <c r="A445" s="1"/>
      <c r="C445" s="1"/>
      <c r="D445" s="1">
        <v>41880</v>
      </c>
      <c r="E445" s="10">
        <v>69710</v>
      </c>
      <c r="F445" s="1">
        <v>41880</v>
      </c>
      <c r="G445">
        <v>19966</v>
      </c>
      <c r="H445" s="1">
        <f t="shared" si="19"/>
        <v>41880</v>
      </c>
      <c r="I445">
        <f>IF(AND(MyRowHidden(ROW())=FALSE,MyRowHidden(ROW()-1)=TRUE),0,(E445-E444)*unitsOfDHp+I444)</f>
        <v>397100</v>
      </c>
      <c r="J445">
        <f>IF(AND(MyRowHidden(ROW())=FALSE,MyRowHidden(ROW()-1)=TRUE),0,(G445-G444)*unitsOfExo+J444)</f>
        <v>143960</v>
      </c>
      <c r="K445" s="9">
        <f t="shared" si="20"/>
        <v>-143960</v>
      </c>
      <c r="L445">
        <f t="shared" si="21"/>
        <v>541060</v>
      </c>
    </row>
    <row r="446" spans="1:12" x14ac:dyDescent="0.25">
      <c r="A446" s="1"/>
      <c r="C446" s="1"/>
      <c r="D446" s="1">
        <v>41883</v>
      </c>
      <c r="E446" s="10">
        <v>71158</v>
      </c>
      <c r="F446" s="1">
        <v>41883</v>
      </c>
      <c r="G446">
        <v>20736</v>
      </c>
      <c r="H446" s="1">
        <f t="shared" si="19"/>
        <v>41883</v>
      </c>
      <c r="I446">
        <f>IF(AND(MyRowHidden(ROW())=FALSE,MyRowHidden(ROW()-1)=TRUE),0,(E446-E445)*unitsOfDHp+I445)</f>
        <v>411580</v>
      </c>
      <c r="J446">
        <f>IF(AND(MyRowHidden(ROW())=FALSE,MyRowHidden(ROW()-1)=TRUE),0,(G446-G445)*unitsOfExo+J445)</f>
        <v>151660</v>
      </c>
      <c r="K446" s="9">
        <f t="shared" si="20"/>
        <v>-151660</v>
      </c>
      <c r="L446">
        <f t="shared" si="21"/>
        <v>563240</v>
      </c>
    </row>
    <row r="447" spans="1:12" x14ac:dyDescent="0.25">
      <c r="A447" s="1"/>
      <c r="C447" s="1"/>
      <c r="D447" s="1">
        <v>41884</v>
      </c>
      <c r="E447" s="10">
        <v>71168</v>
      </c>
      <c r="F447" s="1">
        <v>41884</v>
      </c>
      <c r="G447">
        <v>20716</v>
      </c>
      <c r="H447" s="1">
        <f t="shared" si="19"/>
        <v>41884</v>
      </c>
      <c r="I447">
        <f>IF(AND(MyRowHidden(ROW())=FALSE,MyRowHidden(ROW()-1)=TRUE),0,(E447-E446)*unitsOfDHp+I446)</f>
        <v>411680</v>
      </c>
      <c r="J447">
        <f>IF(AND(MyRowHidden(ROW())=FALSE,MyRowHidden(ROW()-1)=TRUE),0,(G447-G446)*unitsOfExo+J446)</f>
        <v>151460</v>
      </c>
      <c r="K447" s="9">
        <f t="shared" si="20"/>
        <v>-151460</v>
      </c>
      <c r="L447">
        <f t="shared" si="21"/>
        <v>563140</v>
      </c>
    </row>
    <row r="448" spans="1:12" x14ac:dyDescent="0.25">
      <c r="A448" s="1"/>
      <c r="C448" s="1"/>
      <c r="D448" s="1">
        <v>41885</v>
      </c>
      <c r="E448" s="10">
        <v>72958</v>
      </c>
      <c r="F448" s="1">
        <v>41885</v>
      </c>
      <c r="G448">
        <v>21096</v>
      </c>
      <c r="H448" s="1">
        <f t="shared" si="19"/>
        <v>41885</v>
      </c>
      <c r="I448">
        <f>IF(AND(MyRowHidden(ROW())=FALSE,MyRowHidden(ROW()-1)=TRUE),0,(E448-E447)*unitsOfDHp+I447)</f>
        <v>429580</v>
      </c>
      <c r="J448">
        <f>IF(AND(MyRowHidden(ROW())=FALSE,MyRowHidden(ROW()-1)=TRUE),0,(G448-G447)*unitsOfExo+J447)</f>
        <v>155260</v>
      </c>
      <c r="K448" s="9">
        <f t="shared" si="20"/>
        <v>-155260</v>
      </c>
      <c r="L448">
        <f t="shared" si="21"/>
        <v>584840</v>
      </c>
    </row>
    <row r="449" spans="1:12" x14ac:dyDescent="0.25">
      <c r="A449" s="1"/>
      <c r="C449" s="1"/>
      <c r="D449" s="1">
        <v>41886</v>
      </c>
      <c r="E449" s="10">
        <v>76248</v>
      </c>
      <c r="F449" s="1">
        <v>41886</v>
      </c>
      <c r="G449">
        <v>21796</v>
      </c>
      <c r="H449" s="1">
        <f t="shared" si="19"/>
        <v>41886</v>
      </c>
      <c r="I449">
        <f>IF(AND(MyRowHidden(ROW())=FALSE,MyRowHidden(ROW()-1)=TRUE),0,(E449-E448)*unitsOfDHp+I448)</f>
        <v>462480</v>
      </c>
      <c r="J449">
        <f>IF(AND(MyRowHidden(ROW())=FALSE,MyRowHidden(ROW()-1)=TRUE),0,(G449-G448)*unitsOfExo+J448)</f>
        <v>162260</v>
      </c>
      <c r="K449" s="9">
        <f t="shared" si="20"/>
        <v>-162260</v>
      </c>
      <c r="L449">
        <f t="shared" si="21"/>
        <v>624740</v>
      </c>
    </row>
    <row r="450" spans="1:12" x14ac:dyDescent="0.25">
      <c r="A450" s="1"/>
      <c r="C450" s="1"/>
      <c r="D450" s="1">
        <v>41887</v>
      </c>
      <c r="E450" s="10">
        <v>81316</v>
      </c>
      <c r="F450" s="1">
        <v>41887</v>
      </c>
      <c r="G450">
        <v>23026</v>
      </c>
      <c r="H450" s="1">
        <f t="shared" si="19"/>
        <v>41887</v>
      </c>
      <c r="I450">
        <f>IF(AND(MyRowHidden(ROW())=FALSE,MyRowHidden(ROW()-1)=TRUE),0,(E450-E449)*unitsOfDHp+I449)</f>
        <v>513160</v>
      </c>
      <c r="J450">
        <f>IF(AND(MyRowHidden(ROW())=FALSE,MyRowHidden(ROW()-1)=TRUE),0,(G450-G449)*unitsOfExo+J449)</f>
        <v>174560</v>
      </c>
      <c r="K450" s="9">
        <f t="shared" si="20"/>
        <v>-174560</v>
      </c>
      <c r="L450">
        <f t="shared" si="21"/>
        <v>687720</v>
      </c>
    </row>
    <row r="451" spans="1:12" x14ac:dyDescent="0.25">
      <c r="A451" s="1"/>
      <c r="C451" s="1"/>
      <c r="D451" s="1">
        <v>41890</v>
      </c>
      <c r="E451" s="10">
        <v>77724</v>
      </c>
      <c r="F451" s="1">
        <v>41890</v>
      </c>
      <c r="G451">
        <v>22136</v>
      </c>
      <c r="H451" s="1">
        <f t="shared" si="19"/>
        <v>41890</v>
      </c>
      <c r="I451">
        <f>IF(AND(MyRowHidden(ROW())=FALSE,MyRowHidden(ROW()-1)=TRUE),0,(E451-E450)*unitsOfDHp+I450)</f>
        <v>477240</v>
      </c>
      <c r="J451">
        <f>IF(AND(MyRowHidden(ROW())=FALSE,MyRowHidden(ROW()-1)=TRUE),0,(G451-G450)*unitsOfExo+J450)</f>
        <v>165660</v>
      </c>
      <c r="K451" s="9">
        <f t="shared" si="20"/>
        <v>-165660</v>
      </c>
      <c r="L451">
        <f t="shared" si="21"/>
        <v>642900</v>
      </c>
    </row>
    <row r="452" spans="1:12" x14ac:dyDescent="0.25">
      <c r="A452" s="1"/>
      <c r="C452" s="1"/>
      <c r="D452" s="1">
        <v>41891</v>
      </c>
      <c r="E452" s="10">
        <v>78174</v>
      </c>
      <c r="F452" s="1">
        <v>41891</v>
      </c>
      <c r="G452">
        <v>22916</v>
      </c>
      <c r="H452" s="1">
        <f t="shared" si="19"/>
        <v>41891</v>
      </c>
      <c r="I452">
        <f>IF(AND(MyRowHidden(ROW())=FALSE,MyRowHidden(ROW()-1)=TRUE),0,(E452-E451)*unitsOfDHp+I451)</f>
        <v>481740</v>
      </c>
      <c r="J452">
        <f>IF(AND(MyRowHidden(ROW())=FALSE,MyRowHidden(ROW()-1)=TRUE),0,(G452-G451)*unitsOfExo+J451)</f>
        <v>173460</v>
      </c>
      <c r="K452" s="9">
        <f t="shared" si="20"/>
        <v>-173460</v>
      </c>
      <c r="L452">
        <f t="shared" si="21"/>
        <v>655200</v>
      </c>
    </row>
    <row r="453" spans="1:12" x14ac:dyDescent="0.25">
      <c r="A453" s="1"/>
      <c r="C453" s="1"/>
      <c r="D453" s="1">
        <v>41892</v>
      </c>
      <c r="E453" s="10">
        <v>78554</v>
      </c>
      <c r="F453" s="1">
        <v>41892</v>
      </c>
      <c r="G453">
        <v>23596</v>
      </c>
      <c r="H453" s="1">
        <f t="shared" si="19"/>
        <v>41892</v>
      </c>
      <c r="I453">
        <f>IF(AND(MyRowHidden(ROW())=FALSE,MyRowHidden(ROW()-1)=TRUE),0,(E453-E452)*unitsOfDHp+I452)</f>
        <v>485540</v>
      </c>
      <c r="J453">
        <f>IF(AND(MyRowHidden(ROW())=FALSE,MyRowHidden(ROW()-1)=TRUE),0,(G453-G452)*unitsOfExo+J452)</f>
        <v>180260</v>
      </c>
      <c r="K453" s="9">
        <f t="shared" si="20"/>
        <v>-180260</v>
      </c>
      <c r="L453">
        <f t="shared" si="21"/>
        <v>665800</v>
      </c>
    </row>
    <row r="454" spans="1:12" x14ac:dyDescent="0.25">
      <c r="A454" s="1"/>
      <c r="C454" s="1"/>
      <c r="D454" s="1">
        <v>41893</v>
      </c>
      <c r="E454" s="10">
        <v>78484</v>
      </c>
      <c r="F454" s="1">
        <v>41893</v>
      </c>
      <c r="G454">
        <v>23256</v>
      </c>
      <c r="H454" s="1">
        <f t="shared" si="19"/>
        <v>41893</v>
      </c>
      <c r="I454">
        <f>IF(AND(MyRowHidden(ROW())=FALSE,MyRowHidden(ROW()-1)=TRUE),0,(E454-E453)*unitsOfDHp+I453)</f>
        <v>484840</v>
      </c>
      <c r="J454">
        <f>IF(AND(MyRowHidden(ROW())=FALSE,MyRowHidden(ROW()-1)=TRUE),0,(G454-G453)*unitsOfExo+J453)</f>
        <v>176860</v>
      </c>
      <c r="K454" s="9">
        <f t="shared" si="20"/>
        <v>-176860</v>
      </c>
      <c r="L454">
        <f t="shared" si="21"/>
        <v>661700</v>
      </c>
    </row>
    <row r="455" spans="1:12" x14ac:dyDescent="0.25">
      <c r="A455" s="1"/>
      <c r="C455" s="1"/>
      <c r="D455" s="1">
        <v>41894</v>
      </c>
      <c r="E455" s="10">
        <v>78454</v>
      </c>
      <c r="F455" s="1">
        <v>41894</v>
      </c>
      <c r="G455">
        <v>23266</v>
      </c>
      <c r="H455" s="1">
        <f t="shared" si="19"/>
        <v>41894</v>
      </c>
      <c r="I455">
        <f>IF(AND(MyRowHidden(ROW())=FALSE,MyRowHidden(ROW()-1)=TRUE),0,(E455-E454)*unitsOfDHp+I454)</f>
        <v>484540</v>
      </c>
      <c r="J455">
        <f>IF(AND(MyRowHidden(ROW())=FALSE,MyRowHidden(ROW()-1)=TRUE),0,(G455-G454)*unitsOfExo+J454)</f>
        <v>176960</v>
      </c>
      <c r="K455" s="9">
        <f t="shared" si="20"/>
        <v>-176960</v>
      </c>
      <c r="L455">
        <f t="shared" si="21"/>
        <v>661500</v>
      </c>
    </row>
    <row r="456" spans="1:12" x14ac:dyDescent="0.25">
      <c r="A456" s="1"/>
      <c r="C456" s="1"/>
      <c r="D456" s="1">
        <v>41897</v>
      </c>
      <c r="E456" s="10">
        <v>78444</v>
      </c>
      <c r="F456" s="1">
        <v>41897</v>
      </c>
      <c r="G456">
        <v>23116</v>
      </c>
      <c r="H456" s="1">
        <f t="shared" si="19"/>
        <v>41897</v>
      </c>
      <c r="I456">
        <f>IF(AND(MyRowHidden(ROW())=FALSE,MyRowHidden(ROW()-1)=TRUE),0,(E456-E455)*unitsOfDHp+I455)</f>
        <v>484440</v>
      </c>
      <c r="J456">
        <f>IF(AND(MyRowHidden(ROW())=FALSE,MyRowHidden(ROW()-1)=TRUE),0,(G456-G455)*unitsOfExo+J455)</f>
        <v>175460</v>
      </c>
      <c r="K456" s="9">
        <f t="shared" si="20"/>
        <v>-175460</v>
      </c>
      <c r="L456">
        <f t="shared" si="21"/>
        <v>659900</v>
      </c>
    </row>
    <row r="457" spans="1:12" x14ac:dyDescent="0.25">
      <c r="A457" s="1"/>
      <c r="C457" s="1"/>
      <c r="D457" s="1">
        <v>41898</v>
      </c>
      <c r="E457" s="10">
        <v>78614</v>
      </c>
      <c r="F457" s="1">
        <v>41898</v>
      </c>
      <c r="G457">
        <v>23596</v>
      </c>
      <c r="H457" s="1">
        <f t="shared" si="19"/>
        <v>41898</v>
      </c>
      <c r="I457">
        <f>IF(AND(MyRowHidden(ROW())=FALSE,MyRowHidden(ROW()-1)=TRUE),0,(E457-E456)*unitsOfDHp+I456)</f>
        <v>486140</v>
      </c>
      <c r="J457">
        <f>IF(AND(MyRowHidden(ROW())=FALSE,MyRowHidden(ROW()-1)=TRUE),0,(G457-G456)*unitsOfExo+J456)</f>
        <v>180260</v>
      </c>
      <c r="K457" s="9">
        <f t="shared" si="20"/>
        <v>-180260</v>
      </c>
      <c r="L457">
        <f t="shared" si="21"/>
        <v>666400</v>
      </c>
    </row>
    <row r="458" spans="1:12" x14ac:dyDescent="0.25">
      <c r="A458" s="1"/>
      <c r="C458" s="1"/>
      <c r="D458" s="1">
        <v>41899</v>
      </c>
      <c r="E458" s="10">
        <v>78514</v>
      </c>
      <c r="F458" s="1">
        <v>41899</v>
      </c>
      <c r="G458">
        <v>23136</v>
      </c>
      <c r="H458" s="1">
        <f t="shared" si="19"/>
        <v>41899</v>
      </c>
      <c r="I458">
        <f>IF(AND(MyRowHidden(ROW())=FALSE,MyRowHidden(ROW()-1)=TRUE),0,(E458-E457)*unitsOfDHp+I457)</f>
        <v>485140</v>
      </c>
      <c r="J458">
        <f>IF(AND(MyRowHidden(ROW())=FALSE,MyRowHidden(ROW()-1)=TRUE),0,(G458-G457)*unitsOfExo+J457)</f>
        <v>175660</v>
      </c>
      <c r="K458" s="9">
        <f t="shared" si="20"/>
        <v>-175660</v>
      </c>
      <c r="L458">
        <f t="shared" si="21"/>
        <v>660800</v>
      </c>
    </row>
    <row r="459" spans="1:12" x14ac:dyDescent="0.25">
      <c r="A459" s="1"/>
      <c r="C459" s="1"/>
      <c r="D459" s="1">
        <v>41900</v>
      </c>
      <c r="E459" s="10">
        <v>77934</v>
      </c>
      <c r="F459" s="1">
        <v>41900</v>
      </c>
      <c r="G459">
        <v>21896</v>
      </c>
      <c r="H459" s="1">
        <f t="shared" si="19"/>
        <v>41900</v>
      </c>
      <c r="I459">
        <f>IF(AND(MyRowHidden(ROW())=FALSE,MyRowHidden(ROW()-1)=TRUE),0,(E459-E458)*unitsOfDHp+I458)</f>
        <v>479340</v>
      </c>
      <c r="J459">
        <f>IF(AND(MyRowHidden(ROW())=FALSE,MyRowHidden(ROW()-1)=TRUE),0,(G459-G458)*unitsOfExo+J458)</f>
        <v>163260</v>
      </c>
      <c r="K459" s="9">
        <f t="shared" si="20"/>
        <v>-163260</v>
      </c>
      <c r="L459">
        <f t="shared" si="21"/>
        <v>642600</v>
      </c>
    </row>
    <row r="460" spans="1:12" x14ac:dyDescent="0.25">
      <c r="A460" s="1"/>
      <c r="C460" s="1"/>
      <c r="D460" s="1">
        <v>41901</v>
      </c>
      <c r="E460" s="10">
        <v>80604</v>
      </c>
      <c r="F460" s="1">
        <v>41901</v>
      </c>
      <c r="G460">
        <v>23136</v>
      </c>
      <c r="H460" s="1">
        <f t="shared" si="19"/>
        <v>41901</v>
      </c>
      <c r="I460">
        <f>IF(AND(MyRowHidden(ROW())=FALSE,MyRowHidden(ROW()-1)=TRUE),0,(E460-E459)*unitsOfDHp+I459)</f>
        <v>506040</v>
      </c>
      <c r="J460">
        <f>IF(AND(MyRowHidden(ROW())=FALSE,MyRowHidden(ROW()-1)=TRUE),0,(G460-G459)*unitsOfExo+J459)</f>
        <v>175660</v>
      </c>
      <c r="K460" s="9">
        <f t="shared" si="20"/>
        <v>-175660</v>
      </c>
      <c r="L460">
        <f t="shared" si="21"/>
        <v>681700</v>
      </c>
    </row>
    <row r="461" spans="1:12" x14ac:dyDescent="0.25">
      <c r="A461" s="1"/>
      <c r="C461" s="1"/>
      <c r="D461" s="1">
        <v>41904</v>
      </c>
      <c r="E461" s="10">
        <v>81954</v>
      </c>
      <c r="F461" s="1">
        <v>41904</v>
      </c>
      <c r="G461">
        <v>23686</v>
      </c>
      <c r="H461" s="1">
        <f t="shared" ref="H461:H524" si="22">D461</f>
        <v>41904</v>
      </c>
      <c r="I461">
        <f>IF(AND(MyRowHidden(ROW())=FALSE,MyRowHidden(ROW()-1)=TRUE),0,(E461-E460)*unitsOfDHp+I460)</f>
        <v>519540</v>
      </c>
      <c r="J461">
        <f>IF(AND(MyRowHidden(ROW())=FALSE,MyRowHidden(ROW()-1)=TRUE),0,(G461-G460)*unitsOfExo+J460)</f>
        <v>181160</v>
      </c>
      <c r="K461" s="9">
        <f t="shared" ref="K461:K524" si="23">-(J461-J460)+K460</f>
        <v>-181160</v>
      </c>
      <c r="L461">
        <f t="shared" ref="L461:L524" si="24">I461+J461</f>
        <v>700700</v>
      </c>
    </row>
    <row r="462" spans="1:12" x14ac:dyDescent="0.25">
      <c r="A462" s="1"/>
      <c r="C462" s="1"/>
      <c r="D462" s="1">
        <v>41905</v>
      </c>
      <c r="E462" s="10">
        <v>82024</v>
      </c>
      <c r="F462" s="1">
        <v>41905</v>
      </c>
      <c r="G462">
        <v>23846</v>
      </c>
      <c r="H462" s="1">
        <f t="shared" si="22"/>
        <v>41905</v>
      </c>
      <c r="I462">
        <f>IF(AND(MyRowHidden(ROW())=FALSE,MyRowHidden(ROW()-1)=TRUE),0,(E462-E461)*unitsOfDHp+I461)</f>
        <v>520240</v>
      </c>
      <c r="J462">
        <f>IF(AND(MyRowHidden(ROW())=FALSE,MyRowHidden(ROW()-1)=TRUE),0,(G462-G461)*unitsOfExo+J461)</f>
        <v>182760</v>
      </c>
      <c r="K462" s="9">
        <f t="shared" si="23"/>
        <v>-182760</v>
      </c>
      <c r="L462">
        <f t="shared" si="24"/>
        <v>703000</v>
      </c>
    </row>
    <row r="463" spans="1:12" x14ac:dyDescent="0.25">
      <c r="A463" s="1"/>
      <c r="C463" s="1"/>
      <c r="D463" s="1">
        <v>41906</v>
      </c>
      <c r="E463" s="10">
        <v>82034</v>
      </c>
      <c r="F463" s="1">
        <v>41906</v>
      </c>
      <c r="G463">
        <v>23766</v>
      </c>
      <c r="H463" s="1">
        <f t="shared" si="22"/>
        <v>41906</v>
      </c>
      <c r="I463">
        <f>IF(AND(MyRowHidden(ROW())=FALSE,MyRowHidden(ROW()-1)=TRUE),0,(E463-E462)*unitsOfDHp+I462)</f>
        <v>520340</v>
      </c>
      <c r="J463">
        <f>IF(AND(MyRowHidden(ROW())=FALSE,MyRowHidden(ROW()-1)=TRUE),0,(G463-G462)*unitsOfExo+J462)</f>
        <v>181960</v>
      </c>
      <c r="K463" s="9">
        <f t="shared" si="23"/>
        <v>-181960</v>
      </c>
      <c r="L463">
        <f t="shared" si="24"/>
        <v>702300</v>
      </c>
    </row>
    <row r="464" spans="1:12" x14ac:dyDescent="0.25">
      <c r="A464" s="1"/>
      <c r="C464" s="1"/>
      <c r="D464" s="1">
        <v>41907</v>
      </c>
      <c r="E464" s="10">
        <v>81854</v>
      </c>
      <c r="F464" s="1">
        <v>41907</v>
      </c>
      <c r="G464">
        <v>22956</v>
      </c>
      <c r="H464" s="1">
        <f t="shared" si="22"/>
        <v>41907</v>
      </c>
      <c r="I464">
        <f>IF(AND(MyRowHidden(ROW())=FALSE,MyRowHidden(ROW()-1)=TRUE),0,(E464-E463)*unitsOfDHp+I463)</f>
        <v>518540</v>
      </c>
      <c r="J464">
        <f>IF(AND(MyRowHidden(ROW())=FALSE,MyRowHidden(ROW()-1)=TRUE),0,(G464-G463)*unitsOfExo+J463)</f>
        <v>173860</v>
      </c>
      <c r="K464" s="9">
        <f t="shared" si="23"/>
        <v>-173860</v>
      </c>
      <c r="L464">
        <f t="shared" si="24"/>
        <v>692400</v>
      </c>
    </row>
    <row r="465" spans="1:12" x14ac:dyDescent="0.25">
      <c r="A465" s="1"/>
      <c r="C465" s="1"/>
      <c r="D465" s="1">
        <v>41908</v>
      </c>
      <c r="E465" s="10">
        <v>81904</v>
      </c>
      <c r="F465" s="1">
        <v>41908</v>
      </c>
      <c r="G465">
        <v>23356</v>
      </c>
      <c r="H465" s="1">
        <f t="shared" si="22"/>
        <v>41908</v>
      </c>
      <c r="I465">
        <f>IF(AND(MyRowHidden(ROW())=FALSE,MyRowHidden(ROW()-1)=TRUE),0,(E465-E464)*unitsOfDHp+I464)</f>
        <v>519040</v>
      </c>
      <c r="J465">
        <f>IF(AND(MyRowHidden(ROW())=FALSE,MyRowHidden(ROW()-1)=TRUE),0,(G465-G464)*unitsOfExo+J464)</f>
        <v>177860</v>
      </c>
      <c r="K465" s="9">
        <f t="shared" si="23"/>
        <v>-177860</v>
      </c>
      <c r="L465">
        <f t="shared" si="24"/>
        <v>696900</v>
      </c>
    </row>
    <row r="466" spans="1:12" x14ac:dyDescent="0.25">
      <c r="A466" s="1"/>
      <c r="C466" s="1"/>
      <c r="D466" s="1">
        <v>41911</v>
      </c>
      <c r="E466" s="10">
        <v>82064</v>
      </c>
      <c r="F466" s="1">
        <v>41911</v>
      </c>
      <c r="G466">
        <v>23696</v>
      </c>
      <c r="H466" s="1">
        <f t="shared" si="22"/>
        <v>41911</v>
      </c>
      <c r="I466">
        <f>IF(AND(MyRowHidden(ROW())=FALSE,MyRowHidden(ROW()-1)=TRUE),0,(E466-E465)*unitsOfDHp+I465)</f>
        <v>520640</v>
      </c>
      <c r="J466">
        <f>IF(AND(MyRowHidden(ROW())=FALSE,MyRowHidden(ROW()-1)=TRUE),0,(G466-G465)*unitsOfExo+J465)</f>
        <v>181260</v>
      </c>
      <c r="K466" s="9">
        <f t="shared" si="23"/>
        <v>-181260</v>
      </c>
      <c r="L466">
        <f t="shared" si="24"/>
        <v>701900</v>
      </c>
    </row>
    <row r="467" spans="1:12" x14ac:dyDescent="0.25">
      <c r="A467" s="1"/>
      <c r="C467" s="1"/>
      <c r="D467" s="1">
        <v>41912</v>
      </c>
      <c r="E467" s="10">
        <v>82114</v>
      </c>
      <c r="F467" s="1">
        <v>41912</v>
      </c>
      <c r="G467">
        <v>23736</v>
      </c>
      <c r="H467" s="1">
        <f t="shared" si="22"/>
        <v>41912</v>
      </c>
      <c r="I467">
        <f>IF(AND(MyRowHidden(ROW())=FALSE,MyRowHidden(ROW()-1)=TRUE),0,(E467-E466)*unitsOfDHp+I466)</f>
        <v>521140</v>
      </c>
      <c r="J467">
        <f>IF(AND(MyRowHidden(ROW())=FALSE,MyRowHidden(ROW()-1)=TRUE),0,(G467-G466)*unitsOfExo+J466)</f>
        <v>181660</v>
      </c>
      <c r="K467" s="9">
        <f t="shared" si="23"/>
        <v>-181660</v>
      </c>
      <c r="L467">
        <f t="shared" si="24"/>
        <v>702800</v>
      </c>
    </row>
    <row r="468" spans="1:12" x14ac:dyDescent="0.25">
      <c r="A468" s="1"/>
      <c r="C468" s="1"/>
      <c r="D468" s="1">
        <v>41913</v>
      </c>
      <c r="E468" s="10">
        <v>82164</v>
      </c>
      <c r="F468" s="1">
        <v>41913</v>
      </c>
      <c r="G468">
        <v>23734</v>
      </c>
      <c r="H468" s="1">
        <f t="shared" si="22"/>
        <v>41913</v>
      </c>
      <c r="I468">
        <f>IF(AND(MyRowHidden(ROW())=FALSE,MyRowHidden(ROW()-1)=TRUE),0,(E468-E467)*unitsOfDHp+I467)</f>
        <v>521640</v>
      </c>
      <c r="J468">
        <f>IF(AND(MyRowHidden(ROW())=FALSE,MyRowHidden(ROW()-1)=TRUE),0,(G468-G467)*unitsOfExo+J467)</f>
        <v>181640</v>
      </c>
      <c r="K468" s="9">
        <f t="shared" si="23"/>
        <v>-181640</v>
      </c>
      <c r="L468">
        <f t="shared" si="24"/>
        <v>703280</v>
      </c>
    </row>
    <row r="469" spans="1:12" x14ac:dyDescent="0.25">
      <c r="A469" s="1"/>
      <c r="C469" s="1"/>
      <c r="D469" s="1">
        <v>41914</v>
      </c>
      <c r="E469" s="10">
        <v>82102</v>
      </c>
      <c r="F469" s="1">
        <v>41914</v>
      </c>
      <c r="G469">
        <v>23484</v>
      </c>
      <c r="H469" s="1">
        <f t="shared" si="22"/>
        <v>41914</v>
      </c>
      <c r="I469">
        <f>IF(AND(MyRowHidden(ROW())=FALSE,MyRowHidden(ROW()-1)=TRUE),0,(E469-E468)*unitsOfDHp+I468)</f>
        <v>521020</v>
      </c>
      <c r="J469">
        <f>IF(AND(MyRowHidden(ROW())=FALSE,MyRowHidden(ROW()-1)=TRUE),0,(G469-G468)*unitsOfExo+J468)</f>
        <v>179140</v>
      </c>
      <c r="K469" s="9">
        <f t="shared" si="23"/>
        <v>-179140</v>
      </c>
      <c r="L469">
        <f t="shared" si="24"/>
        <v>700160</v>
      </c>
    </row>
    <row r="470" spans="1:12" x14ac:dyDescent="0.25">
      <c r="A470" s="1"/>
      <c r="C470" s="1"/>
      <c r="D470" s="1">
        <v>41915</v>
      </c>
      <c r="E470" s="10">
        <v>81992</v>
      </c>
      <c r="F470" s="1">
        <v>41915</v>
      </c>
      <c r="G470">
        <v>23004</v>
      </c>
      <c r="H470" s="1">
        <f t="shared" si="22"/>
        <v>41915</v>
      </c>
      <c r="I470">
        <f>IF(AND(MyRowHidden(ROW())=FALSE,MyRowHidden(ROW()-1)=TRUE),0,(E470-E469)*unitsOfDHp+I469)</f>
        <v>519920</v>
      </c>
      <c r="J470">
        <f>IF(AND(MyRowHidden(ROW())=FALSE,MyRowHidden(ROW()-1)=TRUE),0,(G470-G469)*unitsOfExo+J469)</f>
        <v>174340</v>
      </c>
      <c r="K470" s="9">
        <f t="shared" si="23"/>
        <v>-174340</v>
      </c>
      <c r="L470">
        <f t="shared" si="24"/>
        <v>694260</v>
      </c>
    </row>
    <row r="471" spans="1:12" x14ac:dyDescent="0.25">
      <c r="A471" s="1"/>
      <c r="C471" s="1"/>
      <c r="D471" s="1">
        <v>41918</v>
      </c>
      <c r="E471" s="10">
        <v>82168</v>
      </c>
      <c r="F471" s="1">
        <v>41918</v>
      </c>
      <c r="G471">
        <v>23624</v>
      </c>
      <c r="H471" s="1">
        <f t="shared" si="22"/>
        <v>41918</v>
      </c>
      <c r="I471">
        <f>IF(AND(MyRowHidden(ROW())=FALSE,MyRowHidden(ROW()-1)=TRUE),0,(E471-E470)*unitsOfDHp+I470)</f>
        <v>521680</v>
      </c>
      <c r="J471">
        <f>IF(AND(MyRowHidden(ROW())=FALSE,MyRowHidden(ROW()-1)=TRUE),0,(G471-G470)*unitsOfExo+J470)</f>
        <v>180540</v>
      </c>
      <c r="K471" s="9">
        <f t="shared" si="23"/>
        <v>-180540</v>
      </c>
      <c r="L471">
        <f t="shared" si="24"/>
        <v>702220</v>
      </c>
    </row>
    <row r="472" spans="1:12" x14ac:dyDescent="0.25">
      <c r="A472" s="1"/>
      <c r="C472" s="1"/>
      <c r="D472" s="1">
        <v>41919</v>
      </c>
      <c r="E472" s="10">
        <v>82208</v>
      </c>
      <c r="F472" s="1">
        <v>41919</v>
      </c>
      <c r="G472">
        <v>23754</v>
      </c>
      <c r="H472" s="1">
        <f t="shared" si="22"/>
        <v>41919</v>
      </c>
      <c r="I472">
        <f>IF(AND(MyRowHidden(ROW())=FALSE,MyRowHidden(ROW()-1)=TRUE),0,(E472-E471)*unitsOfDHp+I471)</f>
        <v>522080</v>
      </c>
      <c r="J472">
        <f>IF(AND(MyRowHidden(ROW())=FALSE,MyRowHidden(ROW()-1)=TRUE),0,(G472-G471)*unitsOfExo+J471)</f>
        <v>181840</v>
      </c>
      <c r="K472" s="9">
        <f t="shared" si="23"/>
        <v>-181840</v>
      </c>
      <c r="L472">
        <f t="shared" si="24"/>
        <v>703920</v>
      </c>
    </row>
    <row r="473" spans="1:12" x14ac:dyDescent="0.25">
      <c r="A473" s="1"/>
      <c r="C473" s="1"/>
      <c r="D473" s="1">
        <v>41920</v>
      </c>
      <c r="E473" s="10">
        <v>82228</v>
      </c>
      <c r="F473" s="1">
        <v>41920</v>
      </c>
      <c r="G473">
        <v>24074</v>
      </c>
      <c r="H473" s="1">
        <f t="shared" si="22"/>
        <v>41920</v>
      </c>
      <c r="I473">
        <f>IF(AND(MyRowHidden(ROW())=FALSE,MyRowHidden(ROW()-1)=TRUE),0,(E473-E472)*unitsOfDHp+I472)</f>
        <v>522280</v>
      </c>
      <c r="J473">
        <f>IF(AND(MyRowHidden(ROW())=FALSE,MyRowHidden(ROW()-1)=TRUE),0,(G473-G472)*unitsOfExo+J472)</f>
        <v>185040</v>
      </c>
      <c r="K473" s="9">
        <f t="shared" si="23"/>
        <v>-185040</v>
      </c>
      <c r="L473">
        <f t="shared" si="24"/>
        <v>707320</v>
      </c>
    </row>
    <row r="474" spans="1:12" x14ac:dyDescent="0.25">
      <c r="A474" s="1"/>
      <c r="C474" s="1"/>
      <c r="D474" s="1">
        <v>41921</v>
      </c>
      <c r="E474" s="10">
        <v>82238</v>
      </c>
      <c r="F474" s="1">
        <v>41921</v>
      </c>
      <c r="G474">
        <v>24554</v>
      </c>
      <c r="H474" s="1">
        <f t="shared" si="22"/>
        <v>41921</v>
      </c>
      <c r="I474">
        <f>IF(AND(MyRowHidden(ROW())=FALSE,MyRowHidden(ROW()-1)=TRUE),0,(E474-E473)*unitsOfDHp+I473)</f>
        <v>522380</v>
      </c>
      <c r="J474">
        <f>IF(AND(MyRowHidden(ROW())=FALSE,MyRowHidden(ROW()-1)=TRUE),0,(G474-G473)*unitsOfExo+J473)</f>
        <v>189840</v>
      </c>
      <c r="K474" s="9">
        <f t="shared" si="23"/>
        <v>-189840</v>
      </c>
      <c r="L474">
        <f t="shared" si="24"/>
        <v>712220</v>
      </c>
    </row>
    <row r="475" spans="1:12" x14ac:dyDescent="0.25">
      <c r="A475" s="1"/>
      <c r="C475" s="1"/>
      <c r="D475" s="1">
        <v>41922</v>
      </c>
      <c r="E475" s="10">
        <v>82238</v>
      </c>
      <c r="F475" s="1">
        <v>41922</v>
      </c>
      <c r="G475">
        <v>24514</v>
      </c>
      <c r="H475" s="1">
        <f t="shared" si="22"/>
        <v>41922</v>
      </c>
      <c r="I475">
        <f>IF(AND(MyRowHidden(ROW())=FALSE,MyRowHidden(ROW()-1)=TRUE),0,(E475-E474)*unitsOfDHp+I474)</f>
        <v>522380</v>
      </c>
      <c r="J475">
        <f>IF(AND(MyRowHidden(ROW())=FALSE,MyRowHidden(ROW()-1)=TRUE),0,(G475-G474)*unitsOfExo+J474)</f>
        <v>189440</v>
      </c>
      <c r="K475" s="9">
        <f t="shared" si="23"/>
        <v>-189440</v>
      </c>
      <c r="L475">
        <f t="shared" si="24"/>
        <v>711820</v>
      </c>
    </row>
    <row r="476" spans="1:12" x14ac:dyDescent="0.25">
      <c r="A476" s="1"/>
      <c r="C476" s="1"/>
      <c r="D476" s="1">
        <v>41925</v>
      </c>
      <c r="E476" s="10">
        <v>82248</v>
      </c>
      <c r="F476" s="1">
        <v>41925</v>
      </c>
      <c r="G476">
        <v>24424</v>
      </c>
      <c r="H476" s="1">
        <f t="shared" si="22"/>
        <v>41925</v>
      </c>
      <c r="I476">
        <f>IF(AND(MyRowHidden(ROW())=FALSE,MyRowHidden(ROW()-1)=TRUE),0,(E476-E475)*unitsOfDHp+I475)</f>
        <v>522480</v>
      </c>
      <c r="J476">
        <f>IF(AND(MyRowHidden(ROW())=FALSE,MyRowHidden(ROW()-1)=TRUE),0,(G476-G475)*unitsOfExo+J475)</f>
        <v>188540</v>
      </c>
      <c r="K476" s="9">
        <f t="shared" si="23"/>
        <v>-188540</v>
      </c>
      <c r="L476">
        <f t="shared" si="24"/>
        <v>711020</v>
      </c>
    </row>
    <row r="477" spans="1:12" x14ac:dyDescent="0.25">
      <c r="A477" s="1"/>
      <c r="C477" s="1"/>
      <c r="D477" s="1">
        <v>41926</v>
      </c>
      <c r="E477" s="10">
        <v>82200</v>
      </c>
      <c r="F477" s="1">
        <v>41926</v>
      </c>
      <c r="G477">
        <v>24564</v>
      </c>
      <c r="H477" s="1">
        <f t="shared" si="22"/>
        <v>41926</v>
      </c>
      <c r="I477">
        <f>IF(AND(MyRowHidden(ROW())=FALSE,MyRowHidden(ROW()-1)=TRUE),0,(E477-E476)*unitsOfDHp+I476)</f>
        <v>522000</v>
      </c>
      <c r="J477">
        <f>IF(AND(MyRowHidden(ROW())=FALSE,MyRowHidden(ROW()-1)=TRUE),0,(G477-G476)*unitsOfExo+J476)</f>
        <v>189940</v>
      </c>
      <c r="K477" s="9">
        <f t="shared" si="23"/>
        <v>-189940</v>
      </c>
      <c r="L477">
        <f t="shared" si="24"/>
        <v>711940</v>
      </c>
    </row>
    <row r="478" spans="1:12" x14ac:dyDescent="0.25">
      <c r="A478" s="1"/>
      <c r="C478" s="1"/>
      <c r="D478" s="1">
        <v>41927</v>
      </c>
      <c r="E478" s="10">
        <v>81582</v>
      </c>
      <c r="F478" s="1">
        <v>41927</v>
      </c>
      <c r="G478">
        <v>23344</v>
      </c>
      <c r="H478" s="1">
        <f t="shared" si="22"/>
        <v>41927</v>
      </c>
      <c r="I478">
        <f>IF(AND(MyRowHidden(ROW())=FALSE,MyRowHidden(ROW()-1)=TRUE),0,(E478-E477)*unitsOfDHp+I477)</f>
        <v>515820</v>
      </c>
      <c r="J478">
        <f>IF(AND(MyRowHidden(ROW())=FALSE,MyRowHidden(ROW()-1)=TRUE),0,(G478-G477)*unitsOfExo+J477)</f>
        <v>177740</v>
      </c>
      <c r="K478" s="9">
        <f t="shared" si="23"/>
        <v>-177740</v>
      </c>
      <c r="L478">
        <f t="shared" si="24"/>
        <v>693560</v>
      </c>
    </row>
    <row r="479" spans="1:12" x14ac:dyDescent="0.25">
      <c r="A479" s="1"/>
      <c r="C479" s="1"/>
      <c r="D479" s="1">
        <v>41928</v>
      </c>
      <c r="E479" s="10">
        <v>83580</v>
      </c>
      <c r="F479" s="1">
        <v>41928</v>
      </c>
      <c r="G479">
        <v>22714</v>
      </c>
      <c r="H479" s="1">
        <f t="shared" si="22"/>
        <v>41928</v>
      </c>
      <c r="I479">
        <f>IF(AND(MyRowHidden(ROW())=FALSE,MyRowHidden(ROW()-1)=TRUE),0,(E479-E478)*unitsOfDHp+I478)</f>
        <v>535800</v>
      </c>
      <c r="J479">
        <f>IF(AND(MyRowHidden(ROW())=FALSE,MyRowHidden(ROW()-1)=TRUE),0,(G479-G478)*unitsOfExo+J478)</f>
        <v>171440</v>
      </c>
      <c r="K479" s="9">
        <f t="shared" si="23"/>
        <v>-171440</v>
      </c>
      <c r="L479">
        <f t="shared" si="24"/>
        <v>707240</v>
      </c>
    </row>
    <row r="480" spans="1:12" x14ac:dyDescent="0.25">
      <c r="A480" s="1"/>
      <c r="C480" s="1"/>
      <c r="D480" s="1">
        <v>41929</v>
      </c>
      <c r="E480" s="10">
        <v>83080</v>
      </c>
      <c r="F480" s="1">
        <v>41929</v>
      </c>
      <c r="G480">
        <v>22904</v>
      </c>
      <c r="H480" s="1">
        <f t="shared" si="22"/>
        <v>41929</v>
      </c>
      <c r="I480">
        <f>IF(AND(MyRowHidden(ROW())=FALSE,MyRowHidden(ROW()-1)=TRUE),0,(E480-E479)*unitsOfDHp+I479)</f>
        <v>530800</v>
      </c>
      <c r="J480">
        <f>IF(AND(MyRowHidden(ROW())=FALSE,MyRowHidden(ROW()-1)=TRUE),0,(G480-G479)*unitsOfExo+J479)</f>
        <v>173340</v>
      </c>
      <c r="K480" s="9">
        <f t="shared" si="23"/>
        <v>-173340</v>
      </c>
      <c r="L480">
        <f t="shared" si="24"/>
        <v>704140</v>
      </c>
    </row>
    <row r="481" spans="1:12" x14ac:dyDescent="0.25">
      <c r="A481" s="1"/>
      <c r="C481" s="1"/>
      <c r="D481" s="1">
        <v>41932</v>
      </c>
      <c r="E481" s="10">
        <v>84890</v>
      </c>
      <c r="F481" s="1">
        <v>41932</v>
      </c>
      <c r="G481">
        <v>22364</v>
      </c>
      <c r="H481" s="1">
        <f t="shared" si="22"/>
        <v>41932</v>
      </c>
      <c r="I481">
        <f>IF(AND(MyRowHidden(ROW())=FALSE,MyRowHidden(ROW()-1)=TRUE),0,(E481-E480)*unitsOfDHp+I480)</f>
        <v>548900</v>
      </c>
      <c r="J481">
        <f>IF(AND(MyRowHidden(ROW())=FALSE,MyRowHidden(ROW()-1)=TRUE),0,(G481-G480)*unitsOfExo+J480)</f>
        <v>167940</v>
      </c>
      <c r="K481" s="9">
        <f t="shared" si="23"/>
        <v>-167940</v>
      </c>
      <c r="L481">
        <f t="shared" si="24"/>
        <v>716840</v>
      </c>
    </row>
    <row r="482" spans="1:12" x14ac:dyDescent="0.25">
      <c r="A482" s="1"/>
      <c r="C482" s="1"/>
      <c r="D482" s="1">
        <v>41933</v>
      </c>
      <c r="E482" s="10">
        <v>86270</v>
      </c>
      <c r="F482" s="1">
        <v>41933</v>
      </c>
      <c r="G482">
        <v>21904</v>
      </c>
      <c r="H482" s="1">
        <f t="shared" si="22"/>
        <v>41933</v>
      </c>
      <c r="I482">
        <f>IF(AND(MyRowHidden(ROW())=FALSE,MyRowHidden(ROW()-1)=TRUE),0,(E482-E481)*unitsOfDHp+I481)</f>
        <v>562700</v>
      </c>
      <c r="J482">
        <f>IF(AND(MyRowHidden(ROW())=FALSE,MyRowHidden(ROW()-1)=TRUE),0,(G482-G481)*unitsOfExo+J481)</f>
        <v>163340</v>
      </c>
      <c r="K482" s="9">
        <f t="shared" si="23"/>
        <v>-163340</v>
      </c>
      <c r="L482">
        <f t="shared" si="24"/>
        <v>726040</v>
      </c>
    </row>
    <row r="483" spans="1:12" x14ac:dyDescent="0.25">
      <c r="A483" s="1"/>
      <c r="C483" s="1"/>
      <c r="D483" s="1">
        <v>41934</v>
      </c>
      <c r="E483" s="10">
        <v>83810</v>
      </c>
      <c r="F483" s="1">
        <v>41934</v>
      </c>
      <c r="G483">
        <v>22624</v>
      </c>
      <c r="H483" s="1">
        <f t="shared" si="22"/>
        <v>41934</v>
      </c>
      <c r="I483">
        <f>IF(AND(MyRowHidden(ROW())=FALSE,MyRowHidden(ROW()-1)=TRUE),0,(E483-E482)*unitsOfDHp+I482)</f>
        <v>538100</v>
      </c>
      <c r="J483">
        <f>IF(AND(MyRowHidden(ROW())=FALSE,MyRowHidden(ROW()-1)=TRUE),0,(G483-G482)*unitsOfExo+J482)</f>
        <v>170540</v>
      </c>
      <c r="K483" s="9">
        <f t="shared" si="23"/>
        <v>-170540</v>
      </c>
      <c r="L483">
        <f t="shared" si="24"/>
        <v>708640</v>
      </c>
    </row>
    <row r="484" spans="1:12" x14ac:dyDescent="0.25">
      <c r="A484" s="1"/>
      <c r="C484" s="1"/>
      <c r="D484" s="1">
        <v>41935</v>
      </c>
      <c r="E484" s="10">
        <v>85440</v>
      </c>
      <c r="F484" s="1">
        <v>41935</v>
      </c>
      <c r="G484">
        <v>22004</v>
      </c>
      <c r="H484" s="1">
        <f t="shared" si="22"/>
        <v>41935</v>
      </c>
      <c r="I484">
        <f>IF(AND(MyRowHidden(ROW())=FALSE,MyRowHidden(ROW()-1)=TRUE),0,(E484-E483)*unitsOfDHp+I483)</f>
        <v>554400</v>
      </c>
      <c r="J484">
        <f>IF(AND(MyRowHidden(ROW())=FALSE,MyRowHidden(ROW()-1)=TRUE),0,(G484-G483)*unitsOfExo+J483)</f>
        <v>164340</v>
      </c>
      <c r="K484" s="9">
        <f t="shared" si="23"/>
        <v>-164340</v>
      </c>
      <c r="L484">
        <f t="shared" si="24"/>
        <v>718740</v>
      </c>
    </row>
    <row r="485" spans="1:12" x14ac:dyDescent="0.25">
      <c r="A485" s="1"/>
      <c r="C485" s="1"/>
      <c r="D485" s="1">
        <v>41936</v>
      </c>
      <c r="E485" s="10">
        <v>83916</v>
      </c>
      <c r="F485" s="1">
        <v>41936</v>
      </c>
      <c r="G485">
        <v>22394</v>
      </c>
      <c r="H485" s="1">
        <f t="shared" si="22"/>
        <v>41936</v>
      </c>
      <c r="I485">
        <f>IF(AND(MyRowHidden(ROW())=FALSE,MyRowHidden(ROW()-1)=TRUE),0,(E485-E484)*unitsOfDHp+I484)</f>
        <v>539160</v>
      </c>
      <c r="J485">
        <f>IF(AND(MyRowHidden(ROW())=FALSE,MyRowHidden(ROW()-1)=TRUE),0,(G485-G484)*unitsOfExo+J484)</f>
        <v>168240</v>
      </c>
      <c r="K485" s="9">
        <f t="shared" si="23"/>
        <v>-168240</v>
      </c>
      <c r="L485">
        <f t="shared" si="24"/>
        <v>707400</v>
      </c>
    </row>
    <row r="486" spans="1:12" x14ac:dyDescent="0.25">
      <c r="A486" s="1"/>
      <c r="C486" s="1"/>
      <c r="D486" s="1">
        <v>41939</v>
      </c>
      <c r="E486" s="10">
        <v>85096</v>
      </c>
      <c r="F486" s="1">
        <v>41939</v>
      </c>
      <c r="G486">
        <v>22234</v>
      </c>
      <c r="H486" s="1">
        <f t="shared" si="22"/>
        <v>41939</v>
      </c>
      <c r="I486">
        <f>IF(AND(MyRowHidden(ROW())=FALSE,MyRowHidden(ROW()-1)=TRUE),0,(E486-E485)*unitsOfDHp+I485)</f>
        <v>550960</v>
      </c>
      <c r="J486">
        <f>IF(AND(MyRowHidden(ROW())=FALSE,MyRowHidden(ROW()-1)=TRUE),0,(G486-G485)*unitsOfExo+J485)</f>
        <v>166640</v>
      </c>
      <c r="K486" s="9">
        <f t="shared" si="23"/>
        <v>-166640</v>
      </c>
      <c r="L486">
        <f t="shared" si="24"/>
        <v>717600</v>
      </c>
    </row>
    <row r="487" spans="1:12" x14ac:dyDescent="0.25">
      <c r="A487" s="1"/>
      <c r="C487" s="1"/>
      <c r="D487" s="1">
        <v>41940</v>
      </c>
      <c r="E487" s="10">
        <v>83826</v>
      </c>
      <c r="F487" s="1">
        <v>41940</v>
      </c>
      <c r="G487">
        <v>22594</v>
      </c>
      <c r="H487" s="1">
        <f t="shared" si="22"/>
        <v>41940</v>
      </c>
      <c r="I487">
        <f>IF(AND(MyRowHidden(ROW())=FALSE,MyRowHidden(ROW()-1)=TRUE),0,(E487-E486)*unitsOfDHp+I486)</f>
        <v>538260</v>
      </c>
      <c r="J487">
        <f>IF(AND(MyRowHidden(ROW())=FALSE,MyRowHidden(ROW()-1)=TRUE),0,(G487-G486)*unitsOfExo+J486)</f>
        <v>170240</v>
      </c>
      <c r="K487" s="9">
        <f t="shared" si="23"/>
        <v>-170240</v>
      </c>
      <c r="L487">
        <f t="shared" si="24"/>
        <v>708500</v>
      </c>
    </row>
    <row r="488" spans="1:12" x14ac:dyDescent="0.25">
      <c r="A488" s="1"/>
      <c r="C488" s="1"/>
      <c r="D488" s="1">
        <v>41941</v>
      </c>
      <c r="E488" s="10">
        <v>86126</v>
      </c>
      <c r="F488" s="1">
        <v>41941</v>
      </c>
      <c r="G488">
        <v>21874</v>
      </c>
      <c r="H488" s="1">
        <f t="shared" si="22"/>
        <v>41941</v>
      </c>
      <c r="I488">
        <f>IF(AND(MyRowHidden(ROW())=FALSE,MyRowHidden(ROW()-1)=TRUE),0,(E488-E487)*unitsOfDHp+I487)</f>
        <v>561260</v>
      </c>
      <c r="J488">
        <f>IF(AND(MyRowHidden(ROW())=FALSE,MyRowHidden(ROW()-1)=TRUE),0,(G488-G487)*unitsOfExo+J487)</f>
        <v>163040</v>
      </c>
      <c r="K488" s="9">
        <f t="shared" si="23"/>
        <v>-163040</v>
      </c>
      <c r="L488">
        <f t="shared" si="24"/>
        <v>724300</v>
      </c>
    </row>
    <row r="489" spans="1:12" x14ac:dyDescent="0.25">
      <c r="A489" s="1"/>
      <c r="C489" s="1"/>
      <c r="D489" s="1">
        <v>41942</v>
      </c>
      <c r="E489" s="10">
        <v>88648</v>
      </c>
      <c r="F489" s="1">
        <v>41942</v>
      </c>
      <c r="G489">
        <v>21364</v>
      </c>
      <c r="H489" s="1">
        <f t="shared" si="22"/>
        <v>41942</v>
      </c>
      <c r="I489">
        <f>IF(AND(MyRowHidden(ROW())=FALSE,MyRowHidden(ROW()-1)=TRUE),0,(E489-E488)*unitsOfDHp+I488)</f>
        <v>586480</v>
      </c>
      <c r="J489">
        <f>IF(AND(MyRowHidden(ROW())=FALSE,MyRowHidden(ROW()-1)=TRUE),0,(G489-G488)*unitsOfExo+J488)</f>
        <v>157940</v>
      </c>
      <c r="K489" s="9">
        <f t="shared" si="23"/>
        <v>-157940</v>
      </c>
      <c r="L489">
        <f t="shared" si="24"/>
        <v>744420</v>
      </c>
    </row>
    <row r="490" spans="1:12" x14ac:dyDescent="0.25">
      <c r="A490" s="1"/>
      <c r="C490" s="1"/>
      <c r="D490" s="1">
        <v>41943</v>
      </c>
      <c r="E490" s="10">
        <v>86504</v>
      </c>
      <c r="F490" s="1">
        <v>41943</v>
      </c>
      <c r="G490">
        <v>21784</v>
      </c>
      <c r="H490" s="1">
        <f t="shared" si="22"/>
        <v>41943</v>
      </c>
      <c r="I490">
        <f>IF(AND(MyRowHidden(ROW())=FALSE,MyRowHidden(ROW()-1)=TRUE),0,(E490-E489)*unitsOfDHp+I489)</f>
        <v>565040</v>
      </c>
      <c r="J490">
        <f>IF(AND(MyRowHidden(ROW())=FALSE,MyRowHidden(ROW()-1)=TRUE),0,(G490-G489)*unitsOfExo+J489)</f>
        <v>162140</v>
      </c>
      <c r="K490" s="9">
        <f t="shared" si="23"/>
        <v>-162140</v>
      </c>
      <c r="L490">
        <f t="shared" si="24"/>
        <v>727180</v>
      </c>
    </row>
    <row r="491" spans="1:12" x14ac:dyDescent="0.25">
      <c r="A491" s="1"/>
      <c r="C491" s="1"/>
      <c r="D491" s="1">
        <v>41946</v>
      </c>
      <c r="E491" s="10">
        <v>84974</v>
      </c>
      <c r="F491" s="1">
        <v>41946</v>
      </c>
      <c r="G491">
        <v>22104</v>
      </c>
      <c r="H491" s="1">
        <f t="shared" si="22"/>
        <v>41946</v>
      </c>
      <c r="I491">
        <f>IF(AND(MyRowHidden(ROW())=FALSE,MyRowHidden(ROW()-1)=TRUE),0,(E491-E490)*unitsOfDHp+I490)</f>
        <v>549740</v>
      </c>
      <c r="J491">
        <f>IF(AND(MyRowHidden(ROW())=FALSE,MyRowHidden(ROW()-1)=TRUE),0,(G491-G490)*unitsOfExo+J490)</f>
        <v>165340</v>
      </c>
      <c r="K491" s="9">
        <f t="shared" si="23"/>
        <v>-165340</v>
      </c>
      <c r="L491">
        <f t="shared" si="24"/>
        <v>715080</v>
      </c>
    </row>
    <row r="492" spans="1:12" x14ac:dyDescent="0.25">
      <c r="A492" s="1"/>
      <c r="C492" s="1"/>
      <c r="D492" s="1">
        <v>41947</v>
      </c>
      <c r="E492" s="10">
        <v>86024</v>
      </c>
      <c r="F492" s="1">
        <v>41947</v>
      </c>
      <c r="G492">
        <v>21884</v>
      </c>
      <c r="H492" s="1">
        <f t="shared" si="22"/>
        <v>41947</v>
      </c>
      <c r="I492">
        <f>IF(AND(MyRowHidden(ROW())=FALSE,MyRowHidden(ROW()-1)=TRUE),0,(E492-E491)*unitsOfDHp+I491)</f>
        <v>560240</v>
      </c>
      <c r="J492">
        <f>IF(AND(MyRowHidden(ROW())=FALSE,MyRowHidden(ROW()-1)=TRUE),0,(G492-G491)*unitsOfExo+J491)</f>
        <v>163140</v>
      </c>
      <c r="K492" s="9">
        <f t="shared" si="23"/>
        <v>-163140</v>
      </c>
      <c r="L492">
        <f t="shared" si="24"/>
        <v>723380</v>
      </c>
    </row>
    <row r="493" spans="1:12" x14ac:dyDescent="0.25">
      <c r="A493" s="1"/>
      <c r="C493" s="1"/>
      <c r="D493" s="1">
        <v>41948</v>
      </c>
      <c r="E493" s="10">
        <v>88454</v>
      </c>
      <c r="F493" s="1">
        <v>41948</v>
      </c>
      <c r="G493">
        <v>21344</v>
      </c>
      <c r="H493" s="1">
        <f t="shared" si="22"/>
        <v>41948</v>
      </c>
      <c r="I493">
        <f>IF(AND(MyRowHidden(ROW())=FALSE,MyRowHidden(ROW()-1)=TRUE),0,(E493-E492)*unitsOfDHp+I492)</f>
        <v>584540</v>
      </c>
      <c r="J493">
        <f>IF(AND(MyRowHidden(ROW())=FALSE,MyRowHidden(ROW()-1)=TRUE),0,(G493-G492)*unitsOfExo+J492)</f>
        <v>157740</v>
      </c>
      <c r="K493" s="9">
        <f t="shared" si="23"/>
        <v>-157740</v>
      </c>
      <c r="L493">
        <f t="shared" si="24"/>
        <v>742280</v>
      </c>
    </row>
    <row r="494" spans="1:12" x14ac:dyDescent="0.25">
      <c r="A494" s="1"/>
      <c r="C494" s="1"/>
      <c r="D494" s="1">
        <v>41949</v>
      </c>
      <c r="E494" s="10">
        <v>87404</v>
      </c>
      <c r="F494" s="1">
        <v>41949</v>
      </c>
      <c r="G494">
        <v>21504</v>
      </c>
      <c r="H494" s="1">
        <f t="shared" si="22"/>
        <v>41949</v>
      </c>
      <c r="I494">
        <f>IF(AND(MyRowHidden(ROW())=FALSE,MyRowHidden(ROW()-1)=TRUE),0,(E494-E493)*unitsOfDHp+I493)</f>
        <v>574040</v>
      </c>
      <c r="J494">
        <f>IF(AND(MyRowHidden(ROW())=FALSE,MyRowHidden(ROW()-1)=TRUE),0,(G494-G493)*unitsOfExo+J493)</f>
        <v>159340</v>
      </c>
      <c r="K494" s="9">
        <f t="shared" si="23"/>
        <v>-159340</v>
      </c>
      <c r="L494">
        <f t="shared" si="24"/>
        <v>733380</v>
      </c>
    </row>
    <row r="495" spans="1:12" x14ac:dyDescent="0.25">
      <c r="A495" s="1"/>
      <c r="C495" s="1"/>
      <c r="D495" s="1">
        <v>41950</v>
      </c>
      <c r="E495" s="10">
        <v>84038</v>
      </c>
      <c r="F495" s="1">
        <v>41950</v>
      </c>
      <c r="G495">
        <v>22294</v>
      </c>
      <c r="H495" s="1">
        <f t="shared" si="22"/>
        <v>41950</v>
      </c>
      <c r="I495">
        <f>IF(AND(MyRowHidden(ROW())=FALSE,MyRowHidden(ROW()-1)=TRUE),0,(E495-E494)*unitsOfDHp+I494)</f>
        <v>540380</v>
      </c>
      <c r="J495">
        <f>IF(AND(MyRowHidden(ROW())=FALSE,MyRowHidden(ROW()-1)=TRUE),0,(G495-G494)*unitsOfExo+J494)</f>
        <v>167240</v>
      </c>
      <c r="K495" s="9">
        <f t="shared" si="23"/>
        <v>-167240</v>
      </c>
      <c r="L495">
        <f t="shared" si="24"/>
        <v>707620</v>
      </c>
    </row>
    <row r="496" spans="1:12" x14ac:dyDescent="0.25">
      <c r="A496" s="1"/>
      <c r="C496" s="1"/>
      <c r="D496" s="1">
        <v>41953</v>
      </c>
      <c r="E496" s="10">
        <v>82658</v>
      </c>
      <c r="F496" s="1">
        <v>41953</v>
      </c>
      <c r="G496">
        <v>22554</v>
      </c>
      <c r="H496" s="1">
        <f t="shared" si="22"/>
        <v>41953</v>
      </c>
      <c r="I496">
        <f>IF(AND(MyRowHidden(ROW())=FALSE,MyRowHidden(ROW()-1)=TRUE),0,(E496-E495)*unitsOfDHp+I495)</f>
        <v>526580</v>
      </c>
      <c r="J496">
        <f>IF(AND(MyRowHidden(ROW())=FALSE,MyRowHidden(ROW()-1)=TRUE),0,(G496-G495)*unitsOfExo+J495)</f>
        <v>169840</v>
      </c>
      <c r="K496" s="9">
        <f t="shared" si="23"/>
        <v>-169840</v>
      </c>
      <c r="L496">
        <f t="shared" si="24"/>
        <v>696420</v>
      </c>
    </row>
    <row r="497" spans="1:12" x14ac:dyDescent="0.25">
      <c r="A497" s="1"/>
      <c r="C497" s="1"/>
      <c r="D497" s="1">
        <v>41954</v>
      </c>
      <c r="E497" s="10">
        <v>82646</v>
      </c>
      <c r="F497" s="1">
        <v>41954</v>
      </c>
      <c r="G497">
        <v>22514</v>
      </c>
      <c r="H497" s="1">
        <f t="shared" si="22"/>
        <v>41954</v>
      </c>
      <c r="I497">
        <f>IF(AND(MyRowHidden(ROW())=FALSE,MyRowHidden(ROW()-1)=TRUE),0,(E497-E496)*unitsOfDHp+I496)</f>
        <v>526460</v>
      </c>
      <c r="J497">
        <f>IF(AND(MyRowHidden(ROW())=FALSE,MyRowHidden(ROW()-1)=TRUE),0,(G497-G496)*unitsOfExo+J496)</f>
        <v>169440</v>
      </c>
      <c r="K497" s="9">
        <f t="shared" si="23"/>
        <v>-169440</v>
      </c>
      <c r="L497">
        <f t="shared" si="24"/>
        <v>695900</v>
      </c>
    </row>
    <row r="498" spans="1:12" x14ac:dyDescent="0.25">
      <c r="A498" s="1"/>
      <c r="C498" s="1"/>
      <c r="D498" s="1">
        <v>41955</v>
      </c>
      <c r="E498" s="10">
        <v>82706</v>
      </c>
      <c r="F498" s="1">
        <v>41955</v>
      </c>
      <c r="G498">
        <v>22934</v>
      </c>
      <c r="H498" s="1">
        <f t="shared" si="22"/>
        <v>41955</v>
      </c>
      <c r="I498">
        <f>IF(AND(MyRowHidden(ROW())=FALSE,MyRowHidden(ROW()-1)=TRUE),0,(E498-E497)*unitsOfDHp+I497)</f>
        <v>527060</v>
      </c>
      <c r="J498">
        <f>IF(AND(MyRowHidden(ROW())=FALSE,MyRowHidden(ROW()-1)=TRUE),0,(G498-G497)*unitsOfExo+J497)</f>
        <v>173640</v>
      </c>
      <c r="K498" s="9">
        <f t="shared" si="23"/>
        <v>-173640</v>
      </c>
      <c r="L498">
        <f t="shared" si="24"/>
        <v>700700</v>
      </c>
    </row>
    <row r="499" spans="1:12" x14ac:dyDescent="0.25">
      <c r="A499" s="1"/>
      <c r="C499" s="1"/>
      <c r="D499" s="1">
        <v>41956</v>
      </c>
      <c r="E499" s="10">
        <v>82702</v>
      </c>
      <c r="F499" s="1">
        <v>41956</v>
      </c>
      <c r="G499">
        <v>23224</v>
      </c>
      <c r="H499" s="1">
        <f t="shared" si="22"/>
        <v>41956</v>
      </c>
      <c r="I499">
        <f>IF(AND(MyRowHidden(ROW())=FALSE,MyRowHidden(ROW()-1)=TRUE),0,(E499-E498)*unitsOfDHp+I498)</f>
        <v>527020</v>
      </c>
      <c r="J499">
        <f>IF(AND(MyRowHidden(ROW())=FALSE,MyRowHidden(ROW()-1)=TRUE),0,(G499-G498)*unitsOfExo+J498)</f>
        <v>176540</v>
      </c>
      <c r="K499" s="9">
        <f t="shared" si="23"/>
        <v>-176540</v>
      </c>
      <c r="L499">
        <f t="shared" si="24"/>
        <v>703560</v>
      </c>
    </row>
    <row r="500" spans="1:12" x14ac:dyDescent="0.25">
      <c r="A500" s="1"/>
      <c r="C500" s="1"/>
      <c r="D500" s="1">
        <v>41957</v>
      </c>
      <c r="E500" s="10">
        <v>82652</v>
      </c>
      <c r="F500" s="1">
        <v>41957</v>
      </c>
      <c r="G500">
        <v>23764</v>
      </c>
      <c r="H500" s="1">
        <f t="shared" si="22"/>
        <v>41957</v>
      </c>
      <c r="I500">
        <f>IF(AND(MyRowHidden(ROW())=FALSE,MyRowHidden(ROW()-1)=TRUE),0,(E500-E499)*unitsOfDHp+I499)</f>
        <v>526520</v>
      </c>
      <c r="J500">
        <f>IF(AND(MyRowHidden(ROW())=FALSE,MyRowHidden(ROW()-1)=TRUE),0,(G500-G499)*unitsOfExo+J499)</f>
        <v>181940</v>
      </c>
      <c r="K500" s="9">
        <f t="shared" si="23"/>
        <v>-181940</v>
      </c>
      <c r="L500">
        <f t="shared" si="24"/>
        <v>708460</v>
      </c>
    </row>
    <row r="501" spans="1:12" x14ac:dyDescent="0.25">
      <c r="A501" s="1"/>
      <c r="C501" s="1"/>
      <c r="D501" s="1">
        <v>41960</v>
      </c>
      <c r="E501" s="10">
        <v>82626</v>
      </c>
      <c r="F501" s="1">
        <v>41960</v>
      </c>
      <c r="G501">
        <v>23664</v>
      </c>
      <c r="H501" s="1">
        <f t="shared" si="22"/>
        <v>41960</v>
      </c>
      <c r="I501">
        <f>IF(AND(MyRowHidden(ROW())=FALSE,MyRowHidden(ROW()-1)=TRUE),0,(E501-E500)*unitsOfDHp+I500)</f>
        <v>526260</v>
      </c>
      <c r="J501">
        <f>IF(AND(MyRowHidden(ROW())=FALSE,MyRowHidden(ROW()-1)=TRUE),0,(G501-G500)*unitsOfExo+J500)</f>
        <v>180940</v>
      </c>
      <c r="K501" s="9">
        <f t="shared" si="23"/>
        <v>-180940</v>
      </c>
      <c r="L501">
        <f t="shared" si="24"/>
        <v>707200</v>
      </c>
    </row>
    <row r="502" spans="1:12" x14ac:dyDescent="0.25">
      <c r="A502" s="1"/>
      <c r="C502" s="1"/>
      <c r="D502" s="1">
        <v>41961</v>
      </c>
      <c r="E502" s="10">
        <v>83246</v>
      </c>
      <c r="F502" s="1">
        <v>41961</v>
      </c>
      <c r="G502">
        <v>23354</v>
      </c>
      <c r="H502" s="1">
        <f t="shared" si="22"/>
        <v>41961</v>
      </c>
      <c r="I502">
        <f>IF(AND(MyRowHidden(ROW())=FALSE,MyRowHidden(ROW()-1)=TRUE),0,(E502-E501)*unitsOfDHp+I501)</f>
        <v>532460</v>
      </c>
      <c r="J502">
        <f>IF(AND(MyRowHidden(ROW())=FALSE,MyRowHidden(ROW()-1)=TRUE),0,(G502-G501)*unitsOfExo+J501)</f>
        <v>177840</v>
      </c>
      <c r="K502" s="9">
        <f t="shared" si="23"/>
        <v>-177840</v>
      </c>
      <c r="L502">
        <f t="shared" si="24"/>
        <v>710300</v>
      </c>
    </row>
    <row r="503" spans="1:12" x14ac:dyDescent="0.25">
      <c r="A503" s="1"/>
      <c r="C503" s="1"/>
      <c r="D503" s="1">
        <v>41962</v>
      </c>
      <c r="E503" s="10">
        <v>83246</v>
      </c>
      <c r="F503" s="1">
        <v>41962</v>
      </c>
      <c r="G503">
        <v>23304</v>
      </c>
      <c r="H503" s="1">
        <f t="shared" si="22"/>
        <v>41962</v>
      </c>
      <c r="I503">
        <f>IF(AND(MyRowHidden(ROW())=FALSE,MyRowHidden(ROW()-1)=TRUE),0,(E503-E502)*unitsOfDHp+I502)</f>
        <v>532460</v>
      </c>
      <c r="J503">
        <f>IF(AND(MyRowHidden(ROW())=FALSE,MyRowHidden(ROW()-1)=TRUE),0,(G503-G502)*unitsOfExo+J502)</f>
        <v>177340</v>
      </c>
      <c r="K503" s="9">
        <f t="shared" si="23"/>
        <v>-177340</v>
      </c>
      <c r="L503">
        <f t="shared" si="24"/>
        <v>709800</v>
      </c>
    </row>
    <row r="504" spans="1:12" x14ac:dyDescent="0.25">
      <c r="A504" s="1"/>
      <c r="C504" s="1"/>
      <c r="D504" s="1">
        <v>41963</v>
      </c>
      <c r="E504" s="10">
        <v>83794</v>
      </c>
      <c r="F504" s="1">
        <v>41963</v>
      </c>
      <c r="G504">
        <v>22954</v>
      </c>
      <c r="H504" s="1">
        <f t="shared" si="22"/>
        <v>41963</v>
      </c>
      <c r="I504">
        <f>IF(AND(MyRowHidden(ROW())=FALSE,MyRowHidden(ROW()-1)=TRUE),0,(E504-E503)*unitsOfDHp+I503)</f>
        <v>537940</v>
      </c>
      <c r="J504">
        <f>IF(AND(MyRowHidden(ROW())=FALSE,MyRowHidden(ROW()-1)=TRUE),0,(G504-G503)*unitsOfExo+J503)</f>
        <v>173840</v>
      </c>
      <c r="K504" s="9">
        <f t="shared" si="23"/>
        <v>-173840</v>
      </c>
      <c r="L504">
        <f t="shared" si="24"/>
        <v>711780</v>
      </c>
    </row>
    <row r="505" spans="1:12" x14ac:dyDescent="0.25">
      <c r="A505" s="1"/>
      <c r="C505" s="1"/>
      <c r="D505" s="1">
        <v>41964</v>
      </c>
      <c r="E505" s="10">
        <v>84104</v>
      </c>
      <c r="F505" s="1">
        <v>41964</v>
      </c>
      <c r="G505">
        <v>22824</v>
      </c>
      <c r="H505" s="1">
        <f t="shared" si="22"/>
        <v>41964</v>
      </c>
      <c r="I505">
        <f>IF(AND(MyRowHidden(ROW())=FALSE,MyRowHidden(ROW()-1)=TRUE),0,(E505-E504)*unitsOfDHp+I504)</f>
        <v>541040</v>
      </c>
      <c r="J505">
        <f>IF(AND(MyRowHidden(ROW())=FALSE,MyRowHidden(ROW()-1)=TRUE),0,(G505-G504)*unitsOfExo+J504)</f>
        <v>172540</v>
      </c>
      <c r="K505" s="9">
        <f t="shared" si="23"/>
        <v>-172540</v>
      </c>
      <c r="L505">
        <f t="shared" si="24"/>
        <v>713580</v>
      </c>
    </row>
    <row r="506" spans="1:12" x14ac:dyDescent="0.25">
      <c r="A506" s="1"/>
      <c r="C506" s="1"/>
      <c r="D506" s="1">
        <v>41967</v>
      </c>
      <c r="E506" s="10">
        <v>83670</v>
      </c>
      <c r="F506" s="1">
        <v>41967</v>
      </c>
      <c r="G506">
        <v>23034</v>
      </c>
      <c r="H506" s="1">
        <f t="shared" si="22"/>
        <v>41967</v>
      </c>
      <c r="I506">
        <f>IF(AND(MyRowHidden(ROW())=FALSE,MyRowHidden(ROW()-1)=TRUE),0,(E506-E505)*unitsOfDHp+I505)</f>
        <v>536700</v>
      </c>
      <c r="J506">
        <f>IF(AND(MyRowHidden(ROW())=FALSE,MyRowHidden(ROW()-1)=TRUE),0,(G506-G505)*unitsOfExo+J505)</f>
        <v>174640</v>
      </c>
      <c r="K506" s="9">
        <f t="shared" si="23"/>
        <v>-174640</v>
      </c>
      <c r="L506">
        <f t="shared" si="24"/>
        <v>711340</v>
      </c>
    </row>
    <row r="507" spans="1:12" x14ac:dyDescent="0.25">
      <c r="A507" s="1"/>
      <c r="C507" s="1"/>
      <c r="D507" s="1">
        <v>41968</v>
      </c>
      <c r="E507" s="10">
        <v>83908</v>
      </c>
      <c r="F507" s="1">
        <v>41968</v>
      </c>
      <c r="G507">
        <v>22874</v>
      </c>
      <c r="H507" s="1">
        <f t="shared" si="22"/>
        <v>41968</v>
      </c>
      <c r="I507">
        <f>IF(AND(MyRowHidden(ROW())=FALSE,MyRowHidden(ROW()-1)=TRUE),0,(E507-E506)*unitsOfDHp+I506)</f>
        <v>539080</v>
      </c>
      <c r="J507">
        <f>IF(AND(MyRowHidden(ROW())=FALSE,MyRowHidden(ROW()-1)=TRUE),0,(G507-G506)*unitsOfExo+J506)</f>
        <v>173040</v>
      </c>
      <c r="K507" s="9">
        <f t="shared" si="23"/>
        <v>-173040</v>
      </c>
      <c r="L507">
        <f t="shared" si="24"/>
        <v>712120</v>
      </c>
    </row>
    <row r="508" spans="1:12" x14ac:dyDescent="0.25">
      <c r="A508" s="1"/>
      <c r="C508" s="1"/>
      <c r="D508" s="1">
        <v>41969</v>
      </c>
      <c r="E508" s="10">
        <v>83666</v>
      </c>
      <c r="F508" s="1">
        <v>41969</v>
      </c>
      <c r="G508">
        <v>22984</v>
      </c>
      <c r="H508" s="1">
        <f t="shared" si="22"/>
        <v>41969</v>
      </c>
      <c r="I508">
        <f>IF(AND(MyRowHidden(ROW())=FALSE,MyRowHidden(ROW()-1)=TRUE),0,(E508-E507)*unitsOfDHp+I507)</f>
        <v>536660</v>
      </c>
      <c r="J508">
        <f>IF(AND(MyRowHidden(ROW())=FALSE,MyRowHidden(ROW()-1)=TRUE),0,(G508-G507)*unitsOfExo+J507)</f>
        <v>174140</v>
      </c>
      <c r="K508" s="9">
        <f t="shared" si="23"/>
        <v>-174140</v>
      </c>
      <c r="L508">
        <f t="shared" si="24"/>
        <v>710800</v>
      </c>
    </row>
    <row r="509" spans="1:12" x14ac:dyDescent="0.25">
      <c r="A509" s="1"/>
      <c r="C509" s="1"/>
      <c r="D509" s="1">
        <v>41970</v>
      </c>
      <c r="E509" s="10">
        <v>83528</v>
      </c>
      <c r="F509" s="1">
        <v>41970</v>
      </c>
      <c r="G509">
        <v>23024</v>
      </c>
      <c r="H509" s="1">
        <f t="shared" si="22"/>
        <v>41970</v>
      </c>
      <c r="I509">
        <f>IF(AND(MyRowHidden(ROW())=FALSE,MyRowHidden(ROW()-1)=TRUE),0,(E509-E508)*unitsOfDHp+I508)</f>
        <v>535280</v>
      </c>
      <c r="J509">
        <f>IF(AND(MyRowHidden(ROW())=FALSE,MyRowHidden(ROW()-1)=TRUE),0,(G509-G508)*unitsOfExo+J508)</f>
        <v>174540</v>
      </c>
      <c r="K509" s="9">
        <f t="shared" si="23"/>
        <v>-174540</v>
      </c>
      <c r="L509">
        <f t="shared" si="24"/>
        <v>709820</v>
      </c>
    </row>
    <row r="510" spans="1:12" x14ac:dyDescent="0.25">
      <c r="A510" s="1"/>
      <c r="C510" s="1"/>
      <c r="D510" s="1">
        <v>41971</v>
      </c>
      <c r="E510" s="10">
        <v>84880</v>
      </c>
      <c r="F510" s="1">
        <v>41971</v>
      </c>
      <c r="G510">
        <v>22464</v>
      </c>
      <c r="H510" s="1">
        <f t="shared" si="22"/>
        <v>41971</v>
      </c>
      <c r="I510">
        <f>IF(AND(MyRowHidden(ROW())=FALSE,MyRowHidden(ROW()-1)=TRUE),0,(E510-E509)*unitsOfDHp+I509)</f>
        <v>548800</v>
      </c>
      <c r="J510">
        <f>IF(AND(MyRowHidden(ROW())=FALSE,MyRowHidden(ROW()-1)=TRUE),0,(G510-G509)*unitsOfExo+J509)</f>
        <v>168940</v>
      </c>
      <c r="K510" s="9">
        <f t="shared" si="23"/>
        <v>-168940</v>
      </c>
      <c r="L510">
        <f t="shared" si="24"/>
        <v>717740</v>
      </c>
    </row>
    <row r="511" spans="1:12" x14ac:dyDescent="0.25">
      <c r="A511" s="1"/>
      <c r="C511" s="1"/>
      <c r="D511" s="1">
        <v>41974</v>
      </c>
      <c r="E511" s="10">
        <v>84410</v>
      </c>
      <c r="F511" s="1">
        <v>41974</v>
      </c>
      <c r="G511">
        <v>22632</v>
      </c>
      <c r="H511" s="1">
        <f t="shared" si="22"/>
        <v>41974</v>
      </c>
      <c r="I511">
        <f>IF(AND(MyRowHidden(ROW())=FALSE,MyRowHidden(ROW()-1)=TRUE),0,(E511-E510)*unitsOfDHp+I510)</f>
        <v>544100</v>
      </c>
      <c r="J511">
        <f>IF(AND(MyRowHidden(ROW())=FALSE,MyRowHidden(ROW()-1)=TRUE),0,(G511-G510)*unitsOfExo+J510)</f>
        <v>170620</v>
      </c>
      <c r="K511" s="9">
        <f t="shared" si="23"/>
        <v>-170620</v>
      </c>
      <c r="L511">
        <f t="shared" si="24"/>
        <v>714720</v>
      </c>
    </row>
    <row r="512" spans="1:12" x14ac:dyDescent="0.25">
      <c r="A512" s="1"/>
      <c r="C512" s="1"/>
      <c r="D512" s="1">
        <v>41975</v>
      </c>
      <c r="E512" s="10">
        <v>85200</v>
      </c>
      <c r="F512" s="1">
        <v>41975</v>
      </c>
      <c r="G512">
        <v>22332</v>
      </c>
      <c r="H512" s="1">
        <f t="shared" si="22"/>
        <v>41975</v>
      </c>
      <c r="I512">
        <f>IF(AND(MyRowHidden(ROW())=FALSE,MyRowHidden(ROW()-1)=TRUE),0,(E512-E511)*unitsOfDHp+I511)</f>
        <v>552000</v>
      </c>
      <c r="J512">
        <f>IF(AND(MyRowHidden(ROW())=FALSE,MyRowHidden(ROW()-1)=TRUE),0,(G512-G511)*unitsOfExo+J511)</f>
        <v>167620</v>
      </c>
      <c r="K512" s="9">
        <f t="shared" si="23"/>
        <v>-167620</v>
      </c>
      <c r="L512">
        <f t="shared" si="24"/>
        <v>719620</v>
      </c>
    </row>
    <row r="513" spans="1:12" x14ac:dyDescent="0.25">
      <c r="A513" s="1"/>
      <c r="C513" s="1"/>
      <c r="D513" s="1">
        <v>41976</v>
      </c>
      <c r="E513" s="10">
        <v>86556</v>
      </c>
      <c r="F513" s="1">
        <v>41976</v>
      </c>
      <c r="G513">
        <v>21982</v>
      </c>
      <c r="H513" s="1">
        <f t="shared" si="22"/>
        <v>41976</v>
      </c>
      <c r="I513">
        <f>IF(AND(MyRowHidden(ROW())=FALSE,MyRowHidden(ROW()-1)=TRUE),0,(E513-E512)*unitsOfDHp+I512)</f>
        <v>565560</v>
      </c>
      <c r="J513">
        <f>IF(AND(MyRowHidden(ROW())=FALSE,MyRowHidden(ROW()-1)=TRUE),0,(G513-G512)*unitsOfExo+J512)</f>
        <v>164120</v>
      </c>
      <c r="K513" s="9">
        <f t="shared" si="23"/>
        <v>-164120</v>
      </c>
      <c r="L513">
        <f t="shared" si="24"/>
        <v>729680</v>
      </c>
    </row>
    <row r="514" spans="1:12" x14ac:dyDescent="0.25">
      <c r="A514" s="1"/>
      <c r="C514" s="1"/>
      <c r="D514" s="1">
        <v>41977</v>
      </c>
      <c r="E514" s="10">
        <v>86986</v>
      </c>
      <c r="F514" s="1">
        <v>41977</v>
      </c>
      <c r="G514">
        <v>21682</v>
      </c>
      <c r="H514" s="1">
        <f t="shared" si="22"/>
        <v>41977</v>
      </c>
      <c r="I514">
        <f>IF(AND(MyRowHidden(ROW())=FALSE,MyRowHidden(ROW()-1)=TRUE),0,(E514-E513)*unitsOfDHp+I513)</f>
        <v>569860</v>
      </c>
      <c r="J514">
        <f>IF(AND(MyRowHidden(ROW())=FALSE,MyRowHidden(ROW()-1)=TRUE),0,(G514-G513)*unitsOfExo+J513)</f>
        <v>161120</v>
      </c>
      <c r="K514" s="9">
        <f t="shared" si="23"/>
        <v>-161120</v>
      </c>
      <c r="L514">
        <f t="shared" si="24"/>
        <v>730980</v>
      </c>
    </row>
    <row r="515" spans="1:12" x14ac:dyDescent="0.25">
      <c r="A515" s="1"/>
      <c r="C515" s="1"/>
      <c r="D515" s="1">
        <v>41978</v>
      </c>
      <c r="E515" s="10">
        <v>87682</v>
      </c>
      <c r="F515" s="1">
        <v>41978</v>
      </c>
      <c r="G515">
        <v>21302</v>
      </c>
      <c r="H515" s="1">
        <f t="shared" si="22"/>
        <v>41978</v>
      </c>
      <c r="I515">
        <f>IF(AND(MyRowHidden(ROW())=FALSE,MyRowHidden(ROW()-1)=TRUE),0,(E515-E514)*unitsOfDHp+I514)</f>
        <v>576820</v>
      </c>
      <c r="J515">
        <f>IF(AND(MyRowHidden(ROW())=FALSE,MyRowHidden(ROW()-1)=TRUE),0,(G515-G514)*unitsOfExo+J514)</f>
        <v>157320</v>
      </c>
      <c r="K515" s="9">
        <f t="shared" si="23"/>
        <v>-157320</v>
      </c>
      <c r="L515">
        <f t="shared" si="24"/>
        <v>734140</v>
      </c>
    </row>
    <row r="516" spans="1:12" x14ac:dyDescent="0.25">
      <c r="A516" s="1"/>
      <c r="C516" s="1"/>
      <c r="D516" s="1">
        <v>41981</v>
      </c>
      <c r="E516" s="10">
        <v>87882</v>
      </c>
      <c r="F516" s="1">
        <v>41981</v>
      </c>
      <c r="G516">
        <v>21272</v>
      </c>
      <c r="H516" s="1">
        <f t="shared" si="22"/>
        <v>41981</v>
      </c>
      <c r="I516">
        <f>IF(AND(MyRowHidden(ROW())=FALSE,MyRowHidden(ROW()-1)=TRUE),0,(E516-E515)*unitsOfDHp+I515)</f>
        <v>578820</v>
      </c>
      <c r="J516">
        <f>IF(AND(MyRowHidden(ROW())=FALSE,MyRowHidden(ROW()-1)=TRUE),0,(G516-G515)*unitsOfExo+J515)</f>
        <v>157020</v>
      </c>
      <c r="K516" s="9">
        <f t="shared" si="23"/>
        <v>-157020</v>
      </c>
      <c r="L516">
        <f t="shared" si="24"/>
        <v>735840</v>
      </c>
    </row>
    <row r="517" spans="1:12" x14ac:dyDescent="0.25">
      <c r="A517" s="1"/>
      <c r="C517" s="1"/>
      <c r="D517" s="1">
        <v>41982</v>
      </c>
      <c r="E517" s="10">
        <v>87822</v>
      </c>
      <c r="F517" s="1">
        <v>41982</v>
      </c>
      <c r="G517">
        <v>21272</v>
      </c>
      <c r="H517" s="1">
        <f t="shared" si="22"/>
        <v>41982</v>
      </c>
      <c r="I517">
        <f>IF(AND(MyRowHidden(ROW())=FALSE,MyRowHidden(ROW()-1)=TRUE),0,(E517-E516)*unitsOfDHp+I516)</f>
        <v>578220</v>
      </c>
      <c r="J517">
        <f>IF(AND(MyRowHidden(ROW())=FALSE,MyRowHidden(ROW()-1)=TRUE),0,(G517-G516)*unitsOfExo+J516)</f>
        <v>157020</v>
      </c>
      <c r="K517" s="9">
        <f t="shared" si="23"/>
        <v>-157020</v>
      </c>
      <c r="L517">
        <f t="shared" si="24"/>
        <v>735240</v>
      </c>
    </row>
    <row r="518" spans="1:12" x14ac:dyDescent="0.25">
      <c r="A518" s="1"/>
      <c r="C518" s="1"/>
      <c r="D518" s="1">
        <v>41983</v>
      </c>
      <c r="E518" s="10">
        <v>87192</v>
      </c>
      <c r="F518" s="1">
        <v>41983</v>
      </c>
      <c r="G518">
        <v>21512</v>
      </c>
      <c r="H518" s="1">
        <f t="shared" si="22"/>
        <v>41983</v>
      </c>
      <c r="I518">
        <f>IF(AND(MyRowHidden(ROW())=FALSE,MyRowHidden(ROW()-1)=TRUE),0,(E518-E517)*unitsOfDHp+I517)</f>
        <v>571920</v>
      </c>
      <c r="J518">
        <f>IF(AND(MyRowHidden(ROW())=FALSE,MyRowHidden(ROW()-1)=TRUE),0,(G518-G517)*unitsOfExo+J517)</f>
        <v>159420</v>
      </c>
      <c r="K518" s="9">
        <f t="shared" si="23"/>
        <v>-159420</v>
      </c>
      <c r="L518">
        <f t="shared" si="24"/>
        <v>731340</v>
      </c>
    </row>
    <row r="519" spans="1:12" x14ac:dyDescent="0.25">
      <c r="A519" s="1"/>
      <c r="C519" s="1"/>
      <c r="D519" s="1">
        <v>41984</v>
      </c>
      <c r="E519" s="10">
        <v>86952</v>
      </c>
      <c r="F519" s="1">
        <v>41984</v>
      </c>
      <c r="G519">
        <v>21532</v>
      </c>
      <c r="H519" s="1">
        <f t="shared" si="22"/>
        <v>41984</v>
      </c>
      <c r="I519">
        <f>IF(AND(MyRowHidden(ROW())=FALSE,MyRowHidden(ROW()-1)=TRUE),0,(E519-E518)*unitsOfDHp+I518)</f>
        <v>569520</v>
      </c>
      <c r="J519">
        <f>IF(AND(MyRowHidden(ROW())=FALSE,MyRowHidden(ROW()-1)=TRUE),0,(G519-G518)*unitsOfExo+J518)</f>
        <v>159620</v>
      </c>
      <c r="K519" s="9">
        <f t="shared" si="23"/>
        <v>-159620</v>
      </c>
      <c r="L519">
        <f t="shared" si="24"/>
        <v>729140</v>
      </c>
    </row>
    <row r="520" spans="1:12" x14ac:dyDescent="0.25">
      <c r="A520" s="1"/>
      <c r="C520" s="1"/>
      <c r="D520" s="1">
        <v>41985</v>
      </c>
      <c r="E520" s="10">
        <v>86904</v>
      </c>
      <c r="F520" s="1">
        <v>41985</v>
      </c>
      <c r="G520">
        <v>21552</v>
      </c>
      <c r="H520" s="1">
        <f t="shared" si="22"/>
        <v>41985</v>
      </c>
      <c r="I520">
        <f>IF(AND(MyRowHidden(ROW())=FALSE,MyRowHidden(ROW()-1)=TRUE),0,(E520-E519)*unitsOfDHp+I519)</f>
        <v>569040</v>
      </c>
      <c r="J520">
        <f>IF(AND(MyRowHidden(ROW())=FALSE,MyRowHidden(ROW()-1)=TRUE),0,(G520-G519)*unitsOfExo+J519)</f>
        <v>159820</v>
      </c>
      <c r="K520" s="9">
        <f t="shared" si="23"/>
        <v>-159820</v>
      </c>
      <c r="L520">
        <f t="shared" si="24"/>
        <v>728860</v>
      </c>
    </row>
    <row r="521" spans="1:12" x14ac:dyDescent="0.25">
      <c r="A521" s="1"/>
      <c r="C521" s="1"/>
      <c r="D521" s="1">
        <v>41988</v>
      </c>
      <c r="E521" s="10">
        <v>86834</v>
      </c>
      <c r="F521" s="1">
        <v>41988</v>
      </c>
      <c r="G521">
        <v>21452</v>
      </c>
      <c r="H521" s="1">
        <f t="shared" si="22"/>
        <v>41988</v>
      </c>
      <c r="I521">
        <f>IF(AND(MyRowHidden(ROW())=FALSE,MyRowHidden(ROW()-1)=TRUE),0,(E521-E520)*unitsOfDHp+I520)</f>
        <v>568340</v>
      </c>
      <c r="J521">
        <f>IF(AND(MyRowHidden(ROW())=FALSE,MyRowHidden(ROW()-1)=TRUE),0,(G521-G520)*unitsOfExo+J520)</f>
        <v>158820</v>
      </c>
      <c r="K521" s="9">
        <f t="shared" si="23"/>
        <v>-158820</v>
      </c>
      <c r="L521">
        <f t="shared" si="24"/>
        <v>727160</v>
      </c>
    </row>
    <row r="522" spans="1:12" x14ac:dyDescent="0.25">
      <c r="A522" s="1"/>
      <c r="C522" s="1"/>
      <c r="D522" s="1">
        <v>41989</v>
      </c>
      <c r="E522" s="10">
        <v>87710</v>
      </c>
      <c r="F522" s="1">
        <v>41989</v>
      </c>
      <c r="G522">
        <v>20932</v>
      </c>
      <c r="H522" s="1">
        <f t="shared" si="22"/>
        <v>41989</v>
      </c>
      <c r="I522">
        <f>IF(AND(MyRowHidden(ROW())=FALSE,MyRowHidden(ROW()-1)=TRUE),0,(E522-E521)*unitsOfDHp+I521)</f>
        <v>577100</v>
      </c>
      <c r="J522">
        <f>IF(AND(MyRowHidden(ROW())=FALSE,MyRowHidden(ROW()-1)=TRUE),0,(G522-G521)*unitsOfExo+J521)</f>
        <v>153620</v>
      </c>
      <c r="K522" s="9">
        <f t="shared" si="23"/>
        <v>-153620</v>
      </c>
      <c r="L522">
        <f t="shared" si="24"/>
        <v>730720</v>
      </c>
    </row>
    <row r="523" spans="1:12" x14ac:dyDescent="0.25">
      <c r="A523" s="1"/>
      <c r="C523" s="1"/>
      <c r="D523" s="1">
        <v>41990</v>
      </c>
      <c r="E523" s="10">
        <v>89050</v>
      </c>
      <c r="F523" s="1">
        <v>41990</v>
      </c>
      <c r="G523">
        <v>20372</v>
      </c>
      <c r="H523" s="1">
        <f t="shared" si="22"/>
        <v>41990</v>
      </c>
      <c r="I523">
        <f>IF(AND(MyRowHidden(ROW())=FALSE,MyRowHidden(ROW()-1)=TRUE),0,(E523-E522)*unitsOfDHp+I522)</f>
        <v>590500</v>
      </c>
      <c r="J523">
        <f>IF(AND(MyRowHidden(ROW())=FALSE,MyRowHidden(ROW()-1)=TRUE),0,(G523-G522)*unitsOfExo+J522)</f>
        <v>148020</v>
      </c>
      <c r="K523" s="9">
        <f t="shared" si="23"/>
        <v>-148020</v>
      </c>
      <c r="L523">
        <f t="shared" si="24"/>
        <v>738520</v>
      </c>
    </row>
    <row r="524" spans="1:12" x14ac:dyDescent="0.25">
      <c r="A524" s="1"/>
      <c r="C524" s="1"/>
      <c r="D524" s="1">
        <v>41991</v>
      </c>
      <c r="E524" s="10">
        <v>87878</v>
      </c>
      <c r="F524" s="1">
        <v>41991</v>
      </c>
      <c r="G524">
        <v>20952</v>
      </c>
      <c r="H524" s="1">
        <f t="shared" si="22"/>
        <v>41991</v>
      </c>
      <c r="I524">
        <f>IF(AND(MyRowHidden(ROW())=FALSE,MyRowHidden(ROW()-1)=TRUE),0,(E524-E523)*unitsOfDHp+I523)</f>
        <v>578780</v>
      </c>
      <c r="J524">
        <f>IF(AND(MyRowHidden(ROW())=FALSE,MyRowHidden(ROW()-1)=TRUE),0,(G524-G523)*unitsOfExo+J523)</f>
        <v>153820</v>
      </c>
      <c r="K524" s="9">
        <f t="shared" si="23"/>
        <v>-153820</v>
      </c>
      <c r="L524">
        <f t="shared" si="24"/>
        <v>732600</v>
      </c>
    </row>
    <row r="525" spans="1:12" x14ac:dyDescent="0.25">
      <c r="A525" s="1"/>
      <c r="C525" s="1"/>
      <c r="D525" s="1">
        <v>41992</v>
      </c>
      <c r="E525" s="10">
        <v>87908</v>
      </c>
      <c r="F525" s="1">
        <v>41992</v>
      </c>
      <c r="G525">
        <v>20762</v>
      </c>
      <c r="H525" s="1">
        <f t="shared" ref="H525:H588" si="25">D525</f>
        <v>41992</v>
      </c>
      <c r="I525">
        <f>IF(AND(MyRowHidden(ROW())=FALSE,MyRowHidden(ROW()-1)=TRUE),0,(E525-E524)*unitsOfDHp+I524)</f>
        <v>579080</v>
      </c>
      <c r="J525">
        <f>IF(AND(MyRowHidden(ROW())=FALSE,MyRowHidden(ROW()-1)=TRUE),0,(G525-G524)*unitsOfExo+J524)</f>
        <v>151920</v>
      </c>
      <c r="K525" s="9">
        <f t="shared" ref="K525:K588" si="26">-(J525-J524)+K524</f>
        <v>-151920</v>
      </c>
      <c r="L525">
        <f t="shared" ref="L525:L588" si="27">I525+J525</f>
        <v>731000</v>
      </c>
    </row>
    <row r="526" spans="1:12" x14ac:dyDescent="0.25">
      <c r="A526" s="1"/>
      <c r="C526" s="1"/>
      <c r="D526" s="1">
        <v>41995</v>
      </c>
      <c r="E526" s="10">
        <v>88496</v>
      </c>
      <c r="F526" s="1">
        <v>41995</v>
      </c>
      <c r="G526">
        <v>20402</v>
      </c>
      <c r="H526" s="1">
        <f t="shared" si="25"/>
        <v>41995</v>
      </c>
      <c r="I526">
        <f>IF(AND(MyRowHidden(ROW())=FALSE,MyRowHidden(ROW()-1)=TRUE),0,(E526-E525)*unitsOfDHp+I525)</f>
        <v>584960</v>
      </c>
      <c r="J526">
        <f>IF(AND(MyRowHidden(ROW())=FALSE,MyRowHidden(ROW()-1)=TRUE),0,(G526-G525)*unitsOfExo+J525)</f>
        <v>148320</v>
      </c>
      <c r="K526" s="9">
        <f t="shared" si="26"/>
        <v>-148320</v>
      </c>
      <c r="L526">
        <f t="shared" si="27"/>
        <v>733280</v>
      </c>
    </row>
    <row r="527" spans="1:12" x14ac:dyDescent="0.25">
      <c r="A527" s="1"/>
      <c r="C527" s="1"/>
      <c r="D527" s="1">
        <v>41996</v>
      </c>
      <c r="E527" s="10">
        <v>87566</v>
      </c>
      <c r="F527" s="1">
        <v>41996</v>
      </c>
      <c r="G527">
        <v>20852</v>
      </c>
      <c r="H527" s="1">
        <f t="shared" si="25"/>
        <v>41996</v>
      </c>
      <c r="I527">
        <f>IF(AND(MyRowHidden(ROW())=FALSE,MyRowHidden(ROW()-1)=TRUE),0,(E527-E526)*unitsOfDHp+I526)</f>
        <v>575660</v>
      </c>
      <c r="J527">
        <f>IF(AND(MyRowHidden(ROW())=FALSE,MyRowHidden(ROW()-1)=TRUE),0,(G527-G526)*unitsOfExo+J526)</f>
        <v>152820</v>
      </c>
      <c r="K527" s="9">
        <f t="shared" si="26"/>
        <v>-152820</v>
      </c>
      <c r="L527">
        <f t="shared" si="27"/>
        <v>728480</v>
      </c>
    </row>
    <row r="528" spans="1:12" x14ac:dyDescent="0.25">
      <c r="A528" s="1"/>
      <c r="C528" s="1"/>
      <c r="D528" s="1">
        <v>41997</v>
      </c>
      <c r="E528" s="10">
        <v>87626</v>
      </c>
      <c r="F528" s="1">
        <v>41997</v>
      </c>
      <c r="G528">
        <v>20672</v>
      </c>
      <c r="H528" s="1">
        <f t="shared" si="25"/>
        <v>41997</v>
      </c>
      <c r="I528">
        <f>IF(AND(MyRowHidden(ROW())=FALSE,MyRowHidden(ROW()-1)=TRUE),0,(E528-E527)*unitsOfDHp+I527)</f>
        <v>576260</v>
      </c>
      <c r="J528">
        <f>IF(AND(MyRowHidden(ROW())=FALSE,MyRowHidden(ROW()-1)=TRUE),0,(G528-G527)*unitsOfExo+J527)</f>
        <v>151020</v>
      </c>
      <c r="K528" s="9">
        <f t="shared" si="26"/>
        <v>-151020</v>
      </c>
      <c r="L528">
        <f t="shared" si="27"/>
        <v>727280</v>
      </c>
    </row>
    <row r="529" spans="1:12" x14ac:dyDescent="0.25">
      <c r="A529" s="1"/>
      <c r="C529" s="1"/>
      <c r="D529" s="1">
        <v>41998</v>
      </c>
      <c r="E529" s="10">
        <v>87244</v>
      </c>
      <c r="F529" s="1">
        <v>41998</v>
      </c>
      <c r="G529">
        <v>20822</v>
      </c>
      <c r="H529" s="1">
        <f t="shared" si="25"/>
        <v>41998</v>
      </c>
      <c r="I529">
        <f>IF(AND(MyRowHidden(ROW())=FALSE,MyRowHidden(ROW()-1)=TRUE),0,(E529-E528)*unitsOfDHp+I528)</f>
        <v>572440</v>
      </c>
      <c r="J529">
        <f>IF(AND(MyRowHidden(ROW())=FALSE,MyRowHidden(ROW()-1)=TRUE),0,(G529-G528)*unitsOfExo+J528)</f>
        <v>152520</v>
      </c>
      <c r="K529" s="9">
        <f t="shared" si="26"/>
        <v>-152520</v>
      </c>
      <c r="L529">
        <f t="shared" si="27"/>
        <v>724960</v>
      </c>
    </row>
    <row r="530" spans="1:12" x14ac:dyDescent="0.25">
      <c r="A530" s="1"/>
      <c r="C530" s="1"/>
      <c r="D530" s="1">
        <v>41999</v>
      </c>
      <c r="E530" s="10">
        <v>87592</v>
      </c>
      <c r="F530" s="1">
        <v>41999</v>
      </c>
      <c r="G530">
        <v>20522</v>
      </c>
      <c r="H530" s="1">
        <f t="shared" si="25"/>
        <v>41999</v>
      </c>
      <c r="I530">
        <f>IF(AND(MyRowHidden(ROW())=FALSE,MyRowHidden(ROW()-1)=TRUE),0,(E530-E529)*unitsOfDHp+I529)</f>
        <v>575920</v>
      </c>
      <c r="J530">
        <f>IF(AND(MyRowHidden(ROW())=FALSE,MyRowHidden(ROW()-1)=TRUE),0,(G530-G529)*unitsOfExo+J529)</f>
        <v>149520</v>
      </c>
      <c r="K530" s="9">
        <f t="shared" si="26"/>
        <v>-149520</v>
      </c>
      <c r="L530">
        <f t="shared" si="27"/>
        <v>725440</v>
      </c>
    </row>
    <row r="531" spans="1:12" x14ac:dyDescent="0.25">
      <c r="A531" s="1"/>
      <c r="C531" s="1"/>
      <c r="D531" s="1">
        <v>42002</v>
      </c>
      <c r="E531" s="10">
        <v>86778</v>
      </c>
      <c r="F531" s="1">
        <v>42002</v>
      </c>
      <c r="G531">
        <v>20902</v>
      </c>
      <c r="H531" s="1">
        <f t="shared" si="25"/>
        <v>42002</v>
      </c>
      <c r="I531">
        <f>IF(AND(MyRowHidden(ROW())=FALSE,MyRowHidden(ROW()-1)=TRUE),0,(E531-E530)*unitsOfDHp+I530)</f>
        <v>567780</v>
      </c>
      <c r="J531">
        <f>IF(AND(MyRowHidden(ROW())=FALSE,MyRowHidden(ROW()-1)=TRUE),0,(G531-G530)*unitsOfExo+J530)</f>
        <v>153320</v>
      </c>
      <c r="K531" s="9">
        <f t="shared" si="26"/>
        <v>-153320</v>
      </c>
      <c r="L531">
        <f t="shared" si="27"/>
        <v>721100</v>
      </c>
    </row>
    <row r="532" spans="1:12" x14ac:dyDescent="0.25">
      <c r="A532" s="1"/>
      <c r="C532" s="1"/>
      <c r="D532" s="1">
        <v>42003</v>
      </c>
      <c r="E532" s="10">
        <v>87450</v>
      </c>
      <c r="F532" s="1">
        <v>42003</v>
      </c>
      <c r="G532">
        <v>20652</v>
      </c>
      <c r="H532" s="1">
        <f t="shared" si="25"/>
        <v>42003</v>
      </c>
      <c r="I532">
        <f>IF(AND(MyRowHidden(ROW())=FALSE,MyRowHidden(ROW()-1)=TRUE),0,(E532-E531)*unitsOfDHp+I531)</f>
        <v>574500</v>
      </c>
      <c r="J532">
        <f>IF(AND(MyRowHidden(ROW())=FALSE,MyRowHidden(ROW()-1)=TRUE),0,(G532-G531)*unitsOfExo+J531)</f>
        <v>150820</v>
      </c>
      <c r="K532" s="9">
        <f t="shared" si="26"/>
        <v>-150820</v>
      </c>
      <c r="L532">
        <f t="shared" si="27"/>
        <v>725320</v>
      </c>
    </row>
    <row r="533" spans="1:12" x14ac:dyDescent="0.25">
      <c r="A533" s="1"/>
      <c r="C533" s="1"/>
      <c r="D533" s="1">
        <v>42004</v>
      </c>
      <c r="E533" s="10">
        <v>87240</v>
      </c>
      <c r="F533" s="1">
        <v>42004</v>
      </c>
      <c r="G533">
        <v>20762</v>
      </c>
      <c r="H533" s="1">
        <f t="shared" si="25"/>
        <v>42004</v>
      </c>
      <c r="I533">
        <f>IF(AND(MyRowHidden(ROW())=FALSE,MyRowHidden(ROW()-1)=TRUE),0,(E533-E532)*unitsOfDHp+I532)</f>
        <v>572400</v>
      </c>
      <c r="J533">
        <f>IF(AND(MyRowHidden(ROW())=FALSE,MyRowHidden(ROW()-1)=TRUE),0,(G533-G532)*unitsOfExo+J532)</f>
        <v>151920</v>
      </c>
      <c r="K533" s="9">
        <f t="shared" si="26"/>
        <v>-151920</v>
      </c>
      <c r="L533">
        <f t="shared" si="27"/>
        <v>724320</v>
      </c>
    </row>
    <row r="534" spans="1:12" x14ac:dyDescent="0.25">
      <c r="A534" s="1"/>
      <c r="C534" s="1"/>
      <c r="D534" s="1">
        <v>42005</v>
      </c>
      <c r="E534" s="10">
        <v>87214</v>
      </c>
      <c r="F534" s="1">
        <v>42005</v>
      </c>
      <c r="G534">
        <v>20622</v>
      </c>
      <c r="H534" s="1">
        <f t="shared" si="25"/>
        <v>42005</v>
      </c>
      <c r="I534">
        <f>IF(AND(MyRowHidden(ROW())=FALSE,MyRowHidden(ROW()-1)=TRUE),0,(E534-E533)*unitsOfDHp+I533)</f>
        <v>572140</v>
      </c>
      <c r="J534">
        <f>IF(AND(MyRowHidden(ROW())=FALSE,MyRowHidden(ROW()-1)=TRUE),0,(G534-G533)*unitsOfExo+J533)</f>
        <v>150520</v>
      </c>
      <c r="K534" s="9">
        <f t="shared" si="26"/>
        <v>-150520</v>
      </c>
      <c r="L534">
        <f t="shared" si="27"/>
        <v>722660</v>
      </c>
    </row>
    <row r="535" spans="1:12" x14ac:dyDescent="0.25">
      <c r="A535" s="1"/>
      <c r="C535" s="1"/>
      <c r="D535" s="1">
        <v>42006</v>
      </c>
      <c r="E535" s="10">
        <v>87104</v>
      </c>
      <c r="F535" s="1">
        <v>42006</v>
      </c>
      <c r="G535">
        <v>20732</v>
      </c>
      <c r="H535" s="1">
        <f t="shared" si="25"/>
        <v>42006</v>
      </c>
      <c r="I535">
        <f>IF(AND(MyRowHidden(ROW())=FALSE,MyRowHidden(ROW()-1)=TRUE),0,(E535-E534)*unitsOfDHp+I534)</f>
        <v>571040</v>
      </c>
      <c r="J535">
        <f>IF(AND(MyRowHidden(ROW())=FALSE,MyRowHidden(ROW()-1)=TRUE),0,(G535-G534)*unitsOfExo+J534)</f>
        <v>151620</v>
      </c>
      <c r="K535" s="9">
        <f t="shared" si="26"/>
        <v>-151620</v>
      </c>
      <c r="L535">
        <f t="shared" si="27"/>
        <v>722660</v>
      </c>
    </row>
    <row r="536" spans="1:12" x14ac:dyDescent="0.25">
      <c r="A536" s="1"/>
      <c r="C536" s="1"/>
      <c r="D536" s="1">
        <v>42009</v>
      </c>
      <c r="E536" s="10">
        <v>87796</v>
      </c>
      <c r="F536" s="1">
        <v>42009</v>
      </c>
      <c r="G536">
        <v>20092</v>
      </c>
      <c r="H536" s="1">
        <f t="shared" si="25"/>
        <v>42009</v>
      </c>
      <c r="I536">
        <f>IF(AND(MyRowHidden(ROW())=FALSE,MyRowHidden(ROW()-1)=TRUE),0,(E536-E535)*unitsOfDHp+I535)</f>
        <v>577960</v>
      </c>
      <c r="J536">
        <f>IF(AND(MyRowHidden(ROW())=FALSE,MyRowHidden(ROW()-1)=TRUE),0,(G536-G535)*unitsOfExo+J535)</f>
        <v>145220</v>
      </c>
      <c r="K536" s="9">
        <f t="shared" si="26"/>
        <v>-145220</v>
      </c>
      <c r="L536">
        <f t="shared" si="27"/>
        <v>723180</v>
      </c>
    </row>
    <row r="537" spans="1:12" x14ac:dyDescent="0.25">
      <c r="A537" s="1"/>
      <c r="C537" s="1"/>
      <c r="D537" s="1">
        <v>42010</v>
      </c>
      <c r="E537" s="10">
        <v>88754</v>
      </c>
      <c r="F537" s="1">
        <v>42010</v>
      </c>
      <c r="G537">
        <v>19572</v>
      </c>
      <c r="H537" s="1">
        <f t="shared" si="25"/>
        <v>42010</v>
      </c>
      <c r="I537">
        <f>IF(AND(MyRowHidden(ROW())=FALSE,MyRowHidden(ROW()-1)=TRUE),0,(E537-E536)*unitsOfDHp+I536)</f>
        <v>587540</v>
      </c>
      <c r="J537">
        <f>IF(AND(MyRowHidden(ROW())=FALSE,MyRowHidden(ROW()-1)=TRUE),0,(G537-G536)*unitsOfExo+J536)</f>
        <v>140020</v>
      </c>
      <c r="K537" s="9">
        <f t="shared" si="26"/>
        <v>-140020</v>
      </c>
      <c r="L537">
        <f t="shared" si="27"/>
        <v>727560</v>
      </c>
    </row>
    <row r="538" spans="1:12" x14ac:dyDescent="0.25">
      <c r="A538" s="1"/>
      <c r="C538" s="1"/>
      <c r="D538" s="1">
        <v>42011</v>
      </c>
      <c r="E538" s="10">
        <v>87634</v>
      </c>
      <c r="F538" s="1">
        <v>42011</v>
      </c>
      <c r="G538">
        <v>19872</v>
      </c>
      <c r="H538" s="1">
        <f t="shared" si="25"/>
        <v>42011</v>
      </c>
      <c r="I538">
        <f>IF(AND(MyRowHidden(ROW())=FALSE,MyRowHidden(ROW()-1)=TRUE),0,(E538-E537)*unitsOfDHp+I537)</f>
        <v>576340</v>
      </c>
      <c r="J538">
        <f>IF(AND(MyRowHidden(ROW())=FALSE,MyRowHidden(ROW()-1)=TRUE),0,(G538-G537)*unitsOfExo+J537)</f>
        <v>143020</v>
      </c>
      <c r="K538" s="9">
        <f t="shared" si="26"/>
        <v>-143020</v>
      </c>
      <c r="L538">
        <f t="shared" si="27"/>
        <v>719360</v>
      </c>
    </row>
    <row r="539" spans="1:12" x14ac:dyDescent="0.25">
      <c r="A539" s="1"/>
      <c r="C539" s="1"/>
      <c r="D539" s="1">
        <v>42012</v>
      </c>
      <c r="E539" s="10">
        <v>89214</v>
      </c>
      <c r="F539" s="1">
        <v>42012</v>
      </c>
      <c r="G539">
        <v>19372</v>
      </c>
      <c r="H539" s="1">
        <f t="shared" si="25"/>
        <v>42012</v>
      </c>
      <c r="I539">
        <f>IF(AND(MyRowHidden(ROW())=FALSE,MyRowHidden(ROW()-1)=TRUE),0,(E539-E538)*unitsOfDHp+I538)</f>
        <v>592140</v>
      </c>
      <c r="J539">
        <f>IF(AND(MyRowHidden(ROW())=FALSE,MyRowHidden(ROW()-1)=TRUE),0,(G539-G538)*unitsOfExo+J538)</f>
        <v>138020</v>
      </c>
      <c r="K539" s="9">
        <f t="shared" si="26"/>
        <v>-138020</v>
      </c>
      <c r="L539">
        <f t="shared" si="27"/>
        <v>730160</v>
      </c>
    </row>
    <row r="540" spans="1:12" x14ac:dyDescent="0.25">
      <c r="A540" s="1"/>
      <c r="C540" s="1"/>
      <c r="D540" s="1">
        <v>42013</v>
      </c>
      <c r="E540" s="10">
        <v>89194</v>
      </c>
      <c r="F540" s="1">
        <v>42013</v>
      </c>
      <c r="G540">
        <v>19552</v>
      </c>
      <c r="H540" s="1">
        <f t="shared" si="25"/>
        <v>42013</v>
      </c>
      <c r="I540">
        <f>IF(AND(MyRowHidden(ROW())=FALSE,MyRowHidden(ROW()-1)=TRUE),0,(E540-E539)*unitsOfDHp+I539)</f>
        <v>591940</v>
      </c>
      <c r="J540">
        <f>IF(AND(MyRowHidden(ROW())=FALSE,MyRowHidden(ROW()-1)=TRUE),0,(G540-G539)*unitsOfExo+J539)</f>
        <v>139820</v>
      </c>
      <c r="K540" s="9">
        <f t="shared" si="26"/>
        <v>-139820</v>
      </c>
      <c r="L540">
        <f t="shared" si="27"/>
        <v>731760</v>
      </c>
    </row>
    <row r="541" spans="1:12" x14ac:dyDescent="0.25">
      <c r="A541" s="1"/>
      <c r="C541" s="1"/>
      <c r="D541" s="1">
        <v>42016</v>
      </c>
      <c r="E541" s="10">
        <v>90868</v>
      </c>
      <c r="F541" s="1">
        <v>42016</v>
      </c>
      <c r="G541">
        <v>18842</v>
      </c>
      <c r="H541" s="1">
        <f t="shared" si="25"/>
        <v>42016</v>
      </c>
      <c r="I541">
        <f>IF(AND(MyRowHidden(ROW())=FALSE,MyRowHidden(ROW()-1)=TRUE),0,(E541-E540)*unitsOfDHp+I540)</f>
        <v>608680</v>
      </c>
      <c r="J541">
        <f>IF(AND(MyRowHidden(ROW())=FALSE,MyRowHidden(ROW()-1)=TRUE),0,(G541-G540)*unitsOfExo+J540)</f>
        <v>132720</v>
      </c>
      <c r="K541" s="9">
        <f t="shared" si="26"/>
        <v>-132720</v>
      </c>
      <c r="L541">
        <f t="shared" si="27"/>
        <v>741400</v>
      </c>
    </row>
    <row r="542" spans="1:12" x14ac:dyDescent="0.25">
      <c r="A542" s="1"/>
      <c r="C542" s="1"/>
      <c r="D542" s="1">
        <v>42017</v>
      </c>
      <c r="E542" s="10">
        <v>92278</v>
      </c>
      <c r="F542" s="1">
        <v>42017</v>
      </c>
      <c r="G542">
        <v>18302</v>
      </c>
      <c r="H542" s="1">
        <f t="shared" si="25"/>
        <v>42017</v>
      </c>
      <c r="I542">
        <f>IF(AND(MyRowHidden(ROW())=FALSE,MyRowHidden(ROW()-1)=TRUE),0,(E542-E541)*unitsOfDHp+I541)</f>
        <v>622780</v>
      </c>
      <c r="J542">
        <f>IF(AND(MyRowHidden(ROW())=FALSE,MyRowHidden(ROW()-1)=TRUE),0,(G542-G541)*unitsOfExo+J541)</f>
        <v>127320</v>
      </c>
      <c r="K542" s="9">
        <f t="shared" si="26"/>
        <v>-127320</v>
      </c>
      <c r="L542">
        <f t="shared" si="27"/>
        <v>750100</v>
      </c>
    </row>
    <row r="543" spans="1:12" x14ac:dyDescent="0.25">
      <c r="A543" s="1"/>
      <c r="C543" s="1"/>
      <c r="D543" s="1">
        <v>42018</v>
      </c>
      <c r="E543" s="10">
        <v>91468</v>
      </c>
      <c r="F543" s="1">
        <v>42018</v>
      </c>
      <c r="G543">
        <v>18672</v>
      </c>
      <c r="H543" s="1">
        <f t="shared" si="25"/>
        <v>42018</v>
      </c>
      <c r="I543">
        <f>IF(AND(MyRowHidden(ROW())=FALSE,MyRowHidden(ROW()-1)=TRUE),0,(E543-E542)*unitsOfDHp+I542)</f>
        <v>614680</v>
      </c>
      <c r="J543">
        <f>IF(AND(MyRowHidden(ROW())=FALSE,MyRowHidden(ROW()-1)=TRUE),0,(G543-G542)*unitsOfExo+J542)</f>
        <v>131020</v>
      </c>
      <c r="K543" s="9">
        <f t="shared" si="26"/>
        <v>-131020</v>
      </c>
      <c r="L543">
        <f t="shared" si="27"/>
        <v>745700</v>
      </c>
    </row>
    <row r="544" spans="1:12" x14ac:dyDescent="0.25">
      <c r="A544" s="1"/>
      <c r="C544" s="1"/>
      <c r="D544" s="1">
        <v>42019</v>
      </c>
      <c r="E544" s="10">
        <v>91828</v>
      </c>
      <c r="F544" s="1">
        <v>42019</v>
      </c>
      <c r="G544">
        <v>18492</v>
      </c>
      <c r="H544" s="1">
        <f t="shared" si="25"/>
        <v>42019</v>
      </c>
      <c r="I544">
        <f>IF(AND(MyRowHidden(ROW())=FALSE,MyRowHidden(ROW()-1)=TRUE),0,(E544-E543)*unitsOfDHp+I543)</f>
        <v>618280</v>
      </c>
      <c r="J544">
        <f>IF(AND(MyRowHidden(ROW())=FALSE,MyRowHidden(ROW()-1)=TRUE),0,(G544-G543)*unitsOfExo+J543)</f>
        <v>129220</v>
      </c>
      <c r="K544" s="9">
        <f t="shared" si="26"/>
        <v>-129220</v>
      </c>
      <c r="L544">
        <f t="shared" si="27"/>
        <v>747500</v>
      </c>
    </row>
    <row r="545" spans="1:12" x14ac:dyDescent="0.25">
      <c r="A545" s="1"/>
      <c r="C545" s="1"/>
      <c r="D545" s="1">
        <v>42020</v>
      </c>
      <c r="E545" s="10">
        <v>93238</v>
      </c>
      <c r="F545" s="1">
        <v>42020</v>
      </c>
      <c r="G545">
        <v>17912</v>
      </c>
      <c r="H545" s="1">
        <f t="shared" si="25"/>
        <v>42020</v>
      </c>
      <c r="I545">
        <f>IF(AND(MyRowHidden(ROW())=FALSE,MyRowHidden(ROW()-1)=TRUE),0,(E545-E544)*unitsOfDHp+I544)</f>
        <v>632380</v>
      </c>
      <c r="J545">
        <f>IF(AND(MyRowHidden(ROW())=FALSE,MyRowHidden(ROW()-1)=TRUE),0,(G545-G544)*unitsOfExo+J544)</f>
        <v>123420</v>
      </c>
      <c r="K545" s="9">
        <f t="shared" si="26"/>
        <v>-123420</v>
      </c>
      <c r="L545">
        <f t="shared" si="27"/>
        <v>755800</v>
      </c>
    </row>
    <row r="546" spans="1:12" x14ac:dyDescent="0.25">
      <c r="A546" s="1"/>
      <c r="C546" s="1"/>
      <c r="D546" s="1">
        <v>42023</v>
      </c>
      <c r="E546" s="10">
        <v>93448</v>
      </c>
      <c r="F546" s="1">
        <v>42023</v>
      </c>
      <c r="G546">
        <v>17812</v>
      </c>
      <c r="H546" s="1">
        <f t="shared" si="25"/>
        <v>42023</v>
      </c>
      <c r="I546">
        <f>IF(AND(MyRowHidden(ROW())=FALSE,MyRowHidden(ROW()-1)=TRUE),0,(E546-E545)*unitsOfDHp+I545)</f>
        <v>634480</v>
      </c>
      <c r="J546">
        <f>IF(AND(MyRowHidden(ROW())=FALSE,MyRowHidden(ROW()-1)=TRUE),0,(G546-G545)*unitsOfExo+J545)</f>
        <v>122420</v>
      </c>
      <c r="K546" s="9">
        <f t="shared" si="26"/>
        <v>-122420</v>
      </c>
      <c r="L546">
        <f t="shared" si="27"/>
        <v>756900</v>
      </c>
    </row>
    <row r="547" spans="1:12" x14ac:dyDescent="0.25">
      <c r="A547" s="1"/>
      <c r="C547" s="1"/>
      <c r="D547" s="1">
        <v>42024</v>
      </c>
      <c r="E547" s="10">
        <v>94828</v>
      </c>
      <c r="F547" s="1">
        <v>42024</v>
      </c>
      <c r="G547">
        <v>16892</v>
      </c>
      <c r="H547" s="1">
        <f t="shared" si="25"/>
        <v>42024</v>
      </c>
      <c r="I547">
        <f>IF(AND(MyRowHidden(ROW())=FALSE,MyRowHidden(ROW()-1)=TRUE),0,(E547-E546)*unitsOfDHp+I546)</f>
        <v>648280</v>
      </c>
      <c r="J547">
        <f>IF(AND(MyRowHidden(ROW())=FALSE,MyRowHidden(ROW()-1)=TRUE),0,(G547-G546)*unitsOfExo+J546)</f>
        <v>113220</v>
      </c>
      <c r="K547" s="9">
        <f t="shared" si="26"/>
        <v>-113220</v>
      </c>
      <c r="L547">
        <f t="shared" si="27"/>
        <v>761500</v>
      </c>
    </row>
    <row r="548" spans="1:12" x14ac:dyDescent="0.25">
      <c r="A548" s="1"/>
      <c r="C548" s="1"/>
      <c r="D548" s="1">
        <v>42025</v>
      </c>
      <c r="E548" s="10">
        <v>94768</v>
      </c>
      <c r="F548" s="1">
        <v>42025</v>
      </c>
      <c r="G548">
        <v>17032</v>
      </c>
      <c r="H548" s="1">
        <f t="shared" si="25"/>
        <v>42025</v>
      </c>
      <c r="I548">
        <f>IF(AND(MyRowHidden(ROW())=FALSE,MyRowHidden(ROW()-1)=TRUE),0,(E548-E547)*unitsOfDHp+I547)</f>
        <v>647680</v>
      </c>
      <c r="J548">
        <f>IF(AND(MyRowHidden(ROW())=FALSE,MyRowHidden(ROW()-1)=TRUE),0,(G548-G547)*unitsOfExo+J547)</f>
        <v>114620</v>
      </c>
      <c r="K548" s="9">
        <f t="shared" si="26"/>
        <v>-114620</v>
      </c>
      <c r="L548">
        <f t="shared" si="27"/>
        <v>762300</v>
      </c>
    </row>
    <row r="549" spans="1:12" x14ac:dyDescent="0.25">
      <c r="A549" s="1"/>
      <c r="C549" s="1"/>
      <c r="D549" s="1">
        <v>42026</v>
      </c>
      <c r="E549" s="10">
        <v>94858</v>
      </c>
      <c r="F549" s="1">
        <v>42026</v>
      </c>
      <c r="G549">
        <v>16622</v>
      </c>
      <c r="H549" s="1">
        <f t="shared" si="25"/>
        <v>42026</v>
      </c>
      <c r="I549">
        <f>IF(AND(MyRowHidden(ROW())=FALSE,MyRowHidden(ROW()-1)=TRUE),0,(E549-E548)*unitsOfDHp+I548)</f>
        <v>648580</v>
      </c>
      <c r="J549">
        <f>IF(AND(MyRowHidden(ROW())=FALSE,MyRowHidden(ROW()-1)=TRUE),0,(G549-G548)*unitsOfExo+J548)</f>
        <v>110520</v>
      </c>
      <c r="K549" s="9">
        <f t="shared" si="26"/>
        <v>-110520</v>
      </c>
      <c r="L549">
        <f t="shared" si="27"/>
        <v>759100</v>
      </c>
    </row>
    <row r="550" spans="1:12" x14ac:dyDescent="0.25">
      <c r="A550" s="1"/>
      <c r="C550" s="1"/>
      <c r="D550" s="1">
        <v>42027</v>
      </c>
      <c r="E550" s="10">
        <v>95548</v>
      </c>
      <c r="F550" s="1">
        <v>42027</v>
      </c>
      <c r="G550">
        <v>15762</v>
      </c>
      <c r="H550" s="1">
        <f t="shared" si="25"/>
        <v>42027</v>
      </c>
      <c r="I550">
        <f>IF(AND(MyRowHidden(ROW())=FALSE,MyRowHidden(ROW()-1)=TRUE),0,(E550-E549)*unitsOfDHp+I549)</f>
        <v>655480</v>
      </c>
      <c r="J550">
        <f>IF(AND(MyRowHidden(ROW())=FALSE,MyRowHidden(ROW()-1)=TRUE),0,(G550-G549)*unitsOfExo+J549)</f>
        <v>101920</v>
      </c>
      <c r="K550" s="9">
        <f t="shared" si="26"/>
        <v>-101920</v>
      </c>
      <c r="L550">
        <f t="shared" si="27"/>
        <v>757400</v>
      </c>
    </row>
    <row r="551" spans="1:12" x14ac:dyDescent="0.25">
      <c r="A551" s="1"/>
      <c r="C551" s="1"/>
      <c r="D551" s="1">
        <v>42030</v>
      </c>
      <c r="E551" s="10">
        <v>95104</v>
      </c>
      <c r="F551" s="1">
        <v>42030</v>
      </c>
      <c r="G551">
        <v>16662</v>
      </c>
      <c r="H551" s="1">
        <f t="shared" si="25"/>
        <v>42030</v>
      </c>
      <c r="I551">
        <f>IF(AND(MyRowHidden(ROW())=FALSE,MyRowHidden(ROW()-1)=TRUE),0,(E551-E550)*unitsOfDHp+I550)</f>
        <v>651040</v>
      </c>
      <c r="J551">
        <f>IF(AND(MyRowHidden(ROW())=FALSE,MyRowHidden(ROW()-1)=TRUE),0,(G551-G550)*unitsOfExo+J550)</f>
        <v>110920</v>
      </c>
      <c r="K551" s="9">
        <f t="shared" si="26"/>
        <v>-110920</v>
      </c>
      <c r="L551">
        <f t="shared" si="27"/>
        <v>761960</v>
      </c>
    </row>
    <row r="552" spans="1:12" x14ac:dyDescent="0.25">
      <c r="A552" s="1"/>
      <c r="C552" s="1"/>
      <c r="D552" s="1">
        <v>42031</v>
      </c>
      <c r="E552" s="10">
        <v>95304</v>
      </c>
      <c r="F552" s="1">
        <v>42031</v>
      </c>
      <c r="G552">
        <v>16312</v>
      </c>
      <c r="H552" s="1">
        <f t="shared" si="25"/>
        <v>42031</v>
      </c>
      <c r="I552">
        <f>IF(AND(MyRowHidden(ROW())=FALSE,MyRowHidden(ROW()-1)=TRUE),0,(E552-E551)*unitsOfDHp+I551)</f>
        <v>653040</v>
      </c>
      <c r="J552">
        <f>IF(AND(MyRowHidden(ROW())=FALSE,MyRowHidden(ROW()-1)=TRUE),0,(G552-G551)*unitsOfExo+J551)</f>
        <v>107420</v>
      </c>
      <c r="K552" s="9">
        <f t="shared" si="26"/>
        <v>-107420</v>
      </c>
      <c r="L552">
        <f t="shared" si="27"/>
        <v>760460</v>
      </c>
    </row>
    <row r="553" spans="1:12" x14ac:dyDescent="0.25">
      <c r="A553" s="1"/>
      <c r="C553" s="1"/>
      <c r="D553" s="1">
        <v>42032</v>
      </c>
      <c r="E553" s="10">
        <v>95044</v>
      </c>
      <c r="F553" s="1">
        <v>42032</v>
      </c>
      <c r="G553">
        <v>16902</v>
      </c>
      <c r="H553" s="1">
        <f t="shared" si="25"/>
        <v>42032</v>
      </c>
      <c r="I553">
        <f>IF(AND(MyRowHidden(ROW())=FALSE,MyRowHidden(ROW()-1)=TRUE),0,(E553-E552)*unitsOfDHp+I552)</f>
        <v>650440</v>
      </c>
      <c r="J553">
        <f>IF(AND(MyRowHidden(ROW())=FALSE,MyRowHidden(ROW()-1)=TRUE),0,(G553-G552)*unitsOfExo+J552)</f>
        <v>113320</v>
      </c>
      <c r="K553" s="9">
        <f t="shared" si="26"/>
        <v>-113320</v>
      </c>
      <c r="L553">
        <f t="shared" si="27"/>
        <v>763760</v>
      </c>
    </row>
    <row r="554" spans="1:12" x14ac:dyDescent="0.25">
      <c r="A554" s="1"/>
      <c r="C554" s="1"/>
      <c r="D554" s="1">
        <v>42033</v>
      </c>
      <c r="E554" s="10">
        <v>95464</v>
      </c>
      <c r="F554" s="1">
        <v>42033</v>
      </c>
      <c r="G554">
        <v>15592</v>
      </c>
      <c r="H554" s="1">
        <f t="shared" si="25"/>
        <v>42033</v>
      </c>
      <c r="I554">
        <f>IF(AND(MyRowHidden(ROW())=FALSE,MyRowHidden(ROW()-1)=TRUE),0,(E554-E553)*unitsOfDHp+I553)</f>
        <v>654640</v>
      </c>
      <c r="J554">
        <f>IF(AND(MyRowHidden(ROW())=FALSE,MyRowHidden(ROW()-1)=TRUE),0,(G554-G553)*unitsOfExo+J553)</f>
        <v>100220</v>
      </c>
      <c r="K554" s="9">
        <f t="shared" si="26"/>
        <v>-100220</v>
      </c>
      <c r="L554">
        <f t="shared" si="27"/>
        <v>754860</v>
      </c>
    </row>
    <row r="555" spans="1:12" x14ac:dyDescent="0.25">
      <c r="A555" s="1"/>
      <c r="C555" s="1"/>
      <c r="D555" s="1">
        <v>42034</v>
      </c>
      <c r="E555" s="10">
        <v>95524</v>
      </c>
      <c r="F555" s="1">
        <v>42034</v>
      </c>
      <c r="G555">
        <v>15332</v>
      </c>
      <c r="H555" s="1">
        <f t="shared" si="25"/>
        <v>42034</v>
      </c>
      <c r="I555">
        <f>IF(AND(MyRowHidden(ROW())=FALSE,MyRowHidden(ROW()-1)=TRUE),0,(E555-E554)*unitsOfDHp+I554)</f>
        <v>655240</v>
      </c>
      <c r="J555">
        <f>IF(AND(MyRowHidden(ROW())=FALSE,MyRowHidden(ROW()-1)=TRUE),0,(G555-G554)*unitsOfExo+J554)</f>
        <v>97620</v>
      </c>
      <c r="K555" s="9">
        <f t="shared" si="26"/>
        <v>-97620</v>
      </c>
      <c r="L555">
        <f t="shared" si="27"/>
        <v>752860</v>
      </c>
    </row>
    <row r="556" spans="1:12" x14ac:dyDescent="0.25">
      <c r="A556" s="1"/>
      <c r="C556" s="1"/>
      <c r="D556" s="1">
        <v>42037</v>
      </c>
      <c r="E556" s="10">
        <v>95544</v>
      </c>
      <c r="F556" s="1">
        <v>42037</v>
      </c>
      <c r="G556">
        <v>14780</v>
      </c>
      <c r="H556" s="1">
        <f t="shared" si="25"/>
        <v>42037</v>
      </c>
      <c r="I556">
        <f>IF(AND(MyRowHidden(ROW())=FALSE,MyRowHidden(ROW()-1)=TRUE),0,(E556-E555)*unitsOfDHp+I555)</f>
        <v>655440</v>
      </c>
      <c r="J556">
        <f>IF(AND(MyRowHidden(ROW())=FALSE,MyRowHidden(ROW()-1)=TRUE),0,(G556-G555)*unitsOfExo+J555)</f>
        <v>92100</v>
      </c>
      <c r="K556" s="9">
        <f t="shared" si="26"/>
        <v>-92100</v>
      </c>
      <c r="L556">
        <f t="shared" si="27"/>
        <v>747540</v>
      </c>
    </row>
    <row r="557" spans="1:12" x14ac:dyDescent="0.25">
      <c r="A557" s="1"/>
      <c r="C557" s="1"/>
      <c r="D557" s="1">
        <v>42038</v>
      </c>
      <c r="E557" s="10">
        <v>95564</v>
      </c>
      <c r="F557" s="1">
        <v>42038</v>
      </c>
      <c r="G557">
        <v>15000</v>
      </c>
      <c r="H557" s="1">
        <f t="shared" si="25"/>
        <v>42038</v>
      </c>
      <c r="I557">
        <f>IF(AND(MyRowHidden(ROW())=FALSE,MyRowHidden(ROW()-1)=TRUE),0,(E557-E556)*unitsOfDHp+I556)</f>
        <v>655640</v>
      </c>
      <c r="J557">
        <f>IF(AND(MyRowHidden(ROW())=FALSE,MyRowHidden(ROW()-1)=TRUE),0,(G557-G556)*unitsOfExo+J556)</f>
        <v>94300</v>
      </c>
      <c r="K557" s="9">
        <f t="shared" si="26"/>
        <v>-94300</v>
      </c>
      <c r="L557">
        <f t="shared" si="27"/>
        <v>749940</v>
      </c>
    </row>
    <row r="558" spans="1:12" x14ac:dyDescent="0.25">
      <c r="A558" s="1"/>
      <c r="C558" s="1"/>
      <c r="D558" s="1">
        <v>42039</v>
      </c>
      <c r="E558" s="10">
        <v>95564</v>
      </c>
      <c r="F558" s="1">
        <v>42039</v>
      </c>
      <c r="G558">
        <v>14220</v>
      </c>
      <c r="H558" s="1">
        <f t="shared" si="25"/>
        <v>42039</v>
      </c>
      <c r="I558">
        <f>IF(AND(MyRowHidden(ROW())=FALSE,MyRowHidden(ROW()-1)=TRUE),0,(E558-E557)*unitsOfDHp+I557)</f>
        <v>655640</v>
      </c>
      <c r="J558">
        <f>IF(AND(MyRowHidden(ROW())=FALSE,MyRowHidden(ROW()-1)=TRUE),0,(G558-G557)*unitsOfExo+J557)</f>
        <v>86500</v>
      </c>
      <c r="K558" s="9">
        <f t="shared" si="26"/>
        <v>-86500</v>
      </c>
      <c r="L558">
        <f t="shared" si="27"/>
        <v>742140</v>
      </c>
    </row>
    <row r="559" spans="1:12" x14ac:dyDescent="0.25">
      <c r="A559" s="1"/>
      <c r="C559" s="1"/>
      <c r="D559" s="1">
        <v>42040</v>
      </c>
      <c r="E559" s="10">
        <v>95564</v>
      </c>
      <c r="F559" s="1">
        <v>42040</v>
      </c>
      <c r="G559">
        <v>13570</v>
      </c>
      <c r="H559" s="1">
        <f t="shared" si="25"/>
        <v>42040</v>
      </c>
      <c r="I559">
        <f>IF(AND(MyRowHidden(ROW())=FALSE,MyRowHidden(ROW()-1)=TRUE),0,(E559-E558)*unitsOfDHp+I558)</f>
        <v>655640</v>
      </c>
      <c r="J559">
        <f>IF(AND(MyRowHidden(ROW())=FALSE,MyRowHidden(ROW()-1)=TRUE),0,(G559-G558)*unitsOfExo+J558)</f>
        <v>80000</v>
      </c>
      <c r="K559" s="9">
        <f t="shared" si="26"/>
        <v>-80000</v>
      </c>
      <c r="L559">
        <f t="shared" si="27"/>
        <v>735640</v>
      </c>
    </row>
    <row r="560" spans="1:12" x14ac:dyDescent="0.25">
      <c r="A560" s="1"/>
      <c r="C560" s="1"/>
      <c r="D560" s="1">
        <v>42041</v>
      </c>
      <c r="E560" s="10">
        <v>95564</v>
      </c>
      <c r="F560" s="1">
        <v>42041</v>
      </c>
      <c r="G560">
        <v>13790</v>
      </c>
      <c r="H560" s="1">
        <f t="shared" si="25"/>
        <v>42041</v>
      </c>
      <c r="I560">
        <f>IF(AND(MyRowHidden(ROW())=FALSE,MyRowHidden(ROW()-1)=TRUE),0,(E560-E559)*unitsOfDHp+I559)</f>
        <v>655640</v>
      </c>
      <c r="J560">
        <f>IF(AND(MyRowHidden(ROW())=FALSE,MyRowHidden(ROW()-1)=TRUE),0,(G560-G559)*unitsOfExo+J559)</f>
        <v>82200</v>
      </c>
      <c r="K560" s="9">
        <f t="shared" si="26"/>
        <v>-82200</v>
      </c>
      <c r="L560">
        <f t="shared" si="27"/>
        <v>737840</v>
      </c>
    </row>
    <row r="561" spans="1:12" x14ac:dyDescent="0.25">
      <c r="A561" s="1"/>
      <c r="C561" s="1"/>
      <c r="D561" s="1">
        <v>42044</v>
      </c>
      <c r="E561" s="10">
        <v>95584</v>
      </c>
      <c r="F561" s="1">
        <v>42044</v>
      </c>
      <c r="G561">
        <v>12860</v>
      </c>
      <c r="H561" s="1">
        <f t="shared" si="25"/>
        <v>42044</v>
      </c>
      <c r="I561">
        <f>IF(AND(MyRowHidden(ROW())=FALSE,MyRowHidden(ROW()-1)=TRUE),0,(E561-E560)*unitsOfDHp+I560)</f>
        <v>655840</v>
      </c>
      <c r="J561">
        <f>IF(AND(MyRowHidden(ROW())=FALSE,MyRowHidden(ROW()-1)=TRUE),0,(G561-G560)*unitsOfExo+J560)</f>
        <v>72900</v>
      </c>
      <c r="K561" s="9">
        <f t="shared" si="26"/>
        <v>-72900</v>
      </c>
      <c r="L561">
        <f t="shared" si="27"/>
        <v>728740</v>
      </c>
    </row>
    <row r="562" spans="1:12" x14ac:dyDescent="0.25">
      <c r="A562" s="1"/>
      <c r="C562" s="1"/>
      <c r="D562" s="1">
        <v>42045</v>
      </c>
      <c r="E562" s="10">
        <v>95584</v>
      </c>
      <c r="F562" s="1">
        <v>42045</v>
      </c>
      <c r="G562">
        <v>13020</v>
      </c>
      <c r="H562" s="1">
        <f t="shared" si="25"/>
        <v>42045</v>
      </c>
      <c r="I562">
        <f>IF(AND(MyRowHidden(ROW())=FALSE,MyRowHidden(ROW()-1)=TRUE),0,(E562-E561)*unitsOfDHp+I561)</f>
        <v>655840</v>
      </c>
      <c r="J562">
        <f>IF(AND(MyRowHidden(ROW())=FALSE,MyRowHidden(ROW()-1)=TRUE),0,(G562-G561)*unitsOfExo+J561)</f>
        <v>74500</v>
      </c>
      <c r="K562" s="9">
        <f t="shared" si="26"/>
        <v>-74500</v>
      </c>
      <c r="L562">
        <f t="shared" si="27"/>
        <v>730340</v>
      </c>
    </row>
    <row r="563" spans="1:12" x14ac:dyDescent="0.25">
      <c r="A563" s="1"/>
      <c r="C563" s="1"/>
      <c r="D563" s="1">
        <v>42046</v>
      </c>
      <c r="E563" s="10">
        <v>95584</v>
      </c>
      <c r="F563" s="1">
        <v>42046</v>
      </c>
      <c r="G563">
        <v>12720</v>
      </c>
      <c r="H563" s="1">
        <f t="shared" si="25"/>
        <v>42046</v>
      </c>
      <c r="I563">
        <f>IF(AND(MyRowHidden(ROW())=FALSE,MyRowHidden(ROW()-1)=TRUE),0,(E563-E562)*unitsOfDHp+I562)</f>
        <v>655840</v>
      </c>
      <c r="J563">
        <f>IF(AND(MyRowHidden(ROW())=FALSE,MyRowHidden(ROW()-1)=TRUE),0,(G563-G562)*unitsOfExo+J562)</f>
        <v>71500</v>
      </c>
      <c r="K563" s="9">
        <f t="shared" si="26"/>
        <v>-71500</v>
      </c>
      <c r="L563">
        <f t="shared" si="27"/>
        <v>727340</v>
      </c>
    </row>
    <row r="564" spans="1:12" x14ac:dyDescent="0.25">
      <c r="A564" s="1"/>
      <c r="C564" s="1"/>
      <c r="D564" s="1">
        <v>42047</v>
      </c>
      <c r="E564" s="10">
        <v>95584</v>
      </c>
      <c r="F564" s="1">
        <v>42047</v>
      </c>
      <c r="G564">
        <v>12910</v>
      </c>
      <c r="H564" s="1">
        <f t="shared" si="25"/>
        <v>42047</v>
      </c>
      <c r="I564">
        <f>IF(AND(MyRowHidden(ROW())=FALSE,MyRowHidden(ROW()-1)=TRUE),0,(E564-E563)*unitsOfDHp+I563)</f>
        <v>655840</v>
      </c>
      <c r="J564">
        <f>IF(AND(MyRowHidden(ROW())=FALSE,MyRowHidden(ROW()-1)=TRUE),0,(G564-G563)*unitsOfExo+J563)</f>
        <v>73400</v>
      </c>
      <c r="K564" s="9">
        <f t="shared" si="26"/>
        <v>-73400</v>
      </c>
      <c r="L564">
        <f t="shared" si="27"/>
        <v>729240</v>
      </c>
    </row>
    <row r="565" spans="1:12" x14ac:dyDescent="0.25">
      <c r="A565" s="1"/>
      <c r="C565" s="1"/>
      <c r="D565" s="1">
        <v>42048</v>
      </c>
      <c r="E565" s="10">
        <v>95536</v>
      </c>
      <c r="F565" s="1">
        <v>42048</v>
      </c>
      <c r="G565">
        <v>12970</v>
      </c>
      <c r="H565" s="1">
        <f t="shared" si="25"/>
        <v>42048</v>
      </c>
      <c r="I565">
        <f>IF(AND(MyRowHidden(ROW())=FALSE,MyRowHidden(ROW()-1)=TRUE),0,(E565-E564)*unitsOfDHp+I564)</f>
        <v>655360</v>
      </c>
      <c r="J565">
        <f>IF(AND(MyRowHidden(ROW())=FALSE,MyRowHidden(ROW()-1)=TRUE),0,(G565-G564)*unitsOfExo+J564)</f>
        <v>74000</v>
      </c>
      <c r="K565" s="9">
        <f t="shared" si="26"/>
        <v>-74000</v>
      </c>
      <c r="L565">
        <f t="shared" si="27"/>
        <v>729360</v>
      </c>
    </row>
    <row r="566" spans="1:12" x14ac:dyDescent="0.25">
      <c r="A566" s="1"/>
      <c r="C566" s="1"/>
      <c r="D566" s="1">
        <v>42051</v>
      </c>
      <c r="E566" s="10">
        <v>95504</v>
      </c>
      <c r="F566" s="1">
        <v>42051</v>
      </c>
      <c r="G566">
        <v>13020</v>
      </c>
      <c r="H566" s="1">
        <f t="shared" si="25"/>
        <v>42051</v>
      </c>
      <c r="I566">
        <f>IF(AND(MyRowHidden(ROW())=FALSE,MyRowHidden(ROW()-1)=TRUE),0,(E566-E565)*unitsOfDHp+I565)</f>
        <v>655040</v>
      </c>
      <c r="J566">
        <f>IF(AND(MyRowHidden(ROW())=FALSE,MyRowHidden(ROW()-1)=TRUE),0,(G566-G565)*unitsOfExo+J565)</f>
        <v>74500</v>
      </c>
      <c r="K566" s="9">
        <f t="shared" si="26"/>
        <v>-74500</v>
      </c>
      <c r="L566">
        <f t="shared" si="27"/>
        <v>729540</v>
      </c>
    </row>
    <row r="567" spans="1:12" x14ac:dyDescent="0.25">
      <c r="A567" s="1"/>
      <c r="C567" s="1"/>
      <c r="D567" s="1">
        <v>42052</v>
      </c>
      <c r="E567" s="10">
        <v>95760</v>
      </c>
      <c r="F567" s="1">
        <v>42052</v>
      </c>
      <c r="G567">
        <v>12230</v>
      </c>
      <c r="H567" s="1">
        <f t="shared" si="25"/>
        <v>42052</v>
      </c>
      <c r="I567">
        <f>IF(AND(MyRowHidden(ROW())=FALSE,MyRowHidden(ROW()-1)=TRUE),0,(E567-E566)*unitsOfDHp+I566)</f>
        <v>657600</v>
      </c>
      <c r="J567">
        <f>IF(AND(MyRowHidden(ROW())=FALSE,MyRowHidden(ROW()-1)=TRUE),0,(G567-G566)*unitsOfExo+J566)</f>
        <v>66600</v>
      </c>
      <c r="K567" s="9">
        <f t="shared" si="26"/>
        <v>-66600</v>
      </c>
      <c r="L567">
        <f t="shared" si="27"/>
        <v>724200</v>
      </c>
    </row>
    <row r="568" spans="1:12" x14ac:dyDescent="0.25">
      <c r="A568" s="1"/>
      <c r="C568" s="1"/>
      <c r="D568" s="1">
        <v>42053</v>
      </c>
      <c r="E568" s="10">
        <v>95790</v>
      </c>
      <c r="F568" s="1">
        <v>42053</v>
      </c>
      <c r="G568">
        <v>12190</v>
      </c>
      <c r="H568" s="1">
        <f t="shared" si="25"/>
        <v>42053</v>
      </c>
      <c r="I568">
        <f>IF(AND(MyRowHidden(ROW())=FALSE,MyRowHidden(ROW()-1)=TRUE),0,(E568-E567)*unitsOfDHp+I567)</f>
        <v>657900</v>
      </c>
      <c r="J568">
        <f>IF(AND(MyRowHidden(ROW())=FALSE,MyRowHidden(ROW()-1)=TRUE),0,(G568-G567)*unitsOfExo+J567)</f>
        <v>66200</v>
      </c>
      <c r="K568" s="9">
        <f t="shared" si="26"/>
        <v>-66200</v>
      </c>
      <c r="L568">
        <f t="shared" si="27"/>
        <v>724100</v>
      </c>
    </row>
    <row r="569" spans="1:12" x14ac:dyDescent="0.25">
      <c r="A569" s="1"/>
      <c r="C569" s="1"/>
      <c r="D569" s="1">
        <v>42054</v>
      </c>
      <c r="E569" s="10">
        <v>95430</v>
      </c>
      <c r="F569" s="1">
        <v>42054</v>
      </c>
      <c r="G569">
        <v>13300</v>
      </c>
      <c r="H569" s="1">
        <f t="shared" si="25"/>
        <v>42054</v>
      </c>
      <c r="I569">
        <f>IF(AND(MyRowHidden(ROW())=FALSE,MyRowHidden(ROW()-1)=TRUE),0,(E569-E568)*unitsOfDHp+I568)</f>
        <v>654300</v>
      </c>
      <c r="J569">
        <f>IF(AND(MyRowHidden(ROW())=FALSE,MyRowHidden(ROW()-1)=TRUE),0,(G569-G568)*unitsOfExo+J568)</f>
        <v>77300</v>
      </c>
      <c r="K569" s="9">
        <f t="shared" si="26"/>
        <v>-77300</v>
      </c>
      <c r="L569">
        <f t="shared" si="27"/>
        <v>731600</v>
      </c>
    </row>
    <row r="570" spans="1:12" x14ac:dyDescent="0.25">
      <c r="A570" s="1"/>
      <c r="C570" s="1"/>
      <c r="D570" s="1">
        <v>42055</v>
      </c>
      <c r="E570" s="10">
        <v>95488</v>
      </c>
      <c r="F570" s="1">
        <v>42055</v>
      </c>
      <c r="G570">
        <v>13620</v>
      </c>
      <c r="H570" s="1">
        <f t="shared" si="25"/>
        <v>42055</v>
      </c>
      <c r="I570">
        <f>IF(AND(MyRowHidden(ROW())=FALSE,MyRowHidden(ROW()-1)=TRUE),0,(E570-E569)*unitsOfDHp+I569)</f>
        <v>654880</v>
      </c>
      <c r="J570">
        <f>IF(AND(MyRowHidden(ROW())=FALSE,MyRowHidden(ROW()-1)=TRUE),0,(G570-G569)*unitsOfExo+J569)</f>
        <v>80500</v>
      </c>
      <c r="K570" s="9">
        <f t="shared" si="26"/>
        <v>-80500</v>
      </c>
      <c r="L570">
        <f t="shared" si="27"/>
        <v>735380</v>
      </c>
    </row>
    <row r="571" spans="1:12" x14ac:dyDescent="0.25">
      <c r="A571" s="1"/>
      <c r="C571" s="1"/>
      <c r="D571" s="1">
        <v>42058</v>
      </c>
      <c r="E571" s="10">
        <v>95974</v>
      </c>
      <c r="F571" s="1">
        <v>42058</v>
      </c>
      <c r="G571">
        <v>14030</v>
      </c>
      <c r="H571" s="1">
        <f t="shared" si="25"/>
        <v>42058</v>
      </c>
      <c r="I571">
        <f>IF(AND(MyRowHidden(ROW())=FALSE,MyRowHidden(ROW()-1)=TRUE),0,(E571-E570)*unitsOfDHp+I570)</f>
        <v>659740</v>
      </c>
      <c r="J571">
        <f>IF(AND(MyRowHidden(ROW())=FALSE,MyRowHidden(ROW()-1)=TRUE),0,(G571-G570)*unitsOfExo+J570)</f>
        <v>84600</v>
      </c>
      <c r="K571" s="9">
        <f t="shared" si="26"/>
        <v>-84600</v>
      </c>
      <c r="L571">
        <f t="shared" si="27"/>
        <v>744340</v>
      </c>
    </row>
    <row r="572" spans="1:12" x14ac:dyDescent="0.25">
      <c r="A572" s="1"/>
      <c r="C572" s="1"/>
      <c r="D572" s="1">
        <v>42059</v>
      </c>
      <c r="E572" s="10">
        <v>95874</v>
      </c>
      <c r="F572" s="1">
        <v>42059</v>
      </c>
      <c r="G572">
        <v>13930</v>
      </c>
      <c r="H572" s="1">
        <f t="shared" si="25"/>
        <v>42059</v>
      </c>
      <c r="I572">
        <f>IF(AND(MyRowHidden(ROW())=FALSE,MyRowHidden(ROW()-1)=TRUE),0,(E572-E571)*unitsOfDHp+I571)</f>
        <v>658740</v>
      </c>
      <c r="J572">
        <f>IF(AND(MyRowHidden(ROW())=FALSE,MyRowHidden(ROW()-1)=TRUE),0,(G572-G571)*unitsOfExo+J571)</f>
        <v>83600</v>
      </c>
      <c r="K572" s="9">
        <f t="shared" si="26"/>
        <v>-83600</v>
      </c>
      <c r="L572">
        <f t="shared" si="27"/>
        <v>742340</v>
      </c>
    </row>
    <row r="573" spans="1:12" x14ac:dyDescent="0.25">
      <c r="A573" s="1"/>
      <c r="C573" s="1"/>
      <c r="D573" s="1">
        <v>42060</v>
      </c>
      <c r="E573" s="10">
        <v>95854</v>
      </c>
      <c r="F573" s="1">
        <v>42060</v>
      </c>
      <c r="G573">
        <v>14240</v>
      </c>
      <c r="H573" s="1">
        <f t="shared" si="25"/>
        <v>42060</v>
      </c>
      <c r="I573">
        <f>IF(AND(MyRowHidden(ROW())=FALSE,MyRowHidden(ROW()-1)=TRUE),0,(E573-E572)*unitsOfDHp+I572)</f>
        <v>658540</v>
      </c>
      <c r="J573">
        <f>IF(AND(MyRowHidden(ROW())=FALSE,MyRowHidden(ROW()-1)=TRUE),0,(G573-G572)*unitsOfExo+J572)</f>
        <v>86700</v>
      </c>
      <c r="K573" s="9">
        <f t="shared" si="26"/>
        <v>-86700</v>
      </c>
      <c r="L573">
        <f t="shared" si="27"/>
        <v>745240</v>
      </c>
    </row>
    <row r="574" spans="1:12" x14ac:dyDescent="0.25">
      <c r="A574" s="1"/>
      <c r="C574" s="1"/>
      <c r="D574" s="1">
        <v>42061</v>
      </c>
      <c r="E574" s="10">
        <v>95300</v>
      </c>
      <c r="F574" s="1">
        <v>42061</v>
      </c>
      <c r="G574">
        <v>13530</v>
      </c>
      <c r="H574" s="1">
        <f t="shared" si="25"/>
        <v>42061</v>
      </c>
      <c r="I574">
        <f>IF(AND(MyRowHidden(ROW())=FALSE,MyRowHidden(ROW()-1)=TRUE),0,(E574-E573)*unitsOfDHp+I573)</f>
        <v>653000</v>
      </c>
      <c r="J574">
        <f>IF(AND(MyRowHidden(ROW())=FALSE,MyRowHidden(ROW()-1)=TRUE),0,(G574-G573)*unitsOfExo+J573)</f>
        <v>79600</v>
      </c>
      <c r="K574" s="9">
        <f t="shared" si="26"/>
        <v>-79600</v>
      </c>
      <c r="L574">
        <f t="shared" si="27"/>
        <v>732600</v>
      </c>
    </row>
    <row r="575" spans="1:12" x14ac:dyDescent="0.25">
      <c r="A575" s="1"/>
      <c r="C575" s="1"/>
      <c r="D575" s="1">
        <v>42062</v>
      </c>
      <c r="E575" s="10">
        <v>95420</v>
      </c>
      <c r="F575" s="1">
        <v>42062</v>
      </c>
      <c r="G575">
        <v>13760</v>
      </c>
      <c r="H575" s="1">
        <f t="shared" si="25"/>
        <v>42062</v>
      </c>
      <c r="I575">
        <f>IF(AND(MyRowHidden(ROW())=FALSE,MyRowHidden(ROW()-1)=TRUE),0,(E575-E574)*unitsOfDHp+I574)</f>
        <v>654200</v>
      </c>
      <c r="J575">
        <f>IF(AND(MyRowHidden(ROW())=FALSE,MyRowHidden(ROW()-1)=TRUE),0,(G575-G574)*unitsOfExo+J574)</f>
        <v>81900</v>
      </c>
      <c r="K575" s="9">
        <f t="shared" si="26"/>
        <v>-81900</v>
      </c>
      <c r="L575">
        <f t="shared" si="27"/>
        <v>736100</v>
      </c>
    </row>
    <row r="576" spans="1:12" x14ac:dyDescent="0.25">
      <c r="A576" s="1"/>
      <c r="C576" s="1"/>
      <c r="D576" s="1">
        <v>42065</v>
      </c>
      <c r="E576" s="10">
        <v>94848</v>
      </c>
      <c r="F576" s="1">
        <v>42065</v>
      </c>
      <c r="G576">
        <v>13520</v>
      </c>
      <c r="H576" s="1">
        <f t="shared" si="25"/>
        <v>42065</v>
      </c>
      <c r="I576">
        <f>IF(AND(MyRowHidden(ROW())=FALSE,MyRowHidden(ROW()-1)=TRUE),0,(E576-E575)*unitsOfDHp+I575)</f>
        <v>648480</v>
      </c>
      <c r="J576">
        <f>IF(AND(MyRowHidden(ROW())=FALSE,MyRowHidden(ROW()-1)=TRUE),0,(G576-G575)*unitsOfExo+J575)</f>
        <v>79500</v>
      </c>
      <c r="K576" s="9">
        <f t="shared" si="26"/>
        <v>-79500</v>
      </c>
      <c r="L576">
        <f t="shared" si="27"/>
        <v>727980</v>
      </c>
    </row>
    <row r="577" spans="1:12" x14ac:dyDescent="0.25">
      <c r="A577" s="1"/>
      <c r="C577" s="1"/>
      <c r="D577" s="1">
        <v>42066</v>
      </c>
      <c r="E577" s="10">
        <v>94372</v>
      </c>
      <c r="F577" s="1">
        <v>42066</v>
      </c>
      <c r="G577">
        <v>12920</v>
      </c>
      <c r="H577" s="1">
        <f t="shared" si="25"/>
        <v>42066</v>
      </c>
      <c r="I577">
        <f>IF(AND(MyRowHidden(ROW())=FALSE,MyRowHidden(ROW()-1)=TRUE),0,(E577-E576)*unitsOfDHp+I576)</f>
        <v>643720</v>
      </c>
      <c r="J577">
        <f>IF(AND(MyRowHidden(ROW())=FALSE,MyRowHidden(ROW()-1)=TRUE),0,(G577-G576)*unitsOfExo+J576)</f>
        <v>73500</v>
      </c>
      <c r="K577" s="9">
        <f t="shared" si="26"/>
        <v>-73500</v>
      </c>
      <c r="L577">
        <f t="shared" si="27"/>
        <v>717220</v>
      </c>
    </row>
    <row r="578" spans="1:12" x14ac:dyDescent="0.25">
      <c r="A578" s="1"/>
      <c r="C578" s="1"/>
      <c r="D578" s="1">
        <v>42067</v>
      </c>
      <c r="E578" s="10">
        <v>95020</v>
      </c>
      <c r="F578" s="1">
        <v>42067</v>
      </c>
      <c r="G578">
        <v>13850</v>
      </c>
      <c r="H578" s="1">
        <f t="shared" si="25"/>
        <v>42067</v>
      </c>
      <c r="I578">
        <f>IF(AND(MyRowHidden(ROW())=FALSE,MyRowHidden(ROW()-1)=TRUE),0,(E578-E577)*unitsOfDHp+I577)</f>
        <v>650200</v>
      </c>
      <c r="J578">
        <f>IF(AND(MyRowHidden(ROW())=FALSE,MyRowHidden(ROW()-1)=TRUE),0,(G578-G577)*unitsOfExo+J577)</f>
        <v>82800</v>
      </c>
      <c r="K578" s="9">
        <f t="shared" si="26"/>
        <v>-82800</v>
      </c>
      <c r="L578">
        <f t="shared" si="27"/>
        <v>733000</v>
      </c>
    </row>
    <row r="579" spans="1:12" x14ac:dyDescent="0.25">
      <c r="A579" s="1"/>
      <c r="C579" s="1"/>
      <c r="D579" s="1">
        <v>42068</v>
      </c>
      <c r="E579" s="10">
        <v>95020</v>
      </c>
      <c r="F579" s="1">
        <v>42068</v>
      </c>
      <c r="G579">
        <v>13370</v>
      </c>
      <c r="H579" s="1">
        <f t="shared" si="25"/>
        <v>42068</v>
      </c>
      <c r="I579">
        <f>IF(AND(MyRowHidden(ROW())=FALSE,MyRowHidden(ROW()-1)=TRUE),0,(E579-E578)*unitsOfDHp+I578)</f>
        <v>650200</v>
      </c>
      <c r="J579">
        <f>IF(AND(MyRowHidden(ROW())=FALSE,MyRowHidden(ROW()-1)=TRUE),0,(G579-G578)*unitsOfExo+J578)</f>
        <v>78000</v>
      </c>
      <c r="K579" s="9">
        <f t="shared" si="26"/>
        <v>-78000</v>
      </c>
      <c r="L579">
        <f t="shared" si="27"/>
        <v>728200</v>
      </c>
    </row>
    <row r="580" spans="1:12" x14ac:dyDescent="0.25">
      <c r="A580" s="1"/>
      <c r="C580" s="1"/>
      <c r="D580" s="1">
        <v>42069</v>
      </c>
      <c r="E580" s="10">
        <v>95020</v>
      </c>
      <c r="F580" s="1">
        <v>42069</v>
      </c>
      <c r="G580">
        <v>13020</v>
      </c>
      <c r="H580" s="1">
        <f t="shared" si="25"/>
        <v>42069</v>
      </c>
      <c r="I580">
        <f>IF(AND(MyRowHidden(ROW())=FALSE,MyRowHidden(ROW()-1)=TRUE),0,(E580-E579)*unitsOfDHp+I579)</f>
        <v>650200</v>
      </c>
      <c r="J580">
        <f>IF(AND(MyRowHidden(ROW())=FALSE,MyRowHidden(ROW()-1)=TRUE),0,(G580-G579)*unitsOfExo+J579)</f>
        <v>74500</v>
      </c>
      <c r="K580" s="9">
        <f t="shared" si="26"/>
        <v>-74500</v>
      </c>
      <c r="L580">
        <f t="shared" si="27"/>
        <v>724700</v>
      </c>
    </row>
    <row r="581" spans="1:12" x14ac:dyDescent="0.25">
      <c r="A581" s="1"/>
      <c r="C581" s="1"/>
      <c r="D581" s="1">
        <v>42072</v>
      </c>
      <c r="E581" s="10">
        <v>95020</v>
      </c>
      <c r="F581" s="1">
        <v>42072</v>
      </c>
      <c r="G581">
        <v>13000</v>
      </c>
      <c r="H581" s="1">
        <f t="shared" si="25"/>
        <v>42072</v>
      </c>
      <c r="I581">
        <f>IF(AND(MyRowHidden(ROW())=FALSE,MyRowHidden(ROW()-1)=TRUE),0,(E581-E580)*unitsOfDHp+I580)</f>
        <v>650200</v>
      </c>
      <c r="J581">
        <f>IF(AND(MyRowHidden(ROW())=FALSE,MyRowHidden(ROW()-1)=TRUE),0,(G581-G580)*unitsOfExo+J580)</f>
        <v>74300</v>
      </c>
      <c r="K581" s="9">
        <f t="shared" si="26"/>
        <v>-74300</v>
      </c>
      <c r="L581">
        <f t="shared" si="27"/>
        <v>724500</v>
      </c>
    </row>
    <row r="582" spans="1:12" x14ac:dyDescent="0.25">
      <c r="A582" s="1"/>
      <c r="C582" s="1"/>
      <c r="D582" s="1">
        <v>42073</v>
      </c>
      <c r="E582" s="10">
        <v>95138</v>
      </c>
      <c r="F582" s="1">
        <v>42073</v>
      </c>
      <c r="G582">
        <v>12870</v>
      </c>
      <c r="H582" s="1">
        <f t="shared" si="25"/>
        <v>42073</v>
      </c>
      <c r="I582">
        <f>IF(AND(MyRowHidden(ROW())=FALSE,MyRowHidden(ROW()-1)=TRUE),0,(E582-E581)*unitsOfDHp+I581)</f>
        <v>651380</v>
      </c>
      <c r="J582">
        <f>IF(AND(MyRowHidden(ROW())=FALSE,MyRowHidden(ROW()-1)=TRUE),0,(G582-G581)*unitsOfExo+J581)</f>
        <v>73000</v>
      </c>
      <c r="K582" s="9">
        <f t="shared" si="26"/>
        <v>-73000</v>
      </c>
      <c r="L582">
        <f t="shared" si="27"/>
        <v>724380</v>
      </c>
    </row>
    <row r="583" spans="1:12" x14ac:dyDescent="0.25">
      <c r="A583" s="1"/>
      <c r="C583" s="1"/>
      <c r="D583" s="1">
        <v>42074</v>
      </c>
      <c r="E583" s="10">
        <v>95400</v>
      </c>
      <c r="F583" s="1">
        <v>42074</v>
      </c>
      <c r="G583">
        <v>12250</v>
      </c>
      <c r="H583" s="1">
        <f t="shared" si="25"/>
        <v>42074</v>
      </c>
      <c r="I583">
        <f>IF(AND(MyRowHidden(ROW())=FALSE,MyRowHidden(ROW()-1)=TRUE),0,(E583-E582)*unitsOfDHp+I582)</f>
        <v>654000</v>
      </c>
      <c r="J583">
        <f>IF(AND(MyRowHidden(ROW())=FALSE,MyRowHidden(ROW()-1)=TRUE),0,(G583-G582)*unitsOfExo+J582)</f>
        <v>66800</v>
      </c>
      <c r="K583" s="9">
        <f t="shared" si="26"/>
        <v>-66800</v>
      </c>
      <c r="L583">
        <f t="shared" si="27"/>
        <v>720800</v>
      </c>
    </row>
    <row r="584" spans="1:12" x14ac:dyDescent="0.25">
      <c r="A584" s="1"/>
      <c r="C584" s="1"/>
      <c r="D584" s="1">
        <v>42075</v>
      </c>
      <c r="E584" s="10">
        <v>97406</v>
      </c>
      <c r="F584" s="1">
        <v>42075</v>
      </c>
      <c r="G584">
        <v>11410</v>
      </c>
      <c r="H584" s="1">
        <f t="shared" si="25"/>
        <v>42075</v>
      </c>
      <c r="I584">
        <f>IF(AND(MyRowHidden(ROW())=FALSE,MyRowHidden(ROW()-1)=TRUE),0,(E584-E583)*unitsOfDHp+I583)</f>
        <v>674060</v>
      </c>
      <c r="J584">
        <f>IF(AND(MyRowHidden(ROW())=FALSE,MyRowHidden(ROW()-1)=TRUE),0,(G584-G583)*unitsOfExo+J583)</f>
        <v>58400</v>
      </c>
      <c r="K584" s="9">
        <f t="shared" si="26"/>
        <v>-58400</v>
      </c>
      <c r="L584">
        <f t="shared" si="27"/>
        <v>732460</v>
      </c>
    </row>
    <row r="585" spans="1:12" x14ac:dyDescent="0.25">
      <c r="A585" s="1"/>
      <c r="C585" s="1"/>
      <c r="D585" s="1">
        <v>42076</v>
      </c>
      <c r="E585" s="10">
        <v>97164</v>
      </c>
      <c r="F585" s="1">
        <v>42076</v>
      </c>
      <c r="G585">
        <v>11430</v>
      </c>
      <c r="H585" s="1">
        <f t="shared" si="25"/>
        <v>42076</v>
      </c>
      <c r="I585">
        <f>IF(AND(MyRowHidden(ROW())=FALSE,MyRowHidden(ROW()-1)=TRUE),0,(E585-E584)*unitsOfDHp+I584)</f>
        <v>671640</v>
      </c>
      <c r="J585">
        <f>IF(AND(MyRowHidden(ROW())=FALSE,MyRowHidden(ROW()-1)=TRUE),0,(G585-G584)*unitsOfExo+J584)</f>
        <v>58600</v>
      </c>
      <c r="K585" s="9">
        <f t="shared" si="26"/>
        <v>-58600</v>
      </c>
      <c r="L585">
        <f t="shared" si="27"/>
        <v>730240</v>
      </c>
    </row>
    <row r="586" spans="1:12" x14ac:dyDescent="0.25">
      <c r="A586" s="1"/>
      <c r="C586" s="1"/>
      <c r="D586" s="1">
        <v>42079</v>
      </c>
      <c r="E586" s="10">
        <v>97510</v>
      </c>
      <c r="F586" s="1">
        <v>42079</v>
      </c>
      <c r="G586">
        <v>11320</v>
      </c>
      <c r="H586" s="1">
        <f t="shared" si="25"/>
        <v>42079</v>
      </c>
      <c r="I586">
        <f>IF(AND(MyRowHidden(ROW())=FALSE,MyRowHidden(ROW()-1)=TRUE),0,(E586-E585)*unitsOfDHp+I585)</f>
        <v>675100</v>
      </c>
      <c r="J586">
        <f>IF(AND(MyRowHidden(ROW())=FALSE,MyRowHidden(ROW()-1)=TRUE),0,(G586-G585)*unitsOfExo+J585)</f>
        <v>57500</v>
      </c>
      <c r="K586" s="9">
        <f t="shared" si="26"/>
        <v>-57500</v>
      </c>
      <c r="L586">
        <f t="shared" si="27"/>
        <v>732600</v>
      </c>
    </row>
    <row r="587" spans="1:12" x14ac:dyDescent="0.25">
      <c r="A587" s="1"/>
      <c r="C587" s="1"/>
      <c r="D587" s="1">
        <v>42080</v>
      </c>
      <c r="E587" s="10">
        <v>97120</v>
      </c>
      <c r="F587" s="1">
        <v>42080</v>
      </c>
      <c r="G587">
        <v>11380</v>
      </c>
      <c r="H587" s="1">
        <f t="shared" si="25"/>
        <v>42080</v>
      </c>
      <c r="I587">
        <f>IF(AND(MyRowHidden(ROW())=FALSE,MyRowHidden(ROW()-1)=TRUE),0,(E587-E586)*unitsOfDHp+I586)</f>
        <v>671200</v>
      </c>
      <c r="J587">
        <f>IF(AND(MyRowHidden(ROW())=FALSE,MyRowHidden(ROW()-1)=TRUE),0,(G587-G586)*unitsOfExo+J586)</f>
        <v>58100</v>
      </c>
      <c r="K587" s="9">
        <f t="shared" si="26"/>
        <v>-58100</v>
      </c>
      <c r="L587">
        <f t="shared" si="27"/>
        <v>729300</v>
      </c>
    </row>
    <row r="588" spans="1:12" x14ac:dyDescent="0.25">
      <c r="A588" s="1"/>
      <c r="C588" s="1"/>
      <c r="D588" s="1">
        <v>42081</v>
      </c>
      <c r="E588" s="10">
        <v>98990</v>
      </c>
      <c r="F588" s="1">
        <v>42081</v>
      </c>
      <c r="G588">
        <v>10800</v>
      </c>
      <c r="H588" s="1">
        <f t="shared" si="25"/>
        <v>42081</v>
      </c>
      <c r="I588">
        <f>IF(AND(MyRowHidden(ROW())=FALSE,MyRowHidden(ROW()-1)=TRUE),0,(E588-E587)*unitsOfDHp+I587)</f>
        <v>689900</v>
      </c>
      <c r="J588">
        <f>IF(AND(MyRowHidden(ROW())=FALSE,MyRowHidden(ROW()-1)=TRUE),0,(G588-G587)*unitsOfExo+J587)</f>
        <v>52300</v>
      </c>
      <c r="K588" s="9">
        <f t="shared" si="26"/>
        <v>-52300</v>
      </c>
      <c r="L588">
        <f t="shared" si="27"/>
        <v>742200</v>
      </c>
    </row>
    <row r="589" spans="1:12" x14ac:dyDescent="0.25">
      <c r="A589" s="1"/>
      <c r="C589" s="1"/>
      <c r="D589" s="1">
        <v>42082</v>
      </c>
      <c r="E589" s="10">
        <v>99200</v>
      </c>
      <c r="F589" s="1">
        <v>42082</v>
      </c>
      <c r="G589">
        <v>9780</v>
      </c>
      <c r="H589" s="1">
        <f t="shared" ref="H589:H652" si="28">D589</f>
        <v>42082</v>
      </c>
      <c r="I589">
        <f>IF(AND(MyRowHidden(ROW())=FALSE,MyRowHidden(ROW()-1)=TRUE),0,(E589-E588)*unitsOfDHp+I588)</f>
        <v>692000</v>
      </c>
      <c r="J589">
        <f>IF(AND(MyRowHidden(ROW())=FALSE,MyRowHidden(ROW()-1)=TRUE),0,(G589-G588)*unitsOfExo+J588)</f>
        <v>42100</v>
      </c>
      <c r="K589" s="9">
        <f t="shared" ref="K589:K652" si="29">-(J589-J588)+K588</f>
        <v>-42100</v>
      </c>
      <c r="L589">
        <f t="shared" ref="L589:L652" si="30">I589+J589</f>
        <v>734100</v>
      </c>
    </row>
    <row r="590" spans="1:12" x14ac:dyDescent="0.25">
      <c r="A590" s="1"/>
      <c r="C590" s="1"/>
      <c r="D590" s="1">
        <v>42083</v>
      </c>
      <c r="E590" s="10">
        <v>98900</v>
      </c>
      <c r="F590" s="1">
        <v>42083</v>
      </c>
      <c r="G590">
        <v>9900</v>
      </c>
      <c r="H590" s="1">
        <f t="shared" si="28"/>
        <v>42083</v>
      </c>
      <c r="I590">
        <f>IF(AND(MyRowHidden(ROW())=FALSE,MyRowHidden(ROW()-1)=TRUE),0,(E590-E589)*unitsOfDHp+I589)</f>
        <v>689000</v>
      </c>
      <c r="J590">
        <f>IF(AND(MyRowHidden(ROW())=FALSE,MyRowHidden(ROW()-1)=TRUE),0,(G590-G589)*unitsOfExo+J589)</f>
        <v>43300</v>
      </c>
      <c r="K590" s="9">
        <f t="shared" si="29"/>
        <v>-43300</v>
      </c>
      <c r="L590">
        <f t="shared" si="30"/>
        <v>732300</v>
      </c>
    </row>
    <row r="591" spans="1:12" x14ac:dyDescent="0.25">
      <c r="A591" s="1"/>
      <c r="C591" s="1"/>
      <c r="D591" s="1">
        <v>42086</v>
      </c>
      <c r="E591" s="10">
        <v>98020</v>
      </c>
      <c r="F591" s="1">
        <v>42086</v>
      </c>
      <c r="G591">
        <v>10340</v>
      </c>
      <c r="H591" s="1">
        <f t="shared" si="28"/>
        <v>42086</v>
      </c>
      <c r="I591">
        <f>IF(AND(MyRowHidden(ROW())=FALSE,MyRowHidden(ROW()-1)=TRUE),0,(E591-E590)*unitsOfDHp+I590)</f>
        <v>680200</v>
      </c>
      <c r="J591">
        <f>IF(AND(MyRowHidden(ROW())=FALSE,MyRowHidden(ROW()-1)=TRUE),0,(G591-G590)*unitsOfExo+J590)</f>
        <v>47700</v>
      </c>
      <c r="K591" s="9">
        <f t="shared" si="29"/>
        <v>-47700</v>
      </c>
      <c r="L591">
        <f t="shared" si="30"/>
        <v>727900</v>
      </c>
    </row>
    <row r="592" spans="1:12" x14ac:dyDescent="0.25">
      <c r="A592" s="1"/>
      <c r="C592" s="1"/>
      <c r="D592" s="1">
        <v>42087</v>
      </c>
      <c r="E592" s="10">
        <v>98720</v>
      </c>
      <c r="F592" s="1">
        <v>42087</v>
      </c>
      <c r="G592">
        <v>10080</v>
      </c>
      <c r="H592" s="1">
        <f t="shared" si="28"/>
        <v>42087</v>
      </c>
      <c r="I592">
        <f>IF(AND(MyRowHidden(ROW())=FALSE,MyRowHidden(ROW()-1)=TRUE),0,(E592-E591)*unitsOfDHp+I591)</f>
        <v>687200</v>
      </c>
      <c r="J592">
        <f>IF(AND(MyRowHidden(ROW())=FALSE,MyRowHidden(ROW()-1)=TRUE),0,(G592-G591)*unitsOfExo+J591)</f>
        <v>45100</v>
      </c>
      <c r="K592" s="9">
        <f t="shared" si="29"/>
        <v>-45100</v>
      </c>
      <c r="L592">
        <f t="shared" si="30"/>
        <v>732300</v>
      </c>
    </row>
    <row r="593" spans="1:12" x14ac:dyDescent="0.25">
      <c r="A593" s="1"/>
      <c r="C593" s="1"/>
      <c r="D593" s="1">
        <v>42088</v>
      </c>
      <c r="E593" s="10">
        <v>97360</v>
      </c>
      <c r="F593" s="1">
        <v>42088</v>
      </c>
      <c r="G593">
        <v>10390</v>
      </c>
      <c r="H593" s="1">
        <f t="shared" si="28"/>
        <v>42088</v>
      </c>
      <c r="I593">
        <f>IF(AND(MyRowHidden(ROW())=FALSE,MyRowHidden(ROW()-1)=TRUE),0,(E593-E592)*unitsOfDHp+I592)</f>
        <v>673600</v>
      </c>
      <c r="J593">
        <f>IF(AND(MyRowHidden(ROW())=FALSE,MyRowHidden(ROW()-1)=TRUE),0,(G593-G592)*unitsOfExo+J592)</f>
        <v>48200</v>
      </c>
      <c r="K593" s="9">
        <f t="shared" si="29"/>
        <v>-48200</v>
      </c>
      <c r="L593">
        <f t="shared" si="30"/>
        <v>721800</v>
      </c>
    </row>
    <row r="594" spans="1:12" x14ac:dyDescent="0.25">
      <c r="A594" s="1"/>
      <c r="C594" s="1"/>
      <c r="D594" s="1">
        <v>42089</v>
      </c>
      <c r="E594" s="10">
        <v>96228</v>
      </c>
      <c r="F594" s="1">
        <v>42089</v>
      </c>
      <c r="G594">
        <v>11000</v>
      </c>
      <c r="H594" s="1">
        <f t="shared" si="28"/>
        <v>42089</v>
      </c>
      <c r="I594">
        <f>IF(AND(MyRowHidden(ROW())=FALSE,MyRowHidden(ROW()-1)=TRUE),0,(E594-E593)*unitsOfDHp+I593)</f>
        <v>662280</v>
      </c>
      <c r="J594">
        <f>IF(AND(MyRowHidden(ROW())=FALSE,MyRowHidden(ROW()-1)=TRUE),0,(G594-G593)*unitsOfExo+J593)</f>
        <v>54300</v>
      </c>
      <c r="K594" s="9">
        <f t="shared" si="29"/>
        <v>-54300</v>
      </c>
      <c r="L594">
        <f t="shared" si="30"/>
        <v>716580</v>
      </c>
    </row>
    <row r="595" spans="1:12" x14ac:dyDescent="0.25">
      <c r="A595" s="1"/>
      <c r="C595" s="1"/>
      <c r="D595" s="1">
        <v>42090</v>
      </c>
      <c r="E595" s="10">
        <v>96248</v>
      </c>
      <c r="F595" s="1">
        <v>42090</v>
      </c>
      <c r="G595">
        <v>10990</v>
      </c>
      <c r="H595" s="1">
        <f t="shared" si="28"/>
        <v>42090</v>
      </c>
      <c r="I595">
        <f>IF(AND(MyRowHidden(ROW())=FALSE,MyRowHidden(ROW()-1)=TRUE),0,(E595-E594)*unitsOfDHp+I594)</f>
        <v>662480</v>
      </c>
      <c r="J595">
        <f>IF(AND(MyRowHidden(ROW())=FALSE,MyRowHidden(ROW()-1)=TRUE),0,(G595-G594)*unitsOfExo+J594)</f>
        <v>54200</v>
      </c>
      <c r="K595" s="9">
        <f t="shared" si="29"/>
        <v>-54200</v>
      </c>
      <c r="L595">
        <f t="shared" si="30"/>
        <v>716680</v>
      </c>
    </row>
    <row r="596" spans="1:12" x14ac:dyDescent="0.25">
      <c r="A596" s="1"/>
      <c r="C596" s="1"/>
      <c r="D596" s="1">
        <v>42093</v>
      </c>
      <c r="E596" s="10">
        <v>95904</v>
      </c>
      <c r="F596" s="1">
        <v>42093</v>
      </c>
      <c r="G596">
        <v>11170</v>
      </c>
      <c r="H596" s="1">
        <f t="shared" si="28"/>
        <v>42093</v>
      </c>
      <c r="I596">
        <f>IF(AND(MyRowHidden(ROW())=FALSE,MyRowHidden(ROW()-1)=TRUE),0,(E596-E595)*unitsOfDHp+I595)</f>
        <v>659040</v>
      </c>
      <c r="J596">
        <f>IF(AND(MyRowHidden(ROW())=FALSE,MyRowHidden(ROW()-1)=TRUE),0,(G596-G595)*unitsOfExo+J595)</f>
        <v>56000</v>
      </c>
      <c r="K596" s="9">
        <f t="shared" si="29"/>
        <v>-56000</v>
      </c>
      <c r="L596">
        <f t="shared" si="30"/>
        <v>715040</v>
      </c>
    </row>
    <row r="597" spans="1:12" x14ac:dyDescent="0.25">
      <c r="A597" s="1"/>
      <c r="C597" s="1"/>
      <c r="D597" s="1">
        <v>42094</v>
      </c>
      <c r="E597" s="10">
        <v>95668</v>
      </c>
      <c r="F597" s="1">
        <v>42094</v>
      </c>
      <c r="G597">
        <v>11370</v>
      </c>
      <c r="H597" s="1">
        <f t="shared" si="28"/>
        <v>42094</v>
      </c>
      <c r="I597">
        <f>IF(AND(MyRowHidden(ROW())=FALSE,MyRowHidden(ROW()-1)=TRUE),0,(E597-E596)*unitsOfDHp+I596)</f>
        <v>656680</v>
      </c>
      <c r="J597">
        <f>IF(AND(MyRowHidden(ROW())=FALSE,MyRowHidden(ROW()-1)=TRUE),0,(G597-G596)*unitsOfExo+J596)</f>
        <v>58000</v>
      </c>
      <c r="K597" s="9">
        <f t="shared" si="29"/>
        <v>-58000</v>
      </c>
      <c r="L597">
        <f t="shared" si="30"/>
        <v>714680</v>
      </c>
    </row>
    <row r="598" spans="1:12" x14ac:dyDescent="0.25">
      <c r="A598" s="1"/>
      <c r="C598" s="1"/>
      <c r="D598" s="1">
        <v>42095</v>
      </c>
      <c r="E598" s="10">
        <v>95368</v>
      </c>
      <c r="F598" s="1">
        <v>42095</v>
      </c>
      <c r="G598">
        <v>11638</v>
      </c>
      <c r="H598" s="1">
        <f t="shared" si="28"/>
        <v>42095</v>
      </c>
      <c r="I598">
        <f>IF(AND(MyRowHidden(ROW())=FALSE,MyRowHidden(ROW()-1)=TRUE),0,(E598-E597)*unitsOfDHp+I597)</f>
        <v>653680</v>
      </c>
      <c r="J598">
        <f>IF(AND(MyRowHidden(ROW())=FALSE,MyRowHidden(ROW()-1)=TRUE),0,(G598-G597)*unitsOfExo+J597)</f>
        <v>60680</v>
      </c>
      <c r="K598" s="9">
        <f t="shared" si="29"/>
        <v>-60680</v>
      </c>
      <c r="L598">
        <f t="shared" si="30"/>
        <v>714360</v>
      </c>
    </row>
    <row r="599" spans="1:12" x14ac:dyDescent="0.25">
      <c r="A599" s="1"/>
      <c r="C599" s="1"/>
      <c r="D599" s="1">
        <v>42096</v>
      </c>
      <c r="E599" s="10">
        <v>95208</v>
      </c>
      <c r="F599" s="1">
        <v>42096</v>
      </c>
      <c r="G599">
        <v>11768</v>
      </c>
      <c r="H599" s="1">
        <f t="shared" si="28"/>
        <v>42096</v>
      </c>
      <c r="I599">
        <f>IF(AND(MyRowHidden(ROW())=FALSE,MyRowHidden(ROW()-1)=TRUE),0,(E599-E598)*unitsOfDHp+I598)</f>
        <v>652080</v>
      </c>
      <c r="J599">
        <f>IF(AND(MyRowHidden(ROW())=FALSE,MyRowHidden(ROW()-1)=TRUE),0,(G599-G598)*unitsOfExo+J598)</f>
        <v>61980</v>
      </c>
      <c r="K599" s="9">
        <f t="shared" si="29"/>
        <v>-61980</v>
      </c>
      <c r="L599">
        <f t="shared" si="30"/>
        <v>714060</v>
      </c>
    </row>
    <row r="600" spans="1:12" x14ac:dyDescent="0.25">
      <c r="A600" s="1"/>
      <c r="C600" s="1"/>
      <c r="D600" s="1">
        <v>42097</v>
      </c>
      <c r="E600" s="10">
        <v>95106</v>
      </c>
      <c r="F600" s="1">
        <v>42097</v>
      </c>
      <c r="G600">
        <v>11878</v>
      </c>
      <c r="H600" s="1">
        <f t="shared" si="28"/>
        <v>42097</v>
      </c>
      <c r="I600">
        <f>IF(AND(MyRowHidden(ROW())=FALSE,MyRowHidden(ROW()-1)=TRUE),0,(E600-E599)*unitsOfDHp+I599)</f>
        <v>651060</v>
      </c>
      <c r="J600">
        <f>IF(AND(MyRowHidden(ROW())=FALSE,MyRowHidden(ROW()-1)=TRUE),0,(G600-G599)*unitsOfExo+J599)</f>
        <v>63080</v>
      </c>
      <c r="K600" s="9">
        <f t="shared" si="29"/>
        <v>-63080</v>
      </c>
      <c r="L600">
        <f t="shared" si="30"/>
        <v>714140</v>
      </c>
    </row>
    <row r="601" spans="1:12" x14ac:dyDescent="0.25">
      <c r="A601" s="1"/>
      <c r="C601" s="1"/>
      <c r="D601" s="1">
        <v>42100</v>
      </c>
      <c r="E601" s="10">
        <v>95106</v>
      </c>
      <c r="F601" s="1">
        <v>42100</v>
      </c>
      <c r="G601">
        <v>11888</v>
      </c>
      <c r="H601" s="1">
        <f t="shared" si="28"/>
        <v>42100</v>
      </c>
      <c r="I601">
        <f>IF(AND(MyRowHidden(ROW())=FALSE,MyRowHidden(ROW()-1)=TRUE),0,(E601-E600)*unitsOfDHp+I600)</f>
        <v>651060</v>
      </c>
      <c r="J601">
        <f>IF(AND(MyRowHidden(ROW())=FALSE,MyRowHidden(ROW()-1)=TRUE),0,(G601-G600)*unitsOfExo+J600)</f>
        <v>63180</v>
      </c>
      <c r="K601" s="9">
        <f t="shared" si="29"/>
        <v>-63180</v>
      </c>
      <c r="L601">
        <f t="shared" si="30"/>
        <v>714240</v>
      </c>
    </row>
    <row r="602" spans="1:12" x14ac:dyDescent="0.25">
      <c r="A602" s="1"/>
      <c r="C602" s="1"/>
      <c r="D602" s="1">
        <v>42101</v>
      </c>
      <c r="E602" s="10">
        <v>95106</v>
      </c>
      <c r="F602" s="1">
        <v>42101</v>
      </c>
      <c r="G602">
        <v>11648</v>
      </c>
      <c r="H602" s="1">
        <f t="shared" si="28"/>
        <v>42101</v>
      </c>
      <c r="I602">
        <f>IF(AND(MyRowHidden(ROW())=FALSE,MyRowHidden(ROW()-1)=TRUE),0,(E602-E601)*unitsOfDHp+I601)</f>
        <v>651060</v>
      </c>
      <c r="J602">
        <f>IF(AND(MyRowHidden(ROW())=FALSE,MyRowHidden(ROW()-1)=TRUE),0,(G602-G601)*unitsOfExo+J601)</f>
        <v>60780</v>
      </c>
      <c r="K602" s="9">
        <f t="shared" si="29"/>
        <v>-60780</v>
      </c>
      <c r="L602">
        <f t="shared" si="30"/>
        <v>711840</v>
      </c>
    </row>
    <row r="603" spans="1:12" x14ac:dyDescent="0.25">
      <c r="A603" s="1"/>
      <c r="C603" s="1"/>
      <c r="D603" s="1">
        <v>42102</v>
      </c>
      <c r="E603" s="10">
        <v>95094</v>
      </c>
      <c r="F603" s="1">
        <v>42102</v>
      </c>
      <c r="G603">
        <v>11638</v>
      </c>
      <c r="H603" s="1">
        <f t="shared" si="28"/>
        <v>42102</v>
      </c>
      <c r="I603">
        <f>IF(AND(MyRowHidden(ROW())=FALSE,MyRowHidden(ROW()-1)=TRUE),0,(E603-E602)*unitsOfDHp+I602)</f>
        <v>650940</v>
      </c>
      <c r="J603">
        <f>IF(AND(MyRowHidden(ROW())=FALSE,MyRowHidden(ROW()-1)=TRUE),0,(G603-G602)*unitsOfExo+J602)</f>
        <v>60680</v>
      </c>
      <c r="K603" s="9">
        <f t="shared" si="29"/>
        <v>-60680</v>
      </c>
      <c r="L603">
        <f t="shared" si="30"/>
        <v>711620</v>
      </c>
    </row>
    <row r="604" spans="1:12" x14ac:dyDescent="0.25">
      <c r="A604" s="1"/>
      <c r="C604" s="1"/>
      <c r="D604" s="1">
        <v>42103</v>
      </c>
      <c r="E604" s="10">
        <v>95074</v>
      </c>
      <c r="F604" s="1">
        <v>42103</v>
      </c>
      <c r="G604">
        <v>11538</v>
      </c>
      <c r="H604" s="1">
        <f t="shared" si="28"/>
        <v>42103</v>
      </c>
      <c r="I604">
        <f>IF(AND(MyRowHidden(ROW())=FALSE,MyRowHidden(ROW()-1)=TRUE),0,(E604-E603)*unitsOfDHp+I603)</f>
        <v>650740</v>
      </c>
      <c r="J604">
        <f>IF(AND(MyRowHidden(ROW())=FALSE,MyRowHidden(ROW()-1)=TRUE),0,(G604-G603)*unitsOfExo+J603)</f>
        <v>59680</v>
      </c>
      <c r="K604" s="9">
        <f t="shared" si="29"/>
        <v>-59680</v>
      </c>
      <c r="L604">
        <f t="shared" si="30"/>
        <v>710420</v>
      </c>
    </row>
    <row r="605" spans="1:12" x14ac:dyDescent="0.25">
      <c r="A605" s="1"/>
      <c r="C605" s="1"/>
      <c r="D605" s="1">
        <v>42104</v>
      </c>
      <c r="E605" s="10">
        <v>95074</v>
      </c>
      <c r="F605" s="1">
        <v>42104</v>
      </c>
      <c r="G605">
        <v>11598</v>
      </c>
      <c r="H605" s="1">
        <f t="shared" si="28"/>
        <v>42104</v>
      </c>
      <c r="I605">
        <f>IF(AND(MyRowHidden(ROW())=FALSE,MyRowHidden(ROW()-1)=TRUE),0,(E605-E604)*unitsOfDHp+I604)</f>
        <v>650740</v>
      </c>
      <c r="J605">
        <f>IF(AND(MyRowHidden(ROW())=FALSE,MyRowHidden(ROW()-1)=TRUE),0,(G605-G604)*unitsOfExo+J604)</f>
        <v>60280</v>
      </c>
      <c r="K605" s="9">
        <f t="shared" si="29"/>
        <v>-60280</v>
      </c>
      <c r="L605">
        <f t="shared" si="30"/>
        <v>711020</v>
      </c>
    </row>
    <row r="606" spans="1:12" x14ac:dyDescent="0.25">
      <c r="A606" s="1"/>
      <c r="C606" s="1"/>
      <c r="D606" s="1">
        <v>42107</v>
      </c>
      <c r="E606" s="10">
        <v>95074</v>
      </c>
      <c r="F606" s="1">
        <v>42107</v>
      </c>
      <c r="G606">
        <v>11848</v>
      </c>
      <c r="H606" s="1">
        <f t="shared" si="28"/>
        <v>42107</v>
      </c>
      <c r="I606">
        <f>IF(AND(MyRowHidden(ROW())=FALSE,MyRowHidden(ROW()-1)=TRUE),0,(E606-E605)*unitsOfDHp+I605)</f>
        <v>650740</v>
      </c>
      <c r="J606">
        <f>IF(AND(MyRowHidden(ROW())=FALSE,MyRowHidden(ROW()-1)=TRUE),0,(G606-G605)*unitsOfExo+J605)</f>
        <v>62780</v>
      </c>
      <c r="K606" s="9">
        <f t="shared" si="29"/>
        <v>-62780</v>
      </c>
      <c r="L606">
        <f t="shared" si="30"/>
        <v>713520</v>
      </c>
    </row>
    <row r="607" spans="1:12" x14ac:dyDescent="0.25">
      <c r="A607" s="1"/>
      <c r="C607" s="1"/>
      <c r="D607" s="1">
        <v>42108</v>
      </c>
      <c r="E607" s="10">
        <v>95074</v>
      </c>
      <c r="F607" s="1">
        <v>42108</v>
      </c>
      <c r="G607">
        <v>11818</v>
      </c>
      <c r="H607" s="1">
        <f t="shared" si="28"/>
        <v>42108</v>
      </c>
      <c r="I607">
        <f>IF(AND(MyRowHidden(ROW())=FALSE,MyRowHidden(ROW()-1)=TRUE),0,(E607-E606)*unitsOfDHp+I606)</f>
        <v>650740</v>
      </c>
      <c r="J607">
        <f>IF(AND(MyRowHidden(ROW())=FALSE,MyRowHidden(ROW()-1)=TRUE),0,(G607-G606)*unitsOfExo+J606)</f>
        <v>62480</v>
      </c>
      <c r="K607" s="9">
        <f t="shared" si="29"/>
        <v>-62480</v>
      </c>
      <c r="L607">
        <f t="shared" si="30"/>
        <v>713220</v>
      </c>
    </row>
    <row r="608" spans="1:12" x14ac:dyDescent="0.25">
      <c r="A608" s="1"/>
      <c r="C608" s="1"/>
      <c r="D608" s="1">
        <v>42109</v>
      </c>
      <c r="E608" s="10">
        <v>95026</v>
      </c>
      <c r="F608" s="1">
        <v>42109</v>
      </c>
      <c r="G608">
        <v>11728</v>
      </c>
      <c r="H608" s="1">
        <f t="shared" si="28"/>
        <v>42109</v>
      </c>
      <c r="I608">
        <f>IF(AND(MyRowHidden(ROW())=FALSE,MyRowHidden(ROW()-1)=TRUE),0,(E608-E607)*unitsOfDHp+I607)</f>
        <v>650260</v>
      </c>
      <c r="J608">
        <f>IF(AND(MyRowHidden(ROW())=FALSE,MyRowHidden(ROW()-1)=TRUE),0,(G608-G607)*unitsOfExo+J607)</f>
        <v>61580</v>
      </c>
      <c r="K608" s="9">
        <f t="shared" si="29"/>
        <v>-61580</v>
      </c>
      <c r="L608">
        <f t="shared" si="30"/>
        <v>711840</v>
      </c>
    </row>
    <row r="609" spans="1:12" x14ac:dyDescent="0.25">
      <c r="A609" s="1"/>
      <c r="C609" s="1"/>
      <c r="D609" s="1">
        <v>42110</v>
      </c>
      <c r="E609" s="10">
        <v>96542</v>
      </c>
      <c r="F609" s="1">
        <v>42110</v>
      </c>
      <c r="G609">
        <v>11928</v>
      </c>
      <c r="H609" s="1">
        <f t="shared" si="28"/>
        <v>42110</v>
      </c>
      <c r="I609">
        <f>IF(AND(MyRowHidden(ROW())=FALSE,MyRowHidden(ROW()-1)=TRUE),0,(E609-E608)*unitsOfDHp+I608)</f>
        <v>665420</v>
      </c>
      <c r="J609">
        <f>IF(AND(MyRowHidden(ROW())=FALSE,MyRowHidden(ROW()-1)=TRUE),0,(G609-G608)*unitsOfExo+J608)</f>
        <v>63580</v>
      </c>
      <c r="K609" s="9">
        <f t="shared" si="29"/>
        <v>-63580</v>
      </c>
      <c r="L609">
        <f t="shared" si="30"/>
        <v>729000</v>
      </c>
    </row>
    <row r="610" spans="1:12" x14ac:dyDescent="0.25">
      <c r="A610" s="1"/>
      <c r="C610" s="1"/>
      <c r="D610" s="1">
        <v>42111</v>
      </c>
      <c r="E610" s="10">
        <v>96278</v>
      </c>
      <c r="F610" s="1">
        <v>42111</v>
      </c>
      <c r="G610">
        <v>11848</v>
      </c>
      <c r="H610" s="1">
        <f t="shared" si="28"/>
        <v>42111</v>
      </c>
      <c r="I610">
        <f>IF(AND(MyRowHidden(ROW())=FALSE,MyRowHidden(ROW()-1)=TRUE),0,(E610-E609)*unitsOfDHp+I609)</f>
        <v>662780</v>
      </c>
      <c r="J610">
        <f>IF(AND(MyRowHidden(ROW())=FALSE,MyRowHidden(ROW()-1)=TRUE),0,(G610-G609)*unitsOfExo+J609)</f>
        <v>62780</v>
      </c>
      <c r="K610" s="9">
        <f t="shared" si="29"/>
        <v>-62780</v>
      </c>
      <c r="L610">
        <f t="shared" si="30"/>
        <v>725560</v>
      </c>
    </row>
    <row r="611" spans="1:12" x14ac:dyDescent="0.25">
      <c r="A611" s="1"/>
      <c r="C611" s="1"/>
      <c r="D611" s="1">
        <v>42114</v>
      </c>
      <c r="E611" s="10">
        <v>95744</v>
      </c>
      <c r="F611" s="1">
        <v>42114</v>
      </c>
      <c r="G611">
        <v>11628</v>
      </c>
      <c r="H611" s="1">
        <f t="shared" si="28"/>
        <v>42114</v>
      </c>
      <c r="I611">
        <f>IF(AND(MyRowHidden(ROW())=FALSE,MyRowHidden(ROW()-1)=TRUE),0,(E611-E610)*unitsOfDHp+I610)</f>
        <v>657440</v>
      </c>
      <c r="J611">
        <f>IF(AND(MyRowHidden(ROW())=FALSE,MyRowHidden(ROW()-1)=TRUE),0,(G611-G610)*unitsOfExo+J610)</f>
        <v>60580</v>
      </c>
      <c r="K611" s="9">
        <f t="shared" si="29"/>
        <v>-60580</v>
      </c>
      <c r="L611">
        <f t="shared" si="30"/>
        <v>718020</v>
      </c>
    </row>
    <row r="612" spans="1:12" x14ac:dyDescent="0.25">
      <c r="A612" s="1"/>
      <c r="C612" s="1"/>
      <c r="D612" s="1">
        <v>42115</v>
      </c>
      <c r="E612" s="10">
        <v>96222</v>
      </c>
      <c r="F612" s="1">
        <v>42115</v>
      </c>
      <c r="G612">
        <v>12578</v>
      </c>
      <c r="H612" s="1">
        <f t="shared" si="28"/>
        <v>42115</v>
      </c>
      <c r="I612">
        <f>IF(AND(MyRowHidden(ROW())=FALSE,MyRowHidden(ROW()-1)=TRUE),0,(E612-E611)*unitsOfDHp+I611)</f>
        <v>662220</v>
      </c>
      <c r="J612">
        <f>IF(AND(MyRowHidden(ROW())=FALSE,MyRowHidden(ROW()-1)=TRUE),0,(G612-G611)*unitsOfExo+J611)</f>
        <v>70080</v>
      </c>
      <c r="K612" s="9">
        <f t="shared" si="29"/>
        <v>-70080</v>
      </c>
      <c r="L612">
        <f t="shared" si="30"/>
        <v>732300</v>
      </c>
    </row>
    <row r="613" spans="1:12" x14ac:dyDescent="0.25">
      <c r="A613" s="1"/>
      <c r="C613" s="1"/>
      <c r="D613" s="1">
        <v>42116</v>
      </c>
      <c r="E613" s="10">
        <v>95522</v>
      </c>
      <c r="F613" s="1">
        <v>42116</v>
      </c>
      <c r="G613">
        <v>11888</v>
      </c>
      <c r="H613" s="1">
        <f t="shared" si="28"/>
        <v>42116</v>
      </c>
      <c r="I613">
        <f>IF(AND(MyRowHidden(ROW())=FALSE,MyRowHidden(ROW()-1)=TRUE),0,(E613-E612)*unitsOfDHp+I612)</f>
        <v>655220</v>
      </c>
      <c r="J613">
        <f>IF(AND(MyRowHidden(ROW())=FALSE,MyRowHidden(ROW()-1)=TRUE),0,(G613-G612)*unitsOfExo+J612)</f>
        <v>63180</v>
      </c>
      <c r="K613" s="9">
        <f t="shared" si="29"/>
        <v>-63180</v>
      </c>
      <c r="L613">
        <f t="shared" si="30"/>
        <v>718400</v>
      </c>
    </row>
    <row r="614" spans="1:12" x14ac:dyDescent="0.25">
      <c r="A614" s="1"/>
      <c r="C614" s="1"/>
      <c r="D614" s="1">
        <v>42117</v>
      </c>
      <c r="E614" s="10">
        <v>96642</v>
      </c>
      <c r="F614" s="1">
        <v>42117</v>
      </c>
      <c r="G614">
        <v>12878</v>
      </c>
      <c r="H614" s="1">
        <f t="shared" si="28"/>
        <v>42117</v>
      </c>
      <c r="I614">
        <f>IF(AND(MyRowHidden(ROW())=FALSE,MyRowHidden(ROW()-1)=TRUE),0,(E614-E613)*unitsOfDHp+I613)</f>
        <v>666420</v>
      </c>
      <c r="J614">
        <f>IF(AND(MyRowHidden(ROW())=FALSE,MyRowHidden(ROW()-1)=TRUE),0,(G614-G613)*unitsOfExo+J613)</f>
        <v>73080</v>
      </c>
      <c r="K614" s="9">
        <f t="shared" si="29"/>
        <v>-73080</v>
      </c>
      <c r="L614">
        <f t="shared" si="30"/>
        <v>739500</v>
      </c>
    </row>
    <row r="615" spans="1:12" x14ac:dyDescent="0.25">
      <c r="A615" s="1"/>
      <c r="C615" s="1"/>
      <c r="D615" s="1">
        <v>42118</v>
      </c>
      <c r="E615" s="10">
        <v>97062</v>
      </c>
      <c r="F615" s="1">
        <v>42118</v>
      </c>
      <c r="G615">
        <v>13178</v>
      </c>
      <c r="H615" s="1">
        <f t="shared" si="28"/>
        <v>42118</v>
      </c>
      <c r="I615">
        <f>IF(AND(MyRowHidden(ROW())=FALSE,MyRowHidden(ROW()-1)=TRUE),0,(E615-E614)*unitsOfDHp+I614)</f>
        <v>670620</v>
      </c>
      <c r="J615">
        <f>IF(AND(MyRowHidden(ROW())=FALSE,MyRowHidden(ROW()-1)=TRUE),0,(G615-G614)*unitsOfExo+J614)</f>
        <v>76080</v>
      </c>
      <c r="K615" s="9">
        <f t="shared" si="29"/>
        <v>-76080</v>
      </c>
      <c r="L615">
        <f t="shared" si="30"/>
        <v>746700</v>
      </c>
    </row>
    <row r="616" spans="1:12" x14ac:dyDescent="0.25">
      <c r="A616" s="1"/>
      <c r="C616" s="1"/>
      <c r="D616" s="1">
        <v>42121</v>
      </c>
      <c r="E616" s="10">
        <v>97322</v>
      </c>
      <c r="F616" s="1">
        <v>42121</v>
      </c>
      <c r="G616">
        <v>13358</v>
      </c>
      <c r="H616" s="1">
        <f t="shared" si="28"/>
        <v>42121</v>
      </c>
      <c r="I616">
        <f>IF(AND(MyRowHidden(ROW())=FALSE,MyRowHidden(ROW()-1)=TRUE),0,(E616-E615)*unitsOfDHp+I615)</f>
        <v>673220</v>
      </c>
      <c r="J616">
        <f>IF(AND(MyRowHidden(ROW())=FALSE,MyRowHidden(ROW()-1)=TRUE),0,(G616-G615)*unitsOfExo+J615)</f>
        <v>77880</v>
      </c>
      <c r="K616" s="9">
        <f t="shared" si="29"/>
        <v>-77880</v>
      </c>
      <c r="L616">
        <f t="shared" si="30"/>
        <v>751100</v>
      </c>
    </row>
    <row r="617" spans="1:12" x14ac:dyDescent="0.25">
      <c r="A617" s="1"/>
      <c r="C617" s="1"/>
      <c r="D617" s="1">
        <v>42122</v>
      </c>
      <c r="E617" s="10">
        <v>97482</v>
      </c>
      <c r="F617" s="1">
        <v>42122</v>
      </c>
      <c r="G617">
        <v>13458</v>
      </c>
      <c r="H617" s="1">
        <f t="shared" si="28"/>
        <v>42122</v>
      </c>
      <c r="I617">
        <f>IF(AND(MyRowHidden(ROW())=FALSE,MyRowHidden(ROW()-1)=TRUE),0,(E617-E616)*unitsOfDHp+I616)</f>
        <v>674820</v>
      </c>
      <c r="J617">
        <f>IF(AND(MyRowHidden(ROW())=FALSE,MyRowHidden(ROW()-1)=TRUE),0,(G617-G616)*unitsOfExo+J616)</f>
        <v>78880</v>
      </c>
      <c r="K617" s="9">
        <f t="shared" si="29"/>
        <v>-78880</v>
      </c>
      <c r="L617">
        <f t="shared" si="30"/>
        <v>753700</v>
      </c>
    </row>
    <row r="618" spans="1:12" x14ac:dyDescent="0.25">
      <c r="A618" s="1"/>
      <c r="C618" s="1"/>
      <c r="D618" s="1">
        <v>42123</v>
      </c>
      <c r="E618" s="10">
        <v>98242</v>
      </c>
      <c r="F618" s="1">
        <v>42123</v>
      </c>
      <c r="G618">
        <v>13928</v>
      </c>
      <c r="H618" s="1">
        <f t="shared" si="28"/>
        <v>42123</v>
      </c>
      <c r="I618">
        <f>IF(AND(MyRowHidden(ROW())=FALSE,MyRowHidden(ROW()-1)=TRUE),0,(E618-E617)*unitsOfDHp+I617)</f>
        <v>682420</v>
      </c>
      <c r="J618">
        <f>IF(AND(MyRowHidden(ROW())=FALSE,MyRowHidden(ROW()-1)=TRUE),0,(G618-G617)*unitsOfExo+J617)</f>
        <v>83580</v>
      </c>
      <c r="K618" s="9">
        <f t="shared" si="29"/>
        <v>-83580</v>
      </c>
      <c r="L618">
        <f t="shared" si="30"/>
        <v>766000</v>
      </c>
    </row>
    <row r="619" spans="1:12" x14ac:dyDescent="0.25">
      <c r="A619" s="1"/>
      <c r="C619" s="1"/>
      <c r="D619" s="1">
        <v>42124</v>
      </c>
      <c r="E619" s="10">
        <v>98162</v>
      </c>
      <c r="F619" s="1">
        <v>42124</v>
      </c>
      <c r="G619">
        <v>14078</v>
      </c>
      <c r="H619" s="1">
        <f t="shared" si="28"/>
        <v>42124</v>
      </c>
      <c r="I619">
        <f>IF(AND(MyRowHidden(ROW())=FALSE,MyRowHidden(ROW()-1)=TRUE),0,(E619-E618)*unitsOfDHp+I618)</f>
        <v>681620</v>
      </c>
      <c r="J619">
        <f>IF(AND(MyRowHidden(ROW())=FALSE,MyRowHidden(ROW()-1)=TRUE),0,(G619-G618)*unitsOfExo+J618)</f>
        <v>85080</v>
      </c>
      <c r="K619" s="9">
        <f t="shared" si="29"/>
        <v>-85080</v>
      </c>
      <c r="L619">
        <f t="shared" si="30"/>
        <v>766700</v>
      </c>
    </row>
    <row r="620" spans="1:12" x14ac:dyDescent="0.25">
      <c r="A620" s="1"/>
      <c r="C620" s="1"/>
      <c r="D620" s="1">
        <v>42125</v>
      </c>
      <c r="E620" s="10">
        <v>98202</v>
      </c>
      <c r="F620" s="1">
        <v>42125</v>
      </c>
      <c r="G620">
        <v>13978</v>
      </c>
      <c r="H620" s="1">
        <f t="shared" si="28"/>
        <v>42125</v>
      </c>
      <c r="I620">
        <f>IF(AND(MyRowHidden(ROW())=FALSE,MyRowHidden(ROW()-1)=TRUE),0,(E620-E619)*unitsOfDHp+I619)</f>
        <v>682020</v>
      </c>
      <c r="J620">
        <f>IF(AND(MyRowHidden(ROW())=FALSE,MyRowHidden(ROW()-1)=TRUE),0,(G620-G619)*unitsOfExo+J619)</f>
        <v>84080</v>
      </c>
      <c r="K620" s="9">
        <f t="shared" si="29"/>
        <v>-84080</v>
      </c>
      <c r="L620">
        <f t="shared" si="30"/>
        <v>766100</v>
      </c>
    </row>
    <row r="621" spans="1:12" x14ac:dyDescent="0.25">
      <c r="A621" s="1"/>
      <c r="C621" s="1"/>
      <c r="D621" s="1">
        <v>42128</v>
      </c>
      <c r="E621" s="10">
        <v>98562</v>
      </c>
      <c r="F621" s="1">
        <v>42128</v>
      </c>
      <c r="G621">
        <v>14248</v>
      </c>
      <c r="H621" s="1">
        <f t="shared" si="28"/>
        <v>42128</v>
      </c>
      <c r="I621">
        <f>IF(AND(MyRowHidden(ROW())=FALSE,MyRowHidden(ROW()-1)=TRUE),0,(E621-E620)*unitsOfDHp+I620)</f>
        <v>685620</v>
      </c>
      <c r="J621">
        <f>IF(AND(MyRowHidden(ROW())=FALSE,MyRowHidden(ROW()-1)=TRUE),0,(G621-G620)*unitsOfExo+J620)</f>
        <v>86780</v>
      </c>
      <c r="K621" s="9">
        <f t="shared" si="29"/>
        <v>-86780</v>
      </c>
      <c r="L621">
        <f t="shared" si="30"/>
        <v>772400</v>
      </c>
    </row>
    <row r="622" spans="1:12" x14ac:dyDescent="0.25">
      <c r="A622" s="1"/>
      <c r="C622" s="1"/>
      <c r="D622" s="1">
        <v>42129</v>
      </c>
      <c r="E622" s="10">
        <v>99062</v>
      </c>
      <c r="F622" s="1">
        <v>42129</v>
      </c>
      <c r="G622">
        <v>14678</v>
      </c>
      <c r="H622" s="1">
        <f t="shared" si="28"/>
        <v>42129</v>
      </c>
      <c r="I622">
        <f>IF(AND(MyRowHidden(ROW())=FALSE,MyRowHidden(ROW()-1)=TRUE),0,(E622-E621)*unitsOfDHp+I621)</f>
        <v>690620</v>
      </c>
      <c r="J622">
        <f>IF(AND(MyRowHidden(ROW())=FALSE,MyRowHidden(ROW()-1)=TRUE),0,(G622-G621)*unitsOfExo+J621)</f>
        <v>91080</v>
      </c>
      <c r="K622" s="9">
        <f t="shared" si="29"/>
        <v>-91080</v>
      </c>
      <c r="L622">
        <f t="shared" si="30"/>
        <v>781700</v>
      </c>
    </row>
    <row r="623" spans="1:12" x14ac:dyDescent="0.25">
      <c r="A623" s="1"/>
      <c r="C623" s="1"/>
      <c r="D623" s="1">
        <v>42130</v>
      </c>
      <c r="E623" s="10">
        <v>99962</v>
      </c>
      <c r="F623" s="1">
        <v>42130</v>
      </c>
      <c r="G623">
        <v>15088</v>
      </c>
      <c r="H623" s="1">
        <f t="shared" si="28"/>
        <v>42130</v>
      </c>
      <c r="I623">
        <f>IF(AND(MyRowHidden(ROW())=FALSE,MyRowHidden(ROW()-1)=TRUE),0,(E623-E622)*unitsOfDHp+I622)</f>
        <v>699620</v>
      </c>
      <c r="J623">
        <f>IF(AND(MyRowHidden(ROW())=FALSE,MyRowHidden(ROW()-1)=TRUE),0,(G623-G622)*unitsOfExo+J622)</f>
        <v>95180</v>
      </c>
      <c r="K623" s="9">
        <f t="shared" si="29"/>
        <v>-95180</v>
      </c>
      <c r="L623">
        <f t="shared" si="30"/>
        <v>794800</v>
      </c>
    </row>
    <row r="624" spans="1:12" x14ac:dyDescent="0.25">
      <c r="A624" s="1"/>
      <c r="C624" s="1"/>
      <c r="D624" s="1">
        <v>42131</v>
      </c>
      <c r="E624" s="10">
        <v>99642</v>
      </c>
      <c r="F624" s="1">
        <v>42131</v>
      </c>
      <c r="G624">
        <v>14898</v>
      </c>
      <c r="H624" s="1">
        <f t="shared" si="28"/>
        <v>42131</v>
      </c>
      <c r="I624">
        <f>IF(AND(MyRowHidden(ROW())=FALSE,MyRowHidden(ROW()-1)=TRUE),0,(E624-E623)*unitsOfDHp+I623)</f>
        <v>696420</v>
      </c>
      <c r="J624">
        <f>IF(AND(MyRowHidden(ROW())=FALSE,MyRowHidden(ROW()-1)=TRUE),0,(G624-G623)*unitsOfExo+J623)</f>
        <v>93280</v>
      </c>
      <c r="K624" s="9">
        <f t="shared" si="29"/>
        <v>-93280</v>
      </c>
      <c r="L624">
        <f t="shared" si="30"/>
        <v>789700</v>
      </c>
    </row>
    <row r="625" spans="1:12" x14ac:dyDescent="0.25">
      <c r="A625" s="1"/>
      <c r="C625" s="1"/>
      <c r="D625" s="1">
        <v>42132</v>
      </c>
      <c r="E625" s="10">
        <v>100482</v>
      </c>
      <c r="F625" s="1">
        <v>42132</v>
      </c>
      <c r="G625">
        <v>15368</v>
      </c>
      <c r="H625" s="1">
        <f t="shared" si="28"/>
        <v>42132</v>
      </c>
      <c r="I625">
        <f>IF(AND(MyRowHidden(ROW())=FALSE,MyRowHidden(ROW()-1)=TRUE),0,(E625-E624)*unitsOfDHp+I624)</f>
        <v>704820</v>
      </c>
      <c r="J625">
        <f>IF(AND(MyRowHidden(ROW())=FALSE,MyRowHidden(ROW()-1)=TRUE),0,(G625-G624)*unitsOfExo+J624)</f>
        <v>97980</v>
      </c>
      <c r="K625" s="9">
        <f t="shared" si="29"/>
        <v>-97980</v>
      </c>
      <c r="L625">
        <f t="shared" si="30"/>
        <v>802800</v>
      </c>
    </row>
    <row r="626" spans="1:12" x14ac:dyDescent="0.25">
      <c r="A626" s="1"/>
      <c r="C626" s="1"/>
      <c r="D626" s="1">
        <v>42135</v>
      </c>
      <c r="E626" s="10">
        <v>100142</v>
      </c>
      <c r="F626" s="1">
        <v>42135</v>
      </c>
      <c r="G626">
        <v>15138</v>
      </c>
      <c r="H626" s="1">
        <f t="shared" si="28"/>
        <v>42135</v>
      </c>
      <c r="I626">
        <f>IF(AND(MyRowHidden(ROW())=FALSE,MyRowHidden(ROW()-1)=TRUE),0,(E626-E625)*unitsOfDHp+I625)</f>
        <v>701420</v>
      </c>
      <c r="J626">
        <f>IF(AND(MyRowHidden(ROW())=FALSE,MyRowHidden(ROW()-1)=TRUE),0,(G626-G625)*unitsOfExo+J625)</f>
        <v>95680</v>
      </c>
      <c r="K626" s="9">
        <f t="shared" si="29"/>
        <v>-95680</v>
      </c>
      <c r="L626">
        <f t="shared" si="30"/>
        <v>797100</v>
      </c>
    </row>
    <row r="627" spans="1:12" x14ac:dyDescent="0.25">
      <c r="A627" s="1"/>
      <c r="C627" s="1"/>
      <c r="D627" s="1">
        <v>42136</v>
      </c>
      <c r="E627" s="10">
        <v>100802</v>
      </c>
      <c r="F627" s="1">
        <v>42136</v>
      </c>
      <c r="G627">
        <v>15468</v>
      </c>
      <c r="H627" s="1">
        <f t="shared" si="28"/>
        <v>42136</v>
      </c>
      <c r="I627">
        <f>IF(AND(MyRowHidden(ROW())=FALSE,MyRowHidden(ROW()-1)=TRUE),0,(E627-E626)*unitsOfDHp+I626)</f>
        <v>708020</v>
      </c>
      <c r="J627">
        <f>IF(AND(MyRowHidden(ROW())=FALSE,MyRowHidden(ROW()-1)=TRUE),0,(G627-G626)*unitsOfExo+J626)</f>
        <v>98980</v>
      </c>
      <c r="K627" s="9">
        <f t="shared" si="29"/>
        <v>-98980</v>
      </c>
      <c r="L627">
        <f t="shared" si="30"/>
        <v>807000</v>
      </c>
    </row>
    <row r="628" spans="1:12" x14ac:dyDescent="0.25">
      <c r="A628" s="1"/>
      <c r="C628" s="1"/>
      <c r="D628" s="1">
        <v>42137</v>
      </c>
      <c r="E628" s="10">
        <v>100682</v>
      </c>
      <c r="F628" s="1">
        <v>42137</v>
      </c>
      <c r="G628">
        <v>15458</v>
      </c>
      <c r="H628" s="1">
        <f t="shared" si="28"/>
        <v>42137</v>
      </c>
      <c r="I628">
        <f>IF(AND(MyRowHidden(ROW())=FALSE,MyRowHidden(ROW()-1)=TRUE),0,(E628-E627)*unitsOfDHp+I627)</f>
        <v>706820</v>
      </c>
      <c r="J628">
        <f>IF(AND(MyRowHidden(ROW())=FALSE,MyRowHidden(ROW()-1)=TRUE),0,(G628-G627)*unitsOfExo+J627)</f>
        <v>98880</v>
      </c>
      <c r="K628" s="9">
        <f t="shared" si="29"/>
        <v>-98880</v>
      </c>
      <c r="L628">
        <f t="shared" si="30"/>
        <v>805700</v>
      </c>
    </row>
    <row r="629" spans="1:12" x14ac:dyDescent="0.25">
      <c r="A629" s="1"/>
      <c r="C629" s="1"/>
      <c r="D629" s="1">
        <v>42138</v>
      </c>
      <c r="E629" s="10">
        <v>100102</v>
      </c>
      <c r="F629" s="1">
        <v>42138</v>
      </c>
      <c r="G629">
        <v>15068</v>
      </c>
      <c r="H629" s="1">
        <f t="shared" si="28"/>
        <v>42138</v>
      </c>
      <c r="I629">
        <f>IF(AND(MyRowHidden(ROW())=FALSE,MyRowHidden(ROW()-1)=TRUE),0,(E629-E628)*unitsOfDHp+I628)</f>
        <v>701020</v>
      </c>
      <c r="J629">
        <f>IF(AND(MyRowHidden(ROW())=FALSE,MyRowHidden(ROW()-1)=TRUE),0,(G629-G628)*unitsOfExo+J628)</f>
        <v>94980</v>
      </c>
      <c r="K629" s="9">
        <f t="shared" si="29"/>
        <v>-94980</v>
      </c>
      <c r="L629">
        <f t="shared" si="30"/>
        <v>796000</v>
      </c>
    </row>
    <row r="630" spans="1:12" x14ac:dyDescent="0.25">
      <c r="A630" s="1"/>
      <c r="C630" s="1"/>
      <c r="D630" s="1">
        <v>42139</v>
      </c>
      <c r="E630" s="10">
        <v>99438</v>
      </c>
      <c r="F630" s="1">
        <v>42139</v>
      </c>
      <c r="G630">
        <v>14818</v>
      </c>
      <c r="H630" s="1">
        <f t="shared" si="28"/>
        <v>42139</v>
      </c>
      <c r="I630">
        <f>IF(AND(MyRowHidden(ROW())=FALSE,MyRowHidden(ROW()-1)=TRUE),0,(E630-E629)*unitsOfDHp+I629)</f>
        <v>694380</v>
      </c>
      <c r="J630">
        <f>IF(AND(MyRowHidden(ROW())=FALSE,MyRowHidden(ROW()-1)=TRUE),0,(G630-G629)*unitsOfExo+J629)</f>
        <v>92480</v>
      </c>
      <c r="K630" s="9">
        <f t="shared" si="29"/>
        <v>-92480</v>
      </c>
      <c r="L630">
        <f t="shared" si="30"/>
        <v>786860</v>
      </c>
    </row>
    <row r="631" spans="1:12" x14ac:dyDescent="0.25">
      <c r="A631" s="1"/>
      <c r="C631" s="1"/>
      <c r="D631" s="1">
        <v>42142</v>
      </c>
      <c r="E631" s="10">
        <v>98364</v>
      </c>
      <c r="F631" s="1">
        <v>42142</v>
      </c>
      <c r="G631">
        <v>14338</v>
      </c>
      <c r="H631" s="1">
        <f t="shared" si="28"/>
        <v>42142</v>
      </c>
      <c r="I631">
        <f>IF(AND(MyRowHidden(ROW())=FALSE,MyRowHidden(ROW()-1)=TRUE),0,(E631-E630)*unitsOfDHp+I630)</f>
        <v>683640</v>
      </c>
      <c r="J631">
        <f>IF(AND(MyRowHidden(ROW())=FALSE,MyRowHidden(ROW()-1)=TRUE),0,(G631-G630)*unitsOfExo+J630)</f>
        <v>87680</v>
      </c>
      <c r="K631" s="9">
        <f t="shared" si="29"/>
        <v>-87680</v>
      </c>
      <c r="L631">
        <f t="shared" si="30"/>
        <v>771320</v>
      </c>
    </row>
    <row r="632" spans="1:12" x14ac:dyDescent="0.25">
      <c r="A632" s="1"/>
      <c r="C632" s="1"/>
      <c r="D632" s="1">
        <v>42143</v>
      </c>
      <c r="E632" s="10">
        <v>98300</v>
      </c>
      <c r="F632" s="1">
        <v>42143</v>
      </c>
      <c r="G632">
        <v>14378</v>
      </c>
      <c r="H632" s="1">
        <f t="shared" si="28"/>
        <v>42143</v>
      </c>
      <c r="I632">
        <f>IF(AND(MyRowHidden(ROW())=FALSE,MyRowHidden(ROW()-1)=TRUE),0,(E632-E631)*unitsOfDHp+I631)</f>
        <v>683000</v>
      </c>
      <c r="J632">
        <f>IF(AND(MyRowHidden(ROW())=FALSE,MyRowHidden(ROW()-1)=TRUE),0,(G632-G631)*unitsOfExo+J631)</f>
        <v>88080</v>
      </c>
      <c r="K632" s="9">
        <f t="shared" si="29"/>
        <v>-88080</v>
      </c>
      <c r="L632">
        <f t="shared" si="30"/>
        <v>771080</v>
      </c>
    </row>
    <row r="633" spans="1:12" x14ac:dyDescent="0.25">
      <c r="A633" s="1"/>
      <c r="C633" s="1"/>
      <c r="D633" s="1">
        <v>42144</v>
      </c>
      <c r="E633" s="10">
        <v>98300</v>
      </c>
      <c r="F633" s="1">
        <v>42144</v>
      </c>
      <c r="G633">
        <v>14438</v>
      </c>
      <c r="H633" s="1">
        <f t="shared" si="28"/>
        <v>42144</v>
      </c>
      <c r="I633">
        <f>IF(AND(MyRowHidden(ROW())=FALSE,MyRowHidden(ROW()-1)=TRUE),0,(E633-E632)*unitsOfDHp+I632)</f>
        <v>683000</v>
      </c>
      <c r="J633">
        <f>IF(AND(MyRowHidden(ROW())=FALSE,MyRowHidden(ROW()-1)=TRUE),0,(G633-G632)*unitsOfExo+J632)</f>
        <v>88680</v>
      </c>
      <c r="K633" s="9">
        <f t="shared" si="29"/>
        <v>-88680</v>
      </c>
      <c r="L633">
        <f t="shared" si="30"/>
        <v>771680</v>
      </c>
    </row>
    <row r="634" spans="1:12" x14ac:dyDescent="0.25">
      <c r="A634" s="1"/>
      <c r="C634" s="1"/>
      <c r="D634" s="1">
        <v>42145</v>
      </c>
      <c r="E634" s="10">
        <v>98276</v>
      </c>
      <c r="F634" s="1">
        <v>42145</v>
      </c>
      <c r="G634">
        <v>15088</v>
      </c>
      <c r="H634" s="1">
        <f t="shared" si="28"/>
        <v>42145</v>
      </c>
      <c r="I634">
        <f>IF(AND(MyRowHidden(ROW())=FALSE,MyRowHidden(ROW()-1)=TRUE),0,(E634-E633)*unitsOfDHp+I633)</f>
        <v>682760</v>
      </c>
      <c r="J634">
        <f>IF(AND(MyRowHidden(ROW())=FALSE,MyRowHidden(ROW()-1)=TRUE),0,(G634-G633)*unitsOfExo+J633)</f>
        <v>95180</v>
      </c>
      <c r="K634" s="9">
        <f t="shared" si="29"/>
        <v>-95180</v>
      </c>
      <c r="L634">
        <f t="shared" si="30"/>
        <v>777940</v>
      </c>
    </row>
    <row r="635" spans="1:12" x14ac:dyDescent="0.25">
      <c r="A635" s="1"/>
      <c r="C635" s="1"/>
      <c r="D635" s="1">
        <v>42146</v>
      </c>
      <c r="E635" s="10">
        <v>98276</v>
      </c>
      <c r="F635" s="1">
        <v>42146</v>
      </c>
      <c r="G635">
        <v>14938</v>
      </c>
      <c r="H635" s="1">
        <f t="shared" si="28"/>
        <v>42146</v>
      </c>
      <c r="I635">
        <f>IF(AND(MyRowHidden(ROW())=FALSE,MyRowHidden(ROW()-1)=TRUE),0,(E635-E634)*unitsOfDHp+I634)</f>
        <v>682760</v>
      </c>
      <c r="J635">
        <f>IF(AND(MyRowHidden(ROW())=FALSE,MyRowHidden(ROW()-1)=TRUE),0,(G635-G634)*unitsOfExo+J634)</f>
        <v>93680</v>
      </c>
      <c r="K635" s="9">
        <f t="shared" si="29"/>
        <v>-93680</v>
      </c>
      <c r="L635">
        <f t="shared" si="30"/>
        <v>776440</v>
      </c>
    </row>
    <row r="636" spans="1:12" x14ac:dyDescent="0.25">
      <c r="A636" s="1"/>
      <c r="C636" s="1"/>
      <c r="D636" s="1">
        <v>42149</v>
      </c>
      <c r="E636" s="10">
        <v>98116</v>
      </c>
      <c r="F636" s="1">
        <v>42149</v>
      </c>
      <c r="G636">
        <v>14758</v>
      </c>
      <c r="H636" s="1">
        <f t="shared" si="28"/>
        <v>42149</v>
      </c>
      <c r="I636">
        <f>IF(AND(MyRowHidden(ROW())=FALSE,MyRowHidden(ROW()-1)=TRUE),0,(E636-E635)*unitsOfDHp+I635)</f>
        <v>681160</v>
      </c>
      <c r="J636">
        <f>IF(AND(MyRowHidden(ROW())=FALSE,MyRowHidden(ROW()-1)=TRUE),0,(G636-G635)*unitsOfExo+J635)</f>
        <v>91880</v>
      </c>
      <c r="K636" s="9">
        <f t="shared" si="29"/>
        <v>-91880</v>
      </c>
      <c r="L636">
        <f t="shared" si="30"/>
        <v>773040</v>
      </c>
    </row>
    <row r="637" spans="1:12" x14ac:dyDescent="0.25">
      <c r="A637" s="1"/>
      <c r="C637" s="1"/>
      <c r="D637" s="1">
        <v>42150</v>
      </c>
      <c r="E637" s="10">
        <v>98136</v>
      </c>
      <c r="F637" s="1">
        <v>42150</v>
      </c>
      <c r="G637">
        <v>14778</v>
      </c>
      <c r="H637" s="1">
        <f t="shared" si="28"/>
        <v>42150</v>
      </c>
      <c r="I637">
        <f>IF(AND(MyRowHidden(ROW())=FALSE,MyRowHidden(ROW()-1)=TRUE),0,(E637-E636)*unitsOfDHp+I636)</f>
        <v>681360</v>
      </c>
      <c r="J637">
        <f>IF(AND(MyRowHidden(ROW())=FALSE,MyRowHidden(ROW()-1)=TRUE),0,(G637-G636)*unitsOfExo+J636)</f>
        <v>92080</v>
      </c>
      <c r="K637" s="9">
        <f t="shared" si="29"/>
        <v>-92080</v>
      </c>
      <c r="L637">
        <f t="shared" si="30"/>
        <v>773440</v>
      </c>
    </row>
    <row r="638" spans="1:12" x14ac:dyDescent="0.25">
      <c r="A638" s="1"/>
      <c r="C638" s="1"/>
      <c r="D638" s="1">
        <v>42151</v>
      </c>
      <c r="E638" s="10">
        <v>98346</v>
      </c>
      <c r="F638" s="1">
        <v>42151</v>
      </c>
      <c r="G638">
        <v>15008</v>
      </c>
      <c r="H638" s="1">
        <f t="shared" si="28"/>
        <v>42151</v>
      </c>
      <c r="I638">
        <f>IF(AND(MyRowHidden(ROW())=FALSE,MyRowHidden(ROW()-1)=TRUE),0,(E638-E637)*unitsOfDHp+I637)</f>
        <v>683460</v>
      </c>
      <c r="J638">
        <f>IF(AND(MyRowHidden(ROW())=FALSE,MyRowHidden(ROW()-1)=TRUE),0,(G638-G637)*unitsOfExo+J637)</f>
        <v>94380</v>
      </c>
      <c r="K638" s="9">
        <f t="shared" si="29"/>
        <v>-94380</v>
      </c>
      <c r="L638">
        <f t="shared" si="30"/>
        <v>777840</v>
      </c>
    </row>
    <row r="639" spans="1:12" x14ac:dyDescent="0.25">
      <c r="A639" s="1"/>
      <c r="C639" s="1"/>
      <c r="D639" s="1">
        <v>42152</v>
      </c>
      <c r="E639" s="10">
        <v>98596</v>
      </c>
      <c r="F639" s="1">
        <v>42152</v>
      </c>
      <c r="G639">
        <v>15278</v>
      </c>
      <c r="H639" s="1">
        <f t="shared" si="28"/>
        <v>42152</v>
      </c>
      <c r="I639">
        <f>IF(AND(MyRowHidden(ROW())=FALSE,MyRowHidden(ROW()-1)=TRUE),0,(E639-E638)*unitsOfDHp+I638)</f>
        <v>685960</v>
      </c>
      <c r="J639">
        <f>IF(AND(MyRowHidden(ROW())=FALSE,MyRowHidden(ROW()-1)=TRUE),0,(G639-G638)*unitsOfExo+J638)</f>
        <v>97080</v>
      </c>
      <c r="K639" s="9">
        <f t="shared" si="29"/>
        <v>-97080</v>
      </c>
      <c r="L639">
        <f t="shared" si="30"/>
        <v>783040</v>
      </c>
    </row>
    <row r="640" spans="1:12" x14ac:dyDescent="0.25">
      <c r="A640" s="1"/>
      <c r="C640" s="1"/>
      <c r="D640" s="1">
        <v>42153</v>
      </c>
      <c r="E640" s="10">
        <v>98256</v>
      </c>
      <c r="F640" s="1">
        <v>42153</v>
      </c>
      <c r="G640">
        <v>14798</v>
      </c>
      <c r="H640" s="1">
        <f t="shared" si="28"/>
        <v>42153</v>
      </c>
      <c r="I640">
        <f>IF(AND(MyRowHidden(ROW())=FALSE,MyRowHidden(ROW()-1)=TRUE),0,(E640-E639)*unitsOfDHp+I639)</f>
        <v>682560</v>
      </c>
      <c r="J640">
        <f>IF(AND(MyRowHidden(ROW())=FALSE,MyRowHidden(ROW()-1)=TRUE),0,(G640-G639)*unitsOfExo+J639)</f>
        <v>92280</v>
      </c>
      <c r="K640" s="9">
        <f t="shared" si="29"/>
        <v>-92280</v>
      </c>
      <c r="L640">
        <f t="shared" si="30"/>
        <v>774840</v>
      </c>
    </row>
    <row r="641" spans="1:12" x14ac:dyDescent="0.25">
      <c r="A641" s="1"/>
      <c r="C641" s="1"/>
      <c r="D641" s="1">
        <v>42156</v>
      </c>
      <c r="E641" s="10">
        <v>98616</v>
      </c>
      <c r="F641" s="1">
        <v>42156</v>
      </c>
      <c r="G641">
        <v>15246</v>
      </c>
      <c r="H641" s="1">
        <f t="shared" si="28"/>
        <v>42156</v>
      </c>
      <c r="I641">
        <f>IF(AND(MyRowHidden(ROW())=FALSE,MyRowHidden(ROW()-1)=TRUE),0,(E641-E640)*unitsOfDHp+I640)</f>
        <v>686160</v>
      </c>
      <c r="J641">
        <f>IF(AND(MyRowHidden(ROW())=FALSE,MyRowHidden(ROW()-1)=TRUE),0,(G641-G640)*unitsOfExo+J640)</f>
        <v>96760</v>
      </c>
      <c r="K641" s="9">
        <f t="shared" si="29"/>
        <v>-96760</v>
      </c>
      <c r="L641">
        <f t="shared" si="30"/>
        <v>782920</v>
      </c>
    </row>
    <row r="642" spans="1:12" x14ac:dyDescent="0.25">
      <c r="A642" s="1"/>
      <c r="C642" s="1"/>
      <c r="D642" s="1">
        <v>42157</v>
      </c>
      <c r="E642" s="10">
        <v>98566</v>
      </c>
      <c r="F642" s="1">
        <v>42157</v>
      </c>
      <c r="G642">
        <v>15146</v>
      </c>
      <c r="H642" s="1">
        <f t="shared" si="28"/>
        <v>42157</v>
      </c>
      <c r="I642">
        <f>IF(AND(MyRowHidden(ROW())=FALSE,MyRowHidden(ROW()-1)=TRUE),0,(E642-E641)*unitsOfDHp+I641)</f>
        <v>685660</v>
      </c>
      <c r="J642">
        <f>IF(AND(MyRowHidden(ROW())=FALSE,MyRowHidden(ROW()-1)=TRUE),0,(G642-G641)*unitsOfExo+J641)</f>
        <v>95760</v>
      </c>
      <c r="K642" s="9">
        <f t="shared" si="29"/>
        <v>-95760</v>
      </c>
      <c r="L642">
        <f t="shared" si="30"/>
        <v>781420</v>
      </c>
    </row>
    <row r="643" spans="1:12" x14ac:dyDescent="0.25">
      <c r="A643" s="1"/>
      <c r="C643" s="1"/>
      <c r="D643" s="1">
        <v>42158</v>
      </c>
      <c r="E643" s="10">
        <v>98436</v>
      </c>
      <c r="F643" s="1">
        <v>42158</v>
      </c>
      <c r="G643">
        <v>14936</v>
      </c>
      <c r="H643" s="1">
        <f t="shared" si="28"/>
        <v>42158</v>
      </c>
      <c r="I643">
        <f>IF(AND(MyRowHidden(ROW())=FALSE,MyRowHidden(ROW()-1)=TRUE),0,(E643-E642)*unitsOfDHp+I642)</f>
        <v>684360</v>
      </c>
      <c r="J643">
        <f>IF(AND(MyRowHidden(ROW())=FALSE,MyRowHidden(ROW()-1)=TRUE),0,(G643-G642)*unitsOfExo+J642)</f>
        <v>93660</v>
      </c>
      <c r="K643" s="9">
        <f t="shared" si="29"/>
        <v>-93660</v>
      </c>
      <c r="L643">
        <f t="shared" si="30"/>
        <v>778020</v>
      </c>
    </row>
    <row r="644" spans="1:12" x14ac:dyDescent="0.25">
      <c r="A644" s="1"/>
      <c r="C644" s="1"/>
      <c r="D644" s="1">
        <v>42159</v>
      </c>
      <c r="E644" s="10">
        <v>97986</v>
      </c>
      <c r="F644" s="1">
        <v>42159</v>
      </c>
      <c r="G644">
        <v>14396</v>
      </c>
      <c r="H644" s="1">
        <f t="shared" si="28"/>
        <v>42159</v>
      </c>
      <c r="I644">
        <f>IF(AND(MyRowHidden(ROW())=FALSE,MyRowHidden(ROW()-1)=TRUE),0,(E644-E643)*unitsOfDHp+I643)</f>
        <v>679860</v>
      </c>
      <c r="J644">
        <f>IF(AND(MyRowHidden(ROW())=FALSE,MyRowHidden(ROW()-1)=TRUE),0,(G644-G643)*unitsOfExo+J643)</f>
        <v>88260</v>
      </c>
      <c r="K644" s="9">
        <f t="shared" si="29"/>
        <v>-88260</v>
      </c>
      <c r="L644">
        <f t="shared" si="30"/>
        <v>768120</v>
      </c>
    </row>
    <row r="645" spans="1:12" x14ac:dyDescent="0.25">
      <c r="A645" s="1"/>
      <c r="C645" s="1"/>
      <c r="D645" s="1">
        <v>42160</v>
      </c>
      <c r="E645" s="10">
        <v>97906</v>
      </c>
      <c r="F645" s="1">
        <v>42160</v>
      </c>
      <c r="G645">
        <v>14316</v>
      </c>
      <c r="H645" s="1">
        <f t="shared" si="28"/>
        <v>42160</v>
      </c>
      <c r="I645">
        <f>IF(AND(MyRowHidden(ROW())=FALSE,MyRowHidden(ROW()-1)=TRUE),0,(E645-E644)*unitsOfDHp+I644)</f>
        <v>679060</v>
      </c>
      <c r="J645">
        <f>IF(AND(MyRowHidden(ROW())=FALSE,MyRowHidden(ROW()-1)=TRUE),0,(G645-G644)*unitsOfExo+J644)</f>
        <v>87460</v>
      </c>
      <c r="K645" s="9">
        <f t="shared" si="29"/>
        <v>-87460</v>
      </c>
      <c r="L645">
        <f t="shared" si="30"/>
        <v>766520</v>
      </c>
    </row>
    <row r="646" spans="1:12" x14ac:dyDescent="0.25">
      <c r="A646" s="1"/>
      <c r="C646" s="1"/>
      <c r="D646" s="1">
        <v>42163</v>
      </c>
      <c r="E646" s="10">
        <v>97906</v>
      </c>
      <c r="F646" s="1">
        <v>42163</v>
      </c>
      <c r="G646">
        <v>14176</v>
      </c>
      <c r="H646" s="1">
        <f t="shared" si="28"/>
        <v>42163</v>
      </c>
      <c r="I646">
        <f>IF(AND(MyRowHidden(ROW())=FALSE,MyRowHidden(ROW()-1)=TRUE),0,(E646-E645)*unitsOfDHp+I645)</f>
        <v>679060</v>
      </c>
      <c r="J646">
        <f>IF(AND(MyRowHidden(ROW())=FALSE,MyRowHidden(ROW()-1)=TRUE),0,(G646-G645)*unitsOfExo+J645)</f>
        <v>86060</v>
      </c>
      <c r="K646" s="9">
        <f t="shared" si="29"/>
        <v>-86060</v>
      </c>
      <c r="L646">
        <f t="shared" si="30"/>
        <v>765120</v>
      </c>
    </row>
    <row r="647" spans="1:12" x14ac:dyDescent="0.25">
      <c r="A647" s="1"/>
      <c r="C647" s="1"/>
      <c r="D647" s="1">
        <v>42164</v>
      </c>
      <c r="E647" s="10">
        <v>97906</v>
      </c>
      <c r="F647" s="1">
        <v>42164</v>
      </c>
      <c r="G647">
        <v>13956</v>
      </c>
      <c r="H647" s="1">
        <f t="shared" si="28"/>
        <v>42164</v>
      </c>
      <c r="I647">
        <f>IF(AND(MyRowHidden(ROW())=FALSE,MyRowHidden(ROW()-1)=TRUE),0,(E647-E646)*unitsOfDHp+I646)</f>
        <v>679060</v>
      </c>
      <c r="J647">
        <f>IF(AND(MyRowHidden(ROW())=FALSE,MyRowHidden(ROW()-1)=TRUE),0,(G647-G646)*unitsOfExo+J646)</f>
        <v>83860</v>
      </c>
      <c r="K647" s="9">
        <f t="shared" si="29"/>
        <v>-83860</v>
      </c>
      <c r="L647">
        <f t="shared" si="30"/>
        <v>762920</v>
      </c>
    </row>
    <row r="648" spans="1:12" x14ac:dyDescent="0.25">
      <c r="A648" s="1"/>
      <c r="C648" s="1"/>
      <c r="D648" s="1">
        <v>42165</v>
      </c>
      <c r="E648" s="10">
        <v>97906</v>
      </c>
      <c r="F648" s="1">
        <v>42165</v>
      </c>
      <c r="G648">
        <v>13986</v>
      </c>
      <c r="H648" s="1">
        <f t="shared" si="28"/>
        <v>42165</v>
      </c>
      <c r="I648">
        <f>IF(AND(MyRowHidden(ROW())=FALSE,MyRowHidden(ROW()-1)=TRUE),0,(E648-E647)*unitsOfDHp+I647)</f>
        <v>679060</v>
      </c>
      <c r="J648">
        <f>IF(AND(MyRowHidden(ROW())=FALSE,MyRowHidden(ROW()-1)=TRUE),0,(G648-G647)*unitsOfExo+J647)</f>
        <v>84160</v>
      </c>
      <c r="K648" s="9">
        <f t="shared" si="29"/>
        <v>-84160</v>
      </c>
      <c r="L648">
        <f t="shared" si="30"/>
        <v>763220</v>
      </c>
    </row>
    <row r="649" spans="1:12" x14ac:dyDescent="0.25">
      <c r="A649" s="1"/>
      <c r="C649" s="1"/>
      <c r="D649" s="1">
        <v>42166</v>
      </c>
      <c r="E649" s="10">
        <v>97906</v>
      </c>
      <c r="F649" s="1">
        <v>42166</v>
      </c>
      <c r="G649">
        <v>14036</v>
      </c>
      <c r="H649" s="1">
        <f t="shared" si="28"/>
        <v>42166</v>
      </c>
      <c r="I649">
        <f>IF(AND(MyRowHidden(ROW())=FALSE,MyRowHidden(ROW()-1)=TRUE),0,(E649-E648)*unitsOfDHp+I648)</f>
        <v>679060</v>
      </c>
      <c r="J649">
        <f>IF(AND(MyRowHidden(ROW())=FALSE,MyRowHidden(ROW()-1)=TRUE),0,(G649-G648)*unitsOfExo+J648)</f>
        <v>84660</v>
      </c>
      <c r="K649" s="9">
        <f t="shared" si="29"/>
        <v>-84660</v>
      </c>
      <c r="L649">
        <f t="shared" si="30"/>
        <v>763720</v>
      </c>
    </row>
    <row r="650" spans="1:12" x14ac:dyDescent="0.25">
      <c r="A650" s="1"/>
      <c r="C650" s="1"/>
      <c r="D650" s="1">
        <v>42167</v>
      </c>
      <c r="E650" s="10">
        <v>97858</v>
      </c>
      <c r="F650" s="1">
        <v>42167</v>
      </c>
      <c r="G650">
        <v>14066</v>
      </c>
      <c r="H650" s="1">
        <f t="shared" si="28"/>
        <v>42167</v>
      </c>
      <c r="I650">
        <f>IF(AND(MyRowHidden(ROW())=FALSE,MyRowHidden(ROW()-1)=TRUE),0,(E650-E649)*unitsOfDHp+I649)</f>
        <v>678580</v>
      </c>
      <c r="J650">
        <f>IF(AND(MyRowHidden(ROW())=FALSE,MyRowHidden(ROW()-1)=TRUE),0,(G650-G649)*unitsOfExo+J649)</f>
        <v>84960</v>
      </c>
      <c r="K650" s="9">
        <f t="shared" si="29"/>
        <v>-84960</v>
      </c>
      <c r="L650">
        <f t="shared" si="30"/>
        <v>763540</v>
      </c>
    </row>
    <row r="651" spans="1:12" x14ac:dyDescent="0.25">
      <c r="A651" s="1"/>
      <c r="C651" s="1"/>
      <c r="D651" s="1">
        <v>42170</v>
      </c>
      <c r="E651" s="10">
        <v>97516</v>
      </c>
      <c r="F651" s="1">
        <v>42170</v>
      </c>
      <c r="G651">
        <v>13546</v>
      </c>
      <c r="H651" s="1">
        <f t="shared" si="28"/>
        <v>42170</v>
      </c>
      <c r="I651">
        <f>IF(AND(MyRowHidden(ROW())=FALSE,MyRowHidden(ROW()-1)=TRUE),0,(E651-E650)*unitsOfDHp+I650)</f>
        <v>675160</v>
      </c>
      <c r="J651">
        <f>IF(AND(MyRowHidden(ROW())=FALSE,MyRowHidden(ROW()-1)=TRUE),0,(G651-G650)*unitsOfExo+J650)</f>
        <v>79760</v>
      </c>
      <c r="K651" s="9">
        <f t="shared" si="29"/>
        <v>-79760</v>
      </c>
      <c r="L651">
        <f t="shared" si="30"/>
        <v>754920</v>
      </c>
    </row>
    <row r="652" spans="1:12" x14ac:dyDescent="0.25">
      <c r="A652" s="1"/>
      <c r="C652" s="1"/>
      <c r="D652" s="1">
        <v>42171</v>
      </c>
      <c r="E652" s="10">
        <v>97346</v>
      </c>
      <c r="F652" s="1">
        <v>42171</v>
      </c>
      <c r="G652">
        <v>13576</v>
      </c>
      <c r="H652" s="1">
        <f t="shared" si="28"/>
        <v>42171</v>
      </c>
      <c r="I652">
        <f>IF(AND(MyRowHidden(ROW())=FALSE,MyRowHidden(ROW()-1)=TRUE),0,(E652-E651)*unitsOfDHp+I651)</f>
        <v>673460</v>
      </c>
      <c r="J652">
        <f>IF(AND(MyRowHidden(ROW())=FALSE,MyRowHidden(ROW()-1)=TRUE),0,(G652-G651)*unitsOfExo+J651)</f>
        <v>80060</v>
      </c>
      <c r="K652" s="9">
        <f t="shared" si="29"/>
        <v>-80060</v>
      </c>
      <c r="L652">
        <f t="shared" si="30"/>
        <v>753520</v>
      </c>
    </row>
    <row r="653" spans="1:12" x14ac:dyDescent="0.25">
      <c r="A653" s="1"/>
      <c r="C653" s="1"/>
      <c r="D653" s="1">
        <v>42172</v>
      </c>
      <c r="E653" s="10">
        <v>96952</v>
      </c>
      <c r="F653" s="1">
        <v>42172</v>
      </c>
      <c r="G653">
        <v>13846</v>
      </c>
      <c r="H653" s="1">
        <f t="shared" ref="H653:H716" si="31">D653</f>
        <v>42172</v>
      </c>
      <c r="I653">
        <f>IF(AND(MyRowHidden(ROW())=FALSE,MyRowHidden(ROW()-1)=TRUE),0,(E653-E652)*unitsOfDHp+I652)</f>
        <v>669520</v>
      </c>
      <c r="J653">
        <f>IF(AND(MyRowHidden(ROW())=FALSE,MyRowHidden(ROW()-1)=TRUE),0,(G653-G652)*unitsOfExo+J652)</f>
        <v>82760</v>
      </c>
      <c r="K653" s="9">
        <f t="shared" ref="K653:K716" si="32">-(J653-J652)+K652</f>
        <v>-82760</v>
      </c>
      <c r="L653">
        <f t="shared" ref="L653:L716" si="33">I653+J653</f>
        <v>752280</v>
      </c>
    </row>
    <row r="654" spans="1:12" x14ac:dyDescent="0.25">
      <c r="A654" s="1"/>
      <c r="C654" s="1"/>
      <c r="D654" s="1">
        <v>42173</v>
      </c>
      <c r="E654" s="10">
        <v>96864</v>
      </c>
      <c r="F654" s="1">
        <v>42173</v>
      </c>
      <c r="G654">
        <v>13886</v>
      </c>
      <c r="H654" s="1">
        <f t="shared" si="31"/>
        <v>42173</v>
      </c>
      <c r="I654">
        <f>IF(AND(MyRowHidden(ROW())=FALSE,MyRowHidden(ROW()-1)=TRUE),0,(E654-E653)*unitsOfDHp+I653)</f>
        <v>668640</v>
      </c>
      <c r="J654">
        <f>IF(AND(MyRowHidden(ROW())=FALSE,MyRowHidden(ROW()-1)=TRUE),0,(G654-G653)*unitsOfExo+J653)</f>
        <v>83160</v>
      </c>
      <c r="K654" s="9">
        <f t="shared" si="32"/>
        <v>-83160</v>
      </c>
      <c r="L654">
        <f t="shared" si="33"/>
        <v>751800</v>
      </c>
    </row>
    <row r="655" spans="1:12" x14ac:dyDescent="0.25">
      <c r="A655" s="1"/>
      <c r="C655" s="1"/>
      <c r="D655" s="1">
        <v>42174</v>
      </c>
      <c r="E655" s="10">
        <v>98308</v>
      </c>
      <c r="F655" s="1">
        <v>42174</v>
      </c>
      <c r="G655">
        <v>13196</v>
      </c>
      <c r="H655" s="1">
        <f t="shared" si="31"/>
        <v>42174</v>
      </c>
      <c r="I655">
        <f>IF(AND(MyRowHidden(ROW())=FALSE,MyRowHidden(ROW()-1)=TRUE),0,(E655-E654)*unitsOfDHp+I654)</f>
        <v>683080</v>
      </c>
      <c r="J655">
        <f>IF(AND(MyRowHidden(ROW())=FALSE,MyRowHidden(ROW()-1)=TRUE),0,(G655-G654)*unitsOfExo+J654)</f>
        <v>76260</v>
      </c>
      <c r="K655" s="9">
        <f t="shared" si="32"/>
        <v>-76260</v>
      </c>
      <c r="L655">
        <f t="shared" si="33"/>
        <v>759340</v>
      </c>
    </row>
    <row r="656" spans="1:12" x14ac:dyDescent="0.25">
      <c r="A656" s="1"/>
      <c r="C656" s="1"/>
      <c r="D656" s="1">
        <v>42177</v>
      </c>
      <c r="E656" s="10">
        <v>101218</v>
      </c>
      <c r="F656" s="1">
        <v>42177</v>
      </c>
      <c r="G656">
        <v>12446</v>
      </c>
      <c r="H656" s="1">
        <f t="shared" si="31"/>
        <v>42177</v>
      </c>
      <c r="I656">
        <f>IF(AND(MyRowHidden(ROW())=FALSE,MyRowHidden(ROW()-1)=TRUE),0,(E656-E655)*unitsOfDHp+I655)</f>
        <v>712180</v>
      </c>
      <c r="J656">
        <f>IF(AND(MyRowHidden(ROW())=FALSE,MyRowHidden(ROW()-1)=TRUE),0,(G656-G655)*unitsOfExo+J655)</f>
        <v>68760</v>
      </c>
      <c r="K656" s="9">
        <f t="shared" si="32"/>
        <v>-68760</v>
      </c>
      <c r="L656">
        <f t="shared" si="33"/>
        <v>780940</v>
      </c>
    </row>
    <row r="657" spans="1:12" x14ac:dyDescent="0.25">
      <c r="A657" s="1"/>
      <c r="C657" s="1"/>
      <c r="D657" s="1">
        <v>42178</v>
      </c>
      <c r="E657" s="10">
        <v>100558</v>
      </c>
      <c r="F657" s="1">
        <v>42178</v>
      </c>
      <c r="G657">
        <v>12486</v>
      </c>
      <c r="H657" s="1">
        <f t="shared" si="31"/>
        <v>42178</v>
      </c>
      <c r="I657">
        <f>IF(AND(MyRowHidden(ROW())=FALSE,MyRowHidden(ROW()-1)=TRUE),0,(E657-E656)*unitsOfDHp+I656)</f>
        <v>705580</v>
      </c>
      <c r="J657">
        <f>IF(AND(MyRowHidden(ROW())=FALSE,MyRowHidden(ROW()-1)=TRUE),0,(G657-G656)*unitsOfExo+J656)</f>
        <v>69160</v>
      </c>
      <c r="K657" s="9">
        <f t="shared" si="32"/>
        <v>-69160</v>
      </c>
      <c r="L657">
        <f t="shared" si="33"/>
        <v>774740</v>
      </c>
    </row>
    <row r="658" spans="1:12" x14ac:dyDescent="0.25">
      <c r="A658" s="1"/>
      <c r="C658" s="1"/>
      <c r="D658" s="1">
        <v>42179</v>
      </c>
      <c r="E658" s="10">
        <v>100264</v>
      </c>
      <c r="F658" s="1">
        <v>42179</v>
      </c>
      <c r="G658">
        <v>12646</v>
      </c>
      <c r="H658" s="1">
        <f t="shared" si="31"/>
        <v>42179</v>
      </c>
      <c r="I658">
        <f>IF(AND(MyRowHidden(ROW())=FALSE,MyRowHidden(ROW()-1)=TRUE),0,(E658-E657)*unitsOfDHp+I657)</f>
        <v>702640</v>
      </c>
      <c r="J658">
        <f>IF(AND(MyRowHidden(ROW())=FALSE,MyRowHidden(ROW()-1)=TRUE),0,(G658-G657)*unitsOfExo+J657)</f>
        <v>70760</v>
      </c>
      <c r="K658" s="9">
        <f t="shared" si="32"/>
        <v>-70760</v>
      </c>
      <c r="L658">
        <f t="shared" si="33"/>
        <v>773400</v>
      </c>
    </row>
    <row r="659" spans="1:12" x14ac:dyDescent="0.25">
      <c r="A659" s="1"/>
      <c r="C659" s="1"/>
      <c r="D659" s="1">
        <v>42180</v>
      </c>
      <c r="E659" s="10">
        <v>100274</v>
      </c>
      <c r="F659" s="1">
        <v>42180</v>
      </c>
      <c r="G659">
        <v>12556</v>
      </c>
      <c r="H659" s="1">
        <f t="shared" si="31"/>
        <v>42180</v>
      </c>
      <c r="I659">
        <f>IF(AND(MyRowHidden(ROW())=FALSE,MyRowHidden(ROW()-1)=TRUE),0,(E659-E658)*unitsOfDHp+I658)</f>
        <v>702740</v>
      </c>
      <c r="J659">
        <f>IF(AND(MyRowHidden(ROW())=FALSE,MyRowHidden(ROW()-1)=TRUE),0,(G659-G658)*unitsOfExo+J658)</f>
        <v>69860</v>
      </c>
      <c r="K659" s="9">
        <f t="shared" si="32"/>
        <v>-69860</v>
      </c>
      <c r="L659">
        <f t="shared" si="33"/>
        <v>772600</v>
      </c>
    </row>
    <row r="660" spans="1:12" x14ac:dyDescent="0.25">
      <c r="A660" s="1"/>
      <c r="C660" s="1"/>
      <c r="D660" s="1">
        <v>42181</v>
      </c>
      <c r="E660" s="10">
        <v>99684</v>
      </c>
      <c r="F660" s="1">
        <v>42181</v>
      </c>
      <c r="G660">
        <v>12776</v>
      </c>
      <c r="H660" s="1">
        <f t="shared" si="31"/>
        <v>42181</v>
      </c>
      <c r="I660">
        <f>IF(AND(MyRowHidden(ROW())=FALSE,MyRowHidden(ROW()-1)=TRUE),0,(E660-E659)*unitsOfDHp+I659)</f>
        <v>696840</v>
      </c>
      <c r="J660">
        <f>IF(AND(MyRowHidden(ROW())=FALSE,MyRowHidden(ROW()-1)=TRUE),0,(G660-G659)*unitsOfExo+J659)</f>
        <v>72060</v>
      </c>
      <c r="K660" s="9">
        <f t="shared" si="32"/>
        <v>-72060</v>
      </c>
      <c r="L660">
        <f t="shared" si="33"/>
        <v>768900</v>
      </c>
    </row>
    <row r="661" spans="1:12" x14ac:dyDescent="0.25">
      <c r="A661" s="1"/>
      <c r="C661" s="1"/>
      <c r="D661" s="1">
        <v>42184</v>
      </c>
      <c r="E661" s="10">
        <v>100844</v>
      </c>
      <c r="F661" s="1">
        <v>42184</v>
      </c>
      <c r="G661">
        <v>12356</v>
      </c>
      <c r="H661" s="1">
        <f t="shared" si="31"/>
        <v>42184</v>
      </c>
      <c r="I661">
        <f>IF(AND(MyRowHidden(ROW())=FALSE,MyRowHidden(ROW()-1)=TRUE),0,(E661-E660)*unitsOfDHp+I660)</f>
        <v>708440</v>
      </c>
      <c r="J661">
        <f>IF(AND(MyRowHidden(ROW())=FALSE,MyRowHidden(ROW()-1)=TRUE),0,(G661-G660)*unitsOfExo+J660)</f>
        <v>67860</v>
      </c>
      <c r="K661" s="9">
        <f t="shared" si="32"/>
        <v>-67860</v>
      </c>
      <c r="L661">
        <f t="shared" si="33"/>
        <v>776300</v>
      </c>
    </row>
    <row r="662" spans="1:12" x14ac:dyDescent="0.25">
      <c r="A662" s="1"/>
      <c r="C662" s="1"/>
      <c r="D662" s="1">
        <v>42185</v>
      </c>
      <c r="E662" s="10">
        <v>97960</v>
      </c>
      <c r="F662" s="1">
        <v>42185</v>
      </c>
      <c r="G662">
        <v>13406</v>
      </c>
      <c r="H662" s="1">
        <f t="shared" si="31"/>
        <v>42185</v>
      </c>
      <c r="I662">
        <f>IF(AND(MyRowHidden(ROW())=FALSE,MyRowHidden(ROW()-1)=TRUE),0,(E662-E661)*unitsOfDHp+I661)</f>
        <v>679600</v>
      </c>
      <c r="J662">
        <f>IF(AND(MyRowHidden(ROW())=FALSE,MyRowHidden(ROW()-1)=TRUE),0,(G662-G661)*unitsOfExo+J661)</f>
        <v>78360</v>
      </c>
      <c r="K662" s="9">
        <f t="shared" si="32"/>
        <v>-78360</v>
      </c>
      <c r="L662">
        <f t="shared" si="33"/>
        <v>757960</v>
      </c>
    </row>
    <row r="663" spans="1:12" x14ac:dyDescent="0.25">
      <c r="A663" s="1"/>
      <c r="C663" s="1"/>
      <c r="D663" s="1">
        <v>42186</v>
      </c>
      <c r="E663" s="10">
        <v>97382</v>
      </c>
      <c r="F663" s="1">
        <v>42186</v>
      </c>
      <c r="G663">
        <v>13634</v>
      </c>
      <c r="H663" s="1">
        <f t="shared" si="31"/>
        <v>42186</v>
      </c>
      <c r="I663">
        <f>IF(AND(MyRowHidden(ROW())=FALSE,MyRowHidden(ROW()-1)=TRUE),0,(E663-E662)*unitsOfDHp+I662)</f>
        <v>673820</v>
      </c>
      <c r="J663">
        <f>IF(AND(MyRowHidden(ROW())=FALSE,MyRowHidden(ROW()-1)=TRUE),0,(G663-G662)*unitsOfExo+J662)</f>
        <v>80640</v>
      </c>
      <c r="K663" s="9">
        <f t="shared" si="32"/>
        <v>-80640</v>
      </c>
      <c r="L663">
        <f t="shared" si="33"/>
        <v>754460</v>
      </c>
    </row>
    <row r="664" spans="1:12" x14ac:dyDescent="0.25">
      <c r="A664" s="1"/>
      <c r="C664" s="1"/>
      <c r="D664" s="1">
        <v>42187</v>
      </c>
      <c r="E664" s="10">
        <v>96842</v>
      </c>
      <c r="F664" s="1">
        <v>42187</v>
      </c>
      <c r="G664">
        <v>14334</v>
      </c>
      <c r="H664" s="1">
        <f t="shared" si="31"/>
        <v>42187</v>
      </c>
      <c r="I664">
        <f>IF(AND(MyRowHidden(ROW())=FALSE,MyRowHidden(ROW()-1)=TRUE),0,(E664-E663)*unitsOfDHp+I663)</f>
        <v>668420</v>
      </c>
      <c r="J664">
        <f>IF(AND(MyRowHidden(ROW())=FALSE,MyRowHidden(ROW()-1)=TRUE),0,(G664-G663)*unitsOfExo+J663)</f>
        <v>87640</v>
      </c>
      <c r="K664" s="9">
        <f t="shared" si="32"/>
        <v>-87640</v>
      </c>
      <c r="L664">
        <f t="shared" si="33"/>
        <v>756060</v>
      </c>
    </row>
    <row r="665" spans="1:12" x14ac:dyDescent="0.25">
      <c r="A665" s="1"/>
      <c r="C665" s="1"/>
      <c r="D665" s="1">
        <v>42188</v>
      </c>
      <c r="E665" s="10">
        <v>96662</v>
      </c>
      <c r="F665" s="1">
        <v>42188</v>
      </c>
      <c r="G665">
        <v>14204</v>
      </c>
      <c r="H665" s="1">
        <f t="shared" si="31"/>
        <v>42188</v>
      </c>
      <c r="I665">
        <f>IF(AND(MyRowHidden(ROW())=FALSE,MyRowHidden(ROW()-1)=TRUE),0,(E665-E664)*unitsOfDHp+I664)</f>
        <v>666620</v>
      </c>
      <c r="J665">
        <f>IF(AND(MyRowHidden(ROW())=FALSE,MyRowHidden(ROW()-1)=TRUE),0,(G665-G664)*unitsOfExo+J664)</f>
        <v>86340</v>
      </c>
      <c r="K665" s="9">
        <f t="shared" si="32"/>
        <v>-86340</v>
      </c>
      <c r="L665">
        <f t="shared" si="33"/>
        <v>752960</v>
      </c>
    </row>
    <row r="666" spans="1:12" x14ac:dyDescent="0.25">
      <c r="A666" s="1"/>
      <c r="C666" s="1"/>
      <c r="D666" s="1">
        <v>42191</v>
      </c>
      <c r="E666" s="10">
        <v>96782</v>
      </c>
      <c r="F666" s="1">
        <v>42191</v>
      </c>
      <c r="G666">
        <v>14284</v>
      </c>
      <c r="H666" s="1">
        <f t="shared" si="31"/>
        <v>42191</v>
      </c>
      <c r="I666">
        <f>IF(AND(MyRowHidden(ROW())=FALSE,MyRowHidden(ROW()-1)=TRUE),0,(E666-E665)*unitsOfDHp+I665)</f>
        <v>667820</v>
      </c>
      <c r="J666">
        <f>IF(AND(MyRowHidden(ROW())=FALSE,MyRowHidden(ROW()-1)=TRUE),0,(G666-G665)*unitsOfExo+J665)</f>
        <v>87140</v>
      </c>
      <c r="K666" s="9">
        <f t="shared" si="32"/>
        <v>-87140</v>
      </c>
      <c r="L666">
        <f t="shared" si="33"/>
        <v>754960</v>
      </c>
    </row>
    <row r="667" spans="1:12" x14ac:dyDescent="0.25">
      <c r="A667" s="1"/>
      <c r="C667" s="1"/>
      <c r="D667" s="1">
        <v>42192</v>
      </c>
      <c r="E667" s="10">
        <v>97102</v>
      </c>
      <c r="F667" s="1">
        <v>42192</v>
      </c>
      <c r="G667">
        <v>14394</v>
      </c>
      <c r="H667" s="1">
        <f t="shared" si="31"/>
        <v>42192</v>
      </c>
      <c r="I667">
        <f>IF(AND(MyRowHidden(ROW())=FALSE,MyRowHidden(ROW()-1)=TRUE),0,(E667-E666)*unitsOfDHp+I666)</f>
        <v>671020</v>
      </c>
      <c r="J667">
        <f>IF(AND(MyRowHidden(ROW())=FALSE,MyRowHidden(ROW()-1)=TRUE),0,(G667-G666)*unitsOfExo+J666)</f>
        <v>88240</v>
      </c>
      <c r="K667" s="9">
        <f t="shared" si="32"/>
        <v>-88240</v>
      </c>
      <c r="L667">
        <f t="shared" si="33"/>
        <v>759260</v>
      </c>
    </row>
    <row r="668" spans="1:12" x14ac:dyDescent="0.25">
      <c r="A668" s="1"/>
      <c r="C668" s="1"/>
      <c r="D668" s="1">
        <v>42193</v>
      </c>
      <c r="E668" s="10">
        <v>97430</v>
      </c>
      <c r="F668" s="1">
        <v>42193</v>
      </c>
      <c r="G668">
        <v>14584</v>
      </c>
      <c r="H668" s="1">
        <f t="shared" si="31"/>
        <v>42193</v>
      </c>
      <c r="I668">
        <f>IF(AND(MyRowHidden(ROW())=FALSE,MyRowHidden(ROW()-1)=TRUE),0,(E668-E667)*unitsOfDHp+I667)</f>
        <v>674300</v>
      </c>
      <c r="J668">
        <f>IF(AND(MyRowHidden(ROW())=FALSE,MyRowHidden(ROW()-1)=TRUE),0,(G668-G667)*unitsOfExo+J667)</f>
        <v>90140</v>
      </c>
      <c r="K668" s="9">
        <f t="shared" si="32"/>
        <v>-90140</v>
      </c>
      <c r="L668">
        <f t="shared" si="33"/>
        <v>764440</v>
      </c>
    </row>
    <row r="669" spans="1:12" x14ac:dyDescent="0.25">
      <c r="A669" s="1"/>
      <c r="C669" s="1"/>
      <c r="D669" s="1">
        <v>42194</v>
      </c>
      <c r="E669" s="10">
        <v>97008</v>
      </c>
      <c r="F669" s="1">
        <v>42194</v>
      </c>
      <c r="G669">
        <v>14334</v>
      </c>
      <c r="H669" s="1">
        <f t="shared" si="31"/>
        <v>42194</v>
      </c>
      <c r="I669">
        <f>IF(AND(MyRowHidden(ROW())=FALSE,MyRowHidden(ROW()-1)=TRUE),0,(E669-E668)*unitsOfDHp+I668)</f>
        <v>670080</v>
      </c>
      <c r="J669">
        <f>IF(AND(MyRowHidden(ROW())=FALSE,MyRowHidden(ROW()-1)=TRUE),0,(G669-G668)*unitsOfExo+J668)</f>
        <v>87640</v>
      </c>
      <c r="K669" s="9">
        <f t="shared" si="32"/>
        <v>-87640</v>
      </c>
      <c r="L669">
        <f t="shared" si="33"/>
        <v>757720</v>
      </c>
    </row>
    <row r="670" spans="1:12" x14ac:dyDescent="0.25">
      <c r="A670" s="1"/>
      <c r="C670" s="1"/>
      <c r="D670" s="1">
        <v>42195</v>
      </c>
      <c r="E670" s="10">
        <v>96828</v>
      </c>
      <c r="F670" s="1">
        <v>42195</v>
      </c>
      <c r="G670">
        <v>14304</v>
      </c>
      <c r="H670" s="1">
        <f t="shared" si="31"/>
        <v>42195</v>
      </c>
      <c r="I670">
        <f>IF(AND(MyRowHidden(ROW())=FALSE,MyRowHidden(ROW()-1)=TRUE),0,(E670-E669)*unitsOfDHp+I669)</f>
        <v>668280</v>
      </c>
      <c r="J670">
        <f>IF(AND(MyRowHidden(ROW())=FALSE,MyRowHidden(ROW()-1)=TRUE),0,(G670-G669)*unitsOfExo+J669)</f>
        <v>87340</v>
      </c>
      <c r="K670" s="9">
        <f t="shared" si="32"/>
        <v>-87340</v>
      </c>
      <c r="L670">
        <f t="shared" si="33"/>
        <v>755620</v>
      </c>
    </row>
    <row r="671" spans="1:12" x14ac:dyDescent="0.25">
      <c r="A671" s="1"/>
      <c r="C671" s="1"/>
      <c r="D671" s="1">
        <v>42198</v>
      </c>
      <c r="E671" s="10">
        <v>96908</v>
      </c>
      <c r="F671" s="1">
        <v>42198</v>
      </c>
      <c r="G671">
        <v>14344</v>
      </c>
      <c r="H671" s="1">
        <f t="shared" si="31"/>
        <v>42198</v>
      </c>
      <c r="I671">
        <f>IF(AND(MyRowHidden(ROW())=FALSE,MyRowHidden(ROW()-1)=TRUE),0,(E671-E670)*unitsOfDHp+I670)</f>
        <v>669080</v>
      </c>
      <c r="J671">
        <f>IF(AND(MyRowHidden(ROW())=FALSE,MyRowHidden(ROW()-1)=TRUE),0,(G671-G670)*unitsOfExo+J670)</f>
        <v>87740</v>
      </c>
      <c r="K671" s="9">
        <f t="shared" si="32"/>
        <v>-87740</v>
      </c>
      <c r="L671">
        <f t="shared" si="33"/>
        <v>756820</v>
      </c>
    </row>
    <row r="672" spans="1:12" x14ac:dyDescent="0.25">
      <c r="A672" s="1"/>
      <c r="C672" s="1"/>
      <c r="D672" s="1">
        <v>42199</v>
      </c>
      <c r="E672" s="10">
        <v>97508</v>
      </c>
      <c r="F672" s="1">
        <v>42199</v>
      </c>
      <c r="G672">
        <v>14694</v>
      </c>
      <c r="H672" s="1">
        <f t="shared" si="31"/>
        <v>42199</v>
      </c>
      <c r="I672">
        <f>IF(AND(MyRowHidden(ROW())=FALSE,MyRowHidden(ROW()-1)=TRUE),0,(E672-E671)*unitsOfDHp+I671)</f>
        <v>675080</v>
      </c>
      <c r="J672">
        <f>IF(AND(MyRowHidden(ROW())=FALSE,MyRowHidden(ROW()-1)=TRUE),0,(G672-G671)*unitsOfExo+J671)</f>
        <v>91240</v>
      </c>
      <c r="K672" s="9">
        <f t="shared" si="32"/>
        <v>-91240</v>
      </c>
      <c r="L672">
        <f t="shared" si="33"/>
        <v>766320</v>
      </c>
    </row>
    <row r="673" spans="1:12" x14ac:dyDescent="0.25">
      <c r="A673" s="1"/>
      <c r="C673" s="1"/>
      <c r="D673" s="1">
        <v>42200</v>
      </c>
      <c r="E673" s="10">
        <v>97592</v>
      </c>
      <c r="F673" s="1">
        <v>42200</v>
      </c>
      <c r="G673">
        <v>14894</v>
      </c>
      <c r="H673" s="1">
        <f t="shared" si="31"/>
        <v>42200</v>
      </c>
      <c r="I673">
        <f>IF(AND(MyRowHidden(ROW())=FALSE,MyRowHidden(ROW()-1)=TRUE),0,(E673-E672)*unitsOfDHp+I672)</f>
        <v>675920</v>
      </c>
      <c r="J673">
        <f>IF(AND(MyRowHidden(ROW())=FALSE,MyRowHidden(ROW()-1)=TRUE),0,(G673-G672)*unitsOfExo+J672)</f>
        <v>93240</v>
      </c>
      <c r="K673" s="9">
        <f t="shared" si="32"/>
        <v>-93240</v>
      </c>
      <c r="L673">
        <f t="shared" si="33"/>
        <v>769160</v>
      </c>
    </row>
    <row r="674" spans="1:12" x14ac:dyDescent="0.25">
      <c r="A674" s="1"/>
      <c r="C674" s="1"/>
      <c r="D674" s="1">
        <v>42201</v>
      </c>
      <c r="E674" s="10">
        <v>98028</v>
      </c>
      <c r="F674" s="1">
        <v>42201</v>
      </c>
      <c r="G674">
        <v>15044</v>
      </c>
      <c r="H674" s="1">
        <f t="shared" si="31"/>
        <v>42201</v>
      </c>
      <c r="I674">
        <f>IF(AND(MyRowHidden(ROW())=FALSE,MyRowHidden(ROW()-1)=TRUE),0,(E674-E673)*unitsOfDHp+I673)</f>
        <v>680280</v>
      </c>
      <c r="J674">
        <f>IF(AND(MyRowHidden(ROW())=FALSE,MyRowHidden(ROW()-1)=TRUE),0,(G674-G673)*unitsOfExo+J673)</f>
        <v>94740</v>
      </c>
      <c r="K674" s="9">
        <f t="shared" si="32"/>
        <v>-94740</v>
      </c>
      <c r="L674">
        <f t="shared" si="33"/>
        <v>775020</v>
      </c>
    </row>
    <row r="675" spans="1:12" x14ac:dyDescent="0.25">
      <c r="A675" s="1"/>
      <c r="C675" s="1"/>
      <c r="D675" s="1">
        <v>42202</v>
      </c>
      <c r="E675" s="10">
        <v>97578</v>
      </c>
      <c r="F675" s="1">
        <v>42202</v>
      </c>
      <c r="G675">
        <v>15054</v>
      </c>
      <c r="H675" s="1">
        <f t="shared" si="31"/>
        <v>42202</v>
      </c>
      <c r="I675">
        <f>IF(AND(MyRowHidden(ROW())=FALSE,MyRowHidden(ROW()-1)=TRUE),0,(E675-E674)*unitsOfDHp+I674)</f>
        <v>675780</v>
      </c>
      <c r="J675">
        <f>IF(AND(MyRowHidden(ROW())=FALSE,MyRowHidden(ROW()-1)=TRUE),0,(G675-G674)*unitsOfExo+J674)</f>
        <v>94840</v>
      </c>
      <c r="K675" s="9">
        <f t="shared" si="32"/>
        <v>-94840</v>
      </c>
      <c r="L675">
        <f t="shared" si="33"/>
        <v>770620</v>
      </c>
    </row>
    <row r="676" spans="1:12" x14ac:dyDescent="0.25">
      <c r="A676" s="1"/>
      <c r="C676" s="1"/>
      <c r="D676" s="1">
        <v>42205</v>
      </c>
      <c r="E676" s="10">
        <v>96748</v>
      </c>
      <c r="F676" s="1">
        <v>42205</v>
      </c>
      <c r="G676">
        <v>14784</v>
      </c>
      <c r="H676" s="1">
        <f t="shared" si="31"/>
        <v>42205</v>
      </c>
      <c r="I676">
        <f>IF(AND(MyRowHidden(ROW())=FALSE,MyRowHidden(ROW()-1)=TRUE),0,(E676-E675)*unitsOfDHp+I675)</f>
        <v>667480</v>
      </c>
      <c r="J676">
        <f>IF(AND(MyRowHidden(ROW())=FALSE,MyRowHidden(ROW()-1)=TRUE),0,(G676-G675)*unitsOfExo+J675)</f>
        <v>92140</v>
      </c>
      <c r="K676" s="9">
        <f t="shared" si="32"/>
        <v>-92140</v>
      </c>
      <c r="L676">
        <f t="shared" si="33"/>
        <v>759620</v>
      </c>
    </row>
    <row r="677" spans="1:12" x14ac:dyDescent="0.25">
      <c r="A677" s="1"/>
      <c r="C677" s="1"/>
      <c r="D677" s="1">
        <v>42206</v>
      </c>
      <c r="E677" s="10">
        <v>97298</v>
      </c>
      <c r="F677" s="1">
        <v>42206</v>
      </c>
      <c r="G677">
        <v>14974</v>
      </c>
      <c r="H677" s="1">
        <f t="shared" si="31"/>
        <v>42206</v>
      </c>
      <c r="I677">
        <f>IF(AND(MyRowHidden(ROW())=FALSE,MyRowHidden(ROW()-1)=TRUE),0,(E677-E676)*unitsOfDHp+I676)</f>
        <v>672980</v>
      </c>
      <c r="J677">
        <f>IF(AND(MyRowHidden(ROW())=FALSE,MyRowHidden(ROW()-1)=TRUE),0,(G677-G676)*unitsOfExo+J676)</f>
        <v>94040</v>
      </c>
      <c r="K677" s="9">
        <f t="shared" si="32"/>
        <v>-94040</v>
      </c>
      <c r="L677">
        <f t="shared" si="33"/>
        <v>767020</v>
      </c>
    </row>
    <row r="678" spans="1:12" x14ac:dyDescent="0.25">
      <c r="A678" s="1"/>
      <c r="C678" s="1"/>
      <c r="D678" s="1">
        <v>42207</v>
      </c>
      <c r="E678" s="10">
        <v>99476</v>
      </c>
      <c r="F678" s="1">
        <v>42207</v>
      </c>
      <c r="G678">
        <v>16104</v>
      </c>
      <c r="H678" s="1">
        <f t="shared" si="31"/>
        <v>42207</v>
      </c>
      <c r="I678">
        <f>IF(AND(MyRowHidden(ROW())=FALSE,MyRowHidden(ROW()-1)=TRUE),0,(E678-E677)*unitsOfDHp+I677)</f>
        <v>694760</v>
      </c>
      <c r="J678">
        <f>IF(AND(MyRowHidden(ROW())=FALSE,MyRowHidden(ROW()-1)=TRUE),0,(G678-G677)*unitsOfExo+J677)</f>
        <v>105340</v>
      </c>
      <c r="K678" s="9">
        <f t="shared" si="32"/>
        <v>-105340</v>
      </c>
      <c r="L678">
        <f t="shared" si="33"/>
        <v>800100</v>
      </c>
    </row>
    <row r="679" spans="1:12" x14ac:dyDescent="0.25">
      <c r="A679" s="1"/>
      <c r="C679" s="1"/>
      <c r="D679" s="1">
        <v>42208</v>
      </c>
      <c r="E679" s="10">
        <v>99424</v>
      </c>
      <c r="F679" s="1">
        <v>42208</v>
      </c>
      <c r="G679">
        <v>16104</v>
      </c>
      <c r="H679" s="1">
        <f t="shared" si="31"/>
        <v>42208</v>
      </c>
      <c r="I679">
        <f>IF(AND(MyRowHidden(ROW())=FALSE,MyRowHidden(ROW()-1)=TRUE),0,(E679-E678)*unitsOfDHp+I678)</f>
        <v>694240</v>
      </c>
      <c r="J679">
        <f>IF(AND(MyRowHidden(ROW())=FALSE,MyRowHidden(ROW()-1)=TRUE),0,(G679-G678)*unitsOfExo+J678)</f>
        <v>105340</v>
      </c>
      <c r="K679" s="9">
        <f t="shared" si="32"/>
        <v>-105340</v>
      </c>
      <c r="L679">
        <f t="shared" si="33"/>
        <v>799580</v>
      </c>
    </row>
    <row r="680" spans="1:12" x14ac:dyDescent="0.25">
      <c r="A680" s="1"/>
      <c r="C680" s="1"/>
      <c r="D680" s="1">
        <v>42209</v>
      </c>
      <c r="E680" s="10">
        <v>98974</v>
      </c>
      <c r="F680" s="1">
        <v>42209</v>
      </c>
      <c r="G680">
        <v>15874</v>
      </c>
      <c r="H680" s="1">
        <f t="shared" si="31"/>
        <v>42209</v>
      </c>
      <c r="I680">
        <f>IF(AND(MyRowHidden(ROW())=FALSE,MyRowHidden(ROW()-1)=TRUE),0,(E680-E679)*unitsOfDHp+I679)</f>
        <v>689740</v>
      </c>
      <c r="J680">
        <f>IF(AND(MyRowHidden(ROW())=FALSE,MyRowHidden(ROW()-1)=TRUE),0,(G680-G679)*unitsOfExo+J679)</f>
        <v>103040</v>
      </c>
      <c r="K680" s="9">
        <f t="shared" si="32"/>
        <v>-103040</v>
      </c>
      <c r="L680">
        <f t="shared" si="33"/>
        <v>792780</v>
      </c>
    </row>
    <row r="681" spans="1:12" x14ac:dyDescent="0.25">
      <c r="A681" s="1"/>
      <c r="C681" s="1"/>
      <c r="D681" s="1">
        <v>42212</v>
      </c>
      <c r="E681" s="10">
        <v>98852</v>
      </c>
      <c r="F681" s="1">
        <v>42212</v>
      </c>
      <c r="G681">
        <v>15704</v>
      </c>
      <c r="H681" s="1">
        <f t="shared" si="31"/>
        <v>42212</v>
      </c>
      <c r="I681">
        <f>IF(AND(MyRowHidden(ROW())=FALSE,MyRowHidden(ROW()-1)=TRUE),0,(E681-E680)*unitsOfDHp+I680)</f>
        <v>688520</v>
      </c>
      <c r="J681">
        <f>IF(AND(MyRowHidden(ROW())=FALSE,MyRowHidden(ROW()-1)=TRUE),0,(G681-G680)*unitsOfExo+J680)</f>
        <v>101340</v>
      </c>
      <c r="K681" s="9">
        <f t="shared" si="32"/>
        <v>-101340</v>
      </c>
      <c r="L681">
        <f t="shared" si="33"/>
        <v>789860</v>
      </c>
    </row>
    <row r="682" spans="1:12" x14ac:dyDescent="0.25">
      <c r="A682" s="1"/>
      <c r="C682" s="1"/>
      <c r="D682" s="1">
        <v>42213</v>
      </c>
      <c r="E682" s="10">
        <v>99332</v>
      </c>
      <c r="F682" s="1">
        <v>42213</v>
      </c>
      <c r="G682">
        <v>16284</v>
      </c>
      <c r="H682" s="1">
        <f t="shared" si="31"/>
        <v>42213</v>
      </c>
      <c r="I682">
        <f>IF(AND(MyRowHidden(ROW())=FALSE,MyRowHidden(ROW()-1)=TRUE),0,(E682-E681)*unitsOfDHp+I681)</f>
        <v>693320</v>
      </c>
      <c r="J682">
        <f>IF(AND(MyRowHidden(ROW())=FALSE,MyRowHidden(ROW()-1)=TRUE),0,(G682-G681)*unitsOfExo+J681)</f>
        <v>107140</v>
      </c>
      <c r="K682" s="9">
        <f t="shared" si="32"/>
        <v>-107140</v>
      </c>
      <c r="L682">
        <f t="shared" si="33"/>
        <v>800460</v>
      </c>
    </row>
    <row r="683" spans="1:12" x14ac:dyDescent="0.25">
      <c r="A683" s="1"/>
      <c r="C683" s="1"/>
      <c r="D683" s="1">
        <v>42214</v>
      </c>
      <c r="E683" s="10">
        <v>99492</v>
      </c>
      <c r="F683" s="1">
        <v>42214</v>
      </c>
      <c r="G683">
        <v>16714</v>
      </c>
      <c r="H683" s="1">
        <f t="shared" si="31"/>
        <v>42214</v>
      </c>
      <c r="I683">
        <f>IF(AND(MyRowHidden(ROW())=FALSE,MyRowHidden(ROW()-1)=TRUE),0,(E683-E682)*unitsOfDHp+I682)</f>
        <v>694920</v>
      </c>
      <c r="J683">
        <f>IF(AND(MyRowHidden(ROW())=FALSE,MyRowHidden(ROW()-1)=TRUE),0,(G683-G682)*unitsOfExo+J682)</f>
        <v>111440</v>
      </c>
      <c r="K683" s="9">
        <f t="shared" si="32"/>
        <v>-111440</v>
      </c>
      <c r="L683">
        <f t="shared" si="33"/>
        <v>806360</v>
      </c>
    </row>
    <row r="684" spans="1:12" x14ac:dyDescent="0.25">
      <c r="A684" s="1"/>
      <c r="C684" s="1"/>
      <c r="D684" s="1">
        <v>42215</v>
      </c>
      <c r="E684" s="10">
        <v>99512</v>
      </c>
      <c r="F684" s="1">
        <v>42215</v>
      </c>
      <c r="G684">
        <v>16734</v>
      </c>
      <c r="H684" s="1">
        <f t="shared" si="31"/>
        <v>42215</v>
      </c>
      <c r="I684">
        <f>IF(AND(MyRowHidden(ROW())=FALSE,MyRowHidden(ROW()-1)=TRUE),0,(E684-E683)*unitsOfDHp+I683)</f>
        <v>695120</v>
      </c>
      <c r="J684">
        <f>IF(AND(MyRowHidden(ROW())=FALSE,MyRowHidden(ROW()-1)=TRUE),0,(G684-G683)*unitsOfExo+J683)</f>
        <v>111640</v>
      </c>
      <c r="K684" s="9">
        <f t="shared" si="32"/>
        <v>-111640</v>
      </c>
      <c r="L684">
        <f t="shared" si="33"/>
        <v>806760</v>
      </c>
    </row>
    <row r="685" spans="1:12" x14ac:dyDescent="0.25">
      <c r="A685" s="1"/>
      <c r="C685" s="1"/>
      <c r="D685" s="1">
        <v>42216</v>
      </c>
      <c r="E685" s="10">
        <v>99372</v>
      </c>
      <c r="F685" s="1">
        <v>42216</v>
      </c>
      <c r="G685">
        <v>16134</v>
      </c>
      <c r="H685" s="1">
        <f t="shared" si="31"/>
        <v>42216</v>
      </c>
      <c r="I685">
        <f>IF(AND(MyRowHidden(ROW())=FALSE,MyRowHidden(ROW()-1)=TRUE),0,(E685-E684)*unitsOfDHp+I684)</f>
        <v>693720</v>
      </c>
      <c r="J685">
        <f>IF(AND(MyRowHidden(ROW())=FALSE,MyRowHidden(ROW()-1)=TRUE),0,(G685-G684)*unitsOfExo+J684)</f>
        <v>105640</v>
      </c>
      <c r="K685" s="9">
        <f t="shared" si="32"/>
        <v>-105640</v>
      </c>
      <c r="L685">
        <f t="shared" si="33"/>
        <v>799360</v>
      </c>
    </row>
    <row r="686" spans="1:12" x14ac:dyDescent="0.25">
      <c r="A686" s="1"/>
      <c r="C686" s="1"/>
      <c r="D686" s="1">
        <v>42219</v>
      </c>
      <c r="E686" s="10">
        <v>99512</v>
      </c>
      <c r="F686" s="1">
        <v>42219</v>
      </c>
      <c r="G686">
        <v>16552</v>
      </c>
      <c r="H686" s="1">
        <f t="shared" si="31"/>
        <v>42219</v>
      </c>
      <c r="I686">
        <f>IF(AND(MyRowHidden(ROW())=FALSE,MyRowHidden(ROW()-1)=TRUE),0,(E686-E685)*unitsOfDHp+I685)</f>
        <v>695120</v>
      </c>
      <c r="J686">
        <f>IF(AND(MyRowHidden(ROW())=FALSE,MyRowHidden(ROW()-1)=TRUE),0,(G686-G685)*unitsOfExo+J685)</f>
        <v>109820</v>
      </c>
      <c r="K686" s="9">
        <f t="shared" si="32"/>
        <v>-109820</v>
      </c>
      <c r="L686">
        <f t="shared" si="33"/>
        <v>804940</v>
      </c>
    </row>
    <row r="687" spans="1:12" x14ac:dyDescent="0.25">
      <c r="A687" s="1"/>
      <c r="C687" s="1"/>
      <c r="D687" s="1">
        <v>42220</v>
      </c>
      <c r="E687" s="10">
        <v>99612</v>
      </c>
      <c r="F687" s="1">
        <v>42220</v>
      </c>
      <c r="G687">
        <v>17192</v>
      </c>
      <c r="H687" s="1">
        <f t="shared" si="31"/>
        <v>42220</v>
      </c>
      <c r="I687">
        <f>IF(AND(MyRowHidden(ROW())=FALSE,MyRowHidden(ROW()-1)=TRUE),0,(E687-E686)*unitsOfDHp+I686)</f>
        <v>696120</v>
      </c>
      <c r="J687">
        <f>IF(AND(MyRowHidden(ROW())=FALSE,MyRowHidden(ROW()-1)=TRUE),0,(G687-G686)*unitsOfExo+J686)</f>
        <v>116220</v>
      </c>
      <c r="K687" s="9">
        <f t="shared" si="32"/>
        <v>-116220</v>
      </c>
      <c r="L687">
        <f t="shared" si="33"/>
        <v>812340</v>
      </c>
    </row>
    <row r="688" spans="1:12" x14ac:dyDescent="0.25">
      <c r="A688" s="1"/>
      <c r="C688" s="1"/>
      <c r="D688" s="1">
        <v>42221</v>
      </c>
      <c r="E688" s="10">
        <v>99612</v>
      </c>
      <c r="F688" s="1">
        <v>42221</v>
      </c>
      <c r="G688">
        <v>16902</v>
      </c>
      <c r="H688" s="1">
        <f t="shared" si="31"/>
        <v>42221</v>
      </c>
      <c r="I688">
        <f>IF(AND(MyRowHidden(ROW())=FALSE,MyRowHidden(ROW()-1)=TRUE),0,(E688-E687)*unitsOfDHp+I687)</f>
        <v>696120</v>
      </c>
      <c r="J688">
        <f>IF(AND(MyRowHidden(ROW())=FALSE,MyRowHidden(ROW()-1)=TRUE),0,(G688-G687)*unitsOfExo+J687)</f>
        <v>113320</v>
      </c>
      <c r="K688" s="9">
        <f t="shared" si="32"/>
        <v>-113320</v>
      </c>
      <c r="L688">
        <f t="shared" si="33"/>
        <v>809440</v>
      </c>
    </row>
    <row r="689" spans="1:12" x14ac:dyDescent="0.25">
      <c r="A689" s="1"/>
      <c r="C689" s="1"/>
      <c r="D689" s="1">
        <v>42222</v>
      </c>
      <c r="E689" s="10">
        <v>99352</v>
      </c>
      <c r="F689" s="1">
        <v>42222</v>
      </c>
      <c r="G689">
        <v>16052</v>
      </c>
      <c r="H689" s="1">
        <f t="shared" si="31"/>
        <v>42222</v>
      </c>
      <c r="I689">
        <f>IF(AND(MyRowHidden(ROW())=FALSE,MyRowHidden(ROW()-1)=TRUE),0,(E689-E688)*unitsOfDHp+I688)</f>
        <v>693520</v>
      </c>
      <c r="J689">
        <f>IF(AND(MyRowHidden(ROW())=FALSE,MyRowHidden(ROW()-1)=TRUE),0,(G689-G688)*unitsOfExo+J688)</f>
        <v>104820</v>
      </c>
      <c r="K689" s="9">
        <f t="shared" si="32"/>
        <v>-104820</v>
      </c>
      <c r="L689">
        <f t="shared" si="33"/>
        <v>798340</v>
      </c>
    </row>
    <row r="690" spans="1:12" x14ac:dyDescent="0.25">
      <c r="A690" s="1"/>
      <c r="C690" s="1"/>
      <c r="D690" s="1">
        <v>42223</v>
      </c>
      <c r="E690" s="10">
        <v>99252</v>
      </c>
      <c r="F690" s="1">
        <v>42223</v>
      </c>
      <c r="G690">
        <v>15762</v>
      </c>
      <c r="H690" s="1">
        <f t="shared" si="31"/>
        <v>42223</v>
      </c>
      <c r="I690">
        <f>IF(AND(MyRowHidden(ROW())=FALSE,MyRowHidden(ROW()-1)=TRUE),0,(E690-E689)*unitsOfDHp+I689)</f>
        <v>692520</v>
      </c>
      <c r="J690">
        <f>IF(AND(MyRowHidden(ROW())=FALSE,MyRowHidden(ROW()-1)=TRUE),0,(G690-G689)*unitsOfExo+J689)</f>
        <v>101920</v>
      </c>
      <c r="K690" s="9">
        <f t="shared" si="32"/>
        <v>-101920</v>
      </c>
      <c r="L690">
        <f t="shared" si="33"/>
        <v>794440</v>
      </c>
    </row>
    <row r="691" spans="1:12" x14ac:dyDescent="0.25">
      <c r="A691" s="1"/>
      <c r="C691" s="1"/>
      <c r="D691" s="1">
        <v>42226</v>
      </c>
      <c r="E691" s="10">
        <v>99308</v>
      </c>
      <c r="F691" s="1">
        <v>42226</v>
      </c>
      <c r="G691">
        <v>15542</v>
      </c>
      <c r="H691" s="1">
        <f t="shared" si="31"/>
        <v>42226</v>
      </c>
      <c r="I691">
        <f>IF(AND(MyRowHidden(ROW())=FALSE,MyRowHidden(ROW()-1)=TRUE),0,(E691-E690)*unitsOfDHp+I690)</f>
        <v>693080</v>
      </c>
      <c r="J691">
        <f>IF(AND(MyRowHidden(ROW())=FALSE,MyRowHidden(ROW()-1)=TRUE),0,(G691-G690)*unitsOfExo+J690)</f>
        <v>99720</v>
      </c>
      <c r="K691" s="9">
        <f t="shared" si="32"/>
        <v>-99720</v>
      </c>
      <c r="L691">
        <f t="shared" si="33"/>
        <v>792800</v>
      </c>
    </row>
    <row r="692" spans="1:12" x14ac:dyDescent="0.25">
      <c r="A692" s="1"/>
      <c r="C692" s="1"/>
      <c r="D692" s="1">
        <v>42227</v>
      </c>
      <c r="E692" s="10">
        <v>99298</v>
      </c>
      <c r="F692" s="1">
        <v>42227</v>
      </c>
      <c r="G692">
        <v>15542</v>
      </c>
      <c r="H692" s="1">
        <f t="shared" si="31"/>
        <v>42227</v>
      </c>
      <c r="I692">
        <f>IF(AND(MyRowHidden(ROW())=FALSE,MyRowHidden(ROW()-1)=TRUE),0,(E692-E691)*unitsOfDHp+I691)</f>
        <v>692980</v>
      </c>
      <c r="J692">
        <f>IF(AND(MyRowHidden(ROW())=FALSE,MyRowHidden(ROW()-1)=TRUE),0,(G692-G691)*unitsOfExo+J691)</f>
        <v>99720</v>
      </c>
      <c r="K692" s="9">
        <f t="shared" si="32"/>
        <v>-99720</v>
      </c>
      <c r="L692">
        <f t="shared" si="33"/>
        <v>792700</v>
      </c>
    </row>
    <row r="693" spans="1:12" x14ac:dyDescent="0.25">
      <c r="A693" s="1"/>
      <c r="C693" s="1"/>
      <c r="D693" s="1">
        <v>42228</v>
      </c>
      <c r="E693" s="10">
        <v>99468</v>
      </c>
      <c r="F693" s="1">
        <v>42228</v>
      </c>
      <c r="G693">
        <v>15802</v>
      </c>
      <c r="H693" s="1">
        <f t="shared" si="31"/>
        <v>42228</v>
      </c>
      <c r="I693">
        <f>IF(AND(MyRowHidden(ROW())=FALSE,MyRowHidden(ROW()-1)=TRUE),0,(E693-E692)*unitsOfDHp+I692)</f>
        <v>694680</v>
      </c>
      <c r="J693">
        <f>IF(AND(MyRowHidden(ROW())=FALSE,MyRowHidden(ROW()-1)=TRUE),0,(G693-G692)*unitsOfExo+J692)</f>
        <v>102320</v>
      </c>
      <c r="K693" s="9">
        <f t="shared" si="32"/>
        <v>-102320</v>
      </c>
      <c r="L693">
        <f t="shared" si="33"/>
        <v>797000</v>
      </c>
    </row>
    <row r="694" spans="1:12" x14ac:dyDescent="0.25">
      <c r="A694" s="1"/>
      <c r="C694" s="1"/>
      <c r="D694" s="1">
        <v>42229</v>
      </c>
      <c r="E694" s="10">
        <v>99452</v>
      </c>
      <c r="F694" s="1">
        <v>42229</v>
      </c>
      <c r="G694">
        <v>16232</v>
      </c>
      <c r="H694" s="1">
        <f t="shared" si="31"/>
        <v>42229</v>
      </c>
      <c r="I694">
        <f>IF(AND(MyRowHidden(ROW())=FALSE,MyRowHidden(ROW()-1)=TRUE),0,(E694-E693)*unitsOfDHp+I693)</f>
        <v>694520</v>
      </c>
      <c r="J694">
        <f>IF(AND(MyRowHidden(ROW())=FALSE,MyRowHidden(ROW()-1)=TRUE),0,(G694-G693)*unitsOfExo+J693)</f>
        <v>106620</v>
      </c>
      <c r="K694" s="9">
        <f t="shared" si="32"/>
        <v>-106620</v>
      </c>
      <c r="L694">
        <f t="shared" si="33"/>
        <v>801140</v>
      </c>
    </row>
    <row r="695" spans="1:12" x14ac:dyDescent="0.25">
      <c r="A695" s="1"/>
      <c r="C695" s="1"/>
      <c r="D695" s="1">
        <v>42230</v>
      </c>
      <c r="E695" s="10">
        <v>99484</v>
      </c>
      <c r="F695" s="1">
        <v>42230</v>
      </c>
      <c r="G695">
        <v>16252</v>
      </c>
      <c r="H695" s="1">
        <f t="shared" si="31"/>
        <v>42230</v>
      </c>
      <c r="I695">
        <f>IF(AND(MyRowHidden(ROW())=FALSE,MyRowHidden(ROW()-1)=TRUE),0,(E695-E694)*unitsOfDHp+I694)</f>
        <v>694840</v>
      </c>
      <c r="J695">
        <f>IF(AND(MyRowHidden(ROW())=FALSE,MyRowHidden(ROW()-1)=TRUE),0,(G695-G694)*unitsOfExo+J694)</f>
        <v>106820</v>
      </c>
      <c r="K695" s="9">
        <f t="shared" si="32"/>
        <v>-106820</v>
      </c>
      <c r="L695">
        <f t="shared" si="33"/>
        <v>801660</v>
      </c>
    </row>
    <row r="696" spans="1:12" x14ac:dyDescent="0.25">
      <c r="A696" s="1"/>
      <c r="C696" s="1"/>
      <c r="D696" s="1">
        <v>42233</v>
      </c>
      <c r="E696" s="10">
        <v>100066</v>
      </c>
      <c r="F696" s="1">
        <v>42233</v>
      </c>
      <c r="G696">
        <v>16542</v>
      </c>
      <c r="H696" s="1">
        <f t="shared" si="31"/>
        <v>42233</v>
      </c>
      <c r="I696">
        <f>IF(AND(MyRowHidden(ROW())=FALSE,MyRowHidden(ROW()-1)=TRUE),0,(E696-E695)*unitsOfDHp+I695)</f>
        <v>700660</v>
      </c>
      <c r="J696">
        <f>IF(AND(MyRowHidden(ROW())=FALSE,MyRowHidden(ROW()-1)=TRUE),0,(G696-G695)*unitsOfExo+J695)</f>
        <v>109720</v>
      </c>
      <c r="K696" s="9">
        <f t="shared" si="32"/>
        <v>-109720</v>
      </c>
      <c r="L696">
        <f t="shared" si="33"/>
        <v>810380</v>
      </c>
    </row>
    <row r="697" spans="1:12" x14ac:dyDescent="0.25">
      <c r="A697" s="1"/>
      <c r="C697" s="1"/>
      <c r="D697" s="1">
        <v>42234</v>
      </c>
      <c r="E697" s="10">
        <v>99766</v>
      </c>
      <c r="F697" s="1">
        <v>42234</v>
      </c>
      <c r="G697">
        <v>16392</v>
      </c>
      <c r="H697" s="1">
        <f t="shared" si="31"/>
        <v>42234</v>
      </c>
      <c r="I697">
        <f>IF(AND(MyRowHidden(ROW())=FALSE,MyRowHidden(ROW()-1)=TRUE),0,(E697-E696)*unitsOfDHp+I696)</f>
        <v>697660</v>
      </c>
      <c r="J697">
        <f>IF(AND(MyRowHidden(ROW())=FALSE,MyRowHidden(ROW()-1)=TRUE),0,(G697-G696)*unitsOfExo+J696)</f>
        <v>108220</v>
      </c>
      <c r="K697" s="9">
        <f t="shared" si="32"/>
        <v>-108220</v>
      </c>
      <c r="L697">
        <f t="shared" si="33"/>
        <v>805880</v>
      </c>
    </row>
    <row r="698" spans="1:12" x14ac:dyDescent="0.25">
      <c r="A698" s="1"/>
      <c r="C698" s="1"/>
      <c r="D698" s="1">
        <v>42235</v>
      </c>
      <c r="E698" s="10">
        <v>99586</v>
      </c>
      <c r="F698" s="1">
        <v>42235</v>
      </c>
      <c r="G698">
        <v>16432</v>
      </c>
      <c r="H698" s="1">
        <f t="shared" si="31"/>
        <v>42235</v>
      </c>
      <c r="I698">
        <f>IF(AND(MyRowHidden(ROW())=FALSE,MyRowHidden(ROW()-1)=TRUE),0,(E698-E697)*unitsOfDHp+I697)</f>
        <v>695860</v>
      </c>
      <c r="J698">
        <f>IF(AND(MyRowHidden(ROW())=FALSE,MyRowHidden(ROW()-1)=TRUE),0,(G698-G697)*unitsOfExo+J697)</f>
        <v>108620</v>
      </c>
      <c r="K698" s="9">
        <f t="shared" si="32"/>
        <v>-108620</v>
      </c>
      <c r="L698">
        <f t="shared" si="33"/>
        <v>804480</v>
      </c>
    </row>
    <row r="699" spans="1:12" x14ac:dyDescent="0.25">
      <c r="A699" s="1"/>
      <c r="C699" s="1"/>
      <c r="D699" s="1">
        <v>42236</v>
      </c>
      <c r="E699" s="10">
        <v>99244</v>
      </c>
      <c r="F699" s="1">
        <v>42236</v>
      </c>
      <c r="G699">
        <v>16032</v>
      </c>
      <c r="H699" s="1">
        <f t="shared" si="31"/>
        <v>42236</v>
      </c>
      <c r="I699">
        <f>IF(AND(MyRowHidden(ROW())=FALSE,MyRowHidden(ROW()-1)=TRUE),0,(E699-E698)*unitsOfDHp+I698)</f>
        <v>692440</v>
      </c>
      <c r="J699">
        <f>IF(AND(MyRowHidden(ROW())=FALSE,MyRowHidden(ROW()-1)=TRUE),0,(G699-G698)*unitsOfExo+J698)</f>
        <v>104620</v>
      </c>
      <c r="K699" s="9">
        <f t="shared" si="32"/>
        <v>-104620</v>
      </c>
      <c r="L699">
        <f t="shared" si="33"/>
        <v>797060</v>
      </c>
    </row>
    <row r="700" spans="1:12" x14ac:dyDescent="0.25">
      <c r="A700" s="1"/>
      <c r="C700" s="1"/>
      <c r="D700" s="1">
        <v>42237</v>
      </c>
      <c r="E700" s="10">
        <v>98960</v>
      </c>
      <c r="F700" s="1">
        <v>42237</v>
      </c>
      <c r="G700">
        <v>15352</v>
      </c>
      <c r="H700" s="1">
        <f t="shared" si="31"/>
        <v>42237</v>
      </c>
      <c r="I700">
        <f>IF(AND(MyRowHidden(ROW())=FALSE,MyRowHidden(ROW()-1)=TRUE),0,(E700-E699)*unitsOfDHp+I699)</f>
        <v>689600</v>
      </c>
      <c r="J700">
        <f>IF(AND(MyRowHidden(ROW())=FALSE,MyRowHidden(ROW()-1)=TRUE),0,(G700-G699)*unitsOfExo+J699)</f>
        <v>97820</v>
      </c>
      <c r="K700" s="9">
        <f t="shared" si="32"/>
        <v>-97820</v>
      </c>
      <c r="L700">
        <f t="shared" si="33"/>
        <v>787420</v>
      </c>
    </row>
    <row r="701" spans="1:12" x14ac:dyDescent="0.25">
      <c r="A701" s="1"/>
      <c r="C701" s="1"/>
      <c r="D701" s="1">
        <v>42240</v>
      </c>
      <c r="E701" s="10">
        <v>96400</v>
      </c>
      <c r="F701" s="1">
        <v>42240</v>
      </c>
      <c r="G701">
        <v>16342</v>
      </c>
      <c r="H701" s="1">
        <f t="shared" si="31"/>
        <v>42240</v>
      </c>
      <c r="I701">
        <f>IF(AND(MyRowHidden(ROW())=FALSE,MyRowHidden(ROW()-1)=TRUE),0,(E701-E700)*unitsOfDHp+I700)</f>
        <v>664000</v>
      </c>
      <c r="J701">
        <f>IF(AND(MyRowHidden(ROW())=FALSE,MyRowHidden(ROW()-1)=TRUE),0,(G701-G700)*unitsOfExo+J700)</f>
        <v>107720</v>
      </c>
      <c r="K701" s="9">
        <f t="shared" si="32"/>
        <v>-107720</v>
      </c>
      <c r="L701">
        <f t="shared" si="33"/>
        <v>771720</v>
      </c>
    </row>
    <row r="702" spans="1:12" x14ac:dyDescent="0.25">
      <c r="A702" s="1"/>
      <c r="C702" s="1"/>
      <c r="D702" s="1">
        <v>42241</v>
      </c>
      <c r="E702" s="10">
        <v>95864</v>
      </c>
      <c r="F702" s="1">
        <v>42241</v>
      </c>
      <c r="G702">
        <v>16952</v>
      </c>
      <c r="H702" s="1">
        <f t="shared" si="31"/>
        <v>42241</v>
      </c>
      <c r="I702">
        <f>IF(AND(MyRowHidden(ROW())=FALSE,MyRowHidden(ROW()-1)=TRUE),0,(E702-E701)*unitsOfDHp+I701)</f>
        <v>658640</v>
      </c>
      <c r="J702">
        <f>IF(AND(MyRowHidden(ROW())=FALSE,MyRowHidden(ROW()-1)=TRUE),0,(G702-G701)*unitsOfExo+J701)</f>
        <v>113820</v>
      </c>
      <c r="K702" s="9">
        <f t="shared" si="32"/>
        <v>-113820</v>
      </c>
      <c r="L702">
        <f t="shared" si="33"/>
        <v>772460</v>
      </c>
    </row>
    <row r="703" spans="1:12" x14ac:dyDescent="0.25">
      <c r="A703" s="1"/>
      <c r="C703" s="1"/>
      <c r="D703" s="1">
        <v>42242</v>
      </c>
      <c r="E703" s="10">
        <v>95764</v>
      </c>
      <c r="F703" s="1">
        <v>42242</v>
      </c>
      <c r="G703">
        <v>16742</v>
      </c>
      <c r="H703" s="1">
        <f t="shared" si="31"/>
        <v>42242</v>
      </c>
      <c r="I703">
        <f>IF(AND(MyRowHidden(ROW())=FALSE,MyRowHidden(ROW()-1)=TRUE),0,(E703-E702)*unitsOfDHp+I702)</f>
        <v>657640</v>
      </c>
      <c r="J703">
        <f>IF(AND(MyRowHidden(ROW())=FALSE,MyRowHidden(ROW()-1)=TRUE),0,(G703-G702)*unitsOfExo+J702)</f>
        <v>111720</v>
      </c>
      <c r="K703" s="9">
        <f t="shared" si="32"/>
        <v>-111720</v>
      </c>
      <c r="L703">
        <f t="shared" si="33"/>
        <v>769360</v>
      </c>
    </row>
    <row r="704" spans="1:12" x14ac:dyDescent="0.25">
      <c r="A704" s="1"/>
      <c r="C704" s="1"/>
      <c r="D704" s="1">
        <v>42243</v>
      </c>
      <c r="E704" s="10">
        <v>95734</v>
      </c>
      <c r="F704" s="1">
        <v>42243</v>
      </c>
      <c r="G704">
        <v>16742</v>
      </c>
      <c r="H704" s="1">
        <f t="shared" si="31"/>
        <v>42243</v>
      </c>
      <c r="I704">
        <f>IF(AND(MyRowHidden(ROW())=FALSE,MyRowHidden(ROW()-1)=TRUE),0,(E704-E703)*unitsOfDHp+I703)</f>
        <v>657340</v>
      </c>
      <c r="J704">
        <f>IF(AND(MyRowHidden(ROW())=FALSE,MyRowHidden(ROW()-1)=TRUE),0,(G704-G703)*unitsOfExo+J703)</f>
        <v>111720</v>
      </c>
      <c r="K704" s="9">
        <f t="shared" si="32"/>
        <v>-111720</v>
      </c>
      <c r="L704">
        <f t="shared" si="33"/>
        <v>769060</v>
      </c>
    </row>
    <row r="705" spans="1:12" x14ac:dyDescent="0.25">
      <c r="A705" s="1"/>
      <c r="C705" s="1"/>
      <c r="D705" s="1">
        <v>42244</v>
      </c>
      <c r="E705" s="10">
        <v>95594</v>
      </c>
      <c r="F705" s="1">
        <v>42244</v>
      </c>
      <c r="G705">
        <v>16562</v>
      </c>
      <c r="H705" s="1">
        <f t="shared" si="31"/>
        <v>42244</v>
      </c>
      <c r="I705">
        <f>IF(AND(MyRowHidden(ROW())=FALSE,MyRowHidden(ROW()-1)=TRUE),0,(E705-E704)*unitsOfDHp+I704)</f>
        <v>655940</v>
      </c>
      <c r="J705">
        <f>IF(AND(MyRowHidden(ROW())=FALSE,MyRowHidden(ROW()-1)=TRUE),0,(G705-G704)*unitsOfExo+J704)</f>
        <v>109920</v>
      </c>
      <c r="K705" s="9">
        <f t="shared" si="32"/>
        <v>-109920</v>
      </c>
      <c r="L705">
        <f t="shared" si="33"/>
        <v>765860</v>
      </c>
    </row>
    <row r="706" spans="1:12" x14ac:dyDescent="0.25">
      <c r="A706" s="1"/>
      <c r="C706" s="1"/>
      <c r="D706" s="1">
        <v>42247</v>
      </c>
      <c r="E706" s="10">
        <v>95914</v>
      </c>
      <c r="F706" s="1">
        <v>42247</v>
      </c>
      <c r="G706">
        <v>17132</v>
      </c>
      <c r="H706" s="1">
        <f t="shared" si="31"/>
        <v>42247</v>
      </c>
      <c r="I706">
        <f>IF(AND(MyRowHidden(ROW())=FALSE,MyRowHidden(ROW()-1)=TRUE),0,(E706-E705)*unitsOfDHp+I705)</f>
        <v>659140</v>
      </c>
      <c r="J706">
        <f>IF(AND(MyRowHidden(ROW())=FALSE,MyRowHidden(ROW()-1)=TRUE),0,(G706-G705)*unitsOfExo+J705)</f>
        <v>115620</v>
      </c>
      <c r="K706" s="9">
        <f t="shared" si="32"/>
        <v>-115620</v>
      </c>
      <c r="L706">
        <f t="shared" si="33"/>
        <v>774760</v>
      </c>
    </row>
    <row r="707" spans="1:12" x14ac:dyDescent="0.25">
      <c r="A707" s="1"/>
      <c r="C707" s="1"/>
      <c r="D707" s="1">
        <v>42248</v>
      </c>
      <c r="E707" s="10">
        <v>95962</v>
      </c>
      <c r="F707" s="1">
        <v>42248</v>
      </c>
      <c r="G707">
        <v>17222</v>
      </c>
      <c r="H707" s="1">
        <f t="shared" si="31"/>
        <v>42248</v>
      </c>
      <c r="I707">
        <f>IF(AND(MyRowHidden(ROW())=FALSE,MyRowHidden(ROW()-1)=TRUE),0,(E707-E706)*unitsOfDHp+I706)</f>
        <v>659620</v>
      </c>
      <c r="J707">
        <f>IF(AND(MyRowHidden(ROW())=FALSE,MyRowHidden(ROW()-1)=TRUE),0,(G707-G706)*unitsOfExo+J706)</f>
        <v>116520</v>
      </c>
      <c r="K707" s="9">
        <f t="shared" si="32"/>
        <v>-116520</v>
      </c>
      <c r="L707">
        <f t="shared" si="33"/>
        <v>776140</v>
      </c>
    </row>
    <row r="708" spans="1:12" x14ac:dyDescent="0.25">
      <c r="A708" s="1"/>
      <c r="C708" s="1"/>
      <c r="D708" s="1">
        <v>42249</v>
      </c>
      <c r="E708" s="10">
        <v>96662</v>
      </c>
      <c r="F708" s="1">
        <v>42249</v>
      </c>
      <c r="G708">
        <v>17882</v>
      </c>
      <c r="H708" s="1">
        <f t="shared" si="31"/>
        <v>42249</v>
      </c>
      <c r="I708">
        <f>IF(AND(MyRowHidden(ROW())=FALSE,MyRowHidden(ROW()-1)=TRUE),0,(E708-E707)*unitsOfDHp+I707)</f>
        <v>666620</v>
      </c>
      <c r="J708">
        <f>IF(AND(MyRowHidden(ROW())=FALSE,MyRowHidden(ROW()-1)=TRUE),0,(G708-G707)*unitsOfExo+J707)</f>
        <v>123120</v>
      </c>
      <c r="K708" s="9">
        <f t="shared" si="32"/>
        <v>-123120</v>
      </c>
      <c r="L708">
        <f t="shared" si="33"/>
        <v>789740</v>
      </c>
    </row>
    <row r="709" spans="1:12" x14ac:dyDescent="0.25">
      <c r="A709" s="1"/>
      <c r="C709" s="1"/>
      <c r="D709" s="1">
        <v>42250</v>
      </c>
      <c r="E709" s="10">
        <v>96672</v>
      </c>
      <c r="F709" s="1">
        <v>42250</v>
      </c>
      <c r="G709">
        <v>17832</v>
      </c>
      <c r="H709" s="1">
        <f t="shared" si="31"/>
        <v>42250</v>
      </c>
      <c r="I709">
        <f>IF(AND(MyRowHidden(ROW())=FALSE,MyRowHidden(ROW()-1)=TRUE),0,(E709-E708)*unitsOfDHp+I708)</f>
        <v>666720</v>
      </c>
      <c r="J709">
        <f>IF(AND(MyRowHidden(ROW())=FALSE,MyRowHidden(ROW()-1)=TRUE),0,(G709-G708)*unitsOfExo+J708)</f>
        <v>122620</v>
      </c>
      <c r="K709" s="9">
        <f t="shared" si="32"/>
        <v>-122620</v>
      </c>
      <c r="L709">
        <f t="shared" si="33"/>
        <v>789340</v>
      </c>
    </row>
    <row r="710" spans="1:12" x14ac:dyDescent="0.25">
      <c r="A710" s="1"/>
      <c r="C710" s="1"/>
      <c r="D710" s="1">
        <v>42251</v>
      </c>
      <c r="E710" s="10">
        <v>96482</v>
      </c>
      <c r="F710" s="1">
        <v>42251</v>
      </c>
      <c r="G710">
        <v>17632</v>
      </c>
      <c r="H710" s="1">
        <f t="shared" si="31"/>
        <v>42251</v>
      </c>
      <c r="I710">
        <f>IF(AND(MyRowHidden(ROW())=FALSE,MyRowHidden(ROW()-1)=TRUE),0,(E710-E709)*unitsOfDHp+I709)</f>
        <v>664820</v>
      </c>
      <c r="J710">
        <f>IF(AND(MyRowHidden(ROW())=FALSE,MyRowHidden(ROW()-1)=TRUE),0,(G710-G709)*unitsOfExo+J709)</f>
        <v>120620</v>
      </c>
      <c r="K710" s="9">
        <f t="shared" si="32"/>
        <v>-120620</v>
      </c>
      <c r="L710">
        <f t="shared" si="33"/>
        <v>785440</v>
      </c>
    </row>
    <row r="711" spans="1:12" x14ac:dyDescent="0.25">
      <c r="A711" s="1"/>
      <c r="C711" s="1"/>
      <c r="D711" s="1">
        <v>42254</v>
      </c>
      <c r="E711" s="10">
        <v>96562</v>
      </c>
      <c r="F711" s="1">
        <v>42254</v>
      </c>
      <c r="G711">
        <v>17722</v>
      </c>
      <c r="H711" s="1">
        <f t="shared" si="31"/>
        <v>42254</v>
      </c>
      <c r="I711">
        <f>IF(AND(MyRowHidden(ROW())=FALSE,MyRowHidden(ROW()-1)=TRUE),0,(E711-E710)*unitsOfDHp+I710)</f>
        <v>665620</v>
      </c>
      <c r="J711">
        <f>IF(AND(MyRowHidden(ROW())=FALSE,MyRowHidden(ROW()-1)=TRUE),0,(G711-G710)*unitsOfExo+J710)</f>
        <v>121520</v>
      </c>
      <c r="K711" s="9">
        <f t="shared" si="32"/>
        <v>-121520</v>
      </c>
      <c r="L711">
        <f t="shared" si="33"/>
        <v>787140</v>
      </c>
    </row>
    <row r="712" spans="1:12" x14ac:dyDescent="0.25">
      <c r="A712" s="1"/>
      <c r="C712" s="1"/>
      <c r="D712" s="1">
        <v>42255</v>
      </c>
      <c r="E712" s="10">
        <v>96462</v>
      </c>
      <c r="F712" s="1">
        <v>42255</v>
      </c>
      <c r="G712">
        <v>17552</v>
      </c>
      <c r="H712" s="1">
        <f t="shared" si="31"/>
        <v>42255</v>
      </c>
      <c r="I712">
        <f>IF(AND(MyRowHidden(ROW())=FALSE,MyRowHidden(ROW()-1)=TRUE),0,(E712-E711)*unitsOfDHp+I711)</f>
        <v>664620</v>
      </c>
      <c r="J712">
        <f>IF(AND(MyRowHidden(ROW())=FALSE,MyRowHidden(ROW()-1)=TRUE),0,(G712-G711)*unitsOfExo+J711)</f>
        <v>119820</v>
      </c>
      <c r="K712" s="9">
        <f t="shared" si="32"/>
        <v>-119820</v>
      </c>
      <c r="L712">
        <f t="shared" si="33"/>
        <v>784440</v>
      </c>
    </row>
    <row r="713" spans="1:12" x14ac:dyDescent="0.25">
      <c r="A713" s="1"/>
      <c r="C713" s="1"/>
      <c r="D713" s="1">
        <v>42256</v>
      </c>
      <c r="E713" s="10">
        <v>96572</v>
      </c>
      <c r="F713" s="1">
        <v>42256</v>
      </c>
      <c r="G713">
        <v>17592</v>
      </c>
      <c r="H713" s="1">
        <f t="shared" si="31"/>
        <v>42256</v>
      </c>
      <c r="I713">
        <f>IF(AND(MyRowHidden(ROW())=FALSE,MyRowHidden(ROW()-1)=TRUE),0,(E713-E712)*unitsOfDHp+I712)</f>
        <v>665720</v>
      </c>
      <c r="J713">
        <f>IF(AND(MyRowHidden(ROW())=FALSE,MyRowHidden(ROW()-1)=TRUE),0,(G713-G712)*unitsOfExo+J712)</f>
        <v>120220</v>
      </c>
      <c r="K713" s="9">
        <f t="shared" si="32"/>
        <v>-120220</v>
      </c>
      <c r="L713">
        <f t="shared" si="33"/>
        <v>785940</v>
      </c>
    </row>
    <row r="714" spans="1:12" x14ac:dyDescent="0.25">
      <c r="A714" s="1"/>
      <c r="C714" s="1"/>
      <c r="D714" s="1">
        <v>42257</v>
      </c>
      <c r="E714" s="10">
        <v>96422</v>
      </c>
      <c r="F714" s="1">
        <v>42257</v>
      </c>
      <c r="G714">
        <v>17492</v>
      </c>
      <c r="H714" s="1">
        <f t="shared" si="31"/>
        <v>42257</v>
      </c>
      <c r="I714">
        <f>IF(AND(MyRowHidden(ROW())=FALSE,MyRowHidden(ROW()-1)=TRUE),0,(E714-E713)*unitsOfDHp+I713)</f>
        <v>664220</v>
      </c>
      <c r="J714">
        <f>IF(AND(MyRowHidden(ROW())=FALSE,MyRowHidden(ROW()-1)=TRUE),0,(G714-G713)*unitsOfExo+J713)</f>
        <v>119220</v>
      </c>
      <c r="K714" s="9">
        <f t="shared" si="32"/>
        <v>-119220</v>
      </c>
      <c r="L714">
        <f t="shared" si="33"/>
        <v>783440</v>
      </c>
    </row>
    <row r="715" spans="1:12" x14ac:dyDescent="0.25">
      <c r="A715" s="1"/>
      <c r="C715" s="1"/>
      <c r="D715" s="1">
        <v>42258</v>
      </c>
      <c r="E715" s="10">
        <v>96184</v>
      </c>
      <c r="F715" s="1">
        <v>42258</v>
      </c>
      <c r="G715">
        <v>17032</v>
      </c>
      <c r="H715" s="1">
        <f t="shared" si="31"/>
        <v>42258</v>
      </c>
      <c r="I715">
        <f>IF(AND(MyRowHidden(ROW())=FALSE,MyRowHidden(ROW()-1)=TRUE),0,(E715-E714)*unitsOfDHp+I714)</f>
        <v>661840</v>
      </c>
      <c r="J715">
        <f>IF(AND(MyRowHidden(ROW())=FALSE,MyRowHidden(ROW()-1)=TRUE),0,(G715-G714)*unitsOfExo+J714)</f>
        <v>114620</v>
      </c>
      <c r="K715" s="9">
        <f t="shared" si="32"/>
        <v>-114620</v>
      </c>
      <c r="L715">
        <f t="shared" si="33"/>
        <v>776460</v>
      </c>
    </row>
    <row r="716" spans="1:12" x14ac:dyDescent="0.25">
      <c r="A716" s="1"/>
      <c r="C716" s="1"/>
      <c r="D716" s="1">
        <v>42261</v>
      </c>
      <c r="E716" s="10">
        <v>95672</v>
      </c>
      <c r="F716" s="1">
        <v>42261</v>
      </c>
      <c r="G716">
        <v>16812</v>
      </c>
      <c r="H716" s="1">
        <f t="shared" si="31"/>
        <v>42261</v>
      </c>
      <c r="I716">
        <f>IF(AND(MyRowHidden(ROW())=FALSE,MyRowHidden(ROW()-1)=TRUE),0,(E716-E715)*unitsOfDHp+I715)</f>
        <v>656720</v>
      </c>
      <c r="J716">
        <f>IF(AND(MyRowHidden(ROW())=FALSE,MyRowHidden(ROW()-1)=TRUE),0,(G716-G715)*unitsOfExo+J715)</f>
        <v>112420</v>
      </c>
      <c r="K716" s="9">
        <f t="shared" si="32"/>
        <v>-112420</v>
      </c>
      <c r="L716">
        <f t="shared" si="33"/>
        <v>769140</v>
      </c>
    </row>
    <row r="717" spans="1:12" x14ac:dyDescent="0.25">
      <c r="A717" s="1"/>
      <c r="C717" s="1"/>
      <c r="D717" s="1">
        <v>42262</v>
      </c>
      <c r="E717" s="10">
        <v>96344</v>
      </c>
      <c r="F717" s="1">
        <v>42262</v>
      </c>
      <c r="G717">
        <v>17802</v>
      </c>
      <c r="H717" s="1">
        <f t="shared" ref="H717:H780" si="34">D717</f>
        <v>42262</v>
      </c>
      <c r="I717">
        <f>IF(AND(MyRowHidden(ROW())=FALSE,MyRowHidden(ROW()-1)=TRUE),0,(E717-E716)*unitsOfDHp+I716)</f>
        <v>663440</v>
      </c>
      <c r="J717">
        <f>IF(AND(MyRowHidden(ROW())=FALSE,MyRowHidden(ROW()-1)=TRUE),0,(G717-G716)*unitsOfExo+J716)</f>
        <v>122320</v>
      </c>
      <c r="K717" s="9">
        <f t="shared" ref="K717:K780" si="35">-(J717-J716)+K716</f>
        <v>-122320</v>
      </c>
      <c r="L717">
        <f t="shared" ref="L717:L780" si="36">I717+J717</f>
        <v>785760</v>
      </c>
    </row>
    <row r="718" spans="1:12" x14ac:dyDescent="0.25">
      <c r="A718" s="1"/>
      <c r="C718" s="1"/>
      <c r="D718" s="1">
        <v>42263</v>
      </c>
      <c r="E718" s="10">
        <v>95134</v>
      </c>
      <c r="F718" s="1">
        <v>42263</v>
      </c>
      <c r="G718">
        <v>17332</v>
      </c>
      <c r="H718" s="1">
        <f t="shared" si="34"/>
        <v>42263</v>
      </c>
      <c r="I718">
        <f>IF(AND(MyRowHidden(ROW())=FALSE,MyRowHidden(ROW()-1)=TRUE),0,(E718-E717)*unitsOfDHp+I717)</f>
        <v>651340</v>
      </c>
      <c r="J718">
        <f>IF(AND(MyRowHidden(ROW())=FALSE,MyRowHidden(ROW()-1)=TRUE),0,(G718-G717)*unitsOfExo+J717)</f>
        <v>117620</v>
      </c>
      <c r="K718" s="9">
        <f t="shared" si="35"/>
        <v>-117620</v>
      </c>
      <c r="L718">
        <f t="shared" si="36"/>
        <v>768960</v>
      </c>
    </row>
    <row r="719" spans="1:12" x14ac:dyDescent="0.25">
      <c r="A719" s="1"/>
      <c r="C719" s="1"/>
      <c r="D719" s="1">
        <v>42264</v>
      </c>
      <c r="E719" s="10">
        <v>97722</v>
      </c>
      <c r="F719" s="1">
        <v>42264</v>
      </c>
      <c r="G719">
        <v>18432</v>
      </c>
      <c r="H719" s="1">
        <f t="shared" si="34"/>
        <v>42264</v>
      </c>
      <c r="I719">
        <f>IF(AND(MyRowHidden(ROW())=FALSE,MyRowHidden(ROW()-1)=TRUE),0,(E719-E718)*unitsOfDHp+I718)</f>
        <v>677220</v>
      </c>
      <c r="J719">
        <f>IF(AND(MyRowHidden(ROW())=FALSE,MyRowHidden(ROW()-1)=TRUE),0,(G719-G718)*unitsOfExo+J718)</f>
        <v>128620</v>
      </c>
      <c r="K719" s="9">
        <f t="shared" si="35"/>
        <v>-128620</v>
      </c>
      <c r="L719">
        <f t="shared" si="36"/>
        <v>805840</v>
      </c>
    </row>
    <row r="720" spans="1:12" x14ac:dyDescent="0.25">
      <c r="A720" s="1"/>
      <c r="C720" s="1"/>
      <c r="D720" s="1">
        <v>42265</v>
      </c>
      <c r="E720" s="10">
        <v>97454</v>
      </c>
      <c r="F720" s="1">
        <v>42265</v>
      </c>
      <c r="G720">
        <v>18322</v>
      </c>
      <c r="H720" s="1">
        <f t="shared" si="34"/>
        <v>42265</v>
      </c>
      <c r="I720">
        <f>IF(AND(MyRowHidden(ROW())=FALSE,MyRowHidden(ROW()-1)=TRUE),0,(E720-E719)*unitsOfDHp+I719)</f>
        <v>674540</v>
      </c>
      <c r="J720">
        <f>IF(AND(MyRowHidden(ROW())=FALSE,MyRowHidden(ROW()-1)=TRUE),0,(G720-G719)*unitsOfExo+J719)</f>
        <v>127520</v>
      </c>
      <c r="K720" s="9">
        <f t="shared" si="35"/>
        <v>-127520</v>
      </c>
      <c r="L720">
        <f t="shared" si="36"/>
        <v>802060</v>
      </c>
    </row>
    <row r="721" spans="1:12" x14ac:dyDescent="0.25">
      <c r="A721" s="1"/>
      <c r="C721" s="1"/>
      <c r="D721" s="1">
        <v>42268</v>
      </c>
      <c r="E721" s="10">
        <v>99114</v>
      </c>
      <c r="F721" s="1">
        <v>42268</v>
      </c>
      <c r="G721">
        <v>18702</v>
      </c>
      <c r="H721" s="1">
        <f t="shared" si="34"/>
        <v>42268</v>
      </c>
      <c r="I721">
        <f>IF(AND(MyRowHidden(ROW())=FALSE,MyRowHidden(ROW()-1)=TRUE),0,(E721-E720)*unitsOfDHp+I720)</f>
        <v>691140</v>
      </c>
      <c r="J721">
        <f>IF(AND(MyRowHidden(ROW())=FALSE,MyRowHidden(ROW()-1)=TRUE),0,(G721-G720)*unitsOfExo+J720)</f>
        <v>131320</v>
      </c>
      <c r="K721" s="9">
        <f t="shared" si="35"/>
        <v>-131320</v>
      </c>
      <c r="L721">
        <f t="shared" si="36"/>
        <v>822460</v>
      </c>
    </row>
    <row r="722" spans="1:12" x14ac:dyDescent="0.25">
      <c r="A722" s="1"/>
      <c r="C722" s="1"/>
      <c r="D722" s="1">
        <v>42269</v>
      </c>
      <c r="E722" s="10">
        <v>97524</v>
      </c>
      <c r="F722" s="1">
        <v>42269</v>
      </c>
      <c r="G722">
        <v>18372</v>
      </c>
      <c r="H722" s="1">
        <f t="shared" si="34"/>
        <v>42269</v>
      </c>
      <c r="I722">
        <f>IF(AND(MyRowHidden(ROW())=FALSE,MyRowHidden(ROW()-1)=TRUE),0,(E722-E721)*unitsOfDHp+I721)</f>
        <v>675240</v>
      </c>
      <c r="J722">
        <f>IF(AND(MyRowHidden(ROW())=FALSE,MyRowHidden(ROW()-1)=TRUE),0,(G722-G721)*unitsOfExo+J721)</f>
        <v>128020</v>
      </c>
      <c r="K722" s="9">
        <f t="shared" si="35"/>
        <v>-128020</v>
      </c>
      <c r="L722">
        <f t="shared" si="36"/>
        <v>803260</v>
      </c>
    </row>
    <row r="723" spans="1:12" x14ac:dyDescent="0.25">
      <c r="A723" s="1"/>
      <c r="C723" s="1"/>
      <c r="D723" s="1">
        <v>42270</v>
      </c>
      <c r="E723" s="10">
        <v>96894</v>
      </c>
      <c r="F723" s="1">
        <v>42270</v>
      </c>
      <c r="G723">
        <v>18212</v>
      </c>
      <c r="H723" s="1">
        <f t="shared" si="34"/>
        <v>42270</v>
      </c>
      <c r="I723">
        <f>IF(AND(MyRowHidden(ROW())=FALSE,MyRowHidden(ROW()-1)=TRUE),0,(E723-E722)*unitsOfDHp+I722)</f>
        <v>668940</v>
      </c>
      <c r="J723">
        <f>IF(AND(MyRowHidden(ROW())=FALSE,MyRowHidden(ROW()-1)=TRUE),0,(G723-G722)*unitsOfExo+J722)</f>
        <v>126420</v>
      </c>
      <c r="K723" s="9">
        <f t="shared" si="35"/>
        <v>-126420</v>
      </c>
      <c r="L723">
        <f t="shared" si="36"/>
        <v>795360</v>
      </c>
    </row>
    <row r="724" spans="1:12" x14ac:dyDescent="0.25">
      <c r="A724" s="1"/>
      <c r="C724" s="1"/>
      <c r="D724" s="1">
        <v>42271</v>
      </c>
      <c r="E724" s="10">
        <v>99242</v>
      </c>
      <c r="F724" s="1">
        <v>42271</v>
      </c>
      <c r="G724">
        <v>18622</v>
      </c>
      <c r="H724" s="1">
        <f t="shared" si="34"/>
        <v>42271</v>
      </c>
      <c r="I724">
        <f>IF(AND(MyRowHidden(ROW())=FALSE,MyRowHidden(ROW()-1)=TRUE),0,(E724-E723)*unitsOfDHp+I723)</f>
        <v>692420</v>
      </c>
      <c r="J724">
        <f>IF(AND(MyRowHidden(ROW())=FALSE,MyRowHidden(ROW()-1)=TRUE),0,(G724-G723)*unitsOfExo+J723)</f>
        <v>130520</v>
      </c>
      <c r="K724" s="9">
        <f t="shared" si="35"/>
        <v>-130520</v>
      </c>
      <c r="L724">
        <f t="shared" si="36"/>
        <v>822940</v>
      </c>
    </row>
    <row r="725" spans="1:12" x14ac:dyDescent="0.25">
      <c r="A725" s="1"/>
      <c r="C725" s="1"/>
      <c r="D725" s="1">
        <v>42272</v>
      </c>
      <c r="E725" s="10">
        <v>100352</v>
      </c>
      <c r="F725" s="1">
        <v>42272</v>
      </c>
      <c r="G725">
        <v>18692</v>
      </c>
      <c r="H725" s="1">
        <f t="shared" si="34"/>
        <v>42272</v>
      </c>
      <c r="I725">
        <f>IF(AND(MyRowHidden(ROW())=FALSE,MyRowHidden(ROW()-1)=TRUE),0,(E725-E724)*unitsOfDHp+I724)</f>
        <v>703520</v>
      </c>
      <c r="J725">
        <f>IF(AND(MyRowHidden(ROW())=FALSE,MyRowHidden(ROW()-1)=TRUE),0,(G725-G724)*unitsOfExo+J724)</f>
        <v>131220</v>
      </c>
      <c r="K725" s="9">
        <f t="shared" si="35"/>
        <v>-131220</v>
      </c>
      <c r="L725">
        <f t="shared" si="36"/>
        <v>834740</v>
      </c>
    </row>
    <row r="726" spans="1:12" x14ac:dyDescent="0.25">
      <c r="A726" s="1"/>
      <c r="C726" s="1"/>
      <c r="D726" s="1">
        <v>42275</v>
      </c>
      <c r="E726" s="10">
        <v>98872</v>
      </c>
      <c r="F726" s="1">
        <v>42275</v>
      </c>
      <c r="G726">
        <v>18502</v>
      </c>
      <c r="H726" s="1">
        <f t="shared" si="34"/>
        <v>42275</v>
      </c>
      <c r="I726">
        <f>IF(AND(MyRowHidden(ROW())=FALSE,MyRowHidden(ROW()-1)=TRUE),0,(E726-E725)*unitsOfDHp+I725)</f>
        <v>688720</v>
      </c>
      <c r="J726">
        <f>IF(AND(MyRowHidden(ROW())=FALSE,MyRowHidden(ROW()-1)=TRUE),0,(G726-G725)*unitsOfExo+J725)</f>
        <v>129320</v>
      </c>
      <c r="K726" s="9">
        <f t="shared" si="35"/>
        <v>-129320</v>
      </c>
      <c r="L726">
        <f t="shared" si="36"/>
        <v>818040</v>
      </c>
    </row>
    <row r="727" spans="1:12" x14ac:dyDescent="0.25">
      <c r="A727" s="1"/>
      <c r="C727" s="1"/>
      <c r="D727" s="1">
        <v>42276</v>
      </c>
      <c r="E727" s="10">
        <v>103492</v>
      </c>
      <c r="F727" s="1">
        <v>42276</v>
      </c>
      <c r="G727">
        <v>19272</v>
      </c>
      <c r="H727" s="1">
        <f t="shared" si="34"/>
        <v>42276</v>
      </c>
      <c r="I727">
        <f>IF(AND(MyRowHidden(ROW())=FALSE,MyRowHidden(ROW()-1)=TRUE),0,(E727-E726)*unitsOfDHp+I726)</f>
        <v>734920</v>
      </c>
      <c r="J727">
        <f>IF(AND(MyRowHidden(ROW())=FALSE,MyRowHidden(ROW()-1)=TRUE),0,(G727-G726)*unitsOfExo+J726)</f>
        <v>137020</v>
      </c>
      <c r="K727" s="9">
        <f t="shared" si="35"/>
        <v>-137020</v>
      </c>
      <c r="L727">
        <f t="shared" si="36"/>
        <v>871940</v>
      </c>
    </row>
    <row r="728" spans="1:12" x14ac:dyDescent="0.25">
      <c r="A728" s="1"/>
      <c r="C728" s="1"/>
      <c r="D728" s="1">
        <v>42277</v>
      </c>
      <c r="E728" s="10">
        <v>104782</v>
      </c>
      <c r="F728" s="1">
        <v>42277</v>
      </c>
      <c r="G728">
        <v>19512</v>
      </c>
      <c r="H728" s="1">
        <f t="shared" si="34"/>
        <v>42277</v>
      </c>
      <c r="I728">
        <f>IF(AND(MyRowHidden(ROW())=FALSE,MyRowHidden(ROW()-1)=TRUE),0,(E728-E727)*unitsOfDHp+I727)</f>
        <v>747820</v>
      </c>
      <c r="J728">
        <f>IF(AND(MyRowHidden(ROW())=FALSE,MyRowHidden(ROW()-1)=TRUE),0,(G728-G727)*unitsOfExo+J727)</f>
        <v>139420</v>
      </c>
      <c r="K728" s="9">
        <f t="shared" si="35"/>
        <v>-139420</v>
      </c>
      <c r="L728">
        <f t="shared" si="36"/>
        <v>887240</v>
      </c>
    </row>
    <row r="729" spans="1:12" x14ac:dyDescent="0.25">
      <c r="A729" s="1"/>
      <c r="C729" s="1"/>
      <c r="D729" s="1">
        <v>42278</v>
      </c>
      <c r="E729" s="10">
        <v>102372</v>
      </c>
      <c r="F729" s="1">
        <v>42278</v>
      </c>
      <c r="G729">
        <v>19060</v>
      </c>
      <c r="H729" s="1">
        <f t="shared" si="34"/>
        <v>42278</v>
      </c>
      <c r="I729">
        <f>IF(AND(MyRowHidden(ROW())=FALSE,MyRowHidden(ROW()-1)=TRUE),0,(E729-E728)*unitsOfDHp+I728)</f>
        <v>723720</v>
      </c>
      <c r="J729">
        <f>IF(AND(MyRowHidden(ROW())=FALSE,MyRowHidden(ROW()-1)=TRUE),0,(G729-G728)*unitsOfExo+J728)</f>
        <v>134900</v>
      </c>
      <c r="K729" s="9">
        <f t="shared" si="35"/>
        <v>-134900</v>
      </c>
      <c r="L729">
        <f t="shared" si="36"/>
        <v>858620</v>
      </c>
    </row>
    <row r="730" spans="1:12" x14ac:dyDescent="0.25">
      <c r="A730" s="1"/>
      <c r="C730" s="1"/>
      <c r="D730" s="1">
        <v>42279</v>
      </c>
      <c r="E730" s="10">
        <v>104152</v>
      </c>
      <c r="F730" s="1">
        <v>42279</v>
      </c>
      <c r="G730">
        <v>19360</v>
      </c>
      <c r="H730" s="1">
        <f t="shared" si="34"/>
        <v>42279</v>
      </c>
      <c r="I730">
        <f>IF(AND(MyRowHidden(ROW())=FALSE,MyRowHidden(ROW()-1)=TRUE),0,(E730-E729)*unitsOfDHp+I729)</f>
        <v>741520</v>
      </c>
      <c r="J730">
        <f>IF(AND(MyRowHidden(ROW())=FALSE,MyRowHidden(ROW()-1)=TRUE),0,(G730-G729)*unitsOfExo+J729)</f>
        <v>137900</v>
      </c>
      <c r="K730" s="9">
        <f t="shared" si="35"/>
        <v>-137900</v>
      </c>
      <c r="L730">
        <f t="shared" si="36"/>
        <v>879420</v>
      </c>
    </row>
    <row r="731" spans="1:12" x14ac:dyDescent="0.25">
      <c r="A731" s="1"/>
      <c r="C731" s="1"/>
      <c r="D731" s="1">
        <v>42282</v>
      </c>
      <c r="E731" s="10">
        <v>102772</v>
      </c>
      <c r="F731" s="1">
        <v>42282</v>
      </c>
      <c r="G731">
        <v>19110</v>
      </c>
      <c r="H731" s="1">
        <f t="shared" si="34"/>
        <v>42282</v>
      </c>
      <c r="I731">
        <f>IF(AND(MyRowHidden(ROW())=FALSE,MyRowHidden(ROW()-1)=TRUE),0,(E731-E730)*unitsOfDHp+I730)</f>
        <v>727720</v>
      </c>
      <c r="J731">
        <f>IF(AND(MyRowHidden(ROW())=FALSE,MyRowHidden(ROW()-1)=TRUE),0,(G731-G730)*unitsOfExo+J730)</f>
        <v>135400</v>
      </c>
      <c r="K731" s="9">
        <f t="shared" si="35"/>
        <v>-135400</v>
      </c>
      <c r="L731">
        <f t="shared" si="36"/>
        <v>863120</v>
      </c>
    </row>
    <row r="732" spans="1:12" x14ac:dyDescent="0.25">
      <c r="A732" s="1"/>
      <c r="C732" s="1"/>
      <c r="D732" s="1">
        <v>42283</v>
      </c>
      <c r="E732" s="10">
        <v>105012</v>
      </c>
      <c r="F732" s="1">
        <v>42283</v>
      </c>
      <c r="G732">
        <v>19490</v>
      </c>
      <c r="H732" s="1">
        <f t="shared" si="34"/>
        <v>42283</v>
      </c>
      <c r="I732">
        <f>IF(AND(MyRowHidden(ROW())=FALSE,MyRowHidden(ROW()-1)=TRUE),0,(E732-E731)*unitsOfDHp+I731)</f>
        <v>750120</v>
      </c>
      <c r="J732">
        <f>IF(AND(MyRowHidden(ROW())=FALSE,MyRowHidden(ROW()-1)=TRUE),0,(G732-G731)*unitsOfExo+J731)</f>
        <v>139200</v>
      </c>
      <c r="K732" s="9">
        <f t="shared" si="35"/>
        <v>-139200</v>
      </c>
      <c r="L732">
        <f t="shared" si="36"/>
        <v>889320</v>
      </c>
    </row>
    <row r="733" spans="1:12" x14ac:dyDescent="0.25">
      <c r="A733" s="1"/>
      <c r="C733" s="1"/>
      <c r="D733" s="1">
        <v>42284</v>
      </c>
      <c r="E733" s="10">
        <v>105732</v>
      </c>
      <c r="F733" s="1">
        <v>42284</v>
      </c>
      <c r="G733">
        <v>19610</v>
      </c>
      <c r="H733" s="1">
        <f t="shared" si="34"/>
        <v>42284</v>
      </c>
      <c r="I733">
        <f>IF(AND(MyRowHidden(ROW())=FALSE,MyRowHidden(ROW()-1)=TRUE),0,(E733-E732)*unitsOfDHp+I732)</f>
        <v>757320</v>
      </c>
      <c r="J733">
        <f>IF(AND(MyRowHidden(ROW())=FALSE,MyRowHidden(ROW()-1)=TRUE),0,(G733-G732)*unitsOfExo+J732)</f>
        <v>140400</v>
      </c>
      <c r="K733" s="9">
        <f t="shared" si="35"/>
        <v>-140400</v>
      </c>
      <c r="L733">
        <f t="shared" si="36"/>
        <v>897720</v>
      </c>
    </row>
    <row r="734" spans="1:12" x14ac:dyDescent="0.25">
      <c r="A734" s="1"/>
      <c r="C734" s="1"/>
      <c r="D734" s="1">
        <v>42285</v>
      </c>
      <c r="E734" s="10">
        <v>105992</v>
      </c>
      <c r="F734" s="1">
        <v>42285</v>
      </c>
      <c r="G734">
        <v>19630</v>
      </c>
      <c r="H734" s="1">
        <f t="shared" si="34"/>
        <v>42285</v>
      </c>
      <c r="I734">
        <f>IF(AND(MyRowHidden(ROW())=FALSE,MyRowHidden(ROW()-1)=TRUE),0,(E734-E733)*unitsOfDHp+I733)</f>
        <v>759920</v>
      </c>
      <c r="J734">
        <f>IF(AND(MyRowHidden(ROW())=FALSE,MyRowHidden(ROW()-1)=TRUE),0,(G734-G733)*unitsOfExo+J733)</f>
        <v>140600</v>
      </c>
      <c r="K734" s="9">
        <f t="shared" si="35"/>
        <v>-140600</v>
      </c>
      <c r="L734">
        <f t="shared" si="36"/>
        <v>900520</v>
      </c>
    </row>
    <row r="735" spans="1:12" x14ac:dyDescent="0.25">
      <c r="A735" s="1"/>
      <c r="C735" s="1"/>
      <c r="D735" s="1">
        <v>42286</v>
      </c>
      <c r="E735" s="10">
        <v>105822</v>
      </c>
      <c r="F735" s="1">
        <v>42286</v>
      </c>
      <c r="G735">
        <v>19590</v>
      </c>
      <c r="H735" s="1">
        <f t="shared" si="34"/>
        <v>42286</v>
      </c>
      <c r="I735">
        <f>IF(AND(MyRowHidden(ROW())=FALSE,MyRowHidden(ROW()-1)=TRUE),0,(E735-E734)*unitsOfDHp+I734)</f>
        <v>758220</v>
      </c>
      <c r="J735">
        <f>IF(AND(MyRowHidden(ROW())=FALSE,MyRowHidden(ROW()-1)=TRUE),0,(G735-G734)*unitsOfExo+J734)</f>
        <v>140200</v>
      </c>
      <c r="K735" s="9">
        <f t="shared" si="35"/>
        <v>-140200</v>
      </c>
      <c r="L735">
        <f t="shared" si="36"/>
        <v>898420</v>
      </c>
    </row>
    <row r="736" spans="1:12" x14ac:dyDescent="0.25">
      <c r="A736" s="1"/>
      <c r="C736" s="1"/>
      <c r="D736" s="1">
        <v>42289</v>
      </c>
      <c r="E736" s="10">
        <v>106472</v>
      </c>
      <c r="F736" s="1">
        <v>42289</v>
      </c>
      <c r="G736">
        <v>19710</v>
      </c>
      <c r="H736" s="1">
        <f t="shared" si="34"/>
        <v>42289</v>
      </c>
      <c r="I736">
        <f>IF(AND(MyRowHidden(ROW())=FALSE,MyRowHidden(ROW()-1)=TRUE),0,(E736-E735)*unitsOfDHp+I735)</f>
        <v>764720</v>
      </c>
      <c r="J736">
        <f>IF(AND(MyRowHidden(ROW())=FALSE,MyRowHidden(ROW()-1)=TRUE),0,(G736-G735)*unitsOfExo+J735)</f>
        <v>141400</v>
      </c>
      <c r="K736" s="9">
        <f t="shared" si="35"/>
        <v>-141400</v>
      </c>
      <c r="L736">
        <f t="shared" si="36"/>
        <v>906120</v>
      </c>
    </row>
    <row r="737" spans="1:12" x14ac:dyDescent="0.25">
      <c r="A737" s="1"/>
      <c r="C737" s="1"/>
      <c r="D737" s="1">
        <v>42290</v>
      </c>
      <c r="E737" s="10">
        <v>107672</v>
      </c>
      <c r="F737" s="1">
        <v>42290</v>
      </c>
      <c r="G737">
        <v>19920</v>
      </c>
      <c r="H737" s="1">
        <f t="shared" si="34"/>
        <v>42290</v>
      </c>
      <c r="I737">
        <f>IF(AND(MyRowHidden(ROW())=FALSE,MyRowHidden(ROW()-1)=TRUE),0,(E737-E736)*unitsOfDHp+I736)</f>
        <v>776720</v>
      </c>
      <c r="J737">
        <f>IF(AND(MyRowHidden(ROW())=FALSE,MyRowHidden(ROW()-1)=TRUE),0,(G737-G736)*unitsOfExo+J736)</f>
        <v>143500</v>
      </c>
      <c r="K737" s="9">
        <f t="shared" si="35"/>
        <v>-143500</v>
      </c>
      <c r="L737">
        <f t="shared" si="36"/>
        <v>920220</v>
      </c>
    </row>
    <row r="738" spans="1:12" x14ac:dyDescent="0.25">
      <c r="A738" s="1"/>
      <c r="C738" s="1"/>
      <c r="D738" s="1">
        <v>42291</v>
      </c>
      <c r="E738" s="10">
        <v>108462</v>
      </c>
      <c r="F738" s="1">
        <v>42291</v>
      </c>
      <c r="G738">
        <v>20040</v>
      </c>
      <c r="H738" s="1">
        <f t="shared" si="34"/>
        <v>42291</v>
      </c>
      <c r="I738">
        <f>IF(AND(MyRowHidden(ROW())=FALSE,MyRowHidden(ROW()-1)=TRUE),0,(E738-E737)*unitsOfDHp+I737)</f>
        <v>784620</v>
      </c>
      <c r="J738">
        <f>IF(AND(MyRowHidden(ROW())=FALSE,MyRowHidden(ROW()-1)=TRUE),0,(G738-G737)*unitsOfExo+J737)</f>
        <v>144700</v>
      </c>
      <c r="K738" s="9">
        <f t="shared" si="35"/>
        <v>-144700</v>
      </c>
      <c r="L738">
        <f t="shared" si="36"/>
        <v>929320</v>
      </c>
    </row>
    <row r="739" spans="1:12" x14ac:dyDescent="0.25">
      <c r="A739" s="1"/>
      <c r="C739" s="1"/>
      <c r="D739" s="1">
        <v>42292</v>
      </c>
      <c r="E739" s="10">
        <v>108254</v>
      </c>
      <c r="F739" s="1">
        <v>42292</v>
      </c>
      <c r="G739">
        <v>20090</v>
      </c>
      <c r="H739" s="1">
        <f t="shared" si="34"/>
        <v>42292</v>
      </c>
      <c r="I739">
        <f>IF(AND(MyRowHidden(ROW())=FALSE,MyRowHidden(ROW()-1)=TRUE),0,(E739-E738)*unitsOfDHp+I738)</f>
        <v>782540</v>
      </c>
      <c r="J739">
        <f>IF(AND(MyRowHidden(ROW())=FALSE,MyRowHidden(ROW()-1)=TRUE),0,(G739-G738)*unitsOfExo+J738)</f>
        <v>145200</v>
      </c>
      <c r="K739" s="9">
        <f t="shared" si="35"/>
        <v>-145200</v>
      </c>
      <c r="L739">
        <f t="shared" si="36"/>
        <v>927740</v>
      </c>
    </row>
    <row r="740" spans="1:12" x14ac:dyDescent="0.25">
      <c r="A740" s="1"/>
      <c r="C740" s="1"/>
      <c r="D740" s="1">
        <v>42293</v>
      </c>
      <c r="E740" s="10">
        <v>107222</v>
      </c>
      <c r="F740" s="1">
        <v>42293</v>
      </c>
      <c r="G740">
        <v>19660</v>
      </c>
      <c r="H740" s="1">
        <f t="shared" si="34"/>
        <v>42293</v>
      </c>
      <c r="I740">
        <f>IF(AND(MyRowHidden(ROW())=FALSE,MyRowHidden(ROW()-1)=TRUE),0,(E740-E739)*unitsOfDHp+I739)</f>
        <v>772220</v>
      </c>
      <c r="J740">
        <f>IF(AND(MyRowHidden(ROW())=FALSE,MyRowHidden(ROW()-1)=TRUE),0,(G740-G739)*unitsOfExo+J739)</f>
        <v>140900</v>
      </c>
      <c r="K740" s="9">
        <f t="shared" si="35"/>
        <v>-140900</v>
      </c>
      <c r="L740">
        <f t="shared" si="36"/>
        <v>913120</v>
      </c>
    </row>
    <row r="741" spans="1:12" x14ac:dyDescent="0.25">
      <c r="A741" s="1"/>
      <c r="C741" s="1"/>
      <c r="D741" s="1">
        <v>42296</v>
      </c>
      <c r="E741" s="10">
        <v>107280</v>
      </c>
      <c r="F741" s="1">
        <v>42296</v>
      </c>
      <c r="G741">
        <v>19910</v>
      </c>
      <c r="H741" s="1">
        <f t="shared" si="34"/>
        <v>42296</v>
      </c>
      <c r="I741">
        <f>IF(AND(MyRowHidden(ROW())=FALSE,MyRowHidden(ROW()-1)=TRUE),0,(E741-E740)*unitsOfDHp+I740)</f>
        <v>772800</v>
      </c>
      <c r="J741">
        <f>IF(AND(MyRowHidden(ROW())=FALSE,MyRowHidden(ROW()-1)=TRUE),0,(G741-G740)*unitsOfExo+J740)</f>
        <v>143400</v>
      </c>
      <c r="K741" s="9">
        <f t="shared" si="35"/>
        <v>-143400</v>
      </c>
      <c r="L741">
        <f t="shared" si="36"/>
        <v>916200</v>
      </c>
    </row>
    <row r="742" spans="1:12" x14ac:dyDescent="0.25">
      <c r="A742" s="1"/>
      <c r="C742" s="1"/>
      <c r="D742" s="1">
        <v>42297</v>
      </c>
      <c r="E742" s="10">
        <v>108924</v>
      </c>
      <c r="F742" s="1">
        <v>42297</v>
      </c>
      <c r="G742">
        <v>20610</v>
      </c>
      <c r="H742" s="1">
        <f t="shared" si="34"/>
        <v>42297</v>
      </c>
      <c r="I742">
        <f>IF(AND(MyRowHidden(ROW())=FALSE,MyRowHidden(ROW()-1)=TRUE),0,(E742-E741)*unitsOfDHp+I741)</f>
        <v>789240</v>
      </c>
      <c r="J742">
        <f>IF(AND(MyRowHidden(ROW())=FALSE,MyRowHidden(ROW()-1)=TRUE),0,(G742-G741)*unitsOfExo+J741)</f>
        <v>150400</v>
      </c>
      <c r="K742" s="9">
        <f t="shared" si="35"/>
        <v>-150400</v>
      </c>
      <c r="L742">
        <f t="shared" si="36"/>
        <v>939640</v>
      </c>
    </row>
    <row r="743" spans="1:12" x14ac:dyDescent="0.25">
      <c r="A743" s="1"/>
      <c r="C743" s="1"/>
      <c r="D743" s="1">
        <v>42298</v>
      </c>
      <c r="E743" s="10">
        <v>108230</v>
      </c>
      <c r="F743" s="1">
        <v>42298</v>
      </c>
      <c r="G743">
        <v>20200</v>
      </c>
      <c r="H743" s="1">
        <f t="shared" si="34"/>
        <v>42298</v>
      </c>
      <c r="I743">
        <f>IF(AND(MyRowHidden(ROW())=FALSE,MyRowHidden(ROW()-1)=TRUE),0,(E743-E742)*unitsOfDHp+I742)</f>
        <v>782300</v>
      </c>
      <c r="J743">
        <f>IF(AND(MyRowHidden(ROW())=FALSE,MyRowHidden(ROW()-1)=TRUE),0,(G743-G742)*unitsOfExo+J742)</f>
        <v>146300</v>
      </c>
      <c r="K743" s="9">
        <f t="shared" si="35"/>
        <v>-146300</v>
      </c>
      <c r="L743">
        <f t="shared" si="36"/>
        <v>928600</v>
      </c>
    </row>
    <row r="744" spans="1:12" x14ac:dyDescent="0.25">
      <c r="A744" s="1"/>
      <c r="C744" s="1"/>
      <c r="D744" s="1">
        <v>42299</v>
      </c>
      <c r="E744" s="10">
        <v>107770</v>
      </c>
      <c r="F744" s="1">
        <v>42299</v>
      </c>
      <c r="G744">
        <v>20100</v>
      </c>
      <c r="H744" s="1">
        <f t="shared" si="34"/>
        <v>42299</v>
      </c>
      <c r="I744">
        <f>IF(AND(MyRowHidden(ROW())=FALSE,MyRowHidden(ROW()-1)=TRUE),0,(E744-E743)*unitsOfDHp+I743)</f>
        <v>777700</v>
      </c>
      <c r="J744">
        <f>IF(AND(MyRowHidden(ROW())=FALSE,MyRowHidden(ROW()-1)=TRUE),0,(G744-G743)*unitsOfExo+J743)</f>
        <v>145300</v>
      </c>
      <c r="K744" s="9">
        <f t="shared" si="35"/>
        <v>-145300</v>
      </c>
      <c r="L744">
        <f t="shared" si="36"/>
        <v>923000</v>
      </c>
    </row>
    <row r="745" spans="1:12" x14ac:dyDescent="0.25">
      <c r="A745" s="1"/>
      <c r="C745" s="1"/>
      <c r="D745" s="1">
        <v>42300</v>
      </c>
      <c r="E745" s="10">
        <v>107286</v>
      </c>
      <c r="F745" s="1">
        <v>42300</v>
      </c>
      <c r="G745">
        <v>18770</v>
      </c>
      <c r="H745" s="1">
        <f t="shared" si="34"/>
        <v>42300</v>
      </c>
      <c r="I745">
        <f>IF(AND(MyRowHidden(ROW())=FALSE,MyRowHidden(ROW()-1)=TRUE),0,(E745-E744)*unitsOfDHp+I744)</f>
        <v>772860</v>
      </c>
      <c r="J745">
        <f>IF(AND(MyRowHidden(ROW())=FALSE,MyRowHidden(ROW()-1)=TRUE),0,(G745-G744)*unitsOfExo+J744)</f>
        <v>132000</v>
      </c>
      <c r="K745" s="9">
        <f t="shared" si="35"/>
        <v>-132000</v>
      </c>
      <c r="L745">
        <f t="shared" si="36"/>
        <v>904860</v>
      </c>
    </row>
    <row r="746" spans="1:12" x14ac:dyDescent="0.25">
      <c r="A746" s="1"/>
      <c r="C746" s="1"/>
      <c r="D746" s="1">
        <v>42303</v>
      </c>
      <c r="E746" s="10">
        <v>107336</v>
      </c>
      <c r="F746" s="1">
        <v>42303</v>
      </c>
      <c r="G746">
        <v>18850</v>
      </c>
      <c r="H746" s="1">
        <f t="shared" si="34"/>
        <v>42303</v>
      </c>
      <c r="I746">
        <f>IF(AND(MyRowHidden(ROW())=FALSE,MyRowHidden(ROW()-1)=TRUE),0,(E746-E745)*unitsOfDHp+I745)</f>
        <v>773360</v>
      </c>
      <c r="J746">
        <f>IF(AND(MyRowHidden(ROW())=FALSE,MyRowHidden(ROW()-1)=TRUE),0,(G746-G745)*unitsOfExo+J745)</f>
        <v>132800</v>
      </c>
      <c r="K746" s="9">
        <f t="shared" si="35"/>
        <v>-132800</v>
      </c>
      <c r="L746">
        <f t="shared" si="36"/>
        <v>906160</v>
      </c>
    </row>
    <row r="747" spans="1:12" x14ac:dyDescent="0.25">
      <c r="A747" s="1"/>
      <c r="C747" s="1"/>
      <c r="D747" s="1">
        <v>42304</v>
      </c>
      <c r="E747" s="10">
        <v>109002</v>
      </c>
      <c r="F747" s="1">
        <v>42304</v>
      </c>
      <c r="G747">
        <v>17840</v>
      </c>
      <c r="H747" s="1">
        <f t="shared" si="34"/>
        <v>42304</v>
      </c>
      <c r="I747">
        <f>IF(AND(MyRowHidden(ROW())=FALSE,MyRowHidden(ROW()-1)=TRUE),0,(E747-E746)*unitsOfDHp+I746)</f>
        <v>790020</v>
      </c>
      <c r="J747">
        <f>IF(AND(MyRowHidden(ROW())=FALSE,MyRowHidden(ROW()-1)=TRUE),0,(G747-G746)*unitsOfExo+J746)</f>
        <v>122700</v>
      </c>
      <c r="K747" s="9">
        <f t="shared" si="35"/>
        <v>-122700</v>
      </c>
      <c r="L747">
        <f t="shared" si="36"/>
        <v>912720</v>
      </c>
    </row>
    <row r="748" spans="1:12" x14ac:dyDescent="0.25">
      <c r="A748" s="1"/>
      <c r="C748" s="1"/>
      <c r="D748" s="1">
        <v>42305</v>
      </c>
      <c r="E748" s="10">
        <v>108718</v>
      </c>
      <c r="F748" s="1">
        <v>42305</v>
      </c>
      <c r="G748">
        <v>17900</v>
      </c>
      <c r="H748" s="1">
        <f t="shared" si="34"/>
        <v>42305</v>
      </c>
      <c r="I748">
        <f>IF(AND(MyRowHidden(ROW())=FALSE,MyRowHidden(ROW()-1)=TRUE),0,(E748-E747)*unitsOfDHp+I747)</f>
        <v>787180</v>
      </c>
      <c r="J748">
        <f>IF(AND(MyRowHidden(ROW())=FALSE,MyRowHidden(ROW()-1)=TRUE),0,(G748-G747)*unitsOfExo+J747)</f>
        <v>123300</v>
      </c>
      <c r="K748" s="9">
        <f t="shared" si="35"/>
        <v>-123300</v>
      </c>
      <c r="L748">
        <f t="shared" si="36"/>
        <v>910480</v>
      </c>
    </row>
    <row r="749" spans="1:12" x14ac:dyDescent="0.25">
      <c r="A749" s="1"/>
      <c r="C749" s="1"/>
      <c r="D749" s="1">
        <v>42306</v>
      </c>
      <c r="E749" s="10">
        <v>110418</v>
      </c>
      <c r="F749" s="1">
        <v>42306</v>
      </c>
      <c r="G749">
        <v>17150</v>
      </c>
      <c r="H749" s="1">
        <f t="shared" si="34"/>
        <v>42306</v>
      </c>
      <c r="I749">
        <f>IF(AND(MyRowHidden(ROW())=FALSE,MyRowHidden(ROW()-1)=TRUE),0,(E749-E748)*unitsOfDHp+I748)</f>
        <v>804180</v>
      </c>
      <c r="J749">
        <f>IF(AND(MyRowHidden(ROW())=FALSE,MyRowHidden(ROW()-1)=TRUE),0,(G749-G748)*unitsOfExo+J748)</f>
        <v>115800</v>
      </c>
      <c r="K749" s="9">
        <f t="shared" si="35"/>
        <v>-115800</v>
      </c>
      <c r="L749">
        <f t="shared" si="36"/>
        <v>919980</v>
      </c>
    </row>
    <row r="750" spans="1:12" x14ac:dyDescent="0.25">
      <c r="A750" s="1"/>
      <c r="C750" s="1"/>
      <c r="D750" s="1">
        <v>42307</v>
      </c>
      <c r="E750" s="10">
        <v>110788</v>
      </c>
      <c r="F750" s="1">
        <v>42307</v>
      </c>
      <c r="G750">
        <v>17130</v>
      </c>
      <c r="H750" s="1">
        <f t="shared" si="34"/>
        <v>42307</v>
      </c>
      <c r="I750">
        <f>IF(AND(MyRowHidden(ROW())=FALSE,MyRowHidden(ROW()-1)=TRUE),0,(E750-E749)*unitsOfDHp+I749)</f>
        <v>807880</v>
      </c>
      <c r="J750">
        <f>IF(AND(MyRowHidden(ROW())=FALSE,MyRowHidden(ROW()-1)=TRUE),0,(G750-G749)*unitsOfExo+J749)</f>
        <v>115600</v>
      </c>
      <c r="K750" s="9">
        <f t="shared" si="35"/>
        <v>-115600</v>
      </c>
      <c r="L750">
        <f t="shared" si="36"/>
        <v>923480</v>
      </c>
    </row>
    <row r="751" spans="1:12" x14ac:dyDescent="0.25">
      <c r="A751" s="1"/>
      <c r="C751" s="1"/>
      <c r="D751" s="1">
        <v>42310</v>
      </c>
      <c r="E751" s="10">
        <v>111556</v>
      </c>
      <c r="F751" s="1">
        <v>42310</v>
      </c>
      <c r="G751">
        <v>16570</v>
      </c>
      <c r="H751" s="1">
        <f t="shared" si="34"/>
        <v>42310</v>
      </c>
      <c r="I751">
        <f>IF(AND(MyRowHidden(ROW())=FALSE,MyRowHidden(ROW()-1)=TRUE),0,(E751-E750)*unitsOfDHp+I750)</f>
        <v>815560</v>
      </c>
      <c r="J751">
        <f>IF(AND(MyRowHidden(ROW())=FALSE,MyRowHidden(ROW()-1)=TRUE),0,(G751-G750)*unitsOfExo+J750)</f>
        <v>110000</v>
      </c>
      <c r="K751" s="9">
        <f t="shared" si="35"/>
        <v>-110000</v>
      </c>
      <c r="L751">
        <f t="shared" si="36"/>
        <v>925560</v>
      </c>
    </row>
    <row r="752" spans="1:12" x14ac:dyDescent="0.25">
      <c r="A752" s="1"/>
      <c r="C752" s="1"/>
      <c r="D752" s="1">
        <v>42311</v>
      </c>
      <c r="E752" s="10">
        <v>111742</v>
      </c>
      <c r="F752" s="1">
        <v>42311</v>
      </c>
      <c r="G752">
        <v>16610</v>
      </c>
      <c r="H752" s="1">
        <f t="shared" si="34"/>
        <v>42311</v>
      </c>
      <c r="I752">
        <f>IF(AND(MyRowHidden(ROW())=FALSE,MyRowHidden(ROW()-1)=TRUE),0,(E752-E751)*unitsOfDHp+I751)</f>
        <v>817420</v>
      </c>
      <c r="J752">
        <f>IF(AND(MyRowHidden(ROW())=FALSE,MyRowHidden(ROW()-1)=TRUE),0,(G752-G751)*unitsOfExo+J751)</f>
        <v>110400</v>
      </c>
      <c r="K752" s="9">
        <f t="shared" si="35"/>
        <v>-110400</v>
      </c>
      <c r="L752">
        <f t="shared" si="36"/>
        <v>927820</v>
      </c>
    </row>
    <row r="753" spans="1:12" x14ac:dyDescent="0.25">
      <c r="A753" s="1"/>
      <c r="C753" s="1"/>
      <c r="D753" s="1">
        <v>42312</v>
      </c>
      <c r="E753" s="10">
        <v>111930</v>
      </c>
      <c r="F753" s="1">
        <v>42312</v>
      </c>
      <c r="G753">
        <v>16360</v>
      </c>
      <c r="H753" s="1">
        <f t="shared" si="34"/>
        <v>42312</v>
      </c>
      <c r="I753">
        <f>IF(AND(MyRowHidden(ROW())=FALSE,MyRowHidden(ROW()-1)=TRUE),0,(E753-E752)*unitsOfDHp+I752)</f>
        <v>819300</v>
      </c>
      <c r="J753">
        <f>IF(AND(MyRowHidden(ROW())=FALSE,MyRowHidden(ROW()-1)=TRUE),0,(G753-G752)*unitsOfExo+J752)</f>
        <v>107900</v>
      </c>
      <c r="K753" s="9">
        <f t="shared" si="35"/>
        <v>-107900</v>
      </c>
      <c r="L753">
        <f t="shared" si="36"/>
        <v>927200</v>
      </c>
    </row>
    <row r="754" spans="1:12" x14ac:dyDescent="0.25">
      <c r="A754" s="1"/>
      <c r="C754" s="1"/>
      <c r="D754" s="1">
        <v>42313</v>
      </c>
      <c r="E754" s="10">
        <v>113730</v>
      </c>
      <c r="F754" s="1">
        <v>42313</v>
      </c>
      <c r="G754">
        <v>15520</v>
      </c>
      <c r="H754" s="1">
        <f t="shared" si="34"/>
        <v>42313</v>
      </c>
      <c r="I754">
        <f>IF(AND(MyRowHidden(ROW())=FALSE,MyRowHidden(ROW()-1)=TRUE),0,(E754-E753)*unitsOfDHp+I753)</f>
        <v>837300</v>
      </c>
      <c r="J754">
        <f>IF(AND(MyRowHidden(ROW())=FALSE,MyRowHidden(ROW()-1)=TRUE),0,(G754-G753)*unitsOfExo+J753)</f>
        <v>99500</v>
      </c>
      <c r="K754" s="9">
        <f t="shared" si="35"/>
        <v>-99500</v>
      </c>
      <c r="L754">
        <f t="shared" si="36"/>
        <v>936800</v>
      </c>
    </row>
    <row r="755" spans="1:12" x14ac:dyDescent="0.25">
      <c r="A755" s="1"/>
      <c r="C755" s="1"/>
      <c r="D755" s="1">
        <v>42314</v>
      </c>
      <c r="E755" s="10">
        <v>113966</v>
      </c>
      <c r="F755" s="1">
        <v>42314</v>
      </c>
      <c r="G755">
        <v>15430</v>
      </c>
      <c r="H755" s="1">
        <f t="shared" si="34"/>
        <v>42314</v>
      </c>
      <c r="I755">
        <f>IF(AND(MyRowHidden(ROW())=FALSE,MyRowHidden(ROW()-1)=TRUE),0,(E755-E754)*unitsOfDHp+I754)</f>
        <v>839660</v>
      </c>
      <c r="J755">
        <f>IF(AND(MyRowHidden(ROW())=FALSE,MyRowHidden(ROW()-1)=TRUE),0,(G755-G754)*unitsOfExo+J754)</f>
        <v>98600</v>
      </c>
      <c r="K755" s="9">
        <f t="shared" si="35"/>
        <v>-98600</v>
      </c>
      <c r="L755">
        <f t="shared" si="36"/>
        <v>938260</v>
      </c>
    </row>
    <row r="756" spans="1:12" x14ac:dyDescent="0.25">
      <c r="A756" s="1"/>
      <c r="C756" s="1"/>
      <c r="D756" s="1">
        <v>42317</v>
      </c>
      <c r="E756" s="10">
        <v>114606</v>
      </c>
      <c r="F756" s="1">
        <v>42317</v>
      </c>
      <c r="G756">
        <v>14920</v>
      </c>
      <c r="H756" s="1">
        <f t="shared" si="34"/>
        <v>42317</v>
      </c>
      <c r="I756">
        <f>IF(AND(MyRowHidden(ROW())=FALSE,MyRowHidden(ROW()-1)=TRUE),0,(E756-E755)*unitsOfDHp+I755)</f>
        <v>846060</v>
      </c>
      <c r="J756">
        <f>IF(AND(MyRowHidden(ROW())=FALSE,MyRowHidden(ROW()-1)=TRUE),0,(G756-G755)*unitsOfExo+J755)</f>
        <v>93500</v>
      </c>
      <c r="K756" s="9">
        <f t="shared" si="35"/>
        <v>-93500</v>
      </c>
      <c r="L756">
        <f t="shared" si="36"/>
        <v>939560</v>
      </c>
    </row>
    <row r="757" spans="1:12" x14ac:dyDescent="0.25">
      <c r="A757" s="1"/>
      <c r="C757" s="1"/>
      <c r="D757" s="1">
        <v>42318</v>
      </c>
      <c r="E757" s="10">
        <v>114554</v>
      </c>
      <c r="F757" s="1">
        <v>42318</v>
      </c>
      <c r="G757">
        <v>14760</v>
      </c>
      <c r="H757" s="1">
        <f t="shared" si="34"/>
        <v>42318</v>
      </c>
      <c r="I757">
        <f>IF(AND(MyRowHidden(ROW())=FALSE,MyRowHidden(ROW()-1)=TRUE),0,(E757-E756)*unitsOfDHp+I756)</f>
        <v>845540</v>
      </c>
      <c r="J757">
        <f>IF(AND(MyRowHidden(ROW())=FALSE,MyRowHidden(ROW()-1)=TRUE),0,(G757-G756)*unitsOfExo+J756)</f>
        <v>91900</v>
      </c>
      <c r="K757" s="9">
        <f t="shared" si="35"/>
        <v>-91900</v>
      </c>
      <c r="L757">
        <f t="shared" si="36"/>
        <v>937440</v>
      </c>
    </row>
    <row r="758" spans="1:12" x14ac:dyDescent="0.25">
      <c r="A758" s="1"/>
      <c r="C758" s="1"/>
      <c r="D758" s="1">
        <v>42319</v>
      </c>
      <c r="E758" s="10">
        <v>113960</v>
      </c>
      <c r="F758" s="1">
        <v>42319</v>
      </c>
      <c r="G758">
        <v>15800</v>
      </c>
      <c r="H758" s="1">
        <f t="shared" si="34"/>
        <v>42319</v>
      </c>
      <c r="I758">
        <f>IF(AND(MyRowHidden(ROW())=FALSE,MyRowHidden(ROW()-1)=TRUE),0,(E758-E757)*unitsOfDHp+I757)</f>
        <v>839600</v>
      </c>
      <c r="J758">
        <f>IF(AND(MyRowHidden(ROW())=FALSE,MyRowHidden(ROW()-1)=TRUE),0,(G758-G757)*unitsOfExo+J757)</f>
        <v>102300</v>
      </c>
      <c r="K758" s="9">
        <f t="shared" si="35"/>
        <v>-102300</v>
      </c>
      <c r="L758">
        <f t="shared" si="36"/>
        <v>941900</v>
      </c>
    </row>
    <row r="759" spans="1:12" x14ac:dyDescent="0.25">
      <c r="A759" s="1"/>
      <c r="C759" s="1"/>
      <c r="D759" s="1">
        <v>42320</v>
      </c>
      <c r="E759" s="10">
        <v>113760</v>
      </c>
      <c r="F759" s="1">
        <v>42320</v>
      </c>
      <c r="G759">
        <v>16100</v>
      </c>
      <c r="H759" s="1">
        <f t="shared" si="34"/>
        <v>42320</v>
      </c>
      <c r="I759">
        <f>IF(AND(MyRowHidden(ROW())=FALSE,MyRowHidden(ROW()-1)=TRUE),0,(E759-E758)*unitsOfDHp+I758)</f>
        <v>837600</v>
      </c>
      <c r="J759">
        <f>IF(AND(MyRowHidden(ROW())=FALSE,MyRowHidden(ROW()-1)=TRUE),0,(G759-G758)*unitsOfExo+J758)</f>
        <v>105300</v>
      </c>
      <c r="K759" s="9">
        <f t="shared" si="35"/>
        <v>-105300</v>
      </c>
      <c r="L759">
        <f t="shared" si="36"/>
        <v>942900</v>
      </c>
    </row>
    <row r="760" spans="1:12" x14ac:dyDescent="0.25">
      <c r="A760" s="1"/>
      <c r="C760" s="1"/>
      <c r="D760" s="1">
        <v>42321</v>
      </c>
      <c r="E760" s="10">
        <v>114500</v>
      </c>
      <c r="F760" s="1">
        <v>42321</v>
      </c>
      <c r="G760">
        <v>15300</v>
      </c>
      <c r="H760" s="1">
        <f t="shared" si="34"/>
        <v>42321</v>
      </c>
      <c r="I760">
        <f>IF(AND(MyRowHidden(ROW())=FALSE,MyRowHidden(ROW()-1)=TRUE),0,(E760-E759)*unitsOfDHp+I759)</f>
        <v>845000</v>
      </c>
      <c r="J760">
        <f>IF(AND(MyRowHidden(ROW())=FALSE,MyRowHidden(ROW()-1)=TRUE),0,(G760-G759)*unitsOfExo+J759)</f>
        <v>97300</v>
      </c>
      <c r="K760" s="9">
        <f t="shared" si="35"/>
        <v>-97300</v>
      </c>
      <c r="L760">
        <f t="shared" si="36"/>
        <v>942300</v>
      </c>
    </row>
    <row r="761" spans="1:12" x14ac:dyDescent="0.25">
      <c r="A761" s="1"/>
      <c r="C761" s="1"/>
      <c r="D761" s="1">
        <v>42324</v>
      </c>
      <c r="E761" s="10">
        <v>115670</v>
      </c>
      <c r="F761" s="1">
        <v>42324</v>
      </c>
      <c r="G761">
        <v>14090</v>
      </c>
      <c r="H761" s="1">
        <f t="shared" si="34"/>
        <v>42324</v>
      </c>
      <c r="I761">
        <f>IF(AND(MyRowHidden(ROW())=FALSE,MyRowHidden(ROW()-1)=TRUE),0,(E761-E760)*unitsOfDHp+I760)</f>
        <v>856700</v>
      </c>
      <c r="J761">
        <f>IF(AND(MyRowHidden(ROW())=FALSE,MyRowHidden(ROW()-1)=TRUE),0,(G761-G760)*unitsOfExo+J760)</f>
        <v>85200</v>
      </c>
      <c r="K761" s="9">
        <f t="shared" si="35"/>
        <v>-85200</v>
      </c>
      <c r="L761">
        <f t="shared" si="36"/>
        <v>941900</v>
      </c>
    </row>
    <row r="762" spans="1:12" x14ac:dyDescent="0.25">
      <c r="A762" s="1"/>
      <c r="C762" s="1"/>
      <c r="D762" s="1">
        <v>42325</v>
      </c>
      <c r="E762" s="10">
        <v>114738</v>
      </c>
      <c r="F762" s="1">
        <v>42325</v>
      </c>
      <c r="G762">
        <v>15010</v>
      </c>
      <c r="H762" s="1">
        <f t="shared" si="34"/>
        <v>42325</v>
      </c>
      <c r="I762">
        <f>IF(AND(MyRowHidden(ROW())=FALSE,MyRowHidden(ROW()-1)=TRUE),0,(E762-E761)*unitsOfDHp+I761)</f>
        <v>847380</v>
      </c>
      <c r="J762">
        <f>IF(AND(MyRowHidden(ROW())=FALSE,MyRowHidden(ROW()-1)=TRUE),0,(G762-G761)*unitsOfExo+J761)</f>
        <v>94400</v>
      </c>
      <c r="K762" s="9">
        <f t="shared" si="35"/>
        <v>-94400</v>
      </c>
      <c r="L762">
        <f t="shared" si="36"/>
        <v>941780</v>
      </c>
    </row>
    <row r="763" spans="1:12" x14ac:dyDescent="0.25">
      <c r="A763" s="1"/>
      <c r="C763" s="1"/>
      <c r="D763" s="1">
        <v>42326</v>
      </c>
      <c r="E763" s="10">
        <v>114738</v>
      </c>
      <c r="F763" s="1">
        <v>42326</v>
      </c>
      <c r="G763">
        <v>15110</v>
      </c>
      <c r="H763" s="1">
        <f t="shared" si="34"/>
        <v>42326</v>
      </c>
      <c r="I763">
        <f>IF(AND(MyRowHidden(ROW())=FALSE,MyRowHidden(ROW()-1)=TRUE),0,(E763-E762)*unitsOfDHp+I762)</f>
        <v>847380</v>
      </c>
      <c r="J763">
        <f>IF(AND(MyRowHidden(ROW())=FALSE,MyRowHidden(ROW()-1)=TRUE),0,(G763-G762)*unitsOfExo+J762)</f>
        <v>95400</v>
      </c>
      <c r="K763" s="9">
        <f t="shared" si="35"/>
        <v>-95400</v>
      </c>
      <c r="L763">
        <f t="shared" si="36"/>
        <v>942780</v>
      </c>
    </row>
    <row r="764" spans="1:12" x14ac:dyDescent="0.25">
      <c r="A764" s="1"/>
      <c r="C764" s="1"/>
      <c r="D764" s="1">
        <v>42327</v>
      </c>
      <c r="E764" s="10">
        <v>114738</v>
      </c>
      <c r="F764" s="1">
        <v>42327</v>
      </c>
      <c r="G764">
        <v>15460</v>
      </c>
      <c r="H764" s="1">
        <f t="shared" si="34"/>
        <v>42327</v>
      </c>
      <c r="I764">
        <f>IF(AND(MyRowHidden(ROW())=FALSE,MyRowHidden(ROW()-1)=TRUE),0,(E764-E763)*unitsOfDHp+I763)</f>
        <v>847380</v>
      </c>
      <c r="J764">
        <f>IF(AND(MyRowHidden(ROW())=FALSE,MyRowHidden(ROW()-1)=TRUE),0,(G764-G763)*unitsOfExo+J763)</f>
        <v>98900</v>
      </c>
      <c r="K764" s="9">
        <f t="shared" si="35"/>
        <v>-98900</v>
      </c>
      <c r="L764">
        <f t="shared" si="36"/>
        <v>946280</v>
      </c>
    </row>
    <row r="765" spans="1:12" x14ac:dyDescent="0.25">
      <c r="A765" s="1"/>
      <c r="C765" s="1"/>
      <c r="D765" s="1">
        <v>42328</v>
      </c>
      <c r="E765" s="10">
        <v>114738</v>
      </c>
      <c r="F765" s="1">
        <v>42328</v>
      </c>
      <c r="G765">
        <v>16100</v>
      </c>
      <c r="H765" s="1">
        <f t="shared" si="34"/>
        <v>42328</v>
      </c>
      <c r="I765">
        <f>IF(AND(MyRowHidden(ROW())=FALSE,MyRowHidden(ROW()-1)=TRUE),0,(E765-E764)*unitsOfDHp+I764)</f>
        <v>847380</v>
      </c>
      <c r="J765">
        <f>IF(AND(MyRowHidden(ROW())=FALSE,MyRowHidden(ROW()-1)=TRUE),0,(G765-G764)*unitsOfExo+J764)</f>
        <v>105300</v>
      </c>
      <c r="K765" s="9">
        <f t="shared" si="35"/>
        <v>-105300</v>
      </c>
      <c r="L765">
        <f t="shared" si="36"/>
        <v>952680</v>
      </c>
    </row>
    <row r="766" spans="1:12" x14ac:dyDescent="0.25">
      <c r="A766" s="1"/>
      <c r="C766" s="1"/>
      <c r="D766" s="1">
        <v>42331</v>
      </c>
      <c r="E766" s="10">
        <v>114714</v>
      </c>
      <c r="F766" s="1">
        <v>42331</v>
      </c>
      <c r="G766">
        <v>16450</v>
      </c>
      <c r="H766" s="1">
        <f t="shared" si="34"/>
        <v>42331</v>
      </c>
      <c r="I766">
        <f>IF(AND(MyRowHidden(ROW())=FALSE,MyRowHidden(ROW()-1)=TRUE),0,(E766-E765)*unitsOfDHp+I765)</f>
        <v>847140</v>
      </c>
      <c r="J766">
        <f>IF(AND(MyRowHidden(ROW())=FALSE,MyRowHidden(ROW()-1)=TRUE),0,(G766-G765)*unitsOfExo+J765)</f>
        <v>108800</v>
      </c>
      <c r="K766" s="9">
        <f t="shared" si="35"/>
        <v>-108800</v>
      </c>
      <c r="L766">
        <f t="shared" si="36"/>
        <v>955940</v>
      </c>
    </row>
    <row r="767" spans="1:12" x14ac:dyDescent="0.25">
      <c r="A767" s="1"/>
      <c r="C767" s="1"/>
      <c r="D767" s="1">
        <v>42332</v>
      </c>
      <c r="E767" s="10">
        <v>114534</v>
      </c>
      <c r="F767" s="1">
        <v>42332</v>
      </c>
      <c r="G767">
        <v>16400</v>
      </c>
      <c r="H767" s="1">
        <f t="shared" si="34"/>
        <v>42332</v>
      </c>
      <c r="I767">
        <f>IF(AND(MyRowHidden(ROW())=FALSE,MyRowHidden(ROW()-1)=TRUE),0,(E767-E766)*unitsOfDHp+I766)</f>
        <v>845340</v>
      </c>
      <c r="J767">
        <f>IF(AND(MyRowHidden(ROW())=FALSE,MyRowHidden(ROW()-1)=TRUE),0,(G767-G766)*unitsOfExo+J766)</f>
        <v>108300</v>
      </c>
      <c r="K767" s="9">
        <f t="shared" si="35"/>
        <v>-108300</v>
      </c>
      <c r="L767">
        <f t="shared" si="36"/>
        <v>953640</v>
      </c>
    </row>
    <row r="768" spans="1:12" x14ac:dyDescent="0.25">
      <c r="A768" s="1"/>
      <c r="C768" s="1"/>
      <c r="D768" s="1">
        <v>42333</v>
      </c>
      <c r="E768" s="10">
        <v>114824</v>
      </c>
      <c r="F768" s="1">
        <v>42333</v>
      </c>
      <c r="G768">
        <v>16660</v>
      </c>
      <c r="H768" s="1">
        <f t="shared" si="34"/>
        <v>42333</v>
      </c>
      <c r="I768">
        <f>IF(AND(MyRowHidden(ROW())=FALSE,MyRowHidden(ROW()-1)=TRUE),0,(E768-E767)*unitsOfDHp+I767)</f>
        <v>848240</v>
      </c>
      <c r="J768">
        <f>IF(AND(MyRowHidden(ROW())=FALSE,MyRowHidden(ROW()-1)=TRUE),0,(G768-G767)*unitsOfExo+J767)</f>
        <v>110900</v>
      </c>
      <c r="K768" s="9">
        <f t="shared" si="35"/>
        <v>-110900</v>
      </c>
      <c r="L768">
        <f t="shared" si="36"/>
        <v>959140</v>
      </c>
    </row>
    <row r="769" spans="1:12" x14ac:dyDescent="0.25">
      <c r="A769" s="1"/>
      <c r="C769" s="1"/>
      <c r="D769" s="1">
        <v>42334</v>
      </c>
      <c r="E769" s="10">
        <v>114834</v>
      </c>
      <c r="F769" s="1">
        <v>42334</v>
      </c>
      <c r="G769">
        <v>16770</v>
      </c>
      <c r="H769" s="1">
        <f t="shared" si="34"/>
        <v>42334</v>
      </c>
      <c r="I769">
        <f>IF(AND(MyRowHidden(ROW())=FALSE,MyRowHidden(ROW()-1)=TRUE),0,(E769-E768)*unitsOfDHp+I768)</f>
        <v>848340</v>
      </c>
      <c r="J769">
        <f>IF(AND(MyRowHidden(ROW())=FALSE,MyRowHidden(ROW()-1)=TRUE),0,(G769-G768)*unitsOfExo+J768)</f>
        <v>112000</v>
      </c>
      <c r="K769" s="9">
        <f t="shared" si="35"/>
        <v>-112000</v>
      </c>
      <c r="L769">
        <f t="shared" si="36"/>
        <v>960340</v>
      </c>
    </row>
    <row r="770" spans="1:12" x14ac:dyDescent="0.25">
      <c r="A770" s="1"/>
      <c r="C770" s="1"/>
      <c r="D770" s="1">
        <v>42335</v>
      </c>
      <c r="E770" s="10">
        <v>114934</v>
      </c>
      <c r="F770" s="1">
        <v>42335</v>
      </c>
      <c r="G770">
        <v>16930</v>
      </c>
      <c r="H770" s="1">
        <f t="shared" si="34"/>
        <v>42335</v>
      </c>
      <c r="I770">
        <f>IF(AND(MyRowHidden(ROW())=FALSE,MyRowHidden(ROW()-1)=TRUE),0,(E770-E769)*unitsOfDHp+I769)</f>
        <v>849340</v>
      </c>
      <c r="J770">
        <f>IF(AND(MyRowHidden(ROW())=FALSE,MyRowHidden(ROW()-1)=TRUE),0,(G770-G769)*unitsOfExo+J769)</f>
        <v>113600</v>
      </c>
      <c r="K770" s="9">
        <f t="shared" si="35"/>
        <v>-113600</v>
      </c>
      <c r="L770">
        <f t="shared" si="36"/>
        <v>962940</v>
      </c>
    </row>
    <row r="771" spans="1:12" x14ac:dyDescent="0.25">
      <c r="A771" s="1"/>
      <c r="C771" s="1"/>
      <c r="D771" s="1">
        <v>42338</v>
      </c>
      <c r="E771" s="10">
        <v>114784</v>
      </c>
      <c r="F771" s="1">
        <v>42338</v>
      </c>
      <c r="G771">
        <v>16780</v>
      </c>
      <c r="H771" s="1">
        <f t="shared" si="34"/>
        <v>42338</v>
      </c>
      <c r="I771">
        <f>IF(AND(MyRowHidden(ROW())=FALSE,MyRowHidden(ROW()-1)=TRUE),0,(E771-E770)*unitsOfDHp+I770)</f>
        <v>847840</v>
      </c>
      <c r="J771">
        <f>IF(AND(MyRowHidden(ROW())=FALSE,MyRowHidden(ROW()-1)=TRUE),0,(G771-G770)*unitsOfExo+J770)</f>
        <v>112100</v>
      </c>
      <c r="K771" s="9">
        <f t="shared" si="35"/>
        <v>-112100</v>
      </c>
      <c r="L771">
        <f t="shared" si="36"/>
        <v>959940</v>
      </c>
    </row>
    <row r="772" spans="1:12" x14ac:dyDescent="0.25">
      <c r="A772" s="1"/>
      <c r="C772" s="1"/>
      <c r="D772" s="1">
        <v>42339</v>
      </c>
      <c r="E772" s="10">
        <v>115218</v>
      </c>
      <c r="F772" s="1">
        <v>42339</v>
      </c>
      <c r="G772">
        <v>17248</v>
      </c>
      <c r="H772" s="1">
        <f t="shared" si="34"/>
        <v>42339</v>
      </c>
      <c r="I772">
        <f>IF(AND(MyRowHidden(ROW())=FALSE,MyRowHidden(ROW()-1)=TRUE),0,(E772-E771)*unitsOfDHp+I771)</f>
        <v>852180</v>
      </c>
      <c r="J772">
        <f>IF(AND(MyRowHidden(ROW())=FALSE,MyRowHidden(ROW()-1)=TRUE),0,(G772-G771)*unitsOfExo+J771)</f>
        <v>116780</v>
      </c>
      <c r="K772" s="9">
        <f t="shared" si="35"/>
        <v>-116780</v>
      </c>
      <c r="L772">
        <f t="shared" si="36"/>
        <v>968960</v>
      </c>
    </row>
    <row r="773" spans="1:12" x14ac:dyDescent="0.25">
      <c r="A773" s="1"/>
      <c r="C773" s="1"/>
      <c r="D773" s="1">
        <v>42340</v>
      </c>
      <c r="E773" s="10">
        <v>115298</v>
      </c>
      <c r="F773" s="1">
        <v>42340</v>
      </c>
      <c r="G773">
        <v>17178</v>
      </c>
      <c r="H773" s="1">
        <f t="shared" si="34"/>
        <v>42340</v>
      </c>
      <c r="I773">
        <f>IF(AND(MyRowHidden(ROW())=FALSE,MyRowHidden(ROW()-1)=TRUE),0,(E773-E772)*unitsOfDHp+I772)</f>
        <v>852980</v>
      </c>
      <c r="J773">
        <f>IF(AND(MyRowHidden(ROW())=FALSE,MyRowHidden(ROW()-1)=TRUE),0,(G773-G772)*unitsOfExo+J772)</f>
        <v>116080</v>
      </c>
      <c r="K773" s="9">
        <f t="shared" si="35"/>
        <v>-116080</v>
      </c>
      <c r="L773">
        <f t="shared" si="36"/>
        <v>969060</v>
      </c>
    </row>
    <row r="774" spans="1:12" x14ac:dyDescent="0.25">
      <c r="A774" s="1"/>
      <c r="C774" s="1"/>
      <c r="D774" s="1">
        <v>42341</v>
      </c>
      <c r="E774" s="10">
        <v>115658</v>
      </c>
      <c r="F774" s="1">
        <v>42341</v>
      </c>
      <c r="G774">
        <v>16858</v>
      </c>
      <c r="H774" s="1">
        <f t="shared" si="34"/>
        <v>42341</v>
      </c>
      <c r="I774">
        <f>IF(AND(MyRowHidden(ROW())=FALSE,MyRowHidden(ROW()-1)=TRUE),0,(E774-E773)*unitsOfDHp+I773)</f>
        <v>856580</v>
      </c>
      <c r="J774">
        <f>IF(AND(MyRowHidden(ROW())=FALSE,MyRowHidden(ROW()-1)=TRUE),0,(G774-G773)*unitsOfExo+J773)</f>
        <v>112880</v>
      </c>
      <c r="K774" s="9">
        <f t="shared" si="35"/>
        <v>-112880</v>
      </c>
      <c r="L774">
        <f t="shared" si="36"/>
        <v>969460</v>
      </c>
    </row>
    <row r="775" spans="1:12" x14ac:dyDescent="0.25">
      <c r="A775" s="1"/>
      <c r="C775" s="1"/>
      <c r="D775" s="1">
        <v>42342</v>
      </c>
      <c r="E775" s="10">
        <v>116308</v>
      </c>
      <c r="F775" s="1">
        <v>42342</v>
      </c>
      <c r="G775">
        <v>16168</v>
      </c>
      <c r="H775" s="1">
        <f t="shared" si="34"/>
        <v>42342</v>
      </c>
      <c r="I775">
        <f>IF(AND(MyRowHidden(ROW())=FALSE,MyRowHidden(ROW()-1)=TRUE),0,(E775-E774)*unitsOfDHp+I774)</f>
        <v>863080</v>
      </c>
      <c r="J775">
        <f>IF(AND(MyRowHidden(ROW())=FALSE,MyRowHidden(ROW()-1)=TRUE),0,(G775-G774)*unitsOfExo+J774)</f>
        <v>105980</v>
      </c>
      <c r="K775" s="9">
        <f t="shared" si="35"/>
        <v>-105980</v>
      </c>
      <c r="L775">
        <f t="shared" si="36"/>
        <v>969060</v>
      </c>
    </row>
    <row r="776" spans="1:12" x14ac:dyDescent="0.25">
      <c r="A776" s="1"/>
      <c r="C776" s="1"/>
      <c r="D776" s="1">
        <v>42345</v>
      </c>
      <c r="E776" s="10">
        <v>116778</v>
      </c>
      <c r="F776" s="1">
        <v>42345</v>
      </c>
      <c r="G776">
        <v>15728</v>
      </c>
      <c r="H776" s="1">
        <f t="shared" si="34"/>
        <v>42345</v>
      </c>
      <c r="I776">
        <f>IF(AND(MyRowHidden(ROW())=FALSE,MyRowHidden(ROW()-1)=TRUE),0,(E776-E775)*unitsOfDHp+I775)</f>
        <v>867780</v>
      </c>
      <c r="J776">
        <f>IF(AND(MyRowHidden(ROW())=FALSE,MyRowHidden(ROW()-1)=TRUE),0,(G776-G775)*unitsOfExo+J775)</f>
        <v>101580</v>
      </c>
      <c r="K776" s="9">
        <f t="shared" si="35"/>
        <v>-101580</v>
      </c>
      <c r="L776">
        <f t="shared" si="36"/>
        <v>969360</v>
      </c>
    </row>
    <row r="777" spans="1:12" x14ac:dyDescent="0.25">
      <c r="A777" s="1"/>
      <c r="C777" s="1"/>
      <c r="D777" s="1">
        <v>42346</v>
      </c>
      <c r="E777" s="10">
        <v>116768</v>
      </c>
      <c r="F777" s="1">
        <v>42346</v>
      </c>
      <c r="G777">
        <v>15738</v>
      </c>
      <c r="H777" s="1">
        <f t="shared" si="34"/>
        <v>42346</v>
      </c>
      <c r="I777">
        <f>IF(AND(MyRowHidden(ROW())=FALSE,MyRowHidden(ROW()-1)=TRUE),0,(E777-E776)*unitsOfDHp+I776)</f>
        <v>867680</v>
      </c>
      <c r="J777">
        <f>IF(AND(MyRowHidden(ROW())=FALSE,MyRowHidden(ROW()-1)=TRUE),0,(G777-G776)*unitsOfExo+J776)</f>
        <v>101680</v>
      </c>
      <c r="K777" s="9">
        <f t="shared" si="35"/>
        <v>-101680</v>
      </c>
      <c r="L777">
        <f t="shared" si="36"/>
        <v>969360</v>
      </c>
    </row>
    <row r="778" spans="1:12" x14ac:dyDescent="0.25">
      <c r="A778" s="1"/>
      <c r="C778" s="1"/>
      <c r="D778" s="1">
        <v>42347</v>
      </c>
      <c r="E778" s="10">
        <v>116548</v>
      </c>
      <c r="F778" s="1">
        <v>42347</v>
      </c>
      <c r="G778">
        <v>15938</v>
      </c>
      <c r="H778" s="1">
        <f t="shared" si="34"/>
        <v>42347</v>
      </c>
      <c r="I778">
        <f>IF(AND(MyRowHidden(ROW())=FALSE,MyRowHidden(ROW()-1)=TRUE),0,(E778-E777)*unitsOfDHp+I777)</f>
        <v>865480</v>
      </c>
      <c r="J778">
        <f>IF(AND(MyRowHidden(ROW())=FALSE,MyRowHidden(ROW()-1)=TRUE),0,(G778-G777)*unitsOfExo+J777)</f>
        <v>103680</v>
      </c>
      <c r="K778" s="9">
        <f t="shared" si="35"/>
        <v>-103680</v>
      </c>
      <c r="L778">
        <f t="shared" si="36"/>
        <v>969160</v>
      </c>
    </row>
    <row r="779" spans="1:12" x14ac:dyDescent="0.25">
      <c r="A779" s="1"/>
      <c r="C779" s="1"/>
      <c r="D779" s="1">
        <v>42348</v>
      </c>
      <c r="E779" s="10">
        <v>116618</v>
      </c>
      <c r="F779" s="1">
        <v>42348</v>
      </c>
      <c r="G779">
        <v>15878</v>
      </c>
      <c r="H779" s="1">
        <f t="shared" si="34"/>
        <v>42348</v>
      </c>
      <c r="I779">
        <f>IF(AND(MyRowHidden(ROW())=FALSE,MyRowHidden(ROW()-1)=TRUE),0,(E779-E778)*unitsOfDHp+I778)</f>
        <v>866180</v>
      </c>
      <c r="J779">
        <f>IF(AND(MyRowHidden(ROW())=FALSE,MyRowHidden(ROW()-1)=TRUE),0,(G779-G778)*unitsOfExo+J778)</f>
        <v>103080</v>
      </c>
      <c r="K779" s="9">
        <f t="shared" si="35"/>
        <v>-103080</v>
      </c>
      <c r="L779">
        <f t="shared" si="36"/>
        <v>969260</v>
      </c>
    </row>
    <row r="780" spans="1:12" x14ac:dyDescent="0.25">
      <c r="A780" s="1"/>
      <c r="C780" s="1"/>
      <c r="D780" s="1">
        <v>42349</v>
      </c>
      <c r="E780" s="10">
        <v>116650</v>
      </c>
      <c r="F780" s="1">
        <v>42349</v>
      </c>
      <c r="G780">
        <v>15768</v>
      </c>
      <c r="H780" s="1">
        <f t="shared" si="34"/>
        <v>42349</v>
      </c>
      <c r="I780">
        <f>IF(AND(MyRowHidden(ROW())=FALSE,MyRowHidden(ROW()-1)=TRUE),0,(E780-E779)*unitsOfDHp+I779)</f>
        <v>866500</v>
      </c>
      <c r="J780">
        <f>IF(AND(MyRowHidden(ROW())=FALSE,MyRowHidden(ROW()-1)=TRUE),0,(G780-G779)*unitsOfExo+J779)</f>
        <v>101980</v>
      </c>
      <c r="K780" s="9">
        <f t="shared" si="35"/>
        <v>-101980</v>
      </c>
      <c r="L780">
        <f t="shared" si="36"/>
        <v>968480</v>
      </c>
    </row>
    <row r="781" spans="1:12" x14ac:dyDescent="0.25">
      <c r="A781" s="1"/>
      <c r="C781" s="1"/>
      <c r="D781" s="1">
        <v>42352</v>
      </c>
      <c r="E781" s="10">
        <v>116802</v>
      </c>
      <c r="F781" s="1">
        <v>42352</v>
      </c>
      <c r="G781">
        <v>15578</v>
      </c>
      <c r="H781" s="1">
        <f t="shared" ref="H781:H844" si="37">D781</f>
        <v>42352</v>
      </c>
      <c r="I781">
        <f>IF(AND(MyRowHidden(ROW())=FALSE,MyRowHidden(ROW()-1)=TRUE),0,(E781-E780)*unitsOfDHp+I780)</f>
        <v>868020</v>
      </c>
      <c r="J781">
        <f>IF(AND(MyRowHidden(ROW())=FALSE,MyRowHidden(ROW()-1)=TRUE),0,(G781-G780)*unitsOfExo+J780)</f>
        <v>100080</v>
      </c>
      <c r="K781" s="9">
        <f t="shared" ref="K781:K844" si="38">-(J781-J780)+K780</f>
        <v>-100080</v>
      </c>
      <c r="L781">
        <f t="shared" ref="L781:L844" si="39">I781+J781</f>
        <v>968100</v>
      </c>
    </row>
    <row r="782" spans="1:12" x14ac:dyDescent="0.25">
      <c r="A782" s="1"/>
      <c r="C782" s="1"/>
      <c r="D782" s="1">
        <v>42353</v>
      </c>
      <c r="E782" s="10">
        <v>116776</v>
      </c>
      <c r="F782" s="1">
        <v>42353</v>
      </c>
      <c r="G782">
        <v>15258</v>
      </c>
      <c r="H782" s="1">
        <f t="shared" si="37"/>
        <v>42353</v>
      </c>
      <c r="I782">
        <f>IF(AND(MyRowHidden(ROW())=FALSE,MyRowHidden(ROW()-1)=TRUE),0,(E782-E781)*unitsOfDHp+I781)</f>
        <v>867760</v>
      </c>
      <c r="J782">
        <f>IF(AND(MyRowHidden(ROW())=FALSE,MyRowHidden(ROW()-1)=TRUE),0,(G782-G781)*unitsOfExo+J781)</f>
        <v>96880</v>
      </c>
      <c r="K782" s="9">
        <f t="shared" si="38"/>
        <v>-96880</v>
      </c>
      <c r="L782">
        <f t="shared" si="39"/>
        <v>964640</v>
      </c>
    </row>
    <row r="783" spans="1:12" x14ac:dyDescent="0.25">
      <c r="A783" s="1"/>
      <c r="C783" s="1"/>
      <c r="D783" s="1">
        <v>42354</v>
      </c>
      <c r="E783" s="10">
        <v>116766</v>
      </c>
      <c r="F783" s="1">
        <v>42354</v>
      </c>
      <c r="G783">
        <v>14698</v>
      </c>
      <c r="H783" s="1">
        <f t="shared" si="37"/>
        <v>42354</v>
      </c>
      <c r="I783">
        <f>IF(AND(MyRowHidden(ROW())=FALSE,MyRowHidden(ROW()-1)=TRUE),0,(E783-E782)*unitsOfDHp+I782)</f>
        <v>867660</v>
      </c>
      <c r="J783">
        <f>IF(AND(MyRowHidden(ROW())=FALSE,MyRowHidden(ROW()-1)=TRUE),0,(G783-G782)*unitsOfExo+J782)</f>
        <v>91280</v>
      </c>
      <c r="K783" s="9">
        <f t="shared" si="38"/>
        <v>-91280</v>
      </c>
      <c r="L783">
        <f t="shared" si="39"/>
        <v>958940</v>
      </c>
    </row>
    <row r="784" spans="1:12" x14ac:dyDescent="0.25">
      <c r="A784" s="1"/>
      <c r="C784" s="1"/>
      <c r="D784" s="1">
        <v>42355</v>
      </c>
      <c r="E784" s="10">
        <v>118636</v>
      </c>
      <c r="F784" s="1">
        <v>42355</v>
      </c>
      <c r="G784">
        <v>13788</v>
      </c>
      <c r="H784" s="1">
        <f t="shared" si="37"/>
        <v>42355</v>
      </c>
      <c r="I784">
        <f>IF(AND(MyRowHidden(ROW())=FALSE,MyRowHidden(ROW()-1)=TRUE),0,(E784-E783)*unitsOfDHp+I783)</f>
        <v>886360</v>
      </c>
      <c r="J784">
        <f>IF(AND(MyRowHidden(ROW())=FALSE,MyRowHidden(ROW()-1)=TRUE),0,(G784-G783)*unitsOfExo+J783)</f>
        <v>82180</v>
      </c>
      <c r="K784" s="9">
        <f t="shared" si="38"/>
        <v>-82180</v>
      </c>
      <c r="L784">
        <f t="shared" si="39"/>
        <v>968540</v>
      </c>
    </row>
    <row r="785" spans="1:12" x14ac:dyDescent="0.25">
      <c r="A785" s="1"/>
      <c r="C785" s="1"/>
      <c r="D785" s="1">
        <v>42356</v>
      </c>
      <c r="E785" s="10">
        <v>117834</v>
      </c>
      <c r="F785" s="1">
        <v>42356</v>
      </c>
      <c r="G785">
        <v>14148</v>
      </c>
      <c r="H785" s="1">
        <f t="shared" si="37"/>
        <v>42356</v>
      </c>
      <c r="I785">
        <f>IF(AND(MyRowHidden(ROW())=FALSE,MyRowHidden(ROW()-1)=TRUE),0,(E785-E784)*unitsOfDHp+I784)</f>
        <v>878340</v>
      </c>
      <c r="J785">
        <f>IF(AND(MyRowHidden(ROW())=FALSE,MyRowHidden(ROW()-1)=TRUE),0,(G785-G784)*unitsOfExo+J784)</f>
        <v>85780</v>
      </c>
      <c r="K785" s="9">
        <f t="shared" si="38"/>
        <v>-85780</v>
      </c>
      <c r="L785">
        <f t="shared" si="39"/>
        <v>964120</v>
      </c>
    </row>
    <row r="786" spans="1:12" x14ac:dyDescent="0.25">
      <c r="A786" s="1"/>
      <c r="C786" s="1"/>
      <c r="D786" s="1">
        <v>42359</v>
      </c>
      <c r="E786" s="10">
        <v>117874</v>
      </c>
      <c r="F786" s="1">
        <v>42359</v>
      </c>
      <c r="G786">
        <v>14068</v>
      </c>
      <c r="H786" s="1">
        <f t="shared" si="37"/>
        <v>42359</v>
      </c>
      <c r="I786">
        <f>IF(AND(MyRowHidden(ROW())=FALSE,MyRowHidden(ROW()-1)=TRUE),0,(E786-E785)*unitsOfDHp+I785)</f>
        <v>878740</v>
      </c>
      <c r="J786">
        <f>IF(AND(MyRowHidden(ROW())=FALSE,MyRowHidden(ROW()-1)=TRUE),0,(G786-G785)*unitsOfExo+J785)</f>
        <v>84980</v>
      </c>
      <c r="K786" s="9">
        <f t="shared" si="38"/>
        <v>-84980</v>
      </c>
      <c r="L786">
        <f t="shared" si="39"/>
        <v>963720</v>
      </c>
    </row>
    <row r="787" spans="1:12" x14ac:dyDescent="0.25">
      <c r="A787" s="1"/>
      <c r="C787" s="1"/>
      <c r="D787" s="1">
        <v>42360</v>
      </c>
      <c r="E787" s="10">
        <v>117594</v>
      </c>
      <c r="F787" s="1">
        <v>42360</v>
      </c>
      <c r="G787">
        <v>14298</v>
      </c>
      <c r="H787" s="1">
        <f t="shared" si="37"/>
        <v>42360</v>
      </c>
      <c r="I787">
        <f>IF(AND(MyRowHidden(ROW())=FALSE,MyRowHidden(ROW()-1)=TRUE),0,(E787-E786)*unitsOfDHp+I786)</f>
        <v>875940</v>
      </c>
      <c r="J787">
        <f>IF(AND(MyRowHidden(ROW())=FALSE,MyRowHidden(ROW()-1)=TRUE),0,(G787-G786)*unitsOfExo+J786)</f>
        <v>87280</v>
      </c>
      <c r="K787" s="9">
        <f t="shared" si="38"/>
        <v>-87280</v>
      </c>
      <c r="L787">
        <f t="shared" si="39"/>
        <v>963220</v>
      </c>
    </row>
    <row r="788" spans="1:12" x14ac:dyDescent="0.25">
      <c r="A788" s="1"/>
      <c r="C788" s="1"/>
      <c r="D788" s="1">
        <v>42361</v>
      </c>
      <c r="E788" s="10">
        <v>117014</v>
      </c>
      <c r="F788" s="1">
        <v>42361</v>
      </c>
      <c r="G788">
        <v>14618</v>
      </c>
      <c r="H788" s="1">
        <f t="shared" si="37"/>
        <v>42361</v>
      </c>
      <c r="I788">
        <f>IF(AND(MyRowHidden(ROW())=FALSE,MyRowHidden(ROW()-1)=TRUE),0,(E788-E787)*unitsOfDHp+I787)</f>
        <v>870140</v>
      </c>
      <c r="J788">
        <f>IF(AND(MyRowHidden(ROW())=FALSE,MyRowHidden(ROW()-1)=TRUE),0,(G788-G787)*unitsOfExo+J787)</f>
        <v>90480</v>
      </c>
      <c r="K788" s="9">
        <f t="shared" si="38"/>
        <v>-90480</v>
      </c>
      <c r="L788">
        <f t="shared" si="39"/>
        <v>960620</v>
      </c>
    </row>
    <row r="789" spans="1:12" x14ac:dyDescent="0.25">
      <c r="A789" s="1"/>
      <c r="C789" s="1"/>
      <c r="D789" s="1">
        <v>42362</v>
      </c>
      <c r="E789" s="10">
        <v>116504</v>
      </c>
      <c r="F789" s="1">
        <v>42362</v>
      </c>
      <c r="G789">
        <v>14928</v>
      </c>
      <c r="H789" s="1">
        <f t="shared" si="37"/>
        <v>42362</v>
      </c>
      <c r="I789">
        <f>IF(AND(MyRowHidden(ROW())=FALSE,MyRowHidden(ROW()-1)=TRUE),0,(E789-E788)*unitsOfDHp+I788)</f>
        <v>865040</v>
      </c>
      <c r="J789">
        <f>IF(AND(MyRowHidden(ROW())=FALSE,MyRowHidden(ROW()-1)=TRUE),0,(G789-G788)*unitsOfExo+J788)</f>
        <v>93580</v>
      </c>
      <c r="K789" s="9">
        <f t="shared" si="38"/>
        <v>-93580</v>
      </c>
      <c r="L789">
        <f t="shared" si="39"/>
        <v>958620</v>
      </c>
    </row>
    <row r="790" spans="1:12" x14ac:dyDescent="0.25">
      <c r="A790" s="1"/>
      <c r="C790" s="1"/>
      <c r="D790" s="1">
        <v>42363</v>
      </c>
      <c r="E790" s="10">
        <v>116534</v>
      </c>
      <c r="F790" s="1">
        <v>42363</v>
      </c>
      <c r="G790">
        <v>14888</v>
      </c>
      <c r="H790" s="1">
        <f t="shared" si="37"/>
        <v>42363</v>
      </c>
      <c r="I790">
        <f>IF(AND(MyRowHidden(ROW())=FALSE,MyRowHidden(ROW()-1)=TRUE),0,(E790-E789)*unitsOfDHp+I789)</f>
        <v>865340</v>
      </c>
      <c r="J790">
        <f>IF(AND(MyRowHidden(ROW())=FALSE,MyRowHidden(ROW()-1)=TRUE),0,(G790-G789)*unitsOfExo+J789)</f>
        <v>93180</v>
      </c>
      <c r="K790" s="9">
        <f t="shared" si="38"/>
        <v>-93180</v>
      </c>
      <c r="L790">
        <f t="shared" si="39"/>
        <v>958520</v>
      </c>
    </row>
    <row r="791" spans="1:12" x14ac:dyDescent="0.25">
      <c r="A791" s="1"/>
      <c r="C791" s="1"/>
      <c r="D791" s="1">
        <v>42366</v>
      </c>
      <c r="E791" s="10">
        <v>116288</v>
      </c>
      <c r="F791" s="1">
        <v>42366</v>
      </c>
      <c r="G791">
        <v>15198</v>
      </c>
      <c r="H791" s="1">
        <f t="shared" si="37"/>
        <v>42366</v>
      </c>
      <c r="I791">
        <f>IF(AND(MyRowHidden(ROW())=FALSE,MyRowHidden(ROW()-1)=TRUE),0,(E791-E790)*unitsOfDHp+I790)</f>
        <v>862880</v>
      </c>
      <c r="J791">
        <f>IF(AND(MyRowHidden(ROW())=FALSE,MyRowHidden(ROW()-1)=TRUE),0,(G791-G790)*unitsOfExo+J790)</f>
        <v>96280</v>
      </c>
      <c r="K791" s="9">
        <f t="shared" si="38"/>
        <v>-96280</v>
      </c>
      <c r="L791">
        <f t="shared" si="39"/>
        <v>959160</v>
      </c>
    </row>
    <row r="792" spans="1:12" x14ac:dyDescent="0.25">
      <c r="A792" s="1"/>
      <c r="C792" s="1"/>
      <c r="D792" s="1">
        <v>42367</v>
      </c>
      <c r="E792" s="10">
        <v>116288</v>
      </c>
      <c r="F792" s="1">
        <v>42367</v>
      </c>
      <c r="G792">
        <v>15038</v>
      </c>
      <c r="H792" s="1">
        <f t="shared" si="37"/>
        <v>42367</v>
      </c>
      <c r="I792">
        <f>IF(AND(MyRowHidden(ROW())=FALSE,MyRowHidden(ROW()-1)=TRUE),0,(E792-E791)*unitsOfDHp+I791)</f>
        <v>862880</v>
      </c>
      <c r="J792">
        <f>IF(AND(MyRowHidden(ROW())=FALSE,MyRowHidden(ROW()-1)=TRUE),0,(G792-G791)*unitsOfExo+J791)</f>
        <v>94680</v>
      </c>
      <c r="K792" s="9">
        <f t="shared" si="38"/>
        <v>-94680</v>
      </c>
      <c r="L792">
        <f t="shared" si="39"/>
        <v>957560</v>
      </c>
    </row>
    <row r="793" spans="1:12" x14ac:dyDescent="0.25">
      <c r="A793" s="1"/>
      <c r="C793" s="1"/>
      <c r="D793" s="1">
        <v>42368</v>
      </c>
      <c r="E793" s="10">
        <v>116240</v>
      </c>
      <c r="F793" s="1">
        <v>42368</v>
      </c>
      <c r="G793">
        <v>15328</v>
      </c>
      <c r="H793" s="1">
        <f t="shared" si="37"/>
        <v>42368</v>
      </c>
      <c r="I793">
        <f>IF(AND(MyRowHidden(ROW())=FALSE,MyRowHidden(ROW()-1)=TRUE),0,(E793-E792)*unitsOfDHp+I792)</f>
        <v>862400</v>
      </c>
      <c r="J793">
        <f>IF(AND(MyRowHidden(ROW())=FALSE,MyRowHidden(ROW()-1)=TRUE),0,(G793-G792)*unitsOfExo+J792)</f>
        <v>97580</v>
      </c>
      <c r="K793" s="9">
        <f t="shared" si="38"/>
        <v>-97580</v>
      </c>
      <c r="L793">
        <f t="shared" si="39"/>
        <v>959980</v>
      </c>
    </row>
    <row r="794" spans="1:12" x14ac:dyDescent="0.25">
      <c r="A794" s="1"/>
      <c r="C794" s="1"/>
      <c r="D794" s="1">
        <v>42369</v>
      </c>
      <c r="E794" s="10">
        <v>116250</v>
      </c>
      <c r="F794" s="1">
        <v>42369</v>
      </c>
      <c r="G794">
        <v>15358</v>
      </c>
      <c r="H794" s="1">
        <f t="shared" si="37"/>
        <v>42369</v>
      </c>
      <c r="I794">
        <f>IF(AND(MyRowHidden(ROW())=FALSE,MyRowHidden(ROW()-1)=TRUE),0,(E794-E793)*unitsOfDHp+I793)</f>
        <v>862500</v>
      </c>
      <c r="J794">
        <f>IF(AND(MyRowHidden(ROW())=FALSE,MyRowHidden(ROW()-1)=TRUE),0,(G794-G793)*unitsOfExo+J793)</f>
        <v>97880</v>
      </c>
      <c r="K794" s="9">
        <f t="shared" si="38"/>
        <v>-97880</v>
      </c>
      <c r="L794">
        <f t="shared" si="39"/>
        <v>960380</v>
      </c>
    </row>
    <row r="795" spans="1:12" x14ac:dyDescent="0.25">
      <c r="A795" s="1"/>
      <c r="C795" s="1"/>
      <c r="D795" s="1">
        <v>42370</v>
      </c>
      <c r="E795" s="10">
        <v>116110</v>
      </c>
      <c r="F795" s="1">
        <v>42370</v>
      </c>
      <c r="G795">
        <v>15318</v>
      </c>
      <c r="H795" s="1">
        <f t="shared" si="37"/>
        <v>42370</v>
      </c>
      <c r="I795">
        <f>IF(AND(MyRowHidden(ROW())=FALSE,MyRowHidden(ROW()-1)=TRUE),0,(E795-E794)*unitsOfDHp+I794)</f>
        <v>861100</v>
      </c>
      <c r="J795">
        <f>IF(AND(MyRowHidden(ROW())=FALSE,MyRowHidden(ROW()-1)=TRUE),0,(G795-G794)*unitsOfExo+J794)</f>
        <v>97480</v>
      </c>
      <c r="K795" s="9">
        <f t="shared" si="38"/>
        <v>-97480</v>
      </c>
      <c r="L795">
        <f t="shared" si="39"/>
        <v>958580</v>
      </c>
    </row>
    <row r="796" spans="1:12" x14ac:dyDescent="0.25">
      <c r="A796" s="1"/>
      <c r="C796" s="1"/>
      <c r="D796" s="1">
        <v>42373</v>
      </c>
      <c r="E796" s="10">
        <v>115902</v>
      </c>
      <c r="F796" s="1">
        <v>42373</v>
      </c>
      <c r="G796">
        <v>15118</v>
      </c>
      <c r="H796" s="1">
        <f t="shared" si="37"/>
        <v>42373</v>
      </c>
      <c r="I796">
        <f>IF(AND(MyRowHidden(ROW())=FALSE,MyRowHidden(ROW()-1)=TRUE),0,(E796-E795)*unitsOfDHp+I795)</f>
        <v>859020</v>
      </c>
      <c r="J796">
        <f>IF(AND(MyRowHidden(ROW())=FALSE,MyRowHidden(ROW()-1)=TRUE),0,(G796-G795)*unitsOfExo+J795)</f>
        <v>95480</v>
      </c>
      <c r="K796" s="9">
        <f t="shared" si="38"/>
        <v>-95480</v>
      </c>
      <c r="L796">
        <f t="shared" si="39"/>
        <v>954500</v>
      </c>
    </row>
    <row r="797" spans="1:12" x14ac:dyDescent="0.25">
      <c r="A797" s="1"/>
      <c r="C797" s="1"/>
      <c r="D797" s="1">
        <v>42374</v>
      </c>
      <c r="E797" s="10">
        <v>115866</v>
      </c>
      <c r="F797" s="1">
        <v>42374</v>
      </c>
      <c r="G797">
        <v>15958</v>
      </c>
      <c r="H797" s="1">
        <f t="shared" si="37"/>
        <v>42374</v>
      </c>
      <c r="I797">
        <f>IF(AND(MyRowHidden(ROW())=FALSE,MyRowHidden(ROW()-1)=TRUE),0,(E797-E796)*unitsOfDHp+I796)</f>
        <v>858660</v>
      </c>
      <c r="J797">
        <f>IF(AND(MyRowHidden(ROW())=FALSE,MyRowHidden(ROW()-1)=TRUE),0,(G797-G796)*unitsOfExo+J796)</f>
        <v>103880</v>
      </c>
      <c r="K797" s="9">
        <f t="shared" si="38"/>
        <v>-103880</v>
      </c>
      <c r="L797">
        <f t="shared" si="39"/>
        <v>962540</v>
      </c>
    </row>
    <row r="798" spans="1:12" x14ac:dyDescent="0.25">
      <c r="A798" s="1"/>
      <c r="C798" s="1"/>
      <c r="D798" s="1">
        <v>42375</v>
      </c>
      <c r="E798" s="10">
        <v>116026</v>
      </c>
      <c r="F798" s="1">
        <v>42375</v>
      </c>
      <c r="G798">
        <v>15778</v>
      </c>
      <c r="H798" s="1">
        <f t="shared" si="37"/>
        <v>42375</v>
      </c>
      <c r="I798">
        <f>IF(AND(MyRowHidden(ROW())=FALSE,MyRowHidden(ROW()-1)=TRUE),0,(E798-E797)*unitsOfDHp+I797)</f>
        <v>860260</v>
      </c>
      <c r="J798">
        <f>IF(AND(MyRowHidden(ROW())=FALSE,MyRowHidden(ROW()-1)=TRUE),0,(G798-G797)*unitsOfExo+J797)</f>
        <v>102080</v>
      </c>
      <c r="K798" s="9">
        <f t="shared" si="38"/>
        <v>-102080</v>
      </c>
      <c r="L798">
        <f t="shared" si="39"/>
        <v>962340</v>
      </c>
    </row>
    <row r="799" spans="1:12" x14ac:dyDescent="0.25">
      <c r="A799" s="1"/>
      <c r="C799" s="1"/>
      <c r="D799" s="1">
        <v>42376</v>
      </c>
      <c r="E799" s="10">
        <v>116336</v>
      </c>
      <c r="F799" s="1">
        <v>42376</v>
      </c>
      <c r="G799">
        <v>15368</v>
      </c>
      <c r="H799" s="1">
        <f t="shared" si="37"/>
        <v>42376</v>
      </c>
      <c r="I799">
        <f>IF(AND(MyRowHidden(ROW())=FALSE,MyRowHidden(ROW()-1)=TRUE),0,(E799-E798)*unitsOfDHp+I798)</f>
        <v>863360</v>
      </c>
      <c r="J799">
        <f>IF(AND(MyRowHidden(ROW())=FALSE,MyRowHidden(ROW()-1)=TRUE),0,(G799-G798)*unitsOfExo+J798)</f>
        <v>97980</v>
      </c>
      <c r="K799" s="9">
        <f t="shared" si="38"/>
        <v>-97980</v>
      </c>
      <c r="L799">
        <f t="shared" si="39"/>
        <v>961340</v>
      </c>
    </row>
    <row r="800" spans="1:12" x14ac:dyDescent="0.25">
      <c r="A800" s="1"/>
      <c r="C800" s="1"/>
      <c r="D800" s="1">
        <v>42377</v>
      </c>
      <c r="E800" s="10">
        <v>116066</v>
      </c>
      <c r="F800" s="1">
        <v>42377</v>
      </c>
      <c r="G800">
        <v>15538</v>
      </c>
      <c r="H800" s="1">
        <f t="shared" si="37"/>
        <v>42377</v>
      </c>
      <c r="I800">
        <f>IF(AND(MyRowHidden(ROW())=FALSE,MyRowHidden(ROW()-1)=TRUE),0,(E800-E799)*unitsOfDHp+I799)</f>
        <v>860660</v>
      </c>
      <c r="J800">
        <f>IF(AND(MyRowHidden(ROW())=FALSE,MyRowHidden(ROW()-1)=TRUE),0,(G800-G799)*unitsOfExo+J799)</f>
        <v>99680</v>
      </c>
      <c r="K800" s="9">
        <f t="shared" si="38"/>
        <v>-99680</v>
      </c>
      <c r="L800">
        <f t="shared" si="39"/>
        <v>960340</v>
      </c>
    </row>
    <row r="801" spans="1:12" x14ac:dyDescent="0.25">
      <c r="A801" s="1"/>
      <c r="C801" s="1"/>
      <c r="D801" s="1">
        <v>42380</v>
      </c>
      <c r="E801" s="10">
        <v>116396</v>
      </c>
      <c r="F801" s="1">
        <v>42380</v>
      </c>
      <c r="G801">
        <v>15178</v>
      </c>
      <c r="H801" s="1">
        <f t="shared" si="37"/>
        <v>42380</v>
      </c>
      <c r="I801">
        <f>IF(AND(MyRowHidden(ROW())=FALSE,MyRowHidden(ROW()-1)=TRUE),0,(E801-E800)*unitsOfDHp+I800)</f>
        <v>863960</v>
      </c>
      <c r="J801">
        <f>IF(AND(MyRowHidden(ROW())=FALSE,MyRowHidden(ROW()-1)=TRUE),0,(G801-G800)*unitsOfExo+J800)</f>
        <v>96080</v>
      </c>
      <c r="K801" s="9">
        <f t="shared" si="38"/>
        <v>-96080</v>
      </c>
      <c r="L801">
        <f t="shared" si="39"/>
        <v>960040</v>
      </c>
    </row>
    <row r="802" spans="1:12" x14ac:dyDescent="0.25">
      <c r="A802" s="1"/>
      <c r="C802" s="1"/>
      <c r="D802" s="1">
        <v>42381</v>
      </c>
      <c r="E802" s="10">
        <v>115364</v>
      </c>
      <c r="F802" s="1">
        <v>42381</v>
      </c>
      <c r="G802">
        <v>16048</v>
      </c>
      <c r="H802" s="1">
        <f t="shared" si="37"/>
        <v>42381</v>
      </c>
      <c r="I802">
        <f>IF(AND(MyRowHidden(ROW())=FALSE,MyRowHidden(ROW()-1)=TRUE),0,(E802-E801)*unitsOfDHp+I801)</f>
        <v>853640</v>
      </c>
      <c r="J802">
        <f>IF(AND(MyRowHidden(ROW())=FALSE,MyRowHidden(ROW()-1)=TRUE),0,(G802-G801)*unitsOfExo+J801)</f>
        <v>104780</v>
      </c>
      <c r="K802" s="9">
        <f t="shared" si="38"/>
        <v>-104780</v>
      </c>
      <c r="L802">
        <f t="shared" si="39"/>
        <v>958420</v>
      </c>
    </row>
    <row r="803" spans="1:12" x14ac:dyDescent="0.25">
      <c r="A803" s="1"/>
      <c r="C803" s="1"/>
      <c r="D803" s="1">
        <v>42382</v>
      </c>
      <c r="E803" s="10">
        <v>115330</v>
      </c>
      <c r="F803" s="1">
        <v>42382</v>
      </c>
      <c r="G803">
        <v>16088</v>
      </c>
      <c r="H803" s="1">
        <f t="shared" si="37"/>
        <v>42382</v>
      </c>
      <c r="I803">
        <f>IF(AND(MyRowHidden(ROW())=FALSE,MyRowHidden(ROW()-1)=TRUE),0,(E803-E802)*unitsOfDHp+I802)</f>
        <v>853300</v>
      </c>
      <c r="J803">
        <f>IF(AND(MyRowHidden(ROW())=FALSE,MyRowHidden(ROW()-1)=TRUE),0,(G803-G802)*unitsOfExo+J802)</f>
        <v>105180</v>
      </c>
      <c r="K803" s="9">
        <f t="shared" si="38"/>
        <v>-105180</v>
      </c>
      <c r="L803">
        <f t="shared" si="39"/>
        <v>958480</v>
      </c>
    </row>
    <row r="804" spans="1:12" x14ac:dyDescent="0.25">
      <c r="A804" s="1"/>
      <c r="C804" s="1"/>
      <c r="D804" s="1">
        <v>42383</v>
      </c>
      <c r="E804" s="10">
        <v>115330</v>
      </c>
      <c r="F804" s="1">
        <v>42383</v>
      </c>
      <c r="G804">
        <v>16378</v>
      </c>
      <c r="H804" s="1">
        <f t="shared" si="37"/>
        <v>42383</v>
      </c>
      <c r="I804">
        <f>IF(AND(MyRowHidden(ROW())=FALSE,MyRowHidden(ROW()-1)=TRUE),0,(E804-E803)*unitsOfDHp+I803)</f>
        <v>853300</v>
      </c>
      <c r="J804">
        <f>IF(AND(MyRowHidden(ROW())=FALSE,MyRowHidden(ROW()-1)=TRUE),0,(G804-G803)*unitsOfExo+J803)</f>
        <v>108080</v>
      </c>
      <c r="K804" s="9">
        <f t="shared" si="38"/>
        <v>-108080</v>
      </c>
      <c r="L804">
        <f t="shared" si="39"/>
        <v>961380</v>
      </c>
    </row>
    <row r="805" spans="1:12" x14ac:dyDescent="0.25">
      <c r="A805" s="1"/>
      <c r="C805" s="1"/>
      <c r="D805" s="1">
        <v>42384</v>
      </c>
      <c r="E805" s="10">
        <v>115306</v>
      </c>
      <c r="F805" s="1">
        <v>42384</v>
      </c>
      <c r="G805">
        <v>16108</v>
      </c>
      <c r="H805" s="1">
        <f t="shared" si="37"/>
        <v>42384</v>
      </c>
      <c r="I805">
        <f>IF(AND(MyRowHidden(ROW())=FALSE,MyRowHidden(ROW()-1)=TRUE),0,(E805-E804)*unitsOfDHp+I804)</f>
        <v>853060</v>
      </c>
      <c r="J805">
        <f>IF(AND(MyRowHidden(ROW())=FALSE,MyRowHidden(ROW()-1)=TRUE),0,(G805-G804)*unitsOfExo+J804)</f>
        <v>105380</v>
      </c>
      <c r="K805" s="9">
        <f t="shared" si="38"/>
        <v>-105380</v>
      </c>
      <c r="L805">
        <f t="shared" si="39"/>
        <v>958440</v>
      </c>
    </row>
    <row r="806" spans="1:12" x14ac:dyDescent="0.25">
      <c r="A806" s="1"/>
      <c r="C806" s="1"/>
      <c r="D806" s="1">
        <v>42387</v>
      </c>
      <c r="E806" s="10">
        <v>115576</v>
      </c>
      <c r="F806" s="1">
        <v>42387</v>
      </c>
      <c r="G806">
        <v>16498</v>
      </c>
      <c r="H806" s="1">
        <f t="shared" si="37"/>
        <v>42387</v>
      </c>
      <c r="I806">
        <f>IF(AND(MyRowHidden(ROW())=FALSE,MyRowHidden(ROW()-1)=TRUE),0,(E806-E805)*unitsOfDHp+I805)</f>
        <v>855760</v>
      </c>
      <c r="J806">
        <f>IF(AND(MyRowHidden(ROW())=FALSE,MyRowHidden(ROW()-1)=TRUE),0,(G806-G805)*unitsOfExo+J805)</f>
        <v>109280</v>
      </c>
      <c r="K806" s="9">
        <f t="shared" si="38"/>
        <v>-109280</v>
      </c>
      <c r="L806">
        <f t="shared" si="39"/>
        <v>965040</v>
      </c>
    </row>
    <row r="807" spans="1:12" x14ac:dyDescent="0.25">
      <c r="A807" s="1"/>
      <c r="C807" s="1"/>
      <c r="D807" s="1">
        <v>42388</v>
      </c>
      <c r="E807" s="10">
        <v>115664</v>
      </c>
      <c r="F807" s="1">
        <v>42388</v>
      </c>
      <c r="G807">
        <v>16618</v>
      </c>
      <c r="H807" s="1">
        <f t="shared" si="37"/>
        <v>42388</v>
      </c>
      <c r="I807">
        <f>IF(AND(MyRowHidden(ROW())=FALSE,MyRowHidden(ROW()-1)=TRUE),0,(E807-E806)*unitsOfDHp+I806)</f>
        <v>856640</v>
      </c>
      <c r="J807">
        <f>IF(AND(MyRowHidden(ROW())=FALSE,MyRowHidden(ROW()-1)=TRUE),0,(G807-G806)*unitsOfExo+J806)</f>
        <v>110480</v>
      </c>
      <c r="K807" s="9">
        <f t="shared" si="38"/>
        <v>-110480</v>
      </c>
      <c r="L807">
        <f t="shared" si="39"/>
        <v>967120</v>
      </c>
    </row>
    <row r="808" spans="1:12" x14ac:dyDescent="0.25">
      <c r="A808" s="1"/>
      <c r="C808" s="1"/>
      <c r="D808" s="1">
        <v>42389</v>
      </c>
      <c r="E808" s="10">
        <v>115444</v>
      </c>
      <c r="F808" s="1">
        <v>42389</v>
      </c>
      <c r="G808">
        <v>16528</v>
      </c>
      <c r="H808" s="1">
        <f t="shared" si="37"/>
        <v>42389</v>
      </c>
      <c r="I808">
        <f>IF(AND(MyRowHidden(ROW())=FALSE,MyRowHidden(ROW()-1)=TRUE),0,(E808-E807)*unitsOfDHp+I807)</f>
        <v>854440</v>
      </c>
      <c r="J808">
        <f>IF(AND(MyRowHidden(ROW())=FALSE,MyRowHidden(ROW()-1)=TRUE),0,(G808-G807)*unitsOfExo+J807)</f>
        <v>109580</v>
      </c>
      <c r="K808" s="9">
        <f t="shared" si="38"/>
        <v>-109580</v>
      </c>
      <c r="L808">
        <f t="shared" si="39"/>
        <v>964020</v>
      </c>
    </row>
    <row r="809" spans="1:12" x14ac:dyDescent="0.25">
      <c r="A809" s="1"/>
      <c r="C809" s="1"/>
      <c r="D809" s="1">
        <v>42390</v>
      </c>
      <c r="E809" s="10">
        <v>116414</v>
      </c>
      <c r="F809" s="1">
        <v>42390</v>
      </c>
      <c r="G809">
        <v>16978</v>
      </c>
      <c r="H809" s="1">
        <f t="shared" si="37"/>
        <v>42390</v>
      </c>
      <c r="I809">
        <f>IF(AND(MyRowHidden(ROW())=FALSE,MyRowHidden(ROW()-1)=TRUE),0,(E809-E808)*unitsOfDHp+I808)</f>
        <v>864140</v>
      </c>
      <c r="J809">
        <f>IF(AND(MyRowHidden(ROW())=FALSE,MyRowHidden(ROW()-1)=TRUE),0,(G809-G808)*unitsOfExo+J808)</f>
        <v>114080</v>
      </c>
      <c r="K809" s="9">
        <f t="shared" si="38"/>
        <v>-114080</v>
      </c>
      <c r="L809">
        <f t="shared" si="39"/>
        <v>978220</v>
      </c>
    </row>
    <row r="810" spans="1:12" x14ac:dyDescent="0.25">
      <c r="A810" s="1"/>
      <c r="C810" s="1"/>
      <c r="D810" s="1">
        <v>42391</v>
      </c>
      <c r="E810" s="10">
        <v>115784</v>
      </c>
      <c r="F810" s="1">
        <v>42391</v>
      </c>
      <c r="G810">
        <v>16708</v>
      </c>
      <c r="H810" s="1">
        <f t="shared" si="37"/>
        <v>42391</v>
      </c>
      <c r="I810">
        <f>IF(AND(MyRowHidden(ROW())=FALSE,MyRowHidden(ROW()-1)=TRUE),0,(E810-E809)*unitsOfDHp+I809)</f>
        <v>857840</v>
      </c>
      <c r="J810">
        <f>IF(AND(MyRowHidden(ROW())=FALSE,MyRowHidden(ROW()-1)=TRUE),0,(G810-G809)*unitsOfExo+J809)</f>
        <v>111380</v>
      </c>
      <c r="K810" s="9">
        <f t="shared" si="38"/>
        <v>-111380</v>
      </c>
      <c r="L810">
        <f t="shared" si="39"/>
        <v>969220</v>
      </c>
    </row>
    <row r="811" spans="1:12" x14ac:dyDescent="0.25">
      <c r="A811" s="1"/>
      <c r="C811" s="1"/>
      <c r="D811" s="1">
        <v>42394</v>
      </c>
      <c r="E811" s="10">
        <v>116034</v>
      </c>
      <c r="F811" s="1">
        <v>42394</v>
      </c>
      <c r="G811">
        <v>16758</v>
      </c>
      <c r="H811" s="1">
        <f t="shared" si="37"/>
        <v>42394</v>
      </c>
      <c r="I811">
        <f>IF(AND(MyRowHidden(ROW())=FALSE,MyRowHidden(ROW()-1)=TRUE),0,(E811-E810)*unitsOfDHp+I810)</f>
        <v>860340</v>
      </c>
      <c r="J811">
        <f>IF(AND(MyRowHidden(ROW())=FALSE,MyRowHidden(ROW()-1)=TRUE),0,(G811-G810)*unitsOfExo+J810)</f>
        <v>111880</v>
      </c>
      <c r="K811" s="9">
        <f t="shared" si="38"/>
        <v>-111880</v>
      </c>
      <c r="L811">
        <f t="shared" si="39"/>
        <v>972220</v>
      </c>
    </row>
    <row r="812" spans="1:12" x14ac:dyDescent="0.25">
      <c r="A812" s="1"/>
      <c r="C812" s="1"/>
      <c r="D812" s="1">
        <v>42395</v>
      </c>
      <c r="E812" s="10">
        <v>116534</v>
      </c>
      <c r="F812" s="1">
        <v>42395</v>
      </c>
      <c r="G812">
        <v>17098</v>
      </c>
      <c r="H812" s="1">
        <f t="shared" si="37"/>
        <v>42395</v>
      </c>
      <c r="I812">
        <f>IF(AND(MyRowHidden(ROW())=FALSE,MyRowHidden(ROW()-1)=TRUE),0,(E812-E811)*unitsOfDHp+I811)</f>
        <v>865340</v>
      </c>
      <c r="J812">
        <f>IF(AND(MyRowHidden(ROW())=FALSE,MyRowHidden(ROW()-1)=TRUE),0,(G812-G811)*unitsOfExo+J811)</f>
        <v>115280</v>
      </c>
      <c r="K812" s="9">
        <f t="shared" si="38"/>
        <v>-115280</v>
      </c>
      <c r="L812">
        <f t="shared" si="39"/>
        <v>980620</v>
      </c>
    </row>
    <row r="813" spans="1:12" x14ac:dyDescent="0.25">
      <c r="A813" s="1"/>
      <c r="C813" s="1"/>
      <c r="D813" s="1">
        <v>42396</v>
      </c>
      <c r="E813" s="10">
        <v>117484</v>
      </c>
      <c r="F813" s="1">
        <v>42396</v>
      </c>
      <c r="G813">
        <v>17598</v>
      </c>
      <c r="H813" s="1">
        <f t="shared" si="37"/>
        <v>42396</v>
      </c>
      <c r="I813">
        <f>IF(AND(MyRowHidden(ROW())=FALSE,MyRowHidden(ROW()-1)=TRUE),0,(E813-E812)*unitsOfDHp+I812)</f>
        <v>874840</v>
      </c>
      <c r="J813">
        <f>IF(AND(MyRowHidden(ROW())=FALSE,MyRowHidden(ROW()-1)=TRUE),0,(G813-G812)*unitsOfExo+J812)</f>
        <v>120280</v>
      </c>
      <c r="K813" s="9">
        <f t="shared" si="38"/>
        <v>-120280</v>
      </c>
      <c r="L813">
        <f t="shared" si="39"/>
        <v>995120</v>
      </c>
    </row>
    <row r="814" spans="1:12" x14ac:dyDescent="0.25">
      <c r="A814" s="1"/>
      <c r="C814" s="1"/>
      <c r="D814" s="1">
        <v>42397</v>
      </c>
      <c r="E814" s="10">
        <v>117264</v>
      </c>
      <c r="F814" s="1">
        <v>42397</v>
      </c>
      <c r="G814">
        <v>17528</v>
      </c>
      <c r="H814" s="1">
        <f t="shared" si="37"/>
        <v>42397</v>
      </c>
      <c r="I814">
        <f>IF(AND(MyRowHidden(ROW())=FALSE,MyRowHidden(ROW()-1)=TRUE),0,(E814-E813)*unitsOfDHp+I813)</f>
        <v>872640</v>
      </c>
      <c r="J814">
        <f>IF(AND(MyRowHidden(ROW())=FALSE,MyRowHidden(ROW()-1)=TRUE),0,(G814-G813)*unitsOfExo+J813)</f>
        <v>119580</v>
      </c>
      <c r="K814" s="9">
        <f t="shared" si="38"/>
        <v>-119580</v>
      </c>
      <c r="L814">
        <f t="shared" si="39"/>
        <v>992220</v>
      </c>
    </row>
    <row r="815" spans="1:12" x14ac:dyDescent="0.25">
      <c r="A815" s="1"/>
      <c r="C815" s="1"/>
      <c r="D815" s="1">
        <v>42398</v>
      </c>
      <c r="E815" s="10">
        <v>117774</v>
      </c>
      <c r="F815" s="1">
        <v>42398</v>
      </c>
      <c r="G815">
        <v>17768</v>
      </c>
      <c r="H815" s="1">
        <f t="shared" si="37"/>
        <v>42398</v>
      </c>
      <c r="I815">
        <f>IF(AND(MyRowHidden(ROW())=FALSE,MyRowHidden(ROW()-1)=TRUE),0,(E815-E814)*unitsOfDHp+I814)</f>
        <v>877740</v>
      </c>
      <c r="J815">
        <f>IF(AND(MyRowHidden(ROW())=FALSE,MyRowHidden(ROW()-1)=TRUE),0,(G815-G814)*unitsOfExo+J814)</f>
        <v>121980</v>
      </c>
      <c r="K815" s="9">
        <f t="shared" si="38"/>
        <v>-121980</v>
      </c>
      <c r="L815">
        <f t="shared" si="39"/>
        <v>999720</v>
      </c>
    </row>
    <row r="816" spans="1:12" x14ac:dyDescent="0.25">
      <c r="A816" s="1"/>
      <c r="C816" s="1"/>
      <c r="D816" s="1">
        <v>42401</v>
      </c>
      <c r="E816" s="10">
        <v>117402</v>
      </c>
      <c r="F816" s="1">
        <v>42401</v>
      </c>
      <c r="G816">
        <v>17616</v>
      </c>
      <c r="H816" s="1">
        <f t="shared" si="37"/>
        <v>42401</v>
      </c>
      <c r="I816">
        <f>IF(AND(MyRowHidden(ROW())=FALSE,MyRowHidden(ROW()-1)=TRUE),0,(E816-E815)*unitsOfDHp+I815)</f>
        <v>874020</v>
      </c>
      <c r="J816">
        <f>IF(AND(MyRowHidden(ROW())=FALSE,MyRowHidden(ROW()-1)=TRUE),0,(G816-G815)*unitsOfExo+J815)</f>
        <v>120460</v>
      </c>
      <c r="K816" s="9">
        <f t="shared" si="38"/>
        <v>-120460</v>
      </c>
      <c r="L816">
        <f t="shared" si="39"/>
        <v>994480</v>
      </c>
    </row>
    <row r="817" spans="1:12" x14ac:dyDescent="0.25">
      <c r="A817" s="1"/>
      <c r="C817" s="1"/>
      <c r="D817" s="1">
        <v>42402</v>
      </c>
      <c r="E817" s="10">
        <v>117012</v>
      </c>
      <c r="F817" s="1">
        <v>42402</v>
      </c>
      <c r="G817">
        <v>17156</v>
      </c>
      <c r="H817" s="1">
        <f t="shared" si="37"/>
        <v>42402</v>
      </c>
      <c r="I817">
        <f>IF(AND(MyRowHidden(ROW())=FALSE,MyRowHidden(ROW()-1)=TRUE),0,(E817-E816)*unitsOfDHp+I816)</f>
        <v>870120</v>
      </c>
      <c r="J817">
        <f>IF(AND(MyRowHidden(ROW())=FALSE,MyRowHidden(ROW()-1)=TRUE),0,(G817-G816)*unitsOfExo+J816)</f>
        <v>115860</v>
      </c>
      <c r="K817" s="9">
        <f t="shared" si="38"/>
        <v>-115860</v>
      </c>
      <c r="L817">
        <f t="shared" si="39"/>
        <v>985980</v>
      </c>
    </row>
    <row r="818" spans="1:12" x14ac:dyDescent="0.25">
      <c r="A818" s="1"/>
      <c r="C818" s="1"/>
      <c r="D818" s="1">
        <v>42403</v>
      </c>
      <c r="E818" s="10">
        <v>117132</v>
      </c>
      <c r="F818" s="1">
        <v>42403</v>
      </c>
      <c r="G818">
        <v>17276</v>
      </c>
      <c r="H818" s="1">
        <f t="shared" si="37"/>
        <v>42403</v>
      </c>
      <c r="I818">
        <f>IF(AND(MyRowHidden(ROW())=FALSE,MyRowHidden(ROW()-1)=TRUE),0,(E818-E817)*unitsOfDHp+I817)</f>
        <v>871320</v>
      </c>
      <c r="J818">
        <f>IF(AND(MyRowHidden(ROW())=FALSE,MyRowHidden(ROW()-1)=TRUE),0,(G818-G817)*unitsOfExo+J817)</f>
        <v>117060</v>
      </c>
      <c r="K818" s="9">
        <f t="shared" si="38"/>
        <v>-117060</v>
      </c>
      <c r="L818">
        <f t="shared" si="39"/>
        <v>988380</v>
      </c>
    </row>
    <row r="819" spans="1:12" x14ac:dyDescent="0.25">
      <c r="A819" s="1"/>
      <c r="C819" s="1"/>
      <c r="D819" s="1">
        <v>42404</v>
      </c>
      <c r="E819" s="10">
        <v>117322</v>
      </c>
      <c r="F819" s="1">
        <v>42404</v>
      </c>
      <c r="G819">
        <v>17546</v>
      </c>
      <c r="H819" s="1">
        <f t="shared" si="37"/>
        <v>42404</v>
      </c>
      <c r="I819">
        <f>IF(AND(MyRowHidden(ROW())=FALSE,MyRowHidden(ROW()-1)=TRUE),0,(E819-E818)*unitsOfDHp+I818)</f>
        <v>873220</v>
      </c>
      <c r="J819">
        <f>IF(AND(MyRowHidden(ROW())=FALSE,MyRowHidden(ROW()-1)=TRUE),0,(G819-G818)*unitsOfExo+J818)</f>
        <v>119760</v>
      </c>
      <c r="K819" s="9">
        <f t="shared" si="38"/>
        <v>-119760</v>
      </c>
      <c r="L819">
        <f t="shared" si="39"/>
        <v>992980</v>
      </c>
    </row>
    <row r="820" spans="1:12" x14ac:dyDescent="0.25">
      <c r="A820" s="1"/>
      <c r="C820" s="1"/>
      <c r="D820" s="1">
        <v>42405</v>
      </c>
      <c r="E820" s="10">
        <v>117272</v>
      </c>
      <c r="F820" s="1">
        <v>42405</v>
      </c>
      <c r="G820">
        <v>17476</v>
      </c>
      <c r="H820" s="1">
        <f t="shared" si="37"/>
        <v>42405</v>
      </c>
      <c r="I820">
        <f>IF(AND(MyRowHidden(ROW())=FALSE,MyRowHidden(ROW()-1)=TRUE),0,(E820-E819)*unitsOfDHp+I819)</f>
        <v>872720</v>
      </c>
      <c r="J820">
        <f>IF(AND(MyRowHidden(ROW())=FALSE,MyRowHidden(ROW()-1)=TRUE),0,(G820-G819)*unitsOfExo+J819)</f>
        <v>119060</v>
      </c>
      <c r="K820" s="9">
        <f t="shared" si="38"/>
        <v>-119060</v>
      </c>
      <c r="L820">
        <f t="shared" si="39"/>
        <v>991780</v>
      </c>
    </row>
    <row r="821" spans="1:12" x14ac:dyDescent="0.25">
      <c r="A821" s="1"/>
      <c r="C821" s="1"/>
      <c r="D821" s="1">
        <v>42408</v>
      </c>
      <c r="E821" s="10">
        <v>117312</v>
      </c>
      <c r="F821" s="1">
        <v>42408</v>
      </c>
      <c r="G821">
        <v>17476</v>
      </c>
      <c r="H821" s="1">
        <f t="shared" si="37"/>
        <v>42408</v>
      </c>
      <c r="I821">
        <f>IF(AND(MyRowHidden(ROW())=FALSE,MyRowHidden(ROW()-1)=TRUE),0,(E821-E820)*unitsOfDHp+I820)</f>
        <v>873120</v>
      </c>
      <c r="J821">
        <f>IF(AND(MyRowHidden(ROW())=FALSE,MyRowHidden(ROW()-1)=TRUE),0,(G821-G820)*unitsOfExo+J820)</f>
        <v>119060</v>
      </c>
      <c r="K821" s="9">
        <f t="shared" si="38"/>
        <v>-119060</v>
      </c>
      <c r="L821">
        <f t="shared" si="39"/>
        <v>992180</v>
      </c>
    </row>
    <row r="822" spans="1:12" x14ac:dyDescent="0.25">
      <c r="A822" s="1"/>
      <c r="C822" s="1"/>
      <c r="D822" s="1">
        <v>42409</v>
      </c>
      <c r="E822" s="10">
        <v>117292</v>
      </c>
      <c r="F822" s="1">
        <v>42409</v>
      </c>
      <c r="G822">
        <v>17476</v>
      </c>
      <c r="H822" s="1">
        <f t="shared" si="37"/>
        <v>42409</v>
      </c>
      <c r="I822">
        <f>IF(AND(MyRowHidden(ROW())=FALSE,MyRowHidden(ROW()-1)=TRUE),0,(E822-E821)*unitsOfDHp+I821)</f>
        <v>872920</v>
      </c>
      <c r="J822">
        <f>IF(AND(MyRowHidden(ROW())=FALSE,MyRowHidden(ROW()-1)=TRUE),0,(G822-G821)*unitsOfExo+J821)</f>
        <v>119060</v>
      </c>
      <c r="K822" s="9">
        <f t="shared" si="38"/>
        <v>-119060</v>
      </c>
      <c r="L822">
        <f t="shared" si="39"/>
        <v>991980</v>
      </c>
    </row>
    <row r="823" spans="1:12" x14ac:dyDescent="0.25">
      <c r="A823" s="1"/>
      <c r="C823" s="1"/>
      <c r="D823" s="1">
        <v>42410</v>
      </c>
      <c r="E823" s="10">
        <v>117342</v>
      </c>
      <c r="F823" s="1">
        <v>42410</v>
      </c>
      <c r="G823">
        <v>17536</v>
      </c>
      <c r="H823" s="1">
        <f t="shared" si="37"/>
        <v>42410</v>
      </c>
      <c r="I823">
        <f>IF(AND(MyRowHidden(ROW())=FALSE,MyRowHidden(ROW()-1)=TRUE),0,(E823-E822)*unitsOfDHp+I822)</f>
        <v>873420</v>
      </c>
      <c r="J823">
        <f>IF(AND(MyRowHidden(ROW())=FALSE,MyRowHidden(ROW()-1)=TRUE),0,(G823-G822)*unitsOfExo+J822)</f>
        <v>119660</v>
      </c>
      <c r="K823" s="9">
        <f t="shared" si="38"/>
        <v>-119660</v>
      </c>
      <c r="L823">
        <f t="shared" si="39"/>
        <v>993080</v>
      </c>
    </row>
    <row r="824" spans="1:12" x14ac:dyDescent="0.25">
      <c r="A824" s="1"/>
      <c r="C824" s="1"/>
      <c r="D824" s="1">
        <v>42411</v>
      </c>
      <c r="E824" s="10">
        <v>117542</v>
      </c>
      <c r="F824" s="1">
        <v>42411</v>
      </c>
      <c r="G824">
        <v>17696</v>
      </c>
      <c r="H824" s="1">
        <f t="shared" si="37"/>
        <v>42411</v>
      </c>
      <c r="I824">
        <f>IF(AND(MyRowHidden(ROW())=FALSE,MyRowHidden(ROW()-1)=TRUE),0,(E824-E823)*unitsOfDHp+I823)</f>
        <v>875420</v>
      </c>
      <c r="J824">
        <f>IF(AND(MyRowHidden(ROW())=FALSE,MyRowHidden(ROW()-1)=TRUE),0,(G824-G823)*unitsOfExo+J823)</f>
        <v>121260</v>
      </c>
      <c r="K824" s="9">
        <f t="shared" si="38"/>
        <v>-121260</v>
      </c>
      <c r="L824">
        <f t="shared" si="39"/>
        <v>996680</v>
      </c>
    </row>
    <row r="825" spans="1:12" x14ac:dyDescent="0.25">
      <c r="A825" s="1"/>
      <c r="C825" s="1"/>
      <c r="D825" s="1">
        <v>42412</v>
      </c>
      <c r="E825" s="10">
        <v>117546</v>
      </c>
      <c r="F825" s="1">
        <v>42412</v>
      </c>
      <c r="G825">
        <v>17836</v>
      </c>
      <c r="H825" s="1">
        <f t="shared" si="37"/>
        <v>42412</v>
      </c>
      <c r="I825">
        <f>IF(AND(MyRowHidden(ROW())=FALSE,MyRowHidden(ROW()-1)=TRUE),0,(E825-E824)*unitsOfDHp+I824)</f>
        <v>875460</v>
      </c>
      <c r="J825">
        <f>IF(AND(MyRowHidden(ROW())=FALSE,MyRowHidden(ROW()-1)=TRUE),0,(G825-G824)*unitsOfExo+J824)</f>
        <v>122660</v>
      </c>
      <c r="K825" s="9">
        <f t="shared" si="38"/>
        <v>-122660</v>
      </c>
      <c r="L825">
        <f t="shared" si="39"/>
        <v>998120</v>
      </c>
    </row>
    <row r="826" spans="1:12" x14ac:dyDescent="0.25">
      <c r="A826" s="1"/>
      <c r="C826" s="1"/>
      <c r="D826" s="1">
        <v>42415</v>
      </c>
      <c r="E826" s="10">
        <v>117636</v>
      </c>
      <c r="F826" s="1">
        <v>42415</v>
      </c>
      <c r="G826">
        <v>17916</v>
      </c>
      <c r="H826" s="1">
        <f t="shared" si="37"/>
        <v>42415</v>
      </c>
      <c r="I826">
        <f>IF(AND(MyRowHidden(ROW())=FALSE,MyRowHidden(ROW()-1)=TRUE),0,(E826-E825)*unitsOfDHp+I825)</f>
        <v>876360</v>
      </c>
      <c r="J826">
        <f>IF(AND(MyRowHidden(ROW())=FALSE,MyRowHidden(ROW()-1)=TRUE),0,(G826-G825)*unitsOfExo+J825)</f>
        <v>123460</v>
      </c>
      <c r="K826" s="9">
        <f t="shared" si="38"/>
        <v>-123460</v>
      </c>
      <c r="L826">
        <f t="shared" si="39"/>
        <v>999820</v>
      </c>
    </row>
    <row r="827" spans="1:12" x14ac:dyDescent="0.25">
      <c r="A827" s="1"/>
      <c r="C827" s="1"/>
      <c r="D827" s="1">
        <v>42416</v>
      </c>
      <c r="E827" s="10">
        <v>117336</v>
      </c>
      <c r="F827" s="1">
        <v>42416</v>
      </c>
      <c r="G827">
        <v>17876</v>
      </c>
      <c r="H827" s="1">
        <f t="shared" si="37"/>
        <v>42416</v>
      </c>
      <c r="I827">
        <f>IF(AND(MyRowHidden(ROW())=FALSE,MyRowHidden(ROW()-1)=TRUE),0,(E827-E826)*unitsOfDHp+I826)</f>
        <v>873360</v>
      </c>
      <c r="J827">
        <f>IF(AND(MyRowHidden(ROW())=FALSE,MyRowHidden(ROW()-1)=TRUE),0,(G827-G826)*unitsOfExo+J826)</f>
        <v>123060</v>
      </c>
      <c r="K827" s="9">
        <f t="shared" si="38"/>
        <v>-123060</v>
      </c>
      <c r="L827">
        <f t="shared" si="39"/>
        <v>996420</v>
      </c>
    </row>
    <row r="828" spans="1:12" x14ac:dyDescent="0.25">
      <c r="A828" s="1"/>
      <c r="C828" s="1"/>
      <c r="D828" s="1">
        <v>42417</v>
      </c>
      <c r="E828" s="10">
        <v>117826</v>
      </c>
      <c r="F828" s="1">
        <v>42417</v>
      </c>
      <c r="G828">
        <v>17956</v>
      </c>
      <c r="H828" s="1">
        <f t="shared" si="37"/>
        <v>42417</v>
      </c>
      <c r="I828">
        <f>IF(AND(MyRowHidden(ROW())=FALSE,MyRowHidden(ROW()-1)=TRUE),0,(E828-E827)*unitsOfDHp+I827)</f>
        <v>878260</v>
      </c>
      <c r="J828">
        <f>IF(AND(MyRowHidden(ROW())=FALSE,MyRowHidden(ROW()-1)=TRUE),0,(G828-G827)*unitsOfExo+J827)</f>
        <v>123860</v>
      </c>
      <c r="K828" s="9">
        <f t="shared" si="38"/>
        <v>-123860</v>
      </c>
      <c r="L828">
        <f t="shared" si="39"/>
        <v>1002120</v>
      </c>
    </row>
    <row r="829" spans="1:12" x14ac:dyDescent="0.25">
      <c r="A829" s="1"/>
      <c r="C829" s="1"/>
      <c r="D829" s="1">
        <v>42418</v>
      </c>
      <c r="E829" s="10">
        <v>117926</v>
      </c>
      <c r="F829" s="1">
        <v>42418</v>
      </c>
      <c r="G829">
        <v>18116</v>
      </c>
      <c r="H829" s="1">
        <f t="shared" si="37"/>
        <v>42418</v>
      </c>
      <c r="I829">
        <f>IF(AND(MyRowHidden(ROW())=FALSE,MyRowHidden(ROW()-1)=TRUE),0,(E829-E828)*unitsOfDHp+I828)</f>
        <v>879260</v>
      </c>
      <c r="J829">
        <f>IF(AND(MyRowHidden(ROW())=FALSE,MyRowHidden(ROW()-1)=TRUE),0,(G829-G828)*unitsOfExo+J828)</f>
        <v>125460</v>
      </c>
      <c r="K829" s="9">
        <f t="shared" si="38"/>
        <v>-125460</v>
      </c>
      <c r="L829">
        <f t="shared" si="39"/>
        <v>1004720</v>
      </c>
    </row>
    <row r="830" spans="1:12" x14ac:dyDescent="0.25">
      <c r="A830" s="1"/>
      <c r="C830" s="1"/>
      <c r="D830" s="1">
        <v>42419</v>
      </c>
      <c r="E830" s="10">
        <v>116498</v>
      </c>
      <c r="F830" s="1">
        <v>42419</v>
      </c>
      <c r="G830">
        <v>17276</v>
      </c>
      <c r="H830" s="1">
        <f t="shared" si="37"/>
        <v>42419</v>
      </c>
      <c r="I830">
        <f>IF(AND(MyRowHidden(ROW())=FALSE,MyRowHidden(ROW()-1)=TRUE),0,(E830-E829)*unitsOfDHp+I829)</f>
        <v>864980</v>
      </c>
      <c r="J830">
        <f>IF(AND(MyRowHidden(ROW())=FALSE,MyRowHidden(ROW()-1)=TRUE),0,(G830-G829)*unitsOfExo+J829)</f>
        <v>117060</v>
      </c>
      <c r="K830" s="9">
        <f t="shared" si="38"/>
        <v>-117060</v>
      </c>
      <c r="L830">
        <f t="shared" si="39"/>
        <v>982040</v>
      </c>
    </row>
    <row r="831" spans="1:12" x14ac:dyDescent="0.25">
      <c r="A831" s="1"/>
      <c r="C831" s="1"/>
      <c r="D831" s="1">
        <v>42422</v>
      </c>
      <c r="E831" s="10">
        <v>116538</v>
      </c>
      <c r="F831" s="1">
        <v>42422</v>
      </c>
      <c r="G831">
        <v>17436</v>
      </c>
      <c r="H831" s="1">
        <f t="shared" si="37"/>
        <v>42422</v>
      </c>
      <c r="I831">
        <f>IF(AND(MyRowHidden(ROW())=FALSE,MyRowHidden(ROW()-1)=TRUE),0,(E831-E830)*unitsOfDHp+I830)</f>
        <v>865380</v>
      </c>
      <c r="J831">
        <f>IF(AND(MyRowHidden(ROW())=FALSE,MyRowHidden(ROW()-1)=TRUE),0,(G831-G830)*unitsOfExo+J830)</f>
        <v>118660</v>
      </c>
      <c r="K831" s="9">
        <f t="shared" si="38"/>
        <v>-118660</v>
      </c>
      <c r="L831">
        <f t="shared" si="39"/>
        <v>984040</v>
      </c>
    </row>
    <row r="832" spans="1:12" x14ac:dyDescent="0.25">
      <c r="A832" s="1"/>
      <c r="C832" s="1"/>
      <c r="D832" s="1">
        <v>42423</v>
      </c>
      <c r="E832" s="10">
        <v>116668</v>
      </c>
      <c r="F832" s="1">
        <v>42423</v>
      </c>
      <c r="G832">
        <v>17616</v>
      </c>
      <c r="H832" s="1">
        <f t="shared" si="37"/>
        <v>42423</v>
      </c>
      <c r="I832">
        <f>IF(AND(MyRowHidden(ROW())=FALSE,MyRowHidden(ROW()-1)=TRUE),0,(E832-E831)*unitsOfDHp+I831)</f>
        <v>866680</v>
      </c>
      <c r="J832">
        <f>IF(AND(MyRowHidden(ROW())=FALSE,MyRowHidden(ROW()-1)=TRUE),0,(G832-G831)*unitsOfExo+J831)</f>
        <v>120460</v>
      </c>
      <c r="K832" s="9">
        <f t="shared" si="38"/>
        <v>-120460</v>
      </c>
      <c r="L832">
        <f t="shared" si="39"/>
        <v>987140</v>
      </c>
    </row>
    <row r="833" spans="1:12" x14ac:dyDescent="0.25">
      <c r="A833" s="1"/>
      <c r="C833" s="1"/>
      <c r="D833" s="1">
        <v>42424</v>
      </c>
      <c r="E833" s="10">
        <v>116914</v>
      </c>
      <c r="F833" s="1">
        <v>42424</v>
      </c>
      <c r="G833">
        <v>18176</v>
      </c>
      <c r="H833" s="1">
        <f t="shared" si="37"/>
        <v>42424</v>
      </c>
      <c r="I833">
        <f>IF(AND(MyRowHidden(ROW())=FALSE,MyRowHidden(ROW()-1)=TRUE),0,(E833-E832)*unitsOfDHp+I832)</f>
        <v>869140</v>
      </c>
      <c r="J833">
        <f>IF(AND(MyRowHidden(ROW())=FALSE,MyRowHidden(ROW()-1)=TRUE),0,(G833-G832)*unitsOfExo+J832)</f>
        <v>126060</v>
      </c>
      <c r="K833" s="9">
        <f t="shared" si="38"/>
        <v>-126060</v>
      </c>
      <c r="L833">
        <f t="shared" si="39"/>
        <v>995200</v>
      </c>
    </row>
    <row r="834" spans="1:12" x14ac:dyDescent="0.25">
      <c r="A834" s="1"/>
      <c r="C834" s="1"/>
      <c r="D834" s="1">
        <v>42425</v>
      </c>
      <c r="E834" s="10">
        <v>116942</v>
      </c>
      <c r="F834" s="1">
        <v>42425</v>
      </c>
      <c r="G834">
        <v>18226</v>
      </c>
      <c r="H834" s="1">
        <f t="shared" si="37"/>
        <v>42425</v>
      </c>
      <c r="I834">
        <f>IF(AND(MyRowHidden(ROW())=FALSE,MyRowHidden(ROW()-1)=TRUE),0,(E834-E833)*unitsOfDHp+I833)</f>
        <v>869420</v>
      </c>
      <c r="J834">
        <f>IF(AND(MyRowHidden(ROW())=FALSE,MyRowHidden(ROW()-1)=TRUE),0,(G834-G833)*unitsOfExo+J833)</f>
        <v>126560</v>
      </c>
      <c r="K834" s="9">
        <f t="shared" si="38"/>
        <v>-126560</v>
      </c>
      <c r="L834">
        <f t="shared" si="39"/>
        <v>995980</v>
      </c>
    </row>
    <row r="835" spans="1:12" x14ac:dyDescent="0.25">
      <c r="A835" s="1"/>
      <c r="C835" s="1"/>
      <c r="D835" s="1">
        <v>42426</v>
      </c>
      <c r="E835" s="10">
        <v>116922</v>
      </c>
      <c r="F835" s="1">
        <v>42426</v>
      </c>
      <c r="G835">
        <v>18066</v>
      </c>
      <c r="H835" s="1">
        <f t="shared" si="37"/>
        <v>42426</v>
      </c>
      <c r="I835">
        <f>IF(AND(MyRowHidden(ROW())=FALSE,MyRowHidden(ROW()-1)=TRUE),0,(E835-E834)*unitsOfDHp+I834)</f>
        <v>869220</v>
      </c>
      <c r="J835">
        <f>IF(AND(MyRowHidden(ROW())=FALSE,MyRowHidden(ROW()-1)=TRUE),0,(G835-G834)*unitsOfExo+J834)</f>
        <v>124960</v>
      </c>
      <c r="K835" s="9">
        <f t="shared" si="38"/>
        <v>-124960</v>
      </c>
      <c r="L835">
        <f t="shared" si="39"/>
        <v>994180</v>
      </c>
    </row>
    <row r="836" spans="1:12" x14ac:dyDescent="0.25">
      <c r="A836" s="1"/>
      <c r="C836" s="1"/>
      <c r="D836" s="1">
        <v>42429</v>
      </c>
      <c r="E836" s="10">
        <v>116902</v>
      </c>
      <c r="F836" s="1">
        <v>42429</v>
      </c>
      <c r="G836">
        <v>17636</v>
      </c>
      <c r="H836" s="1">
        <f t="shared" si="37"/>
        <v>42429</v>
      </c>
      <c r="I836">
        <f>IF(AND(MyRowHidden(ROW())=FALSE,MyRowHidden(ROW()-1)=TRUE),0,(E836-E835)*unitsOfDHp+I835)</f>
        <v>869020</v>
      </c>
      <c r="J836">
        <f>IF(AND(MyRowHidden(ROW())=FALSE,MyRowHidden(ROW()-1)=TRUE),0,(G836-G835)*unitsOfExo+J835)</f>
        <v>120660</v>
      </c>
      <c r="K836" s="9">
        <f t="shared" si="38"/>
        <v>-120660</v>
      </c>
      <c r="L836">
        <f t="shared" si="39"/>
        <v>989680</v>
      </c>
    </row>
    <row r="837" spans="1:12" x14ac:dyDescent="0.25">
      <c r="A837" s="1"/>
      <c r="C837" s="1"/>
      <c r="D837" s="1">
        <v>42430</v>
      </c>
      <c r="E837" s="10">
        <v>116900</v>
      </c>
      <c r="F837" s="1">
        <v>42430</v>
      </c>
      <c r="G837">
        <v>17786</v>
      </c>
      <c r="H837" s="1">
        <f t="shared" si="37"/>
        <v>42430</v>
      </c>
      <c r="I837">
        <f>IF(AND(MyRowHidden(ROW())=FALSE,MyRowHidden(ROW()-1)=TRUE),0,(E837-E836)*unitsOfDHp+I836)</f>
        <v>869000</v>
      </c>
      <c r="J837">
        <f>IF(AND(MyRowHidden(ROW())=FALSE,MyRowHidden(ROW()-1)=TRUE),0,(G837-G836)*unitsOfExo+J836)</f>
        <v>122160</v>
      </c>
      <c r="K837" s="9">
        <f t="shared" si="38"/>
        <v>-122160</v>
      </c>
      <c r="L837">
        <f t="shared" si="39"/>
        <v>991160</v>
      </c>
    </row>
    <row r="838" spans="1:12" x14ac:dyDescent="0.25">
      <c r="A838" s="1"/>
      <c r="C838" s="1"/>
      <c r="D838" s="1">
        <v>42431</v>
      </c>
      <c r="E838" s="10">
        <v>116750</v>
      </c>
      <c r="F838" s="1">
        <v>42431</v>
      </c>
      <c r="G838">
        <v>17806</v>
      </c>
      <c r="H838" s="1">
        <f t="shared" si="37"/>
        <v>42431</v>
      </c>
      <c r="I838">
        <f>IF(AND(MyRowHidden(ROW())=FALSE,MyRowHidden(ROW()-1)=TRUE),0,(E838-E837)*unitsOfDHp+I837)</f>
        <v>867500</v>
      </c>
      <c r="J838">
        <f>IF(AND(MyRowHidden(ROW())=FALSE,MyRowHidden(ROW()-1)=TRUE),0,(G838-G837)*unitsOfExo+J837)</f>
        <v>122360</v>
      </c>
      <c r="K838" s="9">
        <f t="shared" si="38"/>
        <v>-122360</v>
      </c>
      <c r="L838">
        <f t="shared" si="39"/>
        <v>989860</v>
      </c>
    </row>
    <row r="839" spans="1:12" x14ac:dyDescent="0.25">
      <c r="A839" s="1"/>
      <c r="C839" s="1"/>
      <c r="D839" s="1">
        <v>42432</v>
      </c>
      <c r="E839" s="10">
        <v>116688</v>
      </c>
      <c r="F839" s="1">
        <v>42432</v>
      </c>
      <c r="G839">
        <v>17766</v>
      </c>
      <c r="H839" s="1">
        <f t="shared" si="37"/>
        <v>42432</v>
      </c>
      <c r="I839">
        <f>IF(AND(MyRowHidden(ROW())=FALSE,MyRowHidden(ROW()-1)=TRUE),0,(E839-E838)*unitsOfDHp+I838)</f>
        <v>866880</v>
      </c>
      <c r="J839">
        <f>IF(AND(MyRowHidden(ROW())=FALSE,MyRowHidden(ROW()-1)=TRUE),0,(G839-G838)*unitsOfExo+J838)</f>
        <v>121960</v>
      </c>
      <c r="K839" s="9">
        <f t="shared" si="38"/>
        <v>-121960</v>
      </c>
      <c r="L839">
        <f t="shared" si="39"/>
        <v>988840</v>
      </c>
    </row>
    <row r="840" spans="1:12" x14ac:dyDescent="0.25">
      <c r="A840" s="1"/>
      <c r="C840" s="1"/>
      <c r="D840" s="1">
        <v>42433</v>
      </c>
      <c r="E840" s="10">
        <v>116704</v>
      </c>
      <c r="F840" s="1">
        <v>42433</v>
      </c>
      <c r="G840">
        <v>18096</v>
      </c>
      <c r="H840" s="1">
        <f t="shared" si="37"/>
        <v>42433</v>
      </c>
      <c r="I840">
        <f>IF(AND(MyRowHidden(ROW())=FALSE,MyRowHidden(ROW()-1)=TRUE),0,(E840-E839)*unitsOfDHp+I839)</f>
        <v>867040</v>
      </c>
      <c r="J840">
        <f>IF(AND(MyRowHidden(ROW())=FALSE,MyRowHidden(ROW()-1)=TRUE),0,(G840-G839)*unitsOfExo+J839)</f>
        <v>125260</v>
      </c>
      <c r="K840" s="9">
        <f t="shared" si="38"/>
        <v>-125260</v>
      </c>
      <c r="L840">
        <f t="shared" si="39"/>
        <v>992300</v>
      </c>
    </row>
    <row r="841" spans="1:12" x14ac:dyDescent="0.25">
      <c r="A841" s="1"/>
      <c r="C841" s="1"/>
      <c r="D841" s="1">
        <v>42436</v>
      </c>
      <c r="E841" s="10">
        <v>116352</v>
      </c>
      <c r="F841" s="1">
        <v>42436</v>
      </c>
      <c r="G841">
        <v>17696</v>
      </c>
      <c r="H841" s="1">
        <f t="shared" si="37"/>
        <v>42436</v>
      </c>
      <c r="I841">
        <f>IF(AND(MyRowHidden(ROW())=FALSE,MyRowHidden(ROW()-1)=TRUE),0,(E841-E840)*unitsOfDHp+I840)</f>
        <v>863520</v>
      </c>
      <c r="J841">
        <f>IF(AND(MyRowHidden(ROW())=FALSE,MyRowHidden(ROW()-1)=TRUE),0,(G841-G840)*unitsOfExo+J840)</f>
        <v>121260</v>
      </c>
      <c r="K841" s="9">
        <f t="shared" si="38"/>
        <v>-121260</v>
      </c>
      <c r="L841">
        <f t="shared" si="39"/>
        <v>984780</v>
      </c>
    </row>
    <row r="842" spans="1:12" x14ac:dyDescent="0.25">
      <c r="A842" s="1"/>
      <c r="C842" s="1"/>
      <c r="D842" s="1">
        <v>42437</v>
      </c>
      <c r="E842" s="10">
        <v>116218</v>
      </c>
      <c r="F842" s="1">
        <v>42437</v>
      </c>
      <c r="G842">
        <v>17606</v>
      </c>
      <c r="H842" s="1">
        <f t="shared" si="37"/>
        <v>42437</v>
      </c>
      <c r="I842">
        <f>IF(AND(MyRowHidden(ROW())=FALSE,MyRowHidden(ROW()-1)=TRUE),0,(E842-E841)*unitsOfDHp+I841)</f>
        <v>862180</v>
      </c>
      <c r="J842">
        <f>IF(AND(MyRowHidden(ROW())=FALSE,MyRowHidden(ROW()-1)=TRUE),0,(G842-G841)*unitsOfExo+J841)</f>
        <v>120360</v>
      </c>
      <c r="K842" s="9">
        <f t="shared" si="38"/>
        <v>-120360</v>
      </c>
      <c r="L842">
        <f t="shared" si="39"/>
        <v>982540</v>
      </c>
    </row>
    <row r="843" spans="1:12" x14ac:dyDescent="0.25">
      <c r="A843" s="1"/>
      <c r="C843" s="1"/>
      <c r="D843" s="1">
        <v>42438</v>
      </c>
      <c r="E843" s="10">
        <v>116790</v>
      </c>
      <c r="F843" s="1">
        <v>42438</v>
      </c>
      <c r="G843">
        <v>18366</v>
      </c>
      <c r="H843" s="1">
        <f t="shared" si="37"/>
        <v>42438</v>
      </c>
      <c r="I843">
        <f>IF(AND(MyRowHidden(ROW())=FALSE,MyRowHidden(ROW()-1)=TRUE),0,(E843-E842)*unitsOfDHp+I842)</f>
        <v>867900</v>
      </c>
      <c r="J843">
        <f>IF(AND(MyRowHidden(ROW())=FALSE,MyRowHidden(ROW()-1)=TRUE),0,(G843-G842)*unitsOfExo+J842)</f>
        <v>127960</v>
      </c>
      <c r="K843" s="9">
        <f t="shared" si="38"/>
        <v>-127960</v>
      </c>
      <c r="L843">
        <f t="shared" si="39"/>
        <v>995860</v>
      </c>
    </row>
    <row r="844" spans="1:12" x14ac:dyDescent="0.25">
      <c r="A844" s="1"/>
      <c r="C844" s="1"/>
      <c r="D844" s="1">
        <v>42439</v>
      </c>
      <c r="E844" s="10">
        <v>117130</v>
      </c>
      <c r="F844" s="1">
        <v>42439</v>
      </c>
      <c r="G844">
        <v>18646</v>
      </c>
      <c r="H844" s="1">
        <f t="shared" si="37"/>
        <v>42439</v>
      </c>
      <c r="I844">
        <f>IF(AND(MyRowHidden(ROW())=FALSE,MyRowHidden(ROW()-1)=TRUE),0,(E844-E843)*unitsOfDHp+I843)</f>
        <v>871300</v>
      </c>
      <c r="J844">
        <f>IF(AND(MyRowHidden(ROW())=FALSE,MyRowHidden(ROW()-1)=TRUE),0,(G844-G843)*unitsOfExo+J843)</f>
        <v>130760</v>
      </c>
      <c r="K844" s="9">
        <f t="shared" si="38"/>
        <v>-130760</v>
      </c>
      <c r="L844">
        <f t="shared" si="39"/>
        <v>1002060</v>
      </c>
    </row>
    <row r="845" spans="1:12" x14ac:dyDescent="0.25">
      <c r="A845" s="1"/>
      <c r="C845" s="1"/>
      <c r="D845" s="1">
        <v>42440</v>
      </c>
      <c r="E845" s="10">
        <v>116760</v>
      </c>
      <c r="F845" s="1">
        <v>42440</v>
      </c>
      <c r="G845">
        <v>18506</v>
      </c>
      <c r="H845" s="1">
        <f t="shared" ref="H845:H908" si="40">D845</f>
        <v>42440</v>
      </c>
      <c r="I845">
        <f>IF(AND(MyRowHidden(ROW())=FALSE,MyRowHidden(ROW()-1)=TRUE),0,(E845-E844)*unitsOfDHp+I844)</f>
        <v>867600</v>
      </c>
      <c r="J845">
        <f>IF(AND(MyRowHidden(ROW())=FALSE,MyRowHidden(ROW()-1)=TRUE),0,(G845-G844)*unitsOfExo+J844)</f>
        <v>129360</v>
      </c>
      <c r="K845" s="9">
        <f t="shared" ref="K845:K908" si="41">-(J845-J844)+K844</f>
        <v>-129360</v>
      </c>
      <c r="L845">
        <f t="shared" ref="L845:L908" si="42">I845+J845</f>
        <v>996960</v>
      </c>
    </row>
    <row r="846" spans="1:12" x14ac:dyDescent="0.25">
      <c r="A846" s="1"/>
      <c r="C846" s="1"/>
      <c r="D846" s="1">
        <v>42443</v>
      </c>
      <c r="E846" s="10">
        <v>115406</v>
      </c>
      <c r="F846" s="1">
        <v>42443</v>
      </c>
      <c r="G846">
        <v>17926</v>
      </c>
      <c r="H846" s="1">
        <f t="shared" si="40"/>
        <v>42443</v>
      </c>
      <c r="I846">
        <f>IF(AND(MyRowHidden(ROW())=FALSE,MyRowHidden(ROW()-1)=TRUE),0,(E846-E845)*unitsOfDHp+I845)</f>
        <v>854060</v>
      </c>
      <c r="J846">
        <f>IF(AND(MyRowHidden(ROW())=FALSE,MyRowHidden(ROW()-1)=TRUE),0,(G846-G845)*unitsOfExo+J845)</f>
        <v>123560</v>
      </c>
      <c r="K846" s="9">
        <f t="shared" si="41"/>
        <v>-123560</v>
      </c>
      <c r="L846">
        <f t="shared" si="42"/>
        <v>977620</v>
      </c>
    </row>
    <row r="847" spans="1:12" x14ac:dyDescent="0.25">
      <c r="A847" s="1"/>
      <c r="C847" s="1"/>
      <c r="D847" s="1">
        <v>42444</v>
      </c>
      <c r="E847" s="10">
        <v>115546</v>
      </c>
      <c r="F847" s="1">
        <v>42444</v>
      </c>
      <c r="G847">
        <v>18026</v>
      </c>
      <c r="H847" s="1">
        <f t="shared" si="40"/>
        <v>42444</v>
      </c>
      <c r="I847">
        <f>IF(AND(MyRowHidden(ROW())=FALSE,MyRowHidden(ROW()-1)=TRUE),0,(E847-E846)*unitsOfDHp+I846)</f>
        <v>855460</v>
      </c>
      <c r="J847">
        <f>IF(AND(MyRowHidden(ROW())=FALSE,MyRowHidden(ROW()-1)=TRUE),0,(G847-G846)*unitsOfExo+J846)</f>
        <v>124560</v>
      </c>
      <c r="K847" s="9">
        <f t="shared" si="41"/>
        <v>-124560</v>
      </c>
      <c r="L847">
        <f t="shared" si="42"/>
        <v>980020</v>
      </c>
    </row>
    <row r="848" spans="1:12" x14ac:dyDescent="0.25">
      <c r="A848" s="1"/>
      <c r="C848" s="1"/>
      <c r="D848" s="1">
        <v>42445</v>
      </c>
      <c r="E848" s="10">
        <v>116496</v>
      </c>
      <c r="F848" s="1">
        <v>42445</v>
      </c>
      <c r="G848">
        <v>18306</v>
      </c>
      <c r="H848" s="1">
        <f t="shared" si="40"/>
        <v>42445</v>
      </c>
      <c r="I848">
        <f>IF(AND(MyRowHidden(ROW())=FALSE,MyRowHidden(ROW()-1)=TRUE),0,(E848-E847)*unitsOfDHp+I847)</f>
        <v>864960</v>
      </c>
      <c r="J848">
        <f>IF(AND(MyRowHidden(ROW())=FALSE,MyRowHidden(ROW()-1)=TRUE),0,(G848-G847)*unitsOfExo+J847)</f>
        <v>127360</v>
      </c>
      <c r="K848" s="9">
        <f t="shared" si="41"/>
        <v>-127360</v>
      </c>
      <c r="L848">
        <f t="shared" si="42"/>
        <v>992320</v>
      </c>
    </row>
    <row r="849" spans="1:12" x14ac:dyDescent="0.25">
      <c r="A849" s="1"/>
      <c r="C849" s="1"/>
      <c r="D849" s="1">
        <v>42446</v>
      </c>
      <c r="E849" s="10">
        <v>116002</v>
      </c>
      <c r="F849" s="1">
        <v>42446</v>
      </c>
      <c r="G849">
        <v>18126</v>
      </c>
      <c r="H849" s="1">
        <f t="shared" si="40"/>
        <v>42446</v>
      </c>
      <c r="I849">
        <f>IF(AND(MyRowHidden(ROW())=FALSE,MyRowHidden(ROW()-1)=TRUE),0,(E849-E848)*unitsOfDHp+I848)</f>
        <v>860020</v>
      </c>
      <c r="J849">
        <f>IF(AND(MyRowHidden(ROW())=FALSE,MyRowHidden(ROW()-1)=TRUE),0,(G849-G848)*unitsOfExo+J848)</f>
        <v>125560</v>
      </c>
      <c r="K849" s="9">
        <f t="shared" si="41"/>
        <v>-125560</v>
      </c>
      <c r="L849">
        <f t="shared" si="42"/>
        <v>985580</v>
      </c>
    </row>
    <row r="850" spans="1:12" x14ac:dyDescent="0.25">
      <c r="A850" s="1"/>
      <c r="C850" s="1"/>
      <c r="D850" s="1">
        <v>42447</v>
      </c>
      <c r="E850" s="10">
        <v>116092</v>
      </c>
      <c r="F850" s="1">
        <v>42447</v>
      </c>
      <c r="G850">
        <v>18226</v>
      </c>
      <c r="H850" s="1">
        <f t="shared" si="40"/>
        <v>42447</v>
      </c>
      <c r="I850">
        <f>IF(AND(MyRowHidden(ROW())=FALSE,MyRowHidden(ROW()-1)=TRUE),0,(E850-E849)*unitsOfDHp+I849)</f>
        <v>860920</v>
      </c>
      <c r="J850">
        <f>IF(AND(MyRowHidden(ROW())=FALSE,MyRowHidden(ROW()-1)=TRUE),0,(G850-G849)*unitsOfExo+J849)</f>
        <v>126560</v>
      </c>
      <c r="K850" s="9">
        <f t="shared" si="41"/>
        <v>-126560</v>
      </c>
      <c r="L850">
        <f t="shared" si="42"/>
        <v>987480</v>
      </c>
    </row>
    <row r="851" spans="1:12" x14ac:dyDescent="0.25">
      <c r="A851" s="1"/>
      <c r="C851" s="1"/>
      <c r="D851" s="1">
        <v>42450</v>
      </c>
      <c r="E851" s="10">
        <v>114204</v>
      </c>
      <c r="F851" s="1">
        <v>42450</v>
      </c>
      <c r="G851">
        <v>17496</v>
      </c>
      <c r="H851" s="1">
        <f t="shared" si="40"/>
        <v>42450</v>
      </c>
      <c r="I851">
        <f>IF(AND(MyRowHidden(ROW())=FALSE,MyRowHidden(ROW()-1)=TRUE),0,(E851-E850)*unitsOfDHp+I850)</f>
        <v>842040</v>
      </c>
      <c r="J851">
        <f>IF(AND(MyRowHidden(ROW())=FALSE,MyRowHidden(ROW()-1)=TRUE),0,(G851-G850)*unitsOfExo+J850)</f>
        <v>119260</v>
      </c>
      <c r="K851" s="9">
        <f t="shared" si="41"/>
        <v>-119260</v>
      </c>
      <c r="L851">
        <f t="shared" si="42"/>
        <v>961300</v>
      </c>
    </row>
    <row r="852" spans="1:12" x14ac:dyDescent="0.25">
      <c r="A852" s="1"/>
      <c r="C852" s="1"/>
      <c r="D852" s="1">
        <v>42451</v>
      </c>
      <c r="E852" s="10">
        <v>114402</v>
      </c>
      <c r="F852" s="1">
        <v>42451</v>
      </c>
      <c r="G852">
        <v>17676</v>
      </c>
      <c r="H852" s="1">
        <f t="shared" si="40"/>
        <v>42451</v>
      </c>
      <c r="I852">
        <f>IF(AND(MyRowHidden(ROW())=FALSE,MyRowHidden(ROW()-1)=TRUE),0,(E852-E851)*unitsOfDHp+I851)</f>
        <v>844020</v>
      </c>
      <c r="J852">
        <f>IF(AND(MyRowHidden(ROW())=FALSE,MyRowHidden(ROW()-1)=TRUE),0,(G852-G851)*unitsOfExo+J851)</f>
        <v>121060</v>
      </c>
      <c r="K852" s="9">
        <f t="shared" si="41"/>
        <v>-121060</v>
      </c>
      <c r="L852">
        <f t="shared" si="42"/>
        <v>965080</v>
      </c>
    </row>
    <row r="853" spans="1:12" x14ac:dyDescent="0.25">
      <c r="A853" s="1"/>
      <c r="C853" s="1"/>
      <c r="D853" s="1">
        <v>42452</v>
      </c>
      <c r="E853" s="10">
        <v>114342</v>
      </c>
      <c r="F853" s="1">
        <v>42452</v>
      </c>
      <c r="G853">
        <v>17596</v>
      </c>
      <c r="H853" s="1">
        <f t="shared" si="40"/>
        <v>42452</v>
      </c>
      <c r="I853">
        <f>IF(AND(MyRowHidden(ROW())=FALSE,MyRowHidden(ROW()-1)=TRUE),0,(E853-E852)*unitsOfDHp+I852)</f>
        <v>843420</v>
      </c>
      <c r="J853">
        <f>IF(AND(MyRowHidden(ROW())=FALSE,MyRowHidden(ROW()-1)=TRUE),0,(G853-G852)*unitsOfExo+J852)</f>
        <v>120260</v>
      </c>
      <c r="K853" s="9">
        <f t="shared" si="41"/>
        <v>-120260</v>
      </c>
      <c r="L853">
        <f t="shared" si="42"/>
        <v>963680</v>
      </c>
    </row>
    <row r="854" spans="1:12" x14ac:dyDescent="0.25">
      <c r="A854" s="1"/>
      <c r="C854" s="1"/>
      <c r="D854" s="1">
        <v>42453</v>
      </c>
      <c r="E854" s="10">
        <v>114242</v>
      </c>
      <c r="F854" s="1">
        <v>42453</v>
      </c>
      <c r="G854">
        <v>17506</v>
      </c>
      <c r="H854" s="1">
        <f t="shared" si="40"/>
        <v>42453</v>
      </c>
      <c r="I854">
        <f>IF(AND(MyRowHidden(ROW())=FALSE,MyRowHidden(ROW()-1)=TRUE),0,(E854-E853)*unitsOfDHp+I853)</f>
        <v>842420</v>
      </c>
      <c r="J854">
        <f>IF(AND(MyRowHidden(ROW())=FALSE,MyRowHidden(ROW()-1)=TRUE),0,(G854-G853)*unitsOfExo+J853)</f>
        <v>119360</v>
      </c>
      <c r="K854" s="9">
        <f t="shared" si="41"/>
        <v>-119360</v>
      </c>
      <c r="L854">
        <f t="shared" si="42"/>
        <v>961780</v>
      </c>
    </row>
    <row r="855" spans="1:12" x14ac:dyDescent="0.25">
      <c r="A855" s="1"/>
      <c r="C855" s="1"/>
      <c r="D855" s="1">
        <v>42454</v>
      </c>
      <c r="E855" s="10">
        <v>114362</v>
      </c>
      <c r="F855" s="1">
        <v>42454</v>
      </c>
      <c r="G855">
        <v>17626</v>
      </c>
      <c r="H855" s="1">
        <f t="shared" si="40"/>
        <v>42454</v>
      </c>
      <c r="I855">
        <f>IF(AND(MyRowHidden(ROW())=FALSE,MyRowHidden(ROW()-1)=TRUE),0,(E855-E854)*unitsOfDHp+I854)</f>
        <v>843620</v>
      </c>
      <c r="J855">
        <f>IF(AND(MyRowHidden(ROW())=FALSE,MyRowHidden(ROW()-1)=TRUE),0,(G855-G854)*unitsOfExo+J854)</f>
        <v>120560</v>
      </c>
      <c r="K855" s="9">
        <f t="shared" si="41"/>
        <v>-120560</v>
      </c>
      <c r="L855">
        <f t="shared" si="42"/>
        <v>964180</v>
      </c>
    </row>
    <row r="856" spans="1:12" x14ac:dyDescent="0.25">
      <c r="A856" s="1"/>
      <c r="C856" s="1"/>
      <c r="D856" s="1">
        <v>42457</v>
      </c>
      <c r="E856" s="10">
        <v>114452</v>
      </c>
      <c r="F856" s="1">
        <v>42457</v>
      </c>
      <c r="G856">
        <v>17786</v>
      </c>
      <c r="H856" s="1">
        <f t="shared" si="40"/>
        <v>42457</v>
      </c>
      <c r="I856">
        <f>IF(AND(MyRowHidden(ROW())=FALSE,MyRowHidden(ROW()-1)=TRUE),0,(E856-E855)*unitsOfDHp+I855)</f>
        <v>844520</v>
      </c>
      <c r="J856">
        <f>IF(AND(MyRowHidden(ROW())=FALSE,MyRowHidden(ROW()-1)=TRUE),0,(G856-G855)*unitsOfExo+J855)</f>
        <v>122160</v>
      </c>
      <c r="K856" s="9">
        <f t="shared" si="41"/>
        <v>-122160</v>
      </c>
      <c r="L856">
        <f t="shared" si="42"/>
        <v>966680</v>
      </c>
    </row>
    <row r="857" spans="1:12" x14ac:dyDescent="0.25">
      <c r="A857" s="1"/>
      <c r="C857" s="1"/>
      <c r="D857" s="1">
        <v>42458</v>
      </c>
      <c r="E857" s="10">
        <v>114312</v>
      </c>
      <c r="F857" s="1">
        <v>42458</v>
      </c>
      <c r="G857">
        <v>17756</v>
      </c>
      <c r="H857" s="1">
        <f t="shared" si="40"/>
        <v>42458</v>
      </c>
      <c r="I857">
        <f>IF(AND(MyRowHidden(ROW())=FALSE,MyRowHidden(ROW()-1)=TRUE),0,(E857-E856)*unitsOfDHp+I856)</f>
        <v>843120</v>
      </c>
      <c r="J857">
        <f>IF(AND(MyRowHidden(ROW())=FALSE,MyRowHidden(ROW()-1)=TRUE),0,(G857-G856)*unitsOfExo+J856)</f>
        <v>121860</v>
      </c>
      <c r="K857" s="9">
        <f t="shared" si="41"/>
        <v>-121860</v>
      </c>
      <c r="L857">
        <f t="shared" si="42"/>
        <v>964980</v>
      </c>
    </row>
    <row r="858" spans="1:12" x14ac:dyDescent="0.25">
      <c r="A858" s="1"/>
      <c r="C858" s="1"/>
      <c r="D858" s="1">
        <v>42459</v>
      </c>
      <c r="E858" s="10">
        <v>113860</v>
      </c>
      <c r="F858" s="1">
        <v>42459</v>
      </c>
      <c r="G858">
        <v>17406</v>
      </c>
      <c r="H858" s="1">
        <f t="shared" si="40"/>
        <v>42459</v>
      </c>
      <c r="I858">
        <f>IF(AND(MyRowHidden(ROW())=FALSE,MyRowHidden(ROW()-1)=TRUE),0,(E858-E857)*unitsOfDHp+I857)</f>
        <v>838600</v>
      </c>
      <c r="J858">
        <f>IF(AND(MyRowHidden(ROW())=FALSE,MyRowHidden(ROW()-1)=TRUE),0,(G858-G857)*unitsOfExo+J857)</f>
        <v>118360</v>
      </c>
      <c r="K858" s="9">
        <f t="shared" si="41"/>
        <v>-118360</v>
      </c>
      <c r="L858">
        <f t="shared" si="42"/>
        <v>956960</v>
      </c>
    </row>
    <row r="859" spans="1:12" x14ac:dyDescent="0.25">
      <c r="A859" s="1"/>
      <c r="C859" s="1"/>
      <c r="D859" s="1">
        <v>42460</v>
      </c>
      <c r="E859" s="10">
        <v>113610</v>
      </c>
      <c r="F859" s="1">
        <v>42460</v>
      </c>
      <c r="G859">
        <v>17036</v>
      </c>
      <c r="H859" s="1">
        <f t="shared" si="40"/>
        <v>42460</v>
      </c>
      <c r="I859">
        <f>IF(AND(MyRowHidden(ROW())=FALSE,MyRowHidden(ROW()-1)=TRUE),0,(E859-E858)*unitsOfDHp+I858)</f>
        <v>836100</v>
      </c>
      <c r="J859">
        <f>IF(AND(MyRowHidden(ROW())=FALSE,MyRowHidden(ROW()-1)=TRUE),0,(G859-G858)*unitsOfExo+J858)</f>
        <v>114660</v>
      </c>
      <c r="K859" s="9">
        <f t="shared" si="41"/>
        <v>-114660</v>
      </c>
      <c r="L859">
        <f t="shared" si="42"/>
        <v>950760</v>
      </c>
    </row>
    <row r="860" spans="1:12" x14ac:dyDescent="0.25">
      <c r="A860" s="1"/>
      <c r="C860" s="1"/>
      <c r="D860" s="1">
        <v>42461</v>
      </c>
      <c r="E860" s="10">
        <v>113486</v>
      </c>
      <c r="F860" s="1">
        <v>42461</v>
      </c>
      <c r="G860">
        <v>16824</v>
      </c>
      <c r="H860" s="1">
        <f t="shared" si="40"/>
        <v>42461</v>
      </c>
      <c r="I860">
        <f>IF(AND(MyRowHidden(ROW())=FALSE,MyRowHidden(ROW()-1)=TRUE),0,(E860-E859)*unitsOfDHp+I859)</f>
        <v>834860</v>
      </c>
      <c r="J860">
        <f>IF(AND(MyRowHidden(ROW())=FALSE,MyRowHidden(ROW()-1)=TRUE),0,(G860-G859)*unitsOfExo+J859)</f>
        <v>112540</v>
      </c>
      <c r="K860" s="9">
        <f t="shared" si="41"/>
        <v>-112540</v>
      </c>
      <c r="L860">
        <f t="shared" si="42"/>
        <v>947400</v>
      </c>
    </row>
    <row r="861" spans="1:12" x14ac:dyDescent="0.25">
      <c r="A861" s="1"/>
      <c r="C861" s="1"/>
      <c r="D861" s="1">
        <v>42464</v>
      </c>
      <c r="E861" s="10">
        <v>113486</v>
      </c>
      <c r="F861" s="1">
        <v>42464</v>
      </c>
      <c r="G861">
        <v>16834</v>
      </c>
      <c r="H861" s="1">
        <f t="shared" si="40"/>
        <v>42464</v>
      </c>
      <c r="I861">
        <f>IF(AND(MyRowHidden(ROW())=FALSE,MyRowHidden(ROW()-1)=TRUE),0,(E861-E860)*unitsOfDHp+I860)</f>
        <v>834860</v>
      </c>
      <c r="J861">
        <f>IF(AND(MyRowHidden(ROW())=FALSE,MyRowHidden(ROW()-1)=TRUE),0,(G861-G860)*unitsOfExo+J860)</f>
        <v>112640</v>
      </c>
      <c r="K861" s="9">
        <f t="shared" si="41"/>
        <v>-112640</v>
      </c>
      <c r="L861">
        <f t="shared" si="42"/>
        <v>947500</v>
      </c>
    </row>
    <row r="862" spans="1:12" x14ac:dyDescent="0.25">
      <c r="A862" s="1"/>
      <c r="C862" s="1"/>
      <c r="D862" s="1">
        <v>42465</v>
      </c>
      <c r="E862" s="10">
        <v>113544</v>
      </c>
      <c r="F862" s="1">
        <v>42465</v>
      </c>
      <c r="G862">
        <v>16694</v>
      </c>
      <c r="H862" s="1">
        <f t="shared" si="40"/>
        <v>42465</v>
      </c>
      <c r="I862">
        <f>IF(AND(MyRowHidden(ROW())=FALSE,MyRowHidden(ROW()-1)=TRUE),0,(E862-E861)*unitsOfDHp+I861)</f>
        <v>835440</v>
      </c>
      <c r="J862">
        <f>IF(AND(MyRowHidden(ROW())=FALSE,MyRowHidden(ROW()-1)=TRUE),0,(G862-G861)*unitsOfExo+J861)</f>
        <v>111240</v>
      </c>
      <c r="K862" s="9">
        <f t="shared" si="41"/>
        <v>-111240</v>
      </c>
      <c r="L862">
        <f t="shared" si="42"/>
        <v>946680</v>
      </c>
    </row>
    <row r="863" spans="1:12" x14ac:dyDescent="0.25">
      <c r="A863" s="1"/>
      <c r="C863" s="1"/>
      <c r="D863" s="1">
        <v>42466</v>
      </c>
      <c r="E863" s="10">
        <v>113444</v>
      </c>
      <c r="F863" s="1">
        <v>42466</v>
      </c>
      <c r="G863">
        <v>16714</v>
      </c>
      <c r="H863" s="1">
        <f t="shared" si="40"/>
        <v>42466</v>
      </c>
      <c r="I863">
        <f>IF(AND(MyRowHidden(ROW())=FALSE,MyRowHidden(ROW()-1)=TRUE),0,(E863-E862)*unitsOfDHp+I862)</f>
        <v>834440</v>
      </c>
      <c r="J863">
        <f>IF(AND(MyRowHidden(ROW())=FALSE,MyRowHidden(ROW()-1)=TRUE),0,(G863-G862)*unitsOfExo+J862)</f>
        <v>111440</v>
      </c>
      <c r="K863" s="9">
        <f t="shared" si="41"/>
        <v>-111440</v>
      </c>
      <c r="L863">
        <f t="shared" si="42"/>
        <v>945880</v>
      </c>
    </row>
    <row r="864" spans="1:12" x14ac:dyDescent="0.25">
      <c r="A864" s="1"/>
      <c r="C864" s="1"/>
      <c r="D864" s="1">
        <v>42467</v>
      </c>
      <c r="E864" s="10">
        <v>113694</v>
      </c>
      <c r="F864" s="1">
        <v>42467</v>
      </c>
      <c r="G864">
        <v>16594</v>
      </c>
      <c r="H864" s="1">
        <f t="shared" si="40"/>
        <v>42467</v>
      </c>
      <c r="I864">
        <f>IF(AND(MyRowHidden(ROW())=FALSE,MyRowHidden(ROW()-1)=TRUE),0,(E864-E863)*unitsOfDHp+I863)</f>
        <v>836940</v>
      </c>
      <c r="J864">
        <f>IF(AND(MyRowHidden(ROW())=FALSE,MyRowHidden(ROW()-1)=TRUE),0,(G864-G863)*unitsOfExo+J863)</f>
        <v>110240</v>
      </c>
      <c r="K864" s="9">
        <f t="shared" si="41"/>
        <v>-110240</v>
      </c>
      <c r="L864">
        <f t="shared" si="42"/>
        <v>947180</v>
      </c>
    </row>
    <row r="865" spans="1:12" x14ac:dyDescent="0.25">
      <c r="A865" s="1"/>
      <c r="C865" s="1"/>
      <c r="D865" s="1">
        <v>42468</v>
      </c>
      <c r="E865" s="10">
        <v>113924</v>
      </c>
      <c r="F865" s="1">
        <v>42468</v>
      </c>
      <c r="G865">
        <v>16464</v>
      </c>
      <c r="H865" s="1">
        <f t="shared" si="40"/>
        <v>42468</v>
      </c>
      <c r="I865">
        <f>IF(AND(MyRowHidden(ROW())=FALSE,MyRowHidden(ROW()-1)=TRUE),0,(E865-E864)*unitsOfDHp+I864)</f>
        <v>839240</v>
      </c>
      <c r="J865">
        <f>IF(AND(MyRowHidden(ROW())=FALSE,MyRowHidden(ROW()-1)=TRUE),0,(G865-G864)*unitsOfExo+J864)</f>
        <v>108940</v>
      </c>
      <c r="K865" s="9">
        <f t="shared" si="41"/>
        <v>-108940</v>
      </c>
      <c r="L865">
        <f t="shared" si="42"/>
        <v>948180</v>
      </c>
    </row>
    <row r="866" spans="1:12" x14ac:dyDescent="0.25">
      <c r="A866" s="1"/>
      <c r="C866" s="1"/>
      <c r="D866" s="1">
        <v>42471</v>
      </c>
      <c r="E866" s="10">
        <v>114354</v>
      </c>
      <c r="F866" s="1">
        <v>42471</v>
      </c>
      <c r="G866">
        <v>16274</v>
      </c>
      <c r="H866" s="1">
        <f t="shared" si="40"/>
        <v>42471</v>
      </c>
      <c r="I866">
        <f>IF(AND(MyRowHidden(ROW())=FALSE,MyRowHidden(ROW()-1)=TRUE),0,(E866-E865)*unitsOfDHp+I865)</f>
        <v>843540</v>
      </c>
      <c r="J866">
        <f>IF(AND(MyRowHidden(ROW())=FALSE,MyRowHidden(ROW()-1)=TRUE),0,(G866-G865)*unitsOfExo+J865)</f>
        <v>107040</v>
      </c>
      <c r="K866" s="9">
        <f t="shared" si="41"/>
        <v>-107040</v>
      </c>
      <c r="L866">
        <f t="shared" si="42"/>
        <v>950580</v>
      </c>
    </row>
    <row r="867" spans="1:12" x14ac:dyDescent="0.25">
      <c r="A867" s="1"/>
      <c r="C867" s="1"/>
      <c r="D867" s="1">
        <v>42472</v>
      </c>
      <c r="E867" s="10">
        <v>114074</v>
      </c>
      <c r="F867" s="1">
        <v>42472</v>
      </c>
      <c r="G867">
        <v>16394</v>
      </c>
      <c r="H867" s="1">
        <f t="shared" si="40"/>
        <v>42472</v>
      </c>
      <c r="I867">
        <f>IF(AND(MyRowHidden(ROW())=FALSE,MyRowHidden(ROW()-1)=TRUE),0,(E867-E866)*unitsOfDHp+I866)</f>
        <v>840740</v>
      </c>
      <c r="J867">
        <f>IF(AND(MyRowHidden(ROW())=FALSE,MyRowHidden(ROW()-1)=TRUE),0,(G867-G866)*unitsOfExo+J866)</f>
        <v>108240</v>
      </c>
      <c r="K867" s="9">
        <f t="shared" si="41"/>
        <v>-108240</v>
      </c>
      <c r="L867">
        <f t="shared" si="42"/>
        <v>948980</v>
      </c>
    </row>
    <row r="868" spans="1:12" x14ac:dyDescent="0.25">
      <c r="A868" s="1"/>
      <c r="C868" s="1"/>
      <c r="D868" s="1">
        <v>42473</v>
      </c>
      <c r="E868" s="10">
        <v>114214</v>
      </c>
      <c r="F868" s="1">
        <v>42473</v>
      </c>
      <c r="G868">
        <v>16314</v>
      </c>
      <c r="H868" s="1">
        <f t="shared" si="40"/>
        <v>42473</v>
      </c>
      <c r="I868">
        <f>IF(AND(MyRowHidden(ROW())=FALSE,MyRowHidden(ROW()-1)=TRUE),0,(E868-E867)*unitsOfDHp+I867)</f>
        <v>842140</v>
      </c>
      <c r="J868">
        <f>IF(AND(MyRowHidden(ROW())=FALSE,MyRowHidden(ROW()-1)=TRUE),0,(G868-G867)*unitsOfExo+J867)</f>
        <v>107440</v>
      </c>
      <c r="K868" s="9">
        <f t="shared" si="41"/>
        <v>-107440</v>
      </c>
      <c r="L868">
        <f t="shared" si="42"/>
        <v>949580</v>
      </c>
    </row>
    <row r="869" spans="1:12" x14ac:dyDescent="0.25">
      <c r="A869" s="1"/>
      <c r="C869" s="1"/>
      <c r="D869" s="1">
        <v>42474</v>
      </c>
      <c r="E869" s="10">
        <v>113946</v>
      </c>
      <c r="F869" s="1">
        <v>42474</v>
      </c>
      <c r="G869">
        <v>16434</v>
      </c>
      <c r="H869" s="1">
        <f t="shared" si="40"/>
        <v>42474</v>
      </c>
      <c r="I869">
        <f>IF(AND(MyRowHidden(ROW())=FALSE,MyRowHidden(ROW()-1)=TRUE),0,(E869-E868)*unitsOfDHp+I868)</f>
        <v>839460</v>
      </c>
      <c r="J869">
        <f>IF(AND(MyRowHidden(ROW())=FALSE,MyRowHidden(ROW()-1)=TRUE),0,(G869-G868)*unitsOfExo+J868)</f>
        <v>108640</v>
      </c>
      <c r="K869" s="9">
        <f t="shared" si="41"/>
        <v>-108640</v>
      </c>
      <c r="L869">
        <f t="shared" si="42"/>
        <v>948100</v>
      </c>
    </row>
    <row r="870" spans="1:12" x14ac:dyDescent="0.25">
      <c r="A870" s="1"/>
      <c r="C870" s="1"/>
      <c r="D870" s="1">
        <v>42475</v>
      </c>
      <c r="E870" s="10">
        <v>114722</v>
      </c>
      <c r="F870" s="1">
        <v>42475</v>
      </c>
      <c r="G870">
        <v>16654</v>
      </c>
      <c r="H870" s="1">
        <f t="shared" si="40"/>
        <v>42475</v>
      </c>
      <c r="I870">
        <f>IF(AND(MyRowHidden(ROW())=FALSE,MyRowHidden(ROW()-1)=TRUE),0,(E870-E869)*unitsOfDHp+I869)</f>
        <v>847220</v>
      </c>
      <c r="J870">
        <f>IF(AND(MyRowHidden(ROW())=FALSE,MyRowHidden(ROW()-1)=TRUE),0,(G870-G869)*unitsOfExo+J869)</f>
        <v>110840</v>
      </c>
      <c r="K870" s="9">
        <f t="shared" si="41"/>
        <v>-110840</v>
      </c>
      <c r="L870">
        <f t="shared" si="42"/>
        <v>958060</v>
      </c>
    </row>
    <row r="871" spans="1:12" x14ac:dyDescent="0.25">
      <c r="A871" s="1"/>
      <c r="C871" s="1"/>
      <c r="D871" s="1">
        <v>42478</v>
      </c>
      <c r="E871" s="10">
        <v>114622</v>
      </c>
      <c r="F871" s="1">
        <v>42478</v>
      </c>
      <c r="G871">
        <v>16714</v>
      </c>
      <c r="H871" s="1">
        <f t="shared" si="40"/>
        <v>42478</v>
      </c>
      <c r="I871">
        <f>IF(AND(MyRowHidden(ROW())=FALSE,MyRowHidden(ROW()-1)=TRUE),0,(E871-E870)*unitsOfDHp+I870)</f>
        <v>846220</v>
      </c>
      <c r="J871">
        <f>IF(AND(MyRowHidden(ROW())=FALSE,MyRowHidden(ROW()-1)=TRUE),0,(G871-G870)*unitsOfExo+J870)</f>
        <v>111440</v>
      </c>
      <c r="K871" s="9">
        <f t="shared" si="41"/>
        <v>-111440</v>
      </c>
      <c r="L871">
        <f t="shared" si="42"/>
        <v>957660</v>
      </c>
    </row>
    <row r="872" spans="1:12" x14ac:dyDescent="0.25">
      <c r="A872" s="1"/>
      <c r="C872" s="1"/>
      <c r="D872" s="1">
        <v>42479</v>
      </c>
      <c r="E872" s="10">
        <v>114758</v>
      </c>
      <c r="F872" s="1">
        <v>42479</v>
      </c>
      <c r="G872">
        <v>16994</v>
      </c>
      <c r="H872" s="1">
        <f t="shared" si="40"/>
        <v>42479</v>
      </c>
      <c r="I872">
        <f>IF(AND(MyRowHidden(ROW())=FALSE,MyRowHidden(ROW()-1)=TRUE),0,(E872-E871)*unitsOfDHp+I871)</f>
        <v>847580</v>
      </c>
      <c r="J872">
        <f>IF(AND(MyRowHidden(ROW())=FALSE,MyRowHidden(ROW()-1)=TRUE),0,(G872-G871)*unitsOfExo+J871)</f>
        <v>114240</v>
      </c>
      <c r="K872" s="9">
        <f t="shared" si="41"/>
        <v>-114240</v>
      </c>
      <c r="L872">
        <f t="shared" si="42"/>
        <v>961820</v>
      </c>
    </row>
    <row r="873" spans="1:12" x14ac:dyDescent="0.25">
      <c r="A873" s="1"/>
      <c r="C873" s="1"/>
      <c r="D873" s="1">
        <v>42480</v>
      </c>
      <c r="E873" s="10">
        <v>115156</v>
      </c>
      <c r="F873" s="1">
        <v>42480</v>
      </c>
      <c r="G873">
        <v>17524</v>
      </c>
      <c r="H873" s="1">
        <f t="shared" si="40"/>
        <v>42480</v>
      </c>
      <c r="I873">
        <f>IF(AND(MyRowHidden(ROW())=FALSE,MyRowHidden(ROW()-1)=TRUE),0,(E873-E872)*unitsOfDHp+I872)</f>
        <v>851560</v>
      </c>
      <c r="J873">
        <f>IF(AND(MyRowHidden(ROW())=FALSE,MyRowHidden(ROW()-1)=TRUE),0,(G873-G872)*unitsOfExo+J872)</f>
        <v>119540</v>
      </c>
      <c r="K873" s="9">
        <f t="shared" si="41"/>
        <v>-119540</v>
      </c>
      <c r="L873">
        <f t="shared" si="42"/>
        <v>971100</v>
      </c>
    </row>
    <row r="874" spans="1:12" x14ac:dyDescent="0.25">
      <c r="A874" s="1"/>
      <c r="C874" s="1"/>
      <c r="D874" s="1">
        <v>42481</v>
      </c>
      <c r="E874" s="10">
        <v>115014</v>
      </c>
      <c r="F874" s="1">
        <v>42481</v>
      </c>
      <c r="G874">
        <v>17474</v>
      </c>
      <c r="H874" s="1">
        <f t="shared" si="40"/>
        <v>42481</v>
      </c>
      <c r="I874">
        <f>IF(AND(MyRowHidden(ROW())=FALSE,MyRowHidden(ROW()-1)=TRUE),0,(E874-E873)*unitsOfDHp+I873)</f>
        <v>850140</v>
      </c>
      <c r="J874">
        <f>IF(AND(MyRowHidden(ROW())=FALSE,MyRowHidden(ROW()-1)=TRUE),0,(G874-G873)*unitsOfExo+J873)</f>
        <v>119040</v>
      </c>
      <c r="K874" s="9">
        <f t="shared" si="41"/>
        <v>-119040</v>
      </c>
      <c r="L874">
        <f t="shared" si="42"/>
        <v>969180</v>
      </c>
    </row>
    <row r="875" spans="1:12" x14ac:dyDescent="0.25">
      <c r="A875" s="1"/>
      <c r="C875" s="1"/>
      <c r="D875" s="1">
        <v>42482</v>
      </c>
      <c r="E875" s="10">
        <v>115094</v>
      </c>
      <c r="F875" s="1">
        <v>42482</v>
      </c>
      <c r="G875">
        <v>17334</v>
      </c>
      <c r="H875" s="1">
        <f t="shared" si="40"/>
        <v>42482</v>
      </c>
      <c r="I875">
        <f>IF(AND(MyRowHidden(ROW())=FALSE,MyRowHidden(ROW()-1)=TRUE),0,(E875-E874)*unitsOfDHp+I874)</f>
        <v>850940</v>
      </c>
      <c r="J875">
        <f>IF(AND(MyRowHidden(ROW())=FALSE,MyRowHidden(ROW()-1)=TRUE),0,(G875-G874)*unitsOfExo+J874)</f>
        <v>117640</v>
      </c>
      <c r="K875" s="9">
        <f t="shared" si="41"/>
        <v>-117640</v>
      </c>
      <c r="L875">
        <f t="shared" si="42"/>
        <v>968580</v>
      </c>
    </row>
    <row r="876" spans="1:12" x14ac:dyDescent="0.25">
      <c r="A876" s="1"/>
      <c r="C876" s="1"/>
      <c r="D876" s="1">
        <v>42485</v>
      </c>
      <c r="E876" s="10">
        <v>115184</v>
      </c>
      <c r="F876" s="1">
        <v>42485</v>
      </c>
      <c r="G876">
        <v>16944</v>
      </c>
      <c r="H876" s="1">
        <f t="shared" si="40"/>
        <v>42485</v>
      </c>
      <c r="I876">
        <f>IF(AND(MyRowHidden(ROW())=FALSE,MyRowHidden(ROW()-1)=TRUE),0,(E876-E875)*unitsOfDHp+I875)</f>
        <v>851840</v>
      </c>
      <c r="J876">
        <f>IF(AND(MyRowHidden(ROW())=FALSE,MyRowHidden(ROW()-1)=TRUE),0,(G876-G875)*unitsOfExo+J875)</f>
        <v>113740</v>
      </c>
      <c r="K876" s="9">
        <f t="shared" si="41"/>
        <v>-113740</v>
      </c>
      <c r="L876">
        <f t="shared" si="42"/>
        <v>965580</v>
      </c>
    </row>
    <row r="877" spans="1:12" x14ac:dyDescent="0.25">
      <c r="A877" s="1"/>
      <c r="C877" s="1"/>
      <c r="D877" s="1">
        <v>42486</v>
      </c>
      <c r="E877" s="10">
        <v>115156</v>
      </c>
      <c r="F877" s="1">
        <v>42486</v>
      </c>
      <c r="G877">
        <v>16844</v>
      </c>
      <c r="H877" s="1">
        <f t="shared" si="40"/>
        <v>42486</v>
      </c>
      <c r="I877">
        <f>IF(AND(MyRowHidden(ROW())=FALSE,MyRowHidden(ROW()-1)=TRUE),0,(E877-E876)*unitsOfDHp+I876)</f>
        <v>851560</v>
      </c>
      <c r="J877">
        <f>IF(AND(MyRowHidden(ROW())=FALSE,MyRowHidden(ROW()-1)=TRUE),0,(G877-G876)*unitsOfExo+J876)</f>
        <v>112740</v>
      </c>
      <c r="K877" s="9">
        <f t="shared" si="41"/>
        <v>-112740</v>
      </c>
      <c r="L877">
        <f t="shared" si="42"/>
        <v>964300</v>
      </c>
    </row>
    <row r="878" spans="1:12" x14ac:dyDescent="0.25">
      <c r="A878" s="1"/>
      <c r="C878" s="1"/>
      <c r="D878" s="1">
        <v>42487</v>
      </c>
      <c r="E878" s="10">
        <v>114896</v>
      </c>
      <c r="F878" s="1">
        <v>42487</v>
      </c>
      <c r="G878">
        <v>17394</v>
      </c>
      <c r="H878" s="1">
        <f t="shared" si="40"/>
        <v>42487</v>
      </c>
      <c r="I878">
        <f>IF(AND(MyRowHidden(ROW())=FALSE,MyRowHidden(ROW()-1)=TRUE),0,(E878-E877)*unitsOfDHp+I877)</f>
        <v>848960</v>
      </c>
      <c r="J878">
        <f>IF(AND(MyRowHidden(ROW())=FALSE,MyRowHidden(ROW()-1)=TRUE),0,(G878-G877)*unitsOfExo+J877)</f>
        <v>118240</v>
      </c>
      <c r="K878" s="9">
        <f t="shared" si="41"/>
        <v>-118240</v>
      </c>
      <c r="L878">
        <f t="shared" si="42"/>
        <v>967200</v>
      </c>
    </row>
    <row r="879" spans="1:12" x14ac:dyDescent="0.25">
      <c r="A879" s="1"/>
      <c r="C879" s="1"/>
      <c r="D879" s="1">
        <v>42488</v>
      </c>
      <c r="E879" s="10">
        <v>114710</v>
      </c>
      <c r="F879" s="1">
        <v>42488</v>
      </c>
      <c r="G879">
        <v>17874</v>
      </c>
      <c r="H879" s="1">
        <f t="shared" si="40"/>
        <v>42488</v>
      </c>
      <c r="I879">
        <f>IF(AND(MyRowHidden(ROW())=FALSE,MyRowHidden(ROW()-1)=TRUE),0,(E879-E878)*unitsOfDHp+I878)</f>
        <v>847100</v>
      </c>
      <c r="J879">
        <f>IF(AND(MyRowHidden(ROW())=FALSE,MyRowHidden(ROW()-1)=TRUE),0,(G879-G878)*unitsOfExo+J878)</f>
        <v>123040</v>
      </c>
      <c r="K879" s="9">
        <f t="shared" si="41"/>
        <v>-123040</v>
      </c>
      <c r="L879">
        <f t="shared" si="42"/>
        <v>970140</v>
      </c>
    </row>
    <row r="880" spans="1:12" x14ac:dyDescent="0.25">
      <c r="A880" s="1"/>
      <c r="C880" s="1"/>
      <c r="D880" s="1">
        <v>42489</v>
      </c>
      <c r="E880" s="10">
        <v>115030</v>
      </c>
      <c r="F880" s="1">
        <v>42489</v>
      </c>
      <c r="G880">
        <v>18304</v>
      </c>
      <c r="H880" s="1">
        <f t="shared" si="40"/>
        <v>42489</v>
      </c>
      <c r="I880">
        <f>IF(AND(MyRowHidden(ROW())=FALSE,MyRowHidden(ROW()-1)=TRUE),0,(E880-E879)*unitsOfDHp+I879)</f>
        <v>850300</v>
      </c>
      <c r="J880">
        <f>IF(AND(MyRowHidden(ROW())=FALSE,MyRowHidden(ROW()-1)=TRUE),0,(G880-G879)*unitsOfExo+J879)</f>
        <v>127340</v>
      </c>
      <c r="K880" s="9">
        <f t="shared" si="41"/>
        <v>-127340</v>
      </c>
      <c r="L880">
        <f t="shared" si="42"/>
        <v>977640</v>
      </c>
    </row>
    <row r="881" spans="1:12" x14ac:dyDescent="0.25">
      <c r="A881" s="1"/>
      <c r="C881" s="1"/>
      <c r="D881" s="1">
        <v>42492</v>
      </c>
      <c r="E881" s="10">
        <v>115770</v>
      </c>
      <c r="F881" s="1">
        <v>42492</v>
      </c>
      <c r="G881">
        <v>18714</v>
      </c>
      <c r="H881" s="1">
        <f t="shared" si="40"/>
        <v>42492</v>
      </c>
      <c r="I881">
        <f>IF(AND(MyRowHidden(ROW())=FALSE,MyRowHidden(ROW()-1)=TRUE),0,(E881-E880)*unitsOfDHp+I880)</f>
        <v>857700</v>
      </c>
      <c r="J881">
        <f>IF(AND(MyRowHidden(ROW())=FALSE,MyRowHidden(ROW()-1)=TRUE),0,(G881-G880)*unitsOfExo+J880)</f>
        <v>131440</v>
      </c>
      <c r="K881" s="9">
        <f t="shared" si="41"/>
        <v>-131440</v>
      </c>
      <c r="L881">
        <f t="shared" si="42"/>
        <v>989140</v>
      </c>
    </row>
    <row r="882" spans="1:12" x14ac:dyDescent="0.25">
      <c r="A882" s="1"/>
      <c r="C882" s="1"/>
      <c r="D882" s="1">
        <v>42493</v>
      </c>
      <c r="E882" s="10">
        <v>115920</v>
      </c>
      <c r="F882" s="1">
        <v>42493</v>
      </c>
      <c r="G882">
        <v>18754</v>
      </c>
      <c r="H882" s="1">
        <f t="shared" si="40"/>
        <v>42493</v>
      </c>
      <c r="I882">
        <f>IF(AND(MyRowHidden(ROW())=FALSE,MyRowHidden(ROW()-1)=TRUE),0,(E882-E881)*unitsOfDHp+I881)</f>
        <v>859200</v>
      </c>
      <c r="J882">
        <f>IF(AND(MyRowHidden(ROW())=FALSE,MyRowHidden(ROW()-1)=TRUE),0,(G882-G881)*unitsOfExo+J881)</f>
        <v>131840</v>
      </c>
      <c r="K882" s="9">
        <f t="shared" si="41"/>
        <v>-131840</v>
      </c>
      <c r="L882">
        <f t="shared" si="42"/>
        <v>991040</v>
      </c>
    </row>
    <row r="883" spans="1:12" x14ac:dyDescent="0.25">
      <c r="A883" s="1"/>
      <c r="C883" s="1"/>
      <c r="D883" s="1">
        <v>42494</v>
      </c>
      <c r="E883" s="10">
        <v>115290</v>
      </c>
      <c r="F883" s="1">
        <v>42494</v>
      </c>
      <c r="G883">
        <v>18364</v>
      </c>
      <c r="H883" s="1">
        <f t="shared" si="40"/>
        <v>42494</v>
      </c>
      <c r="I883">
        <f>IF(AND(MyRowHidden(ROW())=FALSE,MyRowHidden(ROW()-1)=TRUE),0,(E883-E882)*unitsOfDHp+I882)</f>
        <v>852900</v>
      </c>
      <c r="J883">
        <f>IF(AND(MyRowHidden(ROW())=FALSE,MyRowHidden(ROW()-1)=TRUE),0,(G883-G882)*unitsOfExo+J882)</f>
        <v>127940</v>
      </c>
      <c r="K883" s="9">
        <f t="shared" si="41"/>
        <v>-127940</v>
      </c>
      <c r="L883">
        <f t="shared" si="42"/>
        <v>980840</v>
      </c>
    </row>
    <row r="884" spans="1:12" x14ac:dyDescent="0.25">
      <c r="A884" s="1"/>
      <c r="C884" s="1"/>
      <c r="D884" s="1">
        <v>42495</v>
      </c>
      <c r="E884" s="10">
        <v>115700</v>
      </c>
      <c r="F884" s="1">
        <v>42495</v>
      </c>
      <c r="G884">
        <v>18594</v>
      </c>
      <c r="H884" s="1">
        <f t="shared" si="40"/>
        <v>42495</v>
      </c>
      <c r="I884">
        <f>IF(AND(MyRowHidden(ROW())=FALSE,MyRowHidden(ROW()-1)=TRUE),0,(E884-E883)*unitsOfDHp+I883)</f>
        <v>857000</v>
      </c>
      <c r="J884">
        <f>IF(AND(MyRowHidden(ROW())=FALSE,MyRowHidden(ROW()-1)=TRUE),0,(G884-G883)*unitsOfExo+J883)</f>
        <v>130240</v>
      </c>
      <c r="K884" s="9">
        <f t="shared" si="41"/>
        <v>-130240</v>
      </c>
      <c r="L884">
        <f t="shared" si="42"/>
        <v>987240</v>
      </c>
    </row>
    <row r="885" spans="1:12" x14ac:dyDescent="0.25">
      <c r="A885" s="1"/>
      <c r="C885" s="1"/>
      <c r="D885" s="1">
        <v>42496</v>
      </c>
      <c r="E885" s="10">
        <v>114950</v>
      </c>
      <c r="F885" s="1">
        <v>42496</v>
      </c>
      <c r="G885">
        <v>18104</v>
      </c>
      <c r="H885" s="1">
        <f t="shared" si="40"/>
        <v>42496</v>
      </c>
      <c r="I885">
        <f>IF(AND(MyRowHidden(ROW())=FALSE,MyRowHidden(ROW()-1)=TRUE),0,(E885-E884)*unitsOfDHp+I884)</f>
        <v>849500</v>
      </c>
      <c r="J885">
        <f>IF(AND(MyRowHidden(ROW())=FALSE,MyRowHidden(ROW()-1)=TRUE),0,(G885-G884)*unitsOfExo+J884)</f>
        <v>125340</v>
      </c>
      <c r="K885" s="9">
        <f t="shared" si="41"/>
        <v>-125340</v>
      </c>
      <c r="L885">
        <f t="shared" si="42"/>
        <v>974840</v>
      </c>
    </row>
    <row r="886" spans="1:12" x14ac:dyDescent="0.25">
      <c r="A886" s="1"/>
      <c r="C886" s="1"/>
      <c r="D886" s="1">
        <v>42499</v>
      </c>
      <c r="E886" s="10">
        <v>114226</v>
      </c>
      <c r="F886" s="1">
        <v>42499</v>
      </c>
      <c r="G886">
        <v>17714</v>
      </c>
      <c r="H886" s="1">
        <f t="shared" si="40"/>
        <v>42499</v>
      </c>
      <c r="I886">
        <f>IF(AND(MyRowHidden(ROW())=FALSE,MyRowHidden(ROW()-1)=TRUE),0,(E886-E885)*unitsOfDHp+I885)</f>
        <v>842260</v>
      </c>
      <c r="J886">
        <f>IF(AND(MyRowHidden(ROW())=FALSE,MyRowHidden(ROW()-1)=TRUE),0,(G886-G885)*unitsOfExo+J885)</f>
        <v>121440</v>
      </c>
      <c r="K886" s="9">
        <f t="shared" si="41"/>
        <v>-121440</v>
      </c>
      <c r="L886">
        <f t="shared" si="42"/>
        <v>963700</v>
      </c>
    </row>
    <row r="887" spans="1:12" x14ac:dyDescent="0.25">
      <c r="A887" s="1"/>
      <c r="C887" s="1"/>
      <c r="D887" s="1">
        <v>42500</v>
      </c>
      <c r="E887" s="10">
        <v>114396</v>
      </c>
      <c r="F887" s="1">
        <v>42500</v>
      </c>
      <c r="G887">
        <v>17934</v>
      </c>
      <c r="H887" s="1">
        <f t="shared" si="40"/>
        <v>42500</v>
      </c>
      <c r="I887">
        <f>IF(AND(MyRowHidden(ROW())=FALSE,MyRowHidden(ROW()-1)=TRUE),0,(E887-E886)*unitsOfDHp+I886)</f>
        <v>843960</v>
      </c>
      <c r="J887">
        <f>IF(AND(MyRowHidden(ROW())=FALSE,MyRowHidden(ROW()-1)=TRUE),0,(G887-G886)*unitsOfExo+J886)</f>
        <v>123640</v>
      </c>
      <c r="K887" s="9">
        <f t="shared" si="41"/>
        <v>-123640</v>
      </c>
      <c r="L887">
        <f t="shared" si="42"/>
        <v>967600</v>
      </c>
    </row>
    <row r="888" spans="1:12" x14ac:dyDescent="0.25">
      <c r="A888" s="1"/>
      <c r="C888" s="1"/>
      <c r="D888" s="1">
        <v>42501</v>
      </c>
      <c r="E888" s="10">
        <v>115004</v>
      </c>
      <c r="F888" s="1">
        <v>42501</v>
      </c>
      <c r="G888">
        <v>18694</v>
      </c>
      <c r="H888" s="1">
        <f t="shared" si="40"/>
        <v>42501</v>
      </c>
      <c r="I888">
        <f>IF(AND(MyRowHidden(ROW())=FALSE,MyRowHidden(ROW()-1)=TRUE),0,(E888-E887)*unitsOfDHp+I887)</f>
        <v>850040</v>
      </c>
      <c r="J888">
        <f>IF(AND(MyRowHidden(ROW())=FALSE,MyRowHidden(ROW()-1)=TRUE),0,(G888-G887)*unitsOfExo+J887)</f>
        <v>131240</v>
      </c>
      <c r="K888" s="9">
        <f t="shared" si="41"/>
        <v>-131240</v>
      </c>
      <c r="L888">
        <f t="shared" si="42"/>
        <v>981280</v>
      </c>
    </row>
    <row r="889" spans="1:12" x14ac:dyDescent="0.25">
      <c r="A889" s="1"/>
      <c r="C889" s="1"/>
      <c r="D889" s="1">
        <v>42502</v>
      </c>
      <c r="E889" s="10">
        <v>115224</v>
      </c>
      <c r="F889" s="1">
        <v>42502</v>
      </c>
      <c r="G889">
        <v>18964</v>
      </c>
      <c r="H889" s="1">
        <f t="shared" si="40"/>
        <v>42502</v>
      </c>
      <c r="I889">
        <f>IF(AND(MyRowHidden(ROW())=FALSE,MyRowHidden(ROW()-1)=TRUE),0,(E889-E888)*unitsOfDHp+I888)</f>
        <v>852240</v>
      </c>
      <c r="J889">
        <f>IF(AND(MyRowHidden(ROW())=FALSE,MyRowHidden(ROW()-1)=TRUE),0,(G889-G888)*unitsOfExo+J888)</f>
        <v>133940</v>
      </c>
      <c r="K889" s="9">
        <f t="shared" si="41"/>
        <v>-133940</v>
      </c>
      <c r="L889">
        <f t="shared" si="42"/>
        <v>986180</v>
      </c>
    </row>
    <row r="890" spans="1:12" x14ac:dyDescent="0.25">
      <c r="A890" s="1"/>
      <c r="C890" s="1"/>
      <c r="D890" s="1">
        <v>42503</v>
      </c>
      <c r="E890" s="10">
        <v>114710</v>
      </c>
      <c r="F890" s="1">
        <v>42503</v>
      </c>
      <c r="G890">
        <v>18294</v>
      </c>
      <c r="H890" s="1">
        <f t="shared" si="40"/>
        <v>42503</v>
      </c>
      <c r="I890">
        <f>IF(AND(MyRowHidden(ROW())=FALSE,MyRowHidden(ROW()-1)=TRUE),0,(E890-E889)*unitsOfDHp+I889)</f>
        <v>847100</v>
      </c>
      <c r="J890">
        <f>IF(AND(MyRowHidden(ROW())=FALSE,MyRowHidden(ROW()-1)=TRUE),0,(G890-G889)*unitsOfExo+J889)</f>
        <v>127240</v>
      </c>
      <c r="K890" s="9">
        <f t="shared" si="41"/>
        <v>-127240</v>
      </c>
      <c r="L890">
        <f t="shared" si="42"/>
        <v>974340</v>
      </c>
    </row>
    <row r="891" spans="1:12" x14ac:dyDescent="0.25">
      <c r="A891" s="1"/>
      <c r="C891" s="1"/>
      <c r="D891" s="1">
        <v>42506</v>
      </c>
      <c r="E891" s="10">
        <v>115110</v>
      </c>
      <c r="F891" s="1">
        <v>42506</v>
      </c>
      <c r="G891">
        <v>18774</v>
      </c>
      <c r="H891" s="1">
        <f t="shared" si="40"/>
        <v>42506</v>
      </c>
      <c r="I891">
        <f>IF(AND(MyRowHidden(ROW())=FALSE,MyRowHidden(ROW()-1)=TRUE),0,(E891-E890)*unitsOfDHp+I890)</f>
        <v>851100</v>
      </c>
      <c r="J891">
        <f>IF(AND(MyRowHidden(ROW())=FALSE,MyRowHidden(ROW()-1)=TRUE),0,(G891-G890)*unitsOfExo+J890)</f>
        <v>132040</v>
      </c>
      <c r="K891" s="9">
        <f t="shared" si="41"/>
        <v>-132040</v>
      </c>
      <c r="L891">
        <f t="shared" si="42"/>
        <v>983140</v>
      </c>
    </row>
    <row r="892" spans="1:12" x14ac:dyDescent="0.25">
      <c r="A892" s="1"/>
      <c r="C892" s="1"/>
      <c r="D892" s="1">
        <v>42507</v>
      </c>
      <c r="E892" s="10">
        <v>115050</v>
      </c>
      <c r="F892" s="1">
        <v>42507</v>
      </c>
      <c r="G892">
        <v>18684</v>
      </c>
      <c r="H892" s="1">
        <f t="shared" si="40"/>
        <v>42507</v>
      </c>
      <c r="I892">
        <f>IF(AND(MyRowHidden(ROW())=FALSE,MyRowHidden(ROW()-1)=TRUE),0,(E892-E891)*unitsOfDHp+I891)</f>
        <v>850500</v>
      </c>
      <c r="J892">
        <f>IF(AND(MyRowHidden(ROW())=FALSE,MyRowHidden(ROW()-1)=TRUE),0,(G892-G891)*unitsOfExo+J891)</f>
        <v>131140</v>
      </c>
      <c r="K892" s="9">
        <f t="shared" si="41"/>
        <v>-131140</v>
      </c>
      <c r="L892">
        <f t="shared" si="42"/>
        <v>981640</v>
      </c>
    </row>
    <row r="893" spans="1:12" x14ac:dyDescent="0.25">
      <c r="A893" s="1"/>
      <c r="C893" s="1"/>
      <c r="D893" s="1">
        <v>42508</v>
      </c>
      <c r="E893" s="10">
        <v>114560</v>
      </c>
      <c r="F893" s="1">
        <v>42508</v>
      </c>
      <c r="G893">
        <v>18154</v>
      </c>
      <c r="H893" s="1">
        <f t="shared" si="40"/>
        <v>42508</v>
      </c>
      <c r="I893">
        <f>IF(AND(MyRowHidden(ROW())=FALSE,MyRowHidden(ROW()-1)=TRUE),0,(E893-E892)*unitsOfDHp+I892)</f>
        <v>845600</v>
      </c>
      <c r="J893">
        <f>IF(AND(MyRowHidden(ROW())=FALSE,MyRowHidden(ROW()-1)=TRUE),0,(G893-G892)*unitsOfExo+J892)</f>
        <v>125840</v>
      </c>
      <c r="K893" s="9">
        <f t="shared" si="41"/>
        <v>-125840</v>
      </c>
      <c r="L893">
        <f t="shared" si="42"/>
        <v>971440</v>
      </c>
    </row>
    <row r="894" spans="1:12" x14ac:dyDescent="0.25">
      <c r="A894" s="1"/>
      <c r="C894" s="1"/>
      <c r="D894" s="1">
        <v>42509</v>
      </c>
      <c r="E894" s="10">
        <v>114360</v>
      </c>
      <c r="F894" s="1">
        <v>42509</v>
      </c>
      <c r="G894">
        <v>17964</v>
      </c>
      <c r="H894" s="1">
        <f t="shared" si="40"/>
        <v>42509</v>
      </c>
      <c r="I894">
        <f>IF(AND(MyRowHidden(ROW())=FALSE,MyRowHidden(ROW()-1)=TRUE),0,(E894-E893)*unitsOfDHp+I893)</f>
        <v>843600</v>
      </c>
      <c r="J894">
        <f>IF(AND(MyRowHidden(ROW())=FALSE,MyRowHidden(ROW()-1)=TRUE),0,(G894-G893)*unitsOfExo+J893)</f>
        <v>123940</v>
      </c>
      <c r="K894" s="9">
        <f t="shared" si="41"/>
        <v>-123940</v>
      </c>
      <c r="L894">
        <f t="shared" si="42"/>
        <v>967540</v>
      </c>
    </row>
    <row r="895" spans="1:12" x14ac:dyDescent="0.25">
      <c r="A895" s="1"/>
      <c r="C895" s="1"/>
      <c r="D895" s="1">
        <v>42510</v>
      </c>
      <c r="E895" s="10">
        <v>114056</v>
      </c>
      <c r="F895" s="1">
        <v>42510</v>
      </c>
      <c r="G895">
        <v>17644</v>
      </c>
      <c r="H895" s="1">
        <f t="shared" si="40"/>
        <v>42510</v>
      </c>
      <c r="I895">
        <f>IF(AND(MyRowHidden(ROW())=FALSE,MyRowHidden(ROW()-1)=TRUE),0,(E895-E894)*unitsOfDHp+I894)</f>
        <v>840560</v>
      </c>
      <c r="J895">
        <f>IF(AND(MyRowHidden(ROW())=FALSE,MyRowHidden(ROW()-1)=TRUE),0,(G895-G894)*unitsOfExo+J894)</f>
        <v>120740</v>
      </c>
      <c r="K895" s="9">
        <f t="shared" si="41"/>
        <v>-120740</v>
      </c>
      <c r="L895">
        <f t="shared" si="42"/>
        <v>961300</v>
      </c>
    </row>
    <row r="896" spans="1:12" x14ac:dyDescent="0.25">
      <c r="A896" s="1"/>
      <c r="D896" s="1">
        <v>42513</v>
      </c>
      <c r="E896" s="10">
        <v>114136</v>
      </c>
      <c r="F896" s="1">
        <v>42513</v>
      </c>
      <c r="G896">
        <v>17264</v>
      </c>
      <c r="H896" s="1">
        <f t="shared" si="40"/>
        <v>42513</v>
      </c>
      <c r="I896">
        <f>IF(AND(MyRowHidden(ROW())=FALSE,MyRowHidden(ROW()-1)=TRUE),0,(E896-E895)*unitsOfDHp+I895)</f>
        <v>841360</v>
      </c>
      <c r="J896">
        <f>IF(AND(MyRowHidden(ROW())=FALSE,MyRowHidden(ROW()-1)=TRUE),0,(G896-G895)*unitsOfExo+J895)</f>
        <v>116940</v>
      </c>
      <c r="K896" s="9">
        <f t="shared" si="41"/>
        <v>-116940</v>
      </c>
      <c r="L896">
        <f t="shared" si="42"/>
        <v>958300</v>
      </c>
    </row>
    <row r="897" spans="1:12" x14ac:dyDescent="0.25">
      <c r="A897" s="1"/>
      <c r="D897" s="1">
        <v>42514</v>
      </c>
      <c r="E897" s="10">
        <v>114076</v>
      </c>
      <c r="F897" s="1">
        <v>42514</v>
      </c>
      <c r="G897">
        <v>17384</v>
      </c>
      <c r="H897" s="1">
        <f t="shared" si="40"/>
        <v>42514</v>
      </c>
      <c r="I897">
        <f>IF(AND(MyRowHidden(ROW())=FALSE,MyRowHidden(ROW()-1)=TRUE),0,(E897-E896)*unitsOfDHp+I896)</f>
        <v>840760</v>
      </c>
      <c r="J897">
        <f>IF(AND(MyRowHidden(ROW())=FALSE,MyRowHidden(ROW()-1)=TRUE),0,(G897-G896)*unitsOfExo+J896)</f>
        <v>118140</v>
      </c>
      <c r="K897" s="9">
        <f t="shared" si="41"/>
        <v>-118140</v>
      </c>
      <c r="L897">
        <f t="shared" si="42"/>
        <v>958900</v>
      </c>
    </row>
    <row r="898" spans="1:12" x14ac:dyDescent="0.25">
      <c r="D898" s="1">
        <v>42515</v>
      </c>
      <c r="E898" s="10">
        <v>113994</v>
      </c>
      <c r="F898" s="1">
        <v>42515</v>
      </c>
      <c r="G898">
        <v>17724</v>
      </c>
      <c r="H898" s="1">
        <f t="shared" si="40"/>
        <v>42515</v>
      </c>
      <c r="I898">
        <f>IF(AND(MyRowHidden(ROW())=FALSE,MyRowHidden(ROW()-1)=TRUE),0,(E898-E897)*unitsOfDHp+I897)</f>
        <v>839940</v>
      </c>
      <c r="J898">
        <f>IF(AND(MyRowHidden(ROW())=FALSE,MyRowHidden(ROW()-1)=TRUE),0,(G898-G897)*unitsOfExo+J897)</f>
        <v>121540</v>
      </c>
      <c r="K898" s="9">
        <f t="shared" si="41"/>
        <v>-121540</v>
      </c>
      <c r="L898">
        <f t="shared" si="42"/>
        <v>961480</v>
      </c>
    </row>
    <row r="899" spans="1:12" x14ac:dyDescent="0.25">
      <c r="D899" s="1">
        <v>42516</v>
      </c>
      <c r="E899" s="10">
        <v>113994</v>
      </c>
      <c r="F899" s="1">
        <v>42516</v>
      </c>
      <c r="G899">
        <v>17694</v>
      </c>
      <c r="H899" s="1">
        <f t="shared" si="40"/>
        <v>42516</v>
      </c>
      <c r="I899">
        <f>IF(AND(MyRowHidden(ROW())=FALSE,MyRowHidden(ROW()-1)=TRUE),0,(E899-E898)*unitsOfDHp+I898)</f>
        <v>839940</v>
      </c>
      <c r="J899">
        <f>IF(AND(MyRowHidden(ROW())=FALSE,MyRowHidden(ROW()-1)=TRUE),0,(G899-G898)*unitsOfExo+J898)</f>
        <v>121240</v>
      </c>
      <c r="K899" s="9">
        <f t="shared" si="41"/>
        <v>-121240</v>
      </c>
      <c r="L899">
        <f t="shared" si="42"/>
        <v>961180</v>
      </c>
    </row>
    <row r="900" spans="1:12" x14ac:dyDescent="0.25">
      <c r="D900" s="1">
        <v>42517</v>
      </c>
      <c r="E900" s="10">
        <v>114014</v>
      </c>
      <c r="F900" s="1">
        <v>42517</v>
      </c>
      <c r="G900">
        <v>17724</v>
      </c>
      <c r="H900" s="1">
        <f t="shared" si="40"/>
        <v>42517</v>
      </c>
      <c r="I900">
        <f>IF(AND(MyRowHidden(ROW())=FALSE,MyRowHidden(ROW()-1)=TRUE),0,(E900-E899)*unitsOfDHp+I899)</f>
        <v>840140</v>
      </c>
      <c r="J900">
        <f>IF(AND(MyRowHidden(ROW())=FALSE,MyRowHidden(ROW()-1)=TRUE),0,(G900-G899)*unitsOfExo+J899)</f>
        <v>121540</v>
      </c>
      <c r="K900" s="9">
        <f t="shared" si="41"/>
        <v>-121540</v>
      </c>
      <c r="L900">
        <f t="shared" si="42"/>
        <v>961680</v>
      </c>
    </row>
    <row r="901" spans="1:12" x14ac:dyDescent="0.25">
      <c r="D901" s="1">
        <v>42520</v>
      </c>
      <c r="E901" s="10">
        <v>114024</v>
      </c>
      <c r="F901" s="1">
        <v>42520</v>
      </c>
      <c r="G901">
        <v>17894</v>
      </c>
      <c r="H901" s="1">
        <f t="shared" si="40"/>
        <v>42520</v>
      </c>
      <c r="I901">
        <f>IF(AND(MyRowHidden(ROW())=FALSE,MyRowHidden(ROW()-1)=TRUE),0,(E901-E900)*unitsOfDHp+I900)</f>
        <v>840240</v>
      </c>
      <c r="J901">
        <f>IF(AND(MyRowHidden(ROW())=FALSE,MyRowHidden(ROW()-1)=TRUE),0,(G901-G900)*unitsOfExo+J900)</f>
        <v>123240</v>
      </c>
      <c r="K901" s="9">
        <f t="shared" si="41"/>
        <v>-123240</v>
      </c>
      <c r="L901">
        <f t="shared" si="42"/>
        <v>963480</v>
      </c>
    </row>
    <row r="902" spans="1:12" x14ac:dyDescent="0.25">
      <c r="D902" s="1">
        <v>42521</v>
      </c>
      <c r="E902" s="10">
        <v>114224</v>
      </c>
      <c r="F902" s="1">
        <v>42521</v>
      </c>
      <c r="G902">
        <v>17934</v>
      </c>
      <c r="H902" s="1">
        <f t="shared" si="40"/>
        <v>42521</v>
      </c>
      <c r="I902">
        <f>IF(AND(MyRowHidden(ROW())=FALSE,MyRowHidden(ROW()-1)=TRUE),0,(E902-E901)*unitsOfDHp+I901)</f>
        <v>842240</v>
      </c>
      <c r="J902">
        <f>IF(AND(MyRowHidden(ROW())=FALSE,MyRowHidden(ROW()-1)=TRUE),0,(G902-G901)*unitsOfExo+J901)</f>
        <v>123640</v>
      </c>
      <c r="K902" s="9">
        <f t="shared" si="41"/>
        <v>-123640</v>
      </c>
      <c r="L902">
        <f t="shared" si="42"/>
        <v>965880</v>
      </c>
    </row>
    <row r="903" spans="1:12" x14ac:dyDescent="0.25">
      <c r="D903" s="1">
        <v>42522</v>
      </c>
      <c r="E903" s="10">
        <v>114362</v>
      </c>
      <c r="F903" s="1">
        <v>42522</v>
      </c>
      <c r="G903">
        <v>18072</v>
      </c>
      <c r="H903" s="1">
        <f t="shared" si="40"/>
        <v>42522</v>
      </c>
      <c r="I903">
        <f>IF(AND(MyRowHidden(ROW())=FALSE,MyRowHidden(ROW()-1)=TRUE),0,(E903-E902)*unitsOfDHp+I902)</f>
        <v>843620</v>
      </c>
      <c r="J903">
        <f>IF(AND(MyRowHidden(ROW())=FALSE,MyRowHidden(ROW()-1)=TRUE),0,(G903-G902)*unitsOfExo+J902)</f>
        <v>125020</v>
      </c>
      <c r="K903" s="9">
        <f t="shared" si="41"/>
        <v>-125020</v>
      </c>
      <c r="L903">
        <f t="shared" si="42"/>
        <v>968640</v>
      </c>
    </row>
    <row r="904" spans="1:12" x14ac:dyDescent="0.25">
      <c r="D904" s="1">
        <v>42523</v>
      </c>
      <c r="E904" s="10">
        <v>114902</v>
      </c>
      <c r="F904" s="1">
        <v>42523</v>
      </c>
      <c r="G904">
        <v>18332</v>
      </c>
      <c r="H904" s="1">
        <f t="shared" si="40"/>
        <v>42523</v>
      </c>
      <c r="I904">
        <f>IF(AND(MyRowHidden(ROW())=FALSE,MyRowHidden(ROW()-1)=TRUE),0,(E904-E903)*unitsOfDHp+I903)</f>
        <v>849020</v>
      </c>
      <c r="J904">
        <f>IF(AND(MyRowHidden(ROW())=FALSE,MyRowHidden(ROW()-1)=TRUE),0,(G904-G903)*unitsOfExo+J903)</f>
        <v>127620</v>
      </c>
      <c r="K904" s="9">
        <f t="shared" si="41"/>
        <v>-127620</v>
      </c>
      <c r="L904">
        <f t="shared" si="42"/>
        <v>976640</v>
      </c>
    </row>
    <row r="905" spans="1:12" x14ac:dyDescent="0.25">
      <c r="D905" s="1">
        <v>42524</v>
      </c>
      <c r="E905" s="10">
        <v>115162</v>
      </c>
      <c r="F905" s="1">
        <v>42524</v>
      </c>
      <c r="G905">
        <v>18412</v>
      </c>
      <c r="H905" s="1">
        <f t="shared" si="40"/>
        <v>42524</v>
      </c>
      <c r="I905">
        <f>IF(AND(MyRowHidden(ROW())=FALSE,MyRowHidden(ROW()-1)=TRUE),0,(E905-E904)*unitsOfDHp+I904)</f>
        <v>851620</v>
      </c>
      <c r="J905">
        <f>IF(AND(MyRowHidden(ROW())=FALSE,MyRowHidden(ROW()-1)=TRUE),0,(G905-G904)*unitsOfExo+J904)</f>
        <v>128420</v>
      </c>
      <c r="K905" s="9">
        <f t="shared" si="41"/>
        <v>-128420</v>
      </c>
      <c r="L905">
        <f t="shared" si="42"/>
        <v>980040</v>
      </c>
    </row>
    <row r="906" spans="1:12" x14ac:dyDescent="0.25">
      <c r="D906" s="1">
        <v>42527</v>
      </c>
      <c r="E906" s="10">
        <v>115402</v>
      </c>
      <c r="F906" s="1">
        <v>42527</v>
      </c>
      <c r="G906">
        <v>18602</v>
      </c>
      <c r="H906" s="1">
        <f t="shared" si="40"/>
        <v>42527</v>
      </c>
      <c r="I906">
        <f>IF(AND(MyRowHidden(ROW())=FALSE,MyRowHidden(ROW()-1)=TRUE),0,(E906-E905)*unitsOfDHp+I905)</f>
        <v>854020</v>
      </c>
      <c r="J906">
        <f>IF(AND(MyRowHidden(ROW())=FALSE,MyRowHidden(ROW()-1)=TRUE),0,(G906-G905)*unitsOfExo+J905)</f>
        <v>130320</v>
      </c>
      <c r="K906" s="9">
        <f t="shared" si="41"/>
        <v>-130320</v>
      </c>
      <c r="L906">
        <f t="shared" si="42"/>
        <v>984340</v>
      </c>
    </row>
    <row r="907" spans="1:12" x14ac:dyDescent="0.25">
      <c r="D907" s="1">
        <v>42528</v>
      </c>
      <c r="E907" s="10">
        <v>115092</v>
      </c>
      <c r="F907" s="1">
        <v>42528</v>
      </c>
      <c r="G907">
        <v>18442</v>
      </c>
      <c r="H907" s="1">
        <f t="shared" si="40"/>
        <v>42528</v>
      </c>
      <c r="I907">
        <f>IF(AND(MyRowHidden(ROW())=FALSE,MyRowHidden(ROW()-1)=TRUE),0,(E907-E906)*unitsOfDHp+I906)</f>
        <v>850920</v>
      </c>
      <c r="J907">
        <f>IF(AND(MyRowHidden(ROW())=FALSE,MyRowHidden(ROW()-1)=TRUE),0,(G907-G906)*unitsOfExo+J906)</f>
        <v>128720</v>
      </c>
      <c r="K907" s="9">
        <f t="shared" si="41"/>
        <v>-128720</v>
      </c>
      <c r="L907">
        <f t="shared" si="42"/>
        <v>979640</v>
      </c>
    </row>
    <row r="908" spans="1:12" x14ac:dyDescent="0.25">
      <c r="D908" s="1">
        <v>42529</v>
      </c>
      <c r="E908" s="10">
        <v>115112</v>
      </c>
      <c r="F908" s="1">
        <v>42529</v>
      </c>
      <c r="G908">
        <v>18452</v>
      </c>
      <c r="H908" s="1">
        <f t="shared" si="40"/>
        <v>42529</v>
      </c>
      <c r="I908">
        <f>IF(AND(MyRowHidden(ROW())=FALSE,MyRowHidden(ROW()-1)=TRUE),0,(E908-E907)*unitsOfDHp+I907)</f>
        <v>851120</v>
      </c>
      <c r="J908">
        <f>IF(AND(MyRowHidden(ROW())=FALSE,MyRowHidden(ROW()-1)=TRUE),0,(G908-G907)*unitsOfExo+J907)</f>
        <v>128820</v>
      </c>
      <c r="K908" s="9">
        <f t="shared" si="41"/>
        <v>-128820</v>
      </c>
      <c r="L908">
        <f t="shared" si="42"/>
        <v>979940</v>
      </c>
    </row>
    <row r="909" spans="1:12" x14ac:dyDescent="0.25">
      <c r="D909" s="1">
        <v>42530</v>
      </c>
      <c r="E909" s="10">
        <v>115662</v>
      </c>
      <c r="F909" s="1">
        <v>42530</v>
      </c>
      <c r="G909">
        <v>18712</v>
      </c>
      <c r="H909" s="1">
        <f t="shared" ref="H909:H962" si="43">D909</f>
        <v>42530</v>
      </c>
      <c r="I909">
        <f>IF(AND(MyRowHidden(ROW())=FALSE,MyRowHidden(ROW()-1)=TRUE),0,(E909-E908)*unitsOfDHp+I908)</f>
        <v>856620</v>
      </c>
      <c r="J909">
        <f>IF(AND(MyRowHidden(ROW())=FALSE,MyRowHidden(ROW()-1)=TRUE),0,(G909-G908)*unitsOfExo+J908)</f>
        <v>131420</v>
      </c>
      <c r="K909" s="9">
        <f t="shared" ref="K909:K972" si="44">-(J909-J908)+K908</f>
        <v>-131420</v>
      </c>
      <c r="L909">
        <f t="shared" ref="L909:L962" si="45">I909+J909</f>
        <v>988040</v>
      </c>
    </row>
    <row r="910" spans="1:12" x14ac:dyDescent="0.25">
      <c r="D910" s="1">
        <v>42531</v>
      </c>
      <c r="E910" s="10">
        <v>115182</v>
      </c>
      <c r="F910" s="1">
        <v>42531</v>
      </c>
      <c r="G910">
        <v>18482</v>
      </c>
      <c r="H910" s="1">
        <f t="shared" si="43"/>
        <v>42531</v>
      </c>
      <c r="I910">
        <f>IF(AND(MyRowHidden(ROW())=FALSE,MyRowHidden(ROW()-1)=TRUE),0,(E910-E909)*unitsOfDHp+I909)</f>
        <v>851820</v>
      </c>
      <c r="J910">
        <f>IF(AND(MyRowHidden(ROW())=FALSE,MyRowHidden(ROW()-1)=TRUE),0,(G910-G909)*unitsOfExo+J909)</f>
        <v>129120</v>
      </c>
      <c r="K910" s="9">
        <f t="shared" si="44"/>
        <v>-129120</v>
      </c>
      <c r="L910">
        <f t="shared" si="45"/>
        <v>980940</v>
      </c>
    </row>
    <row r="911" spans="1:12" x14ac:dyDescent="0.25">
      <c r="D911" s="1">
        <v>42534</v>
      </c>
      <c r="E911" s="10">
        <v>114922</v>
      </c>
      <c r="F911" s="1">
        <v>42534</v>
      </c>
      <c r="G911">
        <v>18352</v>
      </c>
      <c r="H911" s="1">
        <f t="shared" si="43"/>
        <v>42534</v>
      </c>
      <c r="I911">
        <f>IF(AND(MyRowHidden(ROW())=FALSE,MyRowHidden(ROW()-1)=TRUE),0,(E911-E910)*unitsOfDHp+I910)</f>
        <v>849220</v>
      </c>
      <c r="J911">
        <f>IF(AND(MyRowHidden(ROW())=FALSE,MyRowHidden(ROW()-1)=TRUE),0,(G911-G910)*unitsOfExo+J910)</f>
        <v>127820</v>
      </c>
      <c r="K911" s="9">
        <f t="shared" si="44"/>
        <v>-127820</v>
      </c>
      <c r="L911">
        <f t="shared" si="45"/>
        <v>977040</v>
      </c>
    </row>
    <row r="912" spans="1:12" x14ac:dyDescent="0.25">
      <c r="D912" s="1">
        <v>42535</v>
      </c>
      <c r="E912" s="10">
        <v>114764</v>
      </c>
      <c r="F912" s="1">
        <v>42535</v>
      </c>
      <c r="G912">
        <v>18302</v>
      </c>
      <c r="H912" s="1">
        <f t="shared" si="43"/>
        <v>42535</v>
      </c>
      <c r="I912">
        <f>IF(AND(MyRowHidden(ROW())=FALSE,MyRowHidden(ROW()-1)=TRUE),0,(E912-E911)*unitsOfDHp+I911)</f>
        <v>847640</v>
      </c>
      <c r="J912">
        <f>IF(AND(MyRowHidden(ROW())=FALSE,MyRowHidden(ROW()-1)=TRUE),0,(G912-G911)*unitsOfExo+J911)</f>
        <v>127320</v>
      </c>
      <c r="K912" s="9">
        <f t="shared" si="44"/>
        <v>-127320</v>
      </c>
      <c r="L912">
        <f t="shared" si="45"/>
        <v>974960</v>
      </c>
    </row>
    <row r="913" spans="4:12" x14ac:dyDescent="0.25">
      <c r="D913" s="1">
        <v>42536</v>
      </c>
      <c r="E913" s="10">
        <v>114274</v>
      </c>
      <c r="F913" s="1">
        <v>42536</v>
      </c>
      <c r="G913">
        <v>18412</v>
      </c>
      <c r="H913" s="1">
        <f t="shared" si="43"/>
        <v>42536</v>
      </c>
      <c r="I913">
        <f>IF(AND(MyRowHidden(ROW())=FALSE,MyRowHidden(ROW()-1)=TRUE),0,(E913-E912)*unitsOfDHp+I912)</f>
        <v>842740</v>
      </c>
      <c r="J913">
        <f>IF(AND(MyRowHidden(ROW())=FALSE,MyRowHidden(ROW()-1)=TRUE),0,(G913-G912)*unitsOfExo+J912)</f>
        <v>128420</v>
      </c>
      <c r="K913" s="9">
        <f t="shared" si="44"/>
        <v>-128420</v>
      </c>
      <c r="L913">
        <f t="shared" si="45"/>
        <v>971160</v>
      </c>
    </row>
    <row r="914" spans="4:12" x14ac:dyDescent="0.25">
      <c r="D914" s="1">
        <v>42537</v>
      </c>
      <c r="E914" s="10">
        <v>113668</v>
      </c>
      <c r="F914" s="1">
        <v>42537</v>
      </c>
      <c r="G914">
        <v>18222</v>
      </c>
      <c r="H914" s="1">
        <f t="shared" si="43"/>
        <v>42537</v>
      </c>
      <c r="I914">
        <f>IF(AND(MyRowHidden(ROW())=FALSE,MyRowHidden(ROW()-1)=TRUE),0,(E914-E913)*unitsOfDHp+I913)</f>
        <v>836680</v>
      </c>
      <c r="J914">
        <f>IF(AND(MyRowHidden(ROW())=FALSE,MyRowHidden(ROW()-1)=TRUE),0,(G914-G913)*unitsOfExo+J913)</f>
        <v>126520</v>
      </c>
      <c r="K914" s="9">
        <f t="shared" si="44"/>
        <v>-126520</v>
      </c>
      <c r="L914">
        <f t="shared" si="45"/>
        <v>963200</v>
      </c>
    </row>
    <row r="915" spans="4:12" x14ac:dyDescent="0.25">
      <c r="D915" s="1">
        <v>42538</v>
      </c>
      <c r="E915" s="10">
        <v>112940</v>
      </c>
      <c r="F915" s="1">
        <v>42538</v>
      </c>
      <c r="G915">
        <v>17802</v>
      </c>
      <c r="H915" s="1">
        <f t="shared" si="43"/>
        <v>42538</v>
      </c>
      <c r="I915">
        <f>IF(AND(MyRowHidden(ROW())=FALSE,MyRowHidden(ROW()-1)=TRUE),0,(E915-E914)*unitsOfDHp+I914)</f>
        <v>829400</v>
      </c>
      <c r="J915">
        <f>IF(AND(MyRowHidden(ROW())=FALSE,MyRowHidden(ROW()-1)=TRUE),0,(G915-G914)*unitsOfExo+J914)</f>
        <v>122320</v>
      </c>
      <c r="K915" s="9">
        <f t="shared" si="44"/>
        <v>-122320</v>
      </c>
      <c r="L915">
        <f t="shared" si="45"/>
        <v>951720</v>
      </c>
    </row>
    <row r="916" spans="4:12" x14ac:dyDescent="0.25">
      <c r="D916" s="1">
        <v>42541</v>
      </c>
      <c r="E916" s="10">
        <v>112980</v>
      </c>
      <c r="F916" s="1">
        <v>42541</v>
      </c>
      <c r="G916">
        <v>17882</v>
      </c>
      <c r="H916" s="1">
        <f t="shared" si="43"/>
        <v>42541</v>
      </c>
      <c r="I916">
        <f>IF(AND(MyRowHidden(ROW())=FALSE,MyRowHidden(ROW()-1)=TRUE),0,(E916-E915)*unitsOfDHp+I915)</f>
        <v>829800</v>
      </c>
      <c r="J916">
        <f>IF(AND(MyRowHidden(ROW())=FALSE,MyRowHidden(ROW()-1)=TRUE),0,(G916-G915)*unitsOfExo+J915)</f>
        <v>123120</v>
      </c>
      <c r="K916" s="9">
        <f t="shared" si="44"/>
        <v>-123120</v>
      </c>
      <c r="L916">
        <f t="shared" si="45"/>
        <v>952920</v>
      </c>
    </row>
    <row r="917" spans="4:12" x14ac:dyDescent="0.25">
      <c r="D917" s="1">
        <v>42542</v>
      </c>
      <c r="E917" s="10">
        <v>112980</v>
      </c>
      <c r="F917" s="1">
        <v>42542</v>
      </c>
      <c r="G917">
        <v>17802</v>
      </c>
      <c r="H917" s="1">
        <f t="shared" si="43"/>
        <v>42542</v>
      </c>
      <c r="I917">
        <f>IF(AND(MyRowHidden(ROW())=FALSE,MyRowHidden(ROW()-1)=TRUE),0,(E917-E916)*unitsOfDHp+I916)</f>
        <v>829800</v>
      </c>
      <c r="J917">
        <f>IF(AND(MyRowHidden(ROW())=FALSE,MyRowHidden(ROW()-1)=TRUE),0,(G917-G916)*unitsOfExo+J916)</f>
        <v>122320</v>
      </c>
      <c r="K917" s="9">
        <f t="shared" si="44"/>
        <v>-122320</v>
      </c>
      <c r="L917">
        <f t="shared" si="45"/>
        <v>952120</v>
      </c>
    </row>
    <row r="918" spans="4:12" x14ac:dyDescent="0.25">
      <c r="D918" s="1">
        <v>42543</v>
      </c>
      <c r="E918" s="10">
        <v>112980</v>
      </c>
      <c r="F918" s="1">
        <v>42543</v>
      </c>
      <c r="G918">
        <v>17192</v>
      </c>
      <c r="H918" s="1">
        <f t="shared" si="43"/>
        <v>42543</v>
      </c>
      <c r="I918">
        <f>IF(AND(MyRowHidden(ROW())=FALSE,MyRowHidden(ROW()-1)=TRUE),0,(E918-E917)*unitsOfDHp+I917)</f>
        <v>829800</v>
      </c>
      <c r="J918">
        <f>IF(AND(MyRowHidden(ROW())=FALSE,MyRowHidden(ROW()-1)=TRUE),0,(G918-G917)*unitsOfExo+J917)</f>
        <v>116220</v>
      </c>
      <c r="K918" s="9">
        <f t="shared" si="44"/>
        <v>-116220</v>
      </c>
      <c r="L918">
        <f t="shared" si="45"/>
        <v>946020</v>
      </c>
    </row>
    <row r="919" spans="4:12" x14ac:dyDescent="0.25">
      <c r="D919" s="1">
        <v>42544</v>
      </c>
      <c r="E919" s="10">
        <v>112980</v>
      </c>
      <c r="F919" s="1">
        <v>42544</v>
      </c>
      <c r="G919">
        <v>16952</v>
      </c>
      <c r="H919" s="1">
        <f t="shared" si="43"/>
        <v>42544</v>
      </c>
      <c r="I919">
        <f>IF(AND(MyRowHidden(ROW())=FALSE,MyRowHidden(ROW()-1)=TRUE),0,(E919-E918)*unitsOfDHp+I918)</f>
        <v>829800</v>
      </c>
      <c r="J919">
        <f>IF(AND(MyRowHidden(ROW())=FALSE,MyRowHidden(ROW()-1)=TRUE),0,(G919-G918)*unitsOfExo+J918)</f>
        <v>113820</v>
      </c>
      <c r="K919" s="9">
        <f t="shared" si="44"/>
        <v>-113820</v>
      </c>
      <c r="L919">
        <f t="shared" si="45"/>
        <v>943620</v>
      </c>
    </row>
    <row r="920" spans="4:12" x14ac:dyDescent="0.25">
      <c r="D920" s="1">
        <v>42545</v>
      </c>
      <c r="E920" s="10">
        <v>112980</v>
      </c>
      <c r="F920" s="1">
        <v>42545</v>
      </c>
      <c r="G920">
        <v>16942</v>
      </c>
      <c r="H920" s="1">
        <f t="shared" si="43"/>
        <v>42545</v>
      </c>
      <c r="I920">
        <f>IF(AND(MyRowHidden(ROW())=FALSE,MyRowHidden(ROW()-1)=TRUE),0,(E920-E919)*unitsOfDHp+I919)</f>
        <v>829800</v>
      </c>
      <c r="J920">
        <f>IF(AND(MyRowHidden(ROW())=FALSE,MyRowHidden(ROW()-1)=TRUE),0,(G920-G919)*unitsOfExo+J919)</f>
        <v>113720</v>
      </c>
      <c r="K920" s="9">
        <f t="shared" si="44"/>
        <v>-113720</v>
      </c>
      <c r="L920">
        <f t="shared" si="45"/>
        <v>943520</v>
      </c>
    </row>
    <row r="921" spans="4:12" x14ac:dyDescent="0.25">
      <c r="D921" s="1">
        <v>42548</v>
      </c>
      <c r="E921" s="10">
        <v>113690</v>
      </c>
      <c r="F921" s="1">
        <v>42548</v>
      </c>
      <c r="G921">
        <v>16582</v>
      </c>
      <c r="H921" s="1">
        <f t="shared" si="43"/>
        <v>42548</v>
      </c>
      <c r="I921">
        <f>IF(AND(MyRowHidden(ROW())=FALSE,MyRowHidden(ROW()-1)=TRUE),0,(E921-E920)*unitsOfDHp+I920)</f>
        <v>836900</v>
      </c>
      <c r="J921">
        <f>IF(AND(MyRowHidden(ROW())=FALSE,MyRowHidden(ROW()-1)=TRUE),0,(G921-G920)*unitsOfExo+J920)</f>
        <v>110120</v>
      </c>
      <c r="K921" s="9">
        <f t="shared" si="44"/>
        <v>-110120</v>
      </c>
      <c r="L921">
        <f t="shared" si="45"/>
        <v>947020</v>
      </c>
    </row>
    <row r="922" spans="4:12" x14ac:dyDescent="0.25">
      <c r="D922" s="1">
        <v>42549</v>
      </c>
      <c r="E922" s="10">
        <v>113740</v>
      </c>
      <c r="F922" s="1">
        <v>42549</v>
      </c>
      <c r="G922">
        <v>16642</v>
      </c>
      <c r="H922" s="1">
        <f t="shared" si="43"/>
        <v>42549</v>
      </c>
      <c r="I922">
        <f>IF(AND(MyRowHidden(ROW())=FALSE,MyRowHidden(ROW()-1)=TRUE),0,(E922-E921)*unitsOfDHp+I921)</f>
        <v>837400</v>
      </c>
      <c r="J922">
        <f>IF(AND(MyRowHidden(ROW())=FALSE,MyRowHidden(ROW()-1)=TRUE),0,(G922-G921)*unitsOfExo+J921)</f>
        <v>110720</v>
      </c>
      <c r="K922" s="9">
        <f t="shared" si="44"/>
        <v>-110720</v>
      </c>
      <c r="L922">
        <f t="shared" si="45"/>
        <v>948120</v>
      </c>
    </row>
    <row r="923" spans="4:12" x14ac:dyDescent="0.25">
      <c r="D923" s="1">
        <v>42550</v>
      </c>
      <c r="E923" s="10">
        <v>113950</v>
      </c>
      <c r="F923" s="1">
        <v>42550</v>
      </c>
      <c r="G923">
        <v>16512</v>
      </c>
      <c r="H923" s="1">
        <f t="shared" si="43"/>
        <v>42550</v>
      </c>
      <c r="I923">
        <f>IF(AND(MyRowHidden(ROW())=FALSE,MyRowHidden(ROW()-1)=TRUE),0,(E923-E922)*unitsOfDHp+I922)</f>
        <v>839500</v>
      </c>
      <c r="J923">
        <f>IF(AND(MyRowHidden(ROW())=FALSE,MyRowHidden(ROW()-1)=TRUE),0,(G923-G922)*unitsOfExo+J922)</f>
        <v>109420</v>
      </c>
      <c r="K923" s="9">
        <f t="shared" si="44"/>
        <v>-109420</v>
      </c>
      <c r="L923">
        <f t="shared" si="45"/>
        <v>948920</v>
      </c>
    </row>
    <row r="924" spans="4:12" x14ac:dyDescent="0.25">
      <c r="D924" s="1">
        <v>42551</v>
      </c>
      <c r="E924" s="10">
        <v>114170</v>
      </c>
      <c r="F924" s="1">
        <v>42551</v>
      </c>
      <c r="G924">
        <v>16432</v>
      </c>
      <c r="H924" s="1">
        <f t="shared" si="43"/>
        <v>42551</v>
      </c>
      <c r="I924">
        <f>IF(AND(MyRowHidden(ROW())=FALSE,MyRowHidden(ROW()-1)=TRUE),0,(E924-E923)*unitsOfDHp+I923)</f>
        <v>841700</v>
      </c>
      <c r="J924">
        <f>IF(AND(MyRowHidden(ROW())=FALSE,MyRowHidden(ROW()-1)=TRUE),0,(G924-G923)*unitsOfExo+J923)</f>
        <v>108620</v>
      </c>
      <c r="K924" s="9">
        <f t="shared" si="44"/>
        <v>-108620</v>
      </c>
      <c r="L924">
        <f t="shared" si="45"/>
        <v>950320</v>
      </c>
    </row>
    <row r="925" spans="4:12" x14ac:dyDescent="0.25">
      <c r="D925" s="1">
        <v>42552</v>
      </c>
      <c r="E925" s="10">
        <v>114180</v>
      </c>
      <c r="F925" s="1">
        <v>42552</v>
      </c>
      <c r="G925">
        <v>16160</v>
      </c>
      <c r="H925" s="1">
        <f t="shared" si="43"/>
        <v>42552</v>
      </c>
      <c r="I925">
        <f>IF(AND(MyRowHidden(ROW())=FALSE,MyRowHidden(ROW()-1)=TRUE),0,(E925-E924)*unitsOfDHp+I924)</f>
        <v>841800</v>
      </c>
      <c r="J925">
        <f>IF(AND(MyRowHidden(ROW())=FALSE,MyRowHidden(ROW()-1)=TRUE),0,(G925-G924)*unitsOfExo+J924)</f>
        <v>105900</v>
      </c>
      <c r="K925" s="9">
        <f t="shared" si="44"/>
        <v>-105900</v>
      </c>
      <c r="L925">
        <f t="shared" si="45"/>
        <v>947700</v>
      </c>
    </row>
    <row r="926" spans="4:12" x14ac:dyDescent="0.25">
      <c r="D926" s="1">
        <v>42555</v>
      </c>
      <c r="E926" s="10">
        <v>113510</v>
      </c>
      <c r="F926" s="1">
        <v>42555</v>
      </c>
      <c r="G926">
        <v>16500</v>
      </c>
      <c r="H926" s="1">
        <f t="shared" si="43"/>
        <v>42555</v>
      </c>
      <c r="I926">
        <f>IF(AND(MyRowHidden(ROW())=FALSE,MyRowHidden(ROW()-1)=TRUE),0,(E926-E925)*unitsOfDHp+I925)</f>
        <v>835100</v>
      </c>
      <c r="J926">
        <f>IF(AND(MyRowHidden(ROW())=FALSE,MyRowHidden(ROW()-1)=TRUE),0,(G926-G925)*unitsOfExo+J925)</f>
        <v>109300</v>
      </c>
      <c r="K926" s="9">
        <f t="shared" si="44"/>
        <v>-109300</v>
      </c>
      <c r="L926">
        <f t="shared" si="45"/>
        <v>944400</v>
      </c>
    </row>
    <row r="927" spans="4:12" x14ac:dyDescent="0.25">
      <c r="D927" s="1">
        <v>42556</v>
      </c>
      <c r="E927" s="10">
        <v>114830</v>
      </c>
      <c r="F927" s="1">
        <v>42556</v>
      </c>
      <c r="G927">
        <v>16180</v>
      </c>
      <c r="H927" s="1">
        <f t="shared" si="43"/>
        <v>42556</v>
      </c>
      <c r="I927">
        <f>IF(AND(MyRowHidden(ROW())=FALSE,MyRowHidden(ROW()-1)=TRUE),0,(E927-E926)*unitsOfDHp+I926)</f>
        <v>848300</v>
      </c>
      <c r="J927">
        <f>IF(AND(MyRowHidden(ROW())=FALSE,MyRowHidden(ROW()-1)=TRUE),0,(G927-G926)*unitsOfExo+J926)</f>
        <v>106100</v>
      </c>
      <c r="K927" s="9">
        <f t="shared" si="44"/>
        <v>-106100</v>
      </c>
      <c r="L927">
        <f t="shared" si="45"/>
        <v>954400</v>
      </c>
    </row>
    <row r="928" spans="4:12" x14ac:dyDescent="0.25">
      <c r="D928" s="1">
        <v>42557</v>
      </c>
      <c r="E928" s="10">
        <v>114610</v>
      </c>
      <c r="F928" s="1">
        <v>42557</v>
      </c>
      <c r="G928">
        <v>15990</v>
      </c>
      <c r="H928" s="1">
        <f t="shared" si="43"/>
        <v>42557</v>
      </c>
      <c r="I928">
        <f>IF(AND(MyRowHidden(ROW())=FALSE,MyRowHidden(ROW()-1)=TRUE),0,(E928-E927)*unitsOfDHp+I927)</f>
        <v>846100</v>
      </c>
      <c r="J928">
        <f>IF(AND(MyRowHidden(ROW())=FALSE,MyRowHidden(ROW()-1)=TRUE),0,(G928-G927)*unitsOfExo+J927)</f>
        <v>104200</v>
      </c>
      <c r="K928" s="9">
        <f t="shared" si="44"/>
        <v>-104200</v>
      </c>
      <c r="L928">
        <f t="shared" si="45"/>
        <v>950300</v>
      </c>
    </row>
    <row r="929" spans="4:12" x14ac:dyDescent="0.25">
      <c r="D929" s="1">
        <v>42558</v>
      </c>
      <c r="E929" s="10">
        <v>115190</v>
      </c>
      <c r="F929" s="1">
        <v>42558</v>
      </c>
      <c r="G929">
        <v>15680</v>
      </c>
      <c r="H929" s="1">
        <f t="shared" si="43"/>
        <v>42558</v>
      </c>
      <c r="I929">
        <f>IF(AND(MyRowHidden(ROW())=FALSE,MyRowHidden(ROW()-1)=TRUE),0,(E929-E928)*unitsOfDHp+I928)</f>
        <v>851900</v>
      </c>
      <c r="J929">
        <f>IF(AND(MyRowHidden(ROW())=FALSE,MyRowHidden(ROW()-1)=TRUE),0,(G929-G928)*unitsOfExo+J928)</f>
        <v>101100</v>
      </c>
      <c r="K929" s="9">
        <f t="shared" si="44"/>
        <v>-101100</v>
      </c>
      <c r="L929">
        <f t="shared" si="45"/>
        <v>953000</v>
      </c>
    </row>
    <row r="930" spans="4:12" x14ac:dyDescent="0.25">
      <c r="D930" s="1">
        <v>42559</v>
      </c>
      <c r="E930" s="10">
        <v>115618</v>
      </c>
      <c r="F930" s="1">
        <v>42559</v>
      </c>
      <c r="G930">
        <v>15450</v>
      </c>
      <c r="H930" s="1">
        <f t="shared" si="43"/>
        <v>42559</v>
      </c>
      <c r="I930">
        <f>IF(AND(MyRowHidden(ROW())=FALSE,MyRowHidden(ROW()-1)=TRUE),0,(E930-E929)*unitsOfDHp+I929)</f>
        <v>856180</v>
      </c>
      <c r="J930">
        <f>IF(AND(MyRowHidden(ROW())=FALSE,MyRowHidden(ROW()-1)=TRUE),0,(G930-G929)*unitsOfExo+J929)</f>
        <v>98800</v>
      </c>
      <c r="K930" s="9">
        <f t="shared" si="44"/>
        <v>-98800</v>
      </c>
      <c r="L930">
        <f t="shared" si="45"/>
        <v>954980</v>
      </c>
    </row>
    <row r="931" spans="4:12" x14ac:dyDescent="0.25">
      <c r="D931" s="1">
        <v>42562</v>
      </c>
      <c r="E931" s="10">
        <v>115868</v>
      </c>
      <c r="F931" s="1">
        <v>42562</v>
      </c>
      <c r="G931">
        <v>15210</v>
      </c>
      <c r="H931" s="1">
        <f t="shared" si="43"/>
        <v>42562</v>
      </c>
      <c r="I931">
        <f>IF(AND(MyRowHidden(ROW())=FALSE,MyRowHidden(ROW()-1)=TRUE),0,(E931-E930)*unitsOfDHp+I930)</f>
        <v>858680</v>
      </c>
      <c r="J931">
        <f>IF(AND(MyRowHidden(ROW())=FALSE,MyRowHidden(ROW()-1)=TRUE),0,(G931-G930)*unitsOfExo+J930)</f>
        <v>96400</v>
      </c>
      <c r="K931" s="9">
        <f t="shared" si="44"/>
        <v>-96400</v>
      </c>
      <c r="L931">
        <f t="shared" si="45"/>
        <v>955080</v>
      </c>
    </row>
    <row r="932" spans="4:12" x14ac:dyDescent="0.25">
      <c r="D932" s="1">
        <v>42563</v>
      </c>
      <c r="E932" s="10">
        <v>115714</v>
      </c>
      <c r="F932" s="1">
        <v>42563</v>
      </c>
      <c r="G932">
        <v>15340</v>
      </c>
      <c r="H932" s="1">
        <f t="shared" si="43"/>
        <v>42563</v>
      </c>
      <c r="I932">
        <f>IF(AND(MyRowHidden(ROW())=FALSE,MyRowHidden(ROW()-1)=TRUE),0,(E932-E931)*unitsOfDHp+I931)</f>
        <v>857140</v>
      </c>
      <c r="J932">
        <f>IF(AND(MyRowHidden(ROW())=FALSE,MyRowHidden(ROW()-1)=TRUE),0,(G932-G931)*unitsOfExo+J931)</f>
        <v>97700</v>
      </c>
      <c r="K932" s="9">
        <f t="shared" si="44"/>
        <v>-97700</v>
      </c>
      <c r="L932">
        <f t="shared" si="45"/>
        <v>954840</v>
      </c>
    </row>
    <row r="933" spans="4:12" x14ac:dyDescent="0.25">
      <c r="D933" s="1">
        <v>42564</v>
      </c>
      <c r="E933" s="10">
        <v>115714</v>
      </c>
      <c r="F933" s="1">
        <v>42564</v>
      </c>
      <c r="G933">
        <v>15370</v>
      </c>
      <c r="H933" s="1">
        <f t="shared" si="43"/>
        <v>42564</v>
      </c>
      <c r="I933">
        <f>IF(AND(MyRowHidden(ROW())=FALSE,MyRowHidden(ROW()-1)=TRUE),0,(E933-E932)*unitsOfDHp+I932)</f>
        <v>857140</v>
      </c>
      <c r="J933">
        <f>IF(AND(MyRowHidden(ROW())=FALSE,MyRowHidden(ROW()-1)=TRUE),0,(G933-G932)*unitsOfExo+J932)</f>
        <v>98000</v>
      </c>
      <c r="K933" s="9">
        <f t="shared" si="44"/>
        <v>-98000</v>
      </c>
      <c r="L933">
        <f t="shared" si="45"/>
        <v>955140</v>
      </c>
    </row>
    <row r="934" spans="4:12" x14ac:dyDescent="0.25">
      <c r="D934" s="1">
        <v>42565</v>
      </c>
      <c r="E934" s="10">
        <v>115714</v>
      </c>
      <c r="F934" s="1">
        <v>42565</v>
      </c>
      <c r="G934">
        <v>15440</v>
      </c>
      <c r="H934" s="1">
        <f t="shared" si="43"/>
        <v>42565</v>
      </c>
      <c r="I934">
        <f>IF(AND(MyRowHidden(ROW())=FALSE,MyRowHidden(ROW()-1)=TRUE),0,(E934-E933)*unitsOfDHp+I933)</f>
        <v>857140</v>
      </c>
      <c r="J934">
        <f>IF(AND(MyRowHidden(ROW())=FALSE,MyRowHidden(ROW()-1)=TRUE),0,(G934-G933)*unitsOfExo+J933)</f>
        <v>98700</v>
      </c>
      <c r="K934" s="9">
        <f t="shared" si="44"/>
        <v>-98700</v>
      </c>
      <c r="L934">
        <f t="shared" si="45"/>
        <v>955840</v>
      </c>
    </row>
    <row r="935" spans="4:12" x14ac:dyDescent="0.25">
      <c r="D935" s="1">
        <v>42566</v>
      </c>
      <c r="E935" s="10">
        <v>115666</v>
      </c>
      <c r="F935" s="1">
        <v>42566</v>
      </c>
      <c r="G935">
        <v>15300</v>
      </c>
      <c r="H935" s="1">
        <f t="shared" si="43"/>
        <v>42566</v>
      </c>
      <c r="I935">
        <f>IF(AND(MyRowHidden(ROW())=FALSE,MyRowHidden(ROW()-1)=TRUE),0,(E935-E934)*unitsOfDHp+I934)</f>
        <v>856660</v>
      </c>
      <c r="J935">
        <f>IF(AND(MyRowHidden(ROW())=FALSE,MyRowHidden(ROW()-1)=TRUE),0,(G935-G934)*unitsOfExo+J934)</f>
        <v>97300</v>
      </c>
      <c r="K935" s="9">
        <f t="shared" si="44"/>
        <v>-97300</v>
      </c>
      <c r="L935">
        <f t="shared" si="45"/>
        <v>953960</v>
      </c>
    </row>
    <row r="936" spans="4:12" x14ac:dyDescent="0.25">
      <c r="D936" s="1">
        <v>42569</v>
      </c>
      <c r="E936" s="10">
        <v>115666</v>
      </c>
      <c r="F936" s="1">
        <v>42569</v>
      </c>
      <c r="G936">
        <v>15320</v>
      </c>
      <c r="H936" s="1">
        <f t="shared" si="43"/>
        <v>42569</v>
      </c>
      <c r="I936">
        <f>IF(AND(MyRowHidden(ROW())=FALSE,MyRowHidden(ROW()-1)=TRUE),0,(E936-E935)*unitsOfDHp+I935)</f>
        <v>856660</v>
      </c>
      <c r="J936">
        <f>IF(AND(MyRowHidden(ROW())=FALSE,MyRowHidden(ROW()-1)=TRUE),0,(G936-G935)*unitsOfExo+J935)</f>
        <v>97500</v>
      </c>
      <c r="K936" s="9">
        <f t="shared" si="44"/>
        <v>-97500</v>
      </c>
      <c r="L936">
        <f t="shared" si="45"/>
        <v>954160</v>
      </c>
    </row>
    <row r="937" spans="4:12" x14ac:dyDescent="0.25">
      <c r="D937" s="1">
        <v>42570</v>
      </c>
      <c r="E937" s="10">
        <v>115654</v>
      </c>
      <c r="F937" s="1">
        <v>42570</v>
      </c>
      <c r="G937">
        <v>15110</v>
      </c>
      <c r="H937" s="1">
        <f t="shared" si="43"/>
        <v>42570</v>
      </c>
      <c r="I937">
        <f>IF(AND(MyRowHidden(ROW())=FALSE,MyRowHidden(ROW()-1)=TRUE),0,(E937-E936)*unitsOfDHp+I936)</f>
        <v>856540</v>
      </c>
      <c r="J937">
        <f>IF(AND(MyRowHidden(ROW())=FALSE,MyRowHidden(ROW()-1)=TRUE),0,(G937-G936)*unitsOfExo+J936)</f>
        <v>95400</v>
      </c>
      <c r="K937" s="9">
        <f t="shared" si="44"/>
        <v>-95400</v>
      </c>
      <c r="L937">
        <f t="shared" si="45"/>
        <v>951940</v>
      </c>
    </row>
    <row r="938" spans="4:12" x14ac:dyDescent="0.25">
      <c r="D938" s="1">
        <v>42571</v>
      </c>
      <c r="E938" s="10">
        <v>115452</v>
      </c>
      <c r="F938" s="1">
        <v>42571</v>
      </c>
      <c r="G938">
        <v>14760</v>
      </c>
      <c r="H938" s="1">
        <f t="shared" si="43"/>
        <v>42571</v>
      </c>
      <c r="I938">
        <f>IF(AND(MyRowHidden(ROW())=FALSE,MyRowHidden(ROW()-1)=TRUE),0,(E938-E937)*unitsOfDHp+I937)</f>
        <v>854520</v>
      </c>
      <c r="J938">
        <f>IF(AND(MyRowHidden(ROW())=FALSE,MyRowHidden(ROW()-1)=TRUE),0,(G938-G937)*unitsOfExo+J937)</f>
        <v>91900</v>
      </c>
      <c r="K938" s="9">
        <f t="shared" si="44"/>
        <v>-91900</v>
      </c>
      <c r="L938">
        <f t="shared" si="45"/>
        <v>946420</v>
      </c>
    </row>
    <row r="939" spans="4:12" x14ac:dyDescent="0.25">
      <c r="D939" s="1">
        <v>42572</v>
      </c>
      <c r="E939" s="10">
        <v>115452</v>
      </c>
      <c r="F939" s="1">
        <v>42572</v>
      </c>
      <c r="G939">
        <v>13910</v>
      </c>
      <c r="H939" s="1">
        <f t="shared" si="43"/>
        <v>42572</v>
      </c>
      <c r="I939">
        <f>IF(AND(MyRowHidden(ROW())=FALSE,MyRowHidden(ROW()-1)=TRUE),0,(E939-E938)*unitsOfDHp+I938)</f>
        <v>854520</v>
      </c>
      <c r="J939">
        <f>IF(AND(MyRowHidden(ROW())=FALSE,MyRowHidden(ROW()-1)=TRUE),0,(G939-G938)*unitsOfExo+J938)</f>
        <v>83400</v>
      </c>
      <c r="K939" s="9">
        <f t="shared" si="44"/>
        <v>-83400</v>
      </c>
      <c r="L939">
        <f t="shared" si="45"/>
        <v>937920</v>
      </c>
    </row>
    <row r="940" spans="4:12" x14ac:dyDescent="0.25">
      <c r="D940" s="1">
        <v>42573</v>
      </c>
      <c r="E940" s="10">
        <v>115452</v>
      </c>
      <c r="F940" s="1">
        <v>42573</v>
      </c>
      <c r="G940">
        <v>14160</v>
      </c>
      <c r="H940" s="1">
        <f t="shared" si="43"/>
        <v>42573</v>
      </c>
      <c r="I940">
        <f>IF(AND(MyRowHidden(ROW())=FALSE,MyRowHidden(ROW()-1)=TRUE),0,(E940-E939)*unitsOfDHp+I939)</f>
        <v>854520</v>
      </c>
      <c r="J940">
        <f>IF(AND(MyRowHidden(ROW())=FALSE,MyRowHidden(ROW()-1)=TRUE),0,(G940-G939)*unitsOfExo+J939)</f>
        <v>85900</v>
      </c>
      <c r="K940" s="9">
        <f t="shared" si="44"/>
        <v>-85900</v>
      </c>
      <c r="L940">
        <f t="shared" si="45"/>
        <v>940420</v>
      </c>
    </row>
    <row r="941" spans="4:12" x14ac:dyDescent="0.25">
      <c r="D941" s="1">
        <v>42576</v>
      </c>
      <c r="E941" s="10">
        <v>115452</v>
      </c>
      <c r="F941" s="1">
        <v>42576</v>
      </c>
      <c r="G941">
        <v>14300</v>
      </c>
      <c r="H941" s="1">
        <f t="shared" si="43"/>
        <v>42576</v>
      </c>
      <c r="I941">
        <f>IF(AND(MyRowHidden(ROW())=FALSE,MyRowHidden(ROW()-1)=TRUE),0,(E941-E940)*unitsOfDHp+I940)</f>
        <v>854520</v>
      </c>
      <c r="J941">
        <f>IF(AND(MyRowHidden(ROW())=FALSE,MyRowHidden(ROW()-1)=TRUE),0,(G941-G940)*unitsOfExo+J940)</f>
        <v>87300</v>
      </c>
      <c r="K941" s="9">
        <f t="shared" si="44"/>
        <v>-87300</v>
      </c>
      <c r="L941">
        <f t="shared" si="45"/>
        <v>941820</v>
      </c>
    </row>
    <row r="942" spans="4:12" x14ac:dyDescent="0.25">
      <c r="D942" s="1">
        <v>42577</v>
      </c>
      <c r="E942" s="10">
        <v>115452</v>
      </c>
      <c r="F942" s="1">
        <v>42577</v>
      </c>
      <c r="G942">
        <v>13910</v>
      </c>
      <c r="H942" s="1">
        <f t="shared" si="43"/>
        <v>42577</v>
      </c>
      <c r="I942">
        <f>IF(AND(MyRowHidden(ROW())=FALSE,MyRowHidden(ROW()-1)=TRUE),0,(E942-E941)*unitsOfDHp+I941)</f>
        <v>854520</v>
      </c>
      <c r="J942">
        <f>IF(AND(MyRowHidden(ROW())=FALSE,MyRowHidden(ROW()-1)=TRUE),0,(G942-G941)*unitsOfExo+J941)</f>
        <v>83400</v>
      </c>
      <c r="K942" s="9">
        <f t="shared" si="44"/>
        <v>-83400</v>
      </c>
      <c r="L942">
        <f t="shared" si="45"/>
        <v>937920</v>
      </c>
    </row>
    <row r="943" spans="4:12" x14ac:dyDescent="0.25">
      <c r="D943" s="1">
        <v>42578</v>
      </c>
      <c r="E943" s="10">
        <v>115452</v>
      </c>
      <c r="F943" s="1">
        <v>42578</v>
      </c>
      <c r="G943">
        <v>12960</v>
      </c>
      <c r="H943" s="1">
        <f t="shared" si="43"/>
        <v>42578</v>
      </c>
      <c r="I943">
        <f>IF(AND(MyRowHidden(ROW())=FALSE,MyRowHidden(ROW()-1)=TRUE),0,(E943-E942)*unitsOfDHp+I942)</f>
        <v>854520</v>
      </c>
      <c r="J943">
        <f>IF(AND(MyRowHidden(ROW())=FALSE,MyRowHidden(ROW()-1)=TRUE),0,(G943-G942)*unitsOfExo+J942)</f>
        <v>73900</v>
      </c>
      <c r="K943" s="9">
        <f t="shared" si="44"/>
        <v>-73900</v>
      </c>
      <c r="L943">
        <f t="shared" si="45"/>
        <v>928420</v>
      </c>
    </row>
    <row r="944" spans="4:12" x14ac:dyDescent="0.25">
      <c r="D944" s="1">
        <v>42579</v>
      </c>
      <c r="E944" s="10">
        <v>115452</v>
      </c>
      <c r="F944" s="1">
        <v>42579</v>
      </c>
      <c r="G944">
        <v>11990</v>
      </c>
      <c r="H944" s="1">
        <f t="shared" si="43"/>
        <v>42579</v>
      </c>
      <c r="I944">
        <f>IF(AND(MyRowHidden(ROW())=FALSE,MyRowHidden(ROW()-1)=TRUE),0,(E944-E943)*unitsOfDHp+I943)</f>
        <v>854520</v>
      </c>
      <c r="J944">
        <f>IF(AND(MyRowHidden(ROW())=FALSE,MyRowHidden(ROW()-1)=TRUE),0,(G944-G943)*unitsOfExo+J943)</f>
        <v>64200</v>
      </c>
      <c r="K944" s="9">
        <f t="shared" si="44"/>
        <v>-64200</v>
      </c>
      <c r="L944">
        <f t="shared" si="45"/>
        <v>918720</v>
      </c>
    </row>
    <row r="945" spans="4:12" x14ac:dyDescent="0.25">
      <c r="D945" s="1">
        <v>42580</v>
      </c>
      <c r="E945" s="10">
        <v>115452</v>
      </c>
      <c r="F945" s="1">
        <v>42580</v>
      </c>
      <c r="G945">
        <v>11680</v>
      </c>
      <c r="H945" s="1">
        <f t="shared" si="43"/>
        <v>42580</v>
      </c>
      <c r="I945">
        <f>IF(AND(MyRowHidden(ROW())=FALSE,MyRowHidden(ROW()-1)=TRUE),0,(E945-E944)*unitsOfDHp+I944)</f>
        <v>854520</v>
      </c>
      <c r="J945">
        <f>IF(AND(MyRowHidden(ROW())=FALSE,MyRowHidden(ROW()-1)=TRUE),0,(G945-G944)*unitsOfExo+J944)</f>
        <v>61100</v>
      </c>
      <c r="K945" s="9">
        <f t="shared" si="44"/>
        <v>-61100</v>
      </c>
      <c r="L945">
        <f t="shared" si="45"/>
        <v>915620</v>
      </c>
    </row>
    <row r="946" spans="4:12" x14ac:dyDescent="0.25">
      <c r="D946" s="1">
        <v>42583</v>
      </c>
      <c r="E946" s="10">
        <v>115452</v>
      </c>
      <c r="F946" s="1">
        <v>42583</v>
      </c>
      <c r="G946">
        <v>11668</v>
      </c>
      <c r="H946" s="1">
        <f t="shared" si="43"/>
        <v>42583</v>
      </c>
      <c r="I946">
        <f>IF(AND(MyRowHidden(ROW())=FALSE,MyRowHidden(ROW()-1)=TRUE),0,(E946-E945)*unitsOfDHp+I945)</f>
        <v>854520</v>
      </c>
      <c r="J946">
        <f>IF(AND(MyRowHidden(ROW())=FALSE,MyRowHidden(ROW()-1)=TRUE),0,(G946-G945)*unitsOfExo+J945)</f>
        <v>60980</v>
      </c>
      <c r="K946" s="9">
        <f t="shared" si="44"/>
        <v>-60980</v>
      </c>
      <c r="L946">
        <f t="shared" si="45"/>
        <v>915500</v>
      </c>
    </row>
    <row r="947" spans="4:12" x14ac:dyDescent="0.25">
      <c r="D947" s="1">
        <v>42584</v>
      </c>
      <c r="E947" s="10">
        <v>115452</v>
      </c>
      <c r="F947" s="1">
        <v>42584</v>
      </c>
      <c r="G947">
        <v>11648</v>
      </c>
      <c r="H947" s="1">
        <f t="shared" si="43"/>
        <v>42584</v>
      </c>
      <c r="I947">
        <f>IF(AND(MyRowHidden(ROW())=FALSE,MyRowHidden(ROW()-1)=TRUE),0,(E947-E946)*unitsOfDHp+I946)</f>
        <v>854520</v>
      </c>
      <c r="J947">
        <f>IF(AND(MyRowHidden(ROW())=FALSE,MyRowHidden(ROW()-1)=TRUE),0,(G947-G946)*unitsOfExo+J946)</f>
        <v>60780</v>
      </c>
      <c r="K947" s="9">
        <f t="shared" si="44"/>
        <v>-60780</v>
      </c>
      <c r="L947">
        <f t="shared" si="45"/>
        <v>915300</v>
      </c>
    </row>
    <row r="948" spans="4:12" x14ac:dyDescent="0.25">
      <c r="D948" s="1">
        <v>42585</v>
      </c>
      <c r="E948" s="10">
        <v>115452</v>
      </c>
      <c r="F948" s="1">
        <v>42585</v>
      </c>
      <c r="G948">
        <v>11588</v>
      </c>
      <c r="H948" s="1">
        <f t="shared" si="43"/>
        <v>42585</v>
      </c>
      <c r="I948">
        <f>IF(AND(MyRowHidden(ROW())=FALSE,MyRowHidden(ROW()-1)=TRUE),0,(E948-E947)*unitsOfDHp+I947)</f>
        <v>854520</v>
      </c>
      <c r="J948">
        <f>IF(AND(MyRowHidden(ROW())=FALSE,MyRowHidden(ROW()-1)=TRUE),0,(G948-G947)*unitsOfExo+J947)</f>
        <v>60180</v>
      </c>
      <c r="K948" s="9">
        <f t="shared" si="44"/>
        <v>-60180</v>
      </c>
      <c r="L948">
        <f t="shared" si="45"/>
        <v>914700</v>
      </c>
    </row>
    <row r="949" spans="4:12" x14ac:dyDescent="0.25">
      <c r="D949" s="1">
        <v>42586</v>
      </c>
      <c r="E949" s="10">
        <v>115452</v>
      </c>
      <c r="F949" s="1">
        <v>42586</v>
      </c>
      <c r="G949">
        <v>11178</v>
      </c>
      <c r="H949" s="1">
        <f t="shared" si="43"/>
        <v>42586</v>
      </c>
      <c r="I949">
        <f>IF(AND(MyRowHidden(ROW())=FALSE,MyRowHidden(ROW()-1)=TRUE),0,(E949-E948)*unitsOfDHp+I948)</f>
        <v>854520</v>
      </c>
      <c r="J949">
        <f>IF(AND(MyRowHidden(ROW())=FALSE,MyRowHidden(ROW()-1)=TRUE),0,(G949-G948)*unitsOfExo+J948)</f>
        <v>56080</v>
      </c>
      <c r="K949" s="9">
        <f t="shared" si="44"/>
        <v>-56080</v>
      </c>
      <c r="L949">
        <f t="shared" si="45"/>
        <v>910600</v>
      </c>
    </row>
    <row r="950" spans="4:12" x14ac:dyDescent="0.25">
      <c r="D950" s="1">
        <v>42587</v>
      </c>
      <c r="E950" s="10">
        <v>115452</v>
      </c>
      <c r="F950" s="1">
        <v>42587</v>
      </c>
      <c r="G950">
        <v>11088</v>
      </c>
      <c r="H950" s="1">
        <f t="shared" si="43"/>
        <v>42587</v>
      </c>
      <c r="I950">
        <f>IF(AND(MyRowHidden(ROW())=FALSE,MyRowHidden(ROW()-1)=TRUE),0,(E950-E949)*unitsOfDHp+I949)</f>
        <v>854520</v>
      </c>
      <c r="J950">
        <f>IF(AND(MyRowHidden(ROW())=FALSE,MyRowHidden(ROW()-1)=TRUE),0,(G950-G949)*unitsOfExo+J949)</f>
        <v>55180</v>
      </c>
      <c r="K950" s="9">
        <f t="shared" si="44"/>
        <v>-55180</v>
      </c>
      <c r="L950">
        <f t="shared" si="45"/>
        <v>909700</v>
      </c>
    </row>
    <row r="951" spans="4:12" x14ac:dyDescent="0.25">
      <c r="D951" s="1">
        <v>42590</v>
      </c>
      <c r="E951" s="10">
        <v>115452</v>
      </c>
      <c r="F951" s="1">
        <v>42590</v>
      </c>
      <c r="G951">
        <v>10908</v>
      </c>
      <c r="H951" s="1">
        <f t="shared" si="43"/>
        <v>42590</v>
      </c>
      <c r="I951">
        <f>IF(AND(MyRowHidden(ROW())=FALSE,MyRowHidden(ROW()-1)=TRUE),0,(E951-E950)*unitsOfDHp+I950)</f>
        <v>854520</v>
      </c>
      <c r="J951">
        <f>IF(AND(MyRowHidden(ROW())=FALSE,MyRowHidden(ROW()-1)=TRUE),0,(G951-G950)*unitsOfExo+J950)</f>
        <v>53380</v>
      </c>
      <c r="K951" s="9">
        <f t="shared" si="44"/>
        <v>-53380</v>
      </c>
      <c r="L951">
        <f t="shared" si="45"/>
        <v>907900</v>
      </c>
    </row>
    <row r="952" spans="4:12" x14ac:dyDescent="0.25">
      <c r="D952" s="1">
        <v>42591</v>
      </c>
      <c r="E952" s="10">
        <v>115452</v>
      </c>
      <c r="F952" s="1">
        <v>42591</v>
      </c>
      <c r="G952">
        <v>10898</v>
      </c>
      <c r="H952" s="1">
        <f t="shared" si="43"/>
        <v>42591</v>
      </c>
      <c r="I952">
        <f>IF(AND(MyRowHidden(ROW())=FALSE,MyRowHidden(ROW()-1)=TRUE),0,(E952-E951)*unitsOfDHp+I951)</f>
        <v>854520</v>
      </c>
      <c r="J952">
        <f>IF(AND(MyRowHidden(ROW())=FALSE,MyRowHidden(ROW()-1)=TRUE),0,(G952-G951)*unitsOfExo+J951)</f>
        <v>53280</v>
      </c>
      <c r="K952" s="9">
        <f t="shared" si="44"/>
        <v>-53280</v>
      </c>
      <c r="L952">
        <f t="shared" si="45"/>
        <v>907800</v>
      </c>
    </row>
    <row r="953" spans="4:12" x14ac:dyDescent="0.25">
      <c r="D953" s="1">
        <v>42592</v>
      </c>
      <c r="E953" s="10">
        <v>115452</v>
      </c>
      <c r="F953" s="1">
        <v>42592</v>
      </c>
      <c r="G953">
        <v>10998</v>
      </c>
      <c r="H953" s="1">
        <f t="shared" si="43"/>
        <v>42592</v>
      </c>
      <c r="I953">
        <f>IF(AND(MyRowHidden(ROW())=FALSE,MyRowHidden(ROW()-1)=TRUE),0,(E953-E952)*unitsOfDHp+I952)</f>
        <v>854520</v>
      </c>
      <c r="J953">
        <f>IF(AND(MyRowHidden(ROW())=FALSE,MyRowHidden(ROW()-1)=TRUE),0,(G953-G952)*unitsOfExo+J952)</f>
        <v>54280</v>
      </c>
      <c r="K953" s="9">
        <f t="shared" si="44"/>
        <v>-54280</v>
      </c>
      <c r="L953">
        <f t="shared" si="45"/>
        <v>908800</v>
      </c>
    </row>
    <row r="954" spans="4:12" x14ac:dyDescent="0.25">
      <c r="D954" s="1">
        <v>42593</v>
      </c>
      <c r="E954" s="10">
        <v>115452</v>
      </c>
      <c r="F954" s="1">
        <v>42593</v>
      </c>
      <c r="G954">
        <v>10978</v>
      </c>
      <c r="H954" s="1">
        <f t="shared" si="43"/>
        <v>42593</v>
      </c>
      <c r="I954">
        <f>IF(AND(MyRowHidden(ROW())=FALSE,MyRowHidden(ROW()-1)=TRUE),0,(E954-E953)*unitsOfDHp+I953)</f>
        <v>854520</v>
      </c>
      <c r="J954">
        <f>IF(AND(MyRowHidden(ROW())=FALSE,MyRowHidden(ROW()-1)=TRUE),0,(G954-G953)*unitsOfExo+J953)</f>
        <v>54080</v>
      </c>
      <c r="K954" s="9">
        <f t="shared" si="44"/>
        <v>-54080</v>
      </c>
      <c r="L954">
        <f t="shared" si="45"/>
        <v>908600</v>
      </c>
    </row>
    <row r="955" spans="4:12" x14ac:dyDescent="0.25">
      <c r="D955" s="1">
        <v>42594</v>
      </c>
      <c r="E955" s="10">
        <v>115404</v>
      </c>
      <c r="F955" s="1">
        <v>42594</v>
      </c>
      <c r="G955">
        <v>10938</v>
      </c>
      <c r="H955" s="1">
        <f t="shared" si="43"/>
        <v>42594</v>
      </c>
      <c r="I955">
        <f>IF(AND(MyRowHidden(ROW())=FALSE,MyRowHidden(ROW()-1)=TRUE),0,(E955-E954)*unitsOfDHp+I954)</f>
        <v>854040</v>
      </c>
      <c r="J955">
        <f>IF(AND(MyRowHidden(ROW())=FALSE,MyRowHidden(ROW()-1)=TRUE),0,(G955-G954)*unitsOfExo+J954)</f>
        <v>53680</v>
      </c>
      <c r="K955" s="9">
        <f t="shared" si="44"/>
        <v>-53680</v>
      </c>
      <c r="L955">
        <f t="shared" si="45"/>
        <v>907720</v>
      </c>
    </row>
    <row r="956" spans="4:12" x14ac:dyDescent="0.25">
      <c r="D956" s="1">
        <v>42597</v>
      </c>
      <c r="E956" s="10">
        <v>115392</v>
      </c>
      <c r="F956" s="1">
        <v>42597</v>
      </c>
      <c r="G956">
        <v>11838</v>
      </c>
      <c r="H956" s="1">
        <f t="shared" si="43"/>
        <v>42597</v>
      </c>
      <c r="I956">
        <f>IF(AND(MyRowHidden(ROW())=FALSE,MyRowHidden(ROW()-1)=TRUE),0,(E956-E955)*unitsOfDHp+I955)</f>
        <v>853920</v>
      </c>
      <c r="J956">
        <f>IF(AND(MyRowHidden(ROW())=FALSE,MyRowHidden(ROW()-1)=TRUE),0,(G956-G955)*unitsOfExo+J955)</f>
        <v>62680</v>
      </c>
      <c r="K956" s="9">
        <f t="shared" si="44"/>
        <v>-62680</v>
      </c>
      <c r="L956">
        <f t="shared" si="45"/>
        <v>916600</v>
      </c>
    </row>
    <row r="957" spans="4:12" x14ac:dyDescent="0.25">
      <c r="D957" s="1">
        <v>42598</v>
      </c>
      <c r="E957" s="10">
        <v>114880</v>
      </c>
      <c r="F957" s="1">
        <v>42598</v>
      </c>
      <c r="G957">
        <v>11218</v>
      </c>
      <c r="H957" s="1">
        <f t="shared" si="43"/>
        <v>42598</v>
      </c>
      <c r="I957">
        <f>IF(AND(MyRowHidden(ROW())=FALSE,MyRowHidden(ROW()-1)=TRUE),0,(E957-E956)*unitsOfDHp+I956)</f>
        <v>848800</v>
      </c>
      <c r="J957">
        <f>IF(AND(MyRowHidden(ROW())=FALSE,MyRowHidden(ROW()-1)=TRUE),0,(G957-G956)*unitsOfExo+J956)</f>
        <v>56480</v>
      </c>
      <c r="K957" s="9">
        <f t="shared" si="44"/>
        <v>-56480</v>
      </c>
      <c r="L957">
        <f t="shared" si="45"/>
        <v>905280</v>
      </c>
    </row>
    <row r="958" spans="4:12" x14ac:dyDescent="0.25">
      <c r="D958" s="1">
        <v>42599</v>
      </c>
      <c r="E958" s="10">
        <v>114880</v>
      </c>
      <c r="F958" s="1">
        <v>42599</v>
      </c>
      <c r="G958">
        <v>11358</v>
      </c>
      <c r="H958" s="1">
        <f t="shared" si="43"/>
        <v>42599</v>
      </c>
      <c r="I958">
        <f>IF(AND(MyRowHidden(ROW())=FALSE,MyRowHidden(ROW()-1)=TRUE),0,(E958-E957)*unitsOfDHp+I957)</f>
        <v>848800</v>
      </c>
      <c r="J958">
        <f>IF(AND(MyRowHidden(ROW())=FALSE,MyRowHidden(ROW()-1)=TRUE),0,(G958-G957)*unitsOfExo+J957)</f>
        <v>57880</v>
      </c>
      <c r="K958" s="9">
        <f t="shared" si="44"/>
        <v>-57880</v>
      </c>
      <c r="L958">
        <f t="shared" si="45"/>
        <v>906680</v>
      </c>
    </row>
    <row r="959" spans="4:12" x14ac:dyDescent="0.25">
      <c r="D959" s="1">
        <v>42600</v>
      </c>
      <c r="E959" s="10">
        <v>114880</v>
      </c>
      <c r="F959" s="1">
        <v>42600</v>
      </c>
      <c r="G959">
        <v>11218</v>
      </c>
      <c r="H959" s="1">
        <f t="shared" si="43"/>
        <v>42600</v>
      </c>
      <c r="I959">
        <f>IF(AND(MyRowHidden(ROW())=FALSE,MyRowHidden(ROW()-1)=TRUE),0,(E959-E958)*unitsOfDHp+I958)</f>
        <v>848800</v>
      </c>
      <c r="J959">
        <f>IF(AND(MyRowHidden(ROW())=FALSE,MyRowHidden(ROW()-1)=TRUE),0,(G959-G958)*unitsOfExo+J958)</f>
        <v>56480</v>
      </c>
      <c r="K959" s="9">
        <f t="shared" si="44"/>
        <v>-56480</v>
      </c>
      <c r="L959">
        <f t="shared" si="45"/>
        <v>905280</v>
      </c>
    </row>
    <row r="960" spans="4:12" x14ac:dyDescent="0.25">
      <c r="D960" s="1">
        <v>42601</v>
      </c>
      <c r="E960" s="10">
        <v>114880</v>
      </c>
      <c r="F960" s="1">
        <v>42601</v>
      </c>
      <c r="G960">
        <v>11968</v>
      </c>
      <c r="H960" s="1">
        <f t="shared" si="43"/>
        <v>42601</v>
      </c>
      <c r="I960">
        <f>IF(AND(MyRowHidden(ROW())=FALSE,MyRowHidden(ROW()-1)=TRUE),0,(E960-E959)*unitsOfDHp+I959)</f>
        <v>848800</v>
      </c>
      <c r="J960">
        <f>IF(AND(MyRowHidden(ROW())=FALSE,MyRowHidden(ROW()-1)=TRUE),0,(G960-G959)*unitsOfExo+J959)</f>
        <v>63980</v>
      </c>
      <c r="K960" s="9">
        <f t="shared" si="44"/>
        <v>-63980</v>
      </c>
      <c r="L960">
        <f t="shared" si="45"/>
        <v>912780</v>
      </c>
    </row>
    <row r="961" spans="4:12" x14ac:dyDescent="0.25">
      <c r="D961" s="1">
        <v>42604</v>
      </c>
      <c r="E961" s="10">
        <v>114880</v>
      </c>
      <c r="F961" s="1">
        <v>42604</v>
      </c>
      <c r="G961">
        <v>11568</v>
      </c>
      <c r="H961" s="1">
        <f t="shared" si="43"/>
        <v>42604</v>
      </c>
      <c r="I961">
        <f>IF(AND(MyRowHidden(ROW())=FALSE,MyRowHidden(ROW()-1)=TRUE),0,(E961-E960)*unitsOfDHp+I960)</f>
        <v>848800</v>
      </c>
      <c r="J961">
        <f>IF(AND(MyRowHidden(ROW())=FALSE,MyRowHidden(ROW()-1)=TRUE),0,(G961-G960)*unitsOfExo+J960)</f>
        <v>59980</v>
      </c>
      <c r="K961" s="9">
        <f t="shared" si="44"/>
        <v>-59980</v>
      </c>
      <c r="L961">
        <f t="shared" si="45"/>
        <v>908780</v>
      </c>
    </row>
    <row r="962" spans="4:12" x14ac:dyDescent="0.25">
      <c r="D962" s="1">
        <v>42605</v>
      </c>
      <c r="E962" s="10">
        <v>114760</v>
      </c>
      <c r="F962" s="1">
        <v>42605</v>
      </c>
      <c r="G962">
        <v>11308</v>
      </c>
      <c r="H962" s="1">
        <f t="shared" si="43"/>
        <v>42605</v>
      </c>
      <c r="I962">
        <f>IF(AND(MyRowHidden(ROW())=FALSE,MyRowHidden(ROW()-1)=TRUE),0,(E962-E961)*unitsOfDHp+I961)</f>
        <v>847600</v>
      </c>
      <c r="J962">
        <f>IF(AND(MyRowHidden(ROW())=FALSE,MyRowHidden(ROW()-1)=TRUE),0,(G962-G961)*unitsOfExo+J961)</f>
        <v>57380</v>
      </c>
      <c r="K962" s="9">
        <f t="shared" si="44"/>
        <v>-57380</v>
      </c>
      <c r="L962">
        <f t="shared" si="45"/>
        <v>904980</v>
      </c>
    </row>
    <row r="963" spans="4:12" x14ac:dyDescent="0.25">
      <c r="D963" s="1">
        <v>42606</v>
      </c>
      <c r="E963" s="10">
        <v>114566</v>
      </c>
    </row>
  </sheetData>
  <autoFilter ref="H11:L913"/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/>
  </sheetViews>
  <sheetFormatPr defaultRowHeight="15" x14ac:dyDescent="0.25"/>
  <cols>
    <col min="1" max="1" width="16" bestFit="1" customWidth="1"/>
    <col min="3" max="3" width="11.85546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>
        <v>444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34</v>
      </c>
      <c r="D6">
        <v>432</v>
      </c>
    </row>
    <row r="7" spans="1:4" x14ac:dyDescent="0.25">
      <c r="A7" t="s">
        <v>12</v>
      </c>
      <c r="B7">
        <v>224</v>
      </c>
      <c r="C7" t="s">
        <v>38</v>
      </c>
      <c r="D7">
        <v>478</v>
      </c>
    </row>
    <row r="8" spans="1:4" x14ac:dyDescent="0.25">
      <c r="A8" t="s">
        <v>13</v>
      </c>
      <c r="B8">
        <v>223</v>
      </c>
      <c r="C8" t="s">
        <v>39</v>
      </c>
      <c r="D8">
        <v>456</v>
      </c>
    </row>
    <row r="9" spans="1:4" x14ac:dyDescent="0.25">
      <c r="A9" t="s">
        <v>30</v>
      </c>
      <c r="B9">
        <v>181</v>
      </c>
      <c r="C9" t="s">
        <v>41</v>
      </c>
      <c r="D9">
        <v>634</v>
      </c>
    </row>
    <row r="10" spans="1:4" x14ac:dyDescent="0.25">
      <c r="A10" t="s">
        <v>31</v>
      </c>
      <c r="B10">
        <v>185</v>
      </c>
      <c r="C10" t="s">
        <v>43</v>
      </c>
      <c r="D10">
        <v>437</v>
      </c>
    </row>
    <row r="11" spans="1:4" x14ac:dyDescent="0.25">
      <c r="A11" t="s">
        <v>32</v>
      </c>
      <c r="B11">
        <v>178</v>
      </c>
      <c r="C11" t="s">
        <v>44</v>
      </c>
      <c r="D11">
        <v>450</v>
      </c>
    </row>
    <row r="12" spans="1:4" x14ac:dyDescent="0.25">
      <c r="A12" t="s">
        <v>33</v>
      </c>
      <c r="B12">
        <v>180</v>
      </c>
      <c r="C12" t="s">
        <v>35</v>
      </c>
      <c r="D12">
        <v>429</v>
      </c>
    </row>
    <row r="13" spans="1:4" x14ac:dyDescent="0.25">
      <c r="A13" t="s">
        <v>36</v>
      </c>
      <c r="B13">
        <v>175</v>
      </c>
      <c r="C13" t="s">
        <v>20</v>
      </c>
      <c r="D13">
        <v>525</v>
      </c>
    </row>
    <row r="14" spans="1:4" x14ac:dyDescent="0.25">
      <c r="A14" t="s">
        <v>37</v>
      </c>
      <c r="B14">
        <v>209</v>
      </c>
    </row>
    <row r="15" spans="1:4" x14ac:dyDescent="0.25">
      <c r="A15" t="s">
        <v>40</v>
      </c>
      <c r="B15">
        <v>219</v>
      </c>
    </row>
    <row r="16" spans="1:4" x14ac:dyDescent="0.25">
      <c r="A16" t="s">
        <v>43</v>
      </c>
      <c r="B16">
        <v>177</v>
      </c>
    </row>
    <row r="17" spans="1:2" x14ac:dyDescent="0.25">
      <c r="A17" t="s">
        <v>44</v>
      </c>
      <c r="B17">
        <v>176</v>
      </c>
    </row>
    <row r="18" spans="1:2" x14ac:dyDescent="0.25">
      <c r="A18" t="s">
        <v>14</v>
      </c>
      <c r="B18">
        <v>222</v>
      </c>
    </row>
    <row r="19" spans="1:2" x14ac:dyDescent="0.25">
      <c r="A19" t="s">
        <v>15</v>
      </c>
      <c r="B19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Data</vt:lpstr>
      <vt:lpstr>selectionData</vt:lpstr>
      <vt:lpstr>Long Futures</vt:lpstr>
      <vt:lpstr>Long and Short Futures</vt:lpstr>
      <vt:lpstr>DHP</vt:lpstr>
      <vt:lpstr>DHP and Futures</vt:lpstr>
      <vt:lpstr>CampaignId</vt:lpstr>
      <vt:lpstr>DHP</vt:lpstr>
      <vt:lpstr>dhpName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2016-08-25T22:43:31Z</dcterms:modified>
</cp:coreProperties>
</file>