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eve Pickering\Desktop\"/>
    </mc:Choice>
  </mc:AlternateContent>
  <bookViews>
    <workbookView xWindow="0" yWindow="0" windowWidth="19200" windowHeight="11370" firstSheet="4" activeTab="5"/>
  </bookViews>
  <sheets>
    <sheet name="Long Futures" sheetId="4" r:id="rId1"/>
    <sheet name="Long and Short Futures" sheetId="10" r:id="rId2"/>
    <sheet name="DHP" sheetId="9" r:id="rId3"/>
    <sheet name="DHP and Futures Constant" sheetId="7" r:id="rId4"/>
    <sheet name="DHP and Futures Selling Off" sheetId="14" r:id="rId5"/>
    <sheet name="DHP &amp; Current Hedge" sheetId="15" r:id="rId6"/>
    <sheet name="Data" sheetId="1" r:id="rId7"/>
    <sheet name="Current Hedge" sheetId="11" r:id="rId8"/>
    <sheet name="Current Hedge (2)" sheetId="13" r:id="rId9"/>
    <sheet name="selectionData" sheetId="8" r:id="rId10"/>
  </sheets>
  <functionGroups builtInGroupCount="18"/>
  <definedNames>
    <definedName name="_xlnm._FilterDatabase" localSheetId="7" hidden="1">'Current Hedge'!$A$1:$J$74</definedName>
    <definedName name="_xlnm._FilterDatabase" localSheetId="8" hidden="1">'Current Hedge (2)'!$A$1:$J$74</definedName>
    <definedName name="_xlnm._FilterDatabase" localSheetId="6" hidden="1">Data!$H$11:$L$988</definedName>
    <definedName name="CampaignId">Data!$B$4</definedName>
    <definedName name="dateRange">OFFSET(Data!$H$12,0,0,minRowCount,1)</definedName>
    <definedName name="DHP">selectionData!$A$2:$B$19</definedName>
    <definedName name="dhpLongFuturesExoRange">OFFSET(Data!$L$12,0,0,minRowCount,1)</definedName>
    <definedName name="dhpLongFuturesExoRangeSelloffBoth">OFFSET(Data!$S$12,0,0,minRowCount,1)</definedName>
    <definedName name="dhpLongFuturesExoRangeSelloffonly1">OFFSET(Data!$R$12,0,0,minRowCount,1)</definedName>
    <definedName name="dhpName">Data!$B$3</definedName>
    <definedName name="DHPnames">selectionData!$A$2:$A$19</definedName>
    <definedName name="DHPnumbers">selectionData!$B$2:$B$19</definedName>
    <definedName name="dhpRange">OFFSET(Data!$I$12,0,0,minRowCount,1)</definedName>
    <definedName name="dhpRangeSelloff">OFFSET(Data!$O$12,0,0,minRowCount,1)</definedName>
    <definedName name="ExoId">Data!$B$5</definedName>
    <definedName name="longExoRange">OFFSET(Data!$J$12,0,0,minRowCount,1)</definedName>
    <definedName name="longExoRangeSelloff">OFFSET(Data!$P$12,0,0,minRowCount,1)</definedName>
    <definedName name="minRowCount">Data!$G$11</definedName>
    <definedName name="Outright">selectionData!$C$2:$D$13</definedName>
    <definedName name="OutrightName">selectionData!$C$2:$C$13</definedName>
    <definedName name="OutrightNumber">selectionData!$D$2:$D$13</definedName>
    <definedName name="profitParticipation">Data!$B$10</definedName>
    <definedName name="shortExoRange">OFFSET(Data!$K$12,0,0,minRowCount,1)</definedName>
    <definedName name="shortExoRangeSelloff">OFFSET(Data!$Q$12,0,0,minRowCount,1)</definedName>
    <definedName name="StartDate">Data!$B$6</definedName>
    <definedName name="startingDHPDollars">Data!$B$7</definedName>
    <definedName name="totalMonths">Data!$F$2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34" i="1" l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Q534" i="1"/>
  <c r="O534" i="1"/>
  <c r="P534" i="1"/>
  <c r="M534" i="1"/>
  <c r="M969" i="1"/>
  <c r="M970" i="1"/>
  <c r="M971" i="1"/>
  <c r="M972" i="1"/>
  <c r="M535" i="1"/>
  <c r="I534" i="1"/>
  <c r="I969" i="1"/>
  <c r="J534" i="1"/>
  <c r="I970" i="1"/>
  <c r="I971" i="1"/>
  <c r="J969" i="1"/>
  <c r="I972" i="1"/>
  <c r="J970" i="1"/>
  <c r="I973" i="1"/>
  <c r="J971" i="1"/>
  <c r="I974" i="1"/>
  <c r="M973" i="1"/>
  <c r="M536" i="1"/>
  <c r="I535" i="1"/>
  <c r="J535" i="1"/>
  <c r="J972" i="1"/>
  <c r="I975" i="1"/>
  <c r="M974" i="1"/>
  <c r="M537" i="1"/>
  <c r="O535" i="1"/>
  <c r="I536" i="1"/>
  <c r="P535" i="1"/>
  <c r="J536" i="1"/>
  <c r="J973" i="1"/>
  <c r="I976" i="1"/>
  <c r="M975" i="1"/>
  <c r="M538" i="1"/>
  <c r="O536" i="1"/>
  <c r="I537" i="1"/>
  <c r="P536" i="1"/>
  <c r="J537" i="1"/>
  <c r="J974" i="1"/>
  <c r="I977" i="1"/>
  <c r="M976" i="1"/>
  <c r="M539" i="1"/>
  <c r="O537" i="1"/>
  <c r="I538" i="1"/>
  <c r="P537" i="1"/>
  <c r="J538" i="1"/>
  <c r="J975" i="1"/>
  <c r="I978" i="1"/>
  <c r="M977" i="1"/>
  <c r="M540" i="1"/>
  <c r="O538" i="1"/>
  <c r="I539" i="1"/>
  <c r="P538" i="1"/>
  <c r="J539" i="1"/>
  <c r="J976" i="1"/>
  <c r="I979" i="1"/>
  <c r="M978" i="1"/>
  <c r="M541" i="1"/>
  <c r="O539" i="1"/>
  <c r="I540" i="1"/>
  <c r="P539" i="1"/>
  <c r="J540" i="1"/>
  <c r="J977" i="1"/>
  <c r="I980" i="1"/>
  <c r="M979" i="1"/>
  <c r="M542" i="1"/>
  <c r="O540" i="1"/>
  <c r="I541" i="1"/>
  <c r="P540" i="1"/>
  <c r="J541" i="1"/>
  <c r="J978" i="1"/>
  <c r="I981" i="1"/>
  <c r="M980" i="1"/>
  <c r="M543" i="1"/>
  <c r="O541" i="1"/>
  <c r="I542" i="1"/>
  <c r="P541" i="1"/>
  <c r="J542" i="1"/>
  <c r="J979" i="1"/>
  <c r="I982" i="1"/>
  <c r="M981" i="1"/>
  <c r="M544" i="1"/>
  <c r="O542" i="1"/>
  <c r="I543" i="1"/>
  <c r="P542" i="1"/>
  <c r="J543" i="1"/>
  <c r="J980" i="1"/>
  <c r="I983" i="1"/>
  <c r="M982" i="1"/>
  <c r="M545" i="1"/>
  <c r="O543" i="1"/>
  <c r="I544" i="1"/>
  <c r="P543" i="1"/>
  <c r="J544" i="1"/>
  <c r="J981" i="1"/>
  <c r="I984" i="1"/>
  <c r="M983" i="1"/>
  <c r="M546" i="1"/>
  <c r="O544" i="1"/>
  <c r="I545" i="1"/>
  <c r="P544" i="1"/>
  <c r="J545" i="1"/>
  <c r="J982" i="1"/>
  <c r="I985" i="1"/>
  <c r="M984" i="1"/>
  <c r="M547" i="1"/>
  <c r="O545" i="1"/>
  <c r="I546" i="1"/>
  <c r="P545" i="1"/>
  <c r="J546" i="1"/>
  <c r="J983" i="1"/>
  <c r="I986" i="1"/>
  <c r="M985" i="1"/>
  <c r="M548" i="1"/>
  <c r="O546" i="1"/>
  <c r="I547" i="1"/>
  <c r="P546" i="1"/>
  <c r="J547" i="1"/>
  <c r="J984" i="1"/>
  <c r="I987" i="1"/>
  <c r="M986" i="1"/>
  <c r="M549" i="1"/>
  <c r="O547" i="1"/>
  <c r="I548" i="1"/>
  <c r="P547" i="1"/>
  <c r="J548" i="1"/>
  <c r="J985" i="1"/>
  <c r="M987" i="1"/>
  <c r="M550" i="1"/>
  <c r="O548" i="1"/>
  <c r="I549" i="1"/>
  <c r="P548" i="1"/>
  <c r="J549" i="1"/>
  <c r="J986" i="1"/>
  <c r="M551" i="1"/>
  <c r="O549" i="1"/>
  <c r="I550" i="1"/>
  <c r="P549" i="1"/>
  <c r="J550" i="1"/>
  <c r="J987" i="1"/>
  <c r="M552" i="1"/>
  <c r="O550" i="1"/>
  <c r="I551" i="1"/>
  <c r="P550" i="1"/>
  <c r="J551" i="1"/>
  <c r="M553" i="1"/>
  <c r="O551" i="1"/>
  <c r="I552" i="1"/>
  <c r="P551" i="1"/>
  <c r="J552" i="1"/>
  <c r="M554" i="1"/>
  <c r="O552" i="1"/>
  <c r="I553" i="1"/>
  <c r="P552" i="1"/>
  <c r="J553" i="1"/>
  <c r="M555" i="1"/>
  <c r="O553" i="1"/>
  <c r="I554" i="1"/>
  <c r="P553" i="1"/>
  <c r="J554" i="1"/>
  <c r="M556" i="1"/>
  <c r="O554" i="1"/>
  <c r="I555" i="1"/>
  <c r="P554" i="1"/>
  <c r="J555" i="1"/>
  <c r="M557" i="1"/>
  <c r="O555" i="1"/>
  <c r="I556" i="1"/>
  <c r="P555" i="1"/>
  <c r="J556" i="1"/>
  <c r="M558" i="1"/>
  <c r="O556" i="1"/>
  <c r="I557" i="1"/>
  <c r="P556" i="1"/>
  <c r="J557" i="1"/>
  <c r="M559" i="1"/>
  <c r="O557" i="1"/>
  <c r="I558" i="1"/>
  <c r="P557" i="1"/>
  <c r="J558" i="1"/>
  <c r="M560" i="1"/>
  <c r="O558" i="1"/>
  <c r="I559" i="1"/>
  <c r="P558" i="1"/>
  <c r="J559" i="1"/>
  <c r="M561" i="1"/>
  <c r="O559" i="1"/>
  <c r="I560" i="1"/>
  <c r="P559" i="1"/>
  <c r="J560" i="1"/>
  <c r="M562" i="1"/>
  <c r="O560" i="1"/>
  <c r="I561" i="1"/>
  <c r="P560" i="1"/>
  <c r="J561" i="1"/>
  <c r="M563" i="1"/>
  <c r="O561" i="1"/>
  <c r="I562" i="1"/>
  <c r="P561" i="1"/>
  <c r="J562" i="1"/>
  <c r="M564" i="1"/>
  <c r="O562" i="1"/>
  <c r="I563" i="1"/>
  <c r="P562" i="1"/>
  <c r="J563" i="1"/>
  <c r="M565" i="1"/>
  <c r="O563" i="1"/>
  <c r="I564" i="1"/>
  <c r="P563" i="1"/>
  <c r="J564" i="1"/>
  <c r="M566" i="1"/>
  <c r="O564" i="1"/>
  <c r="I565" i="1"/>
  <c r="P564" i="1"/>
  <c r="J565" i="1"/>
  <c r="M567" i="1"/>
  <c r="O565" i="1"/>
  <c r="I566" i="1"/>
  <c r="P565" i="1"/>
  <c r="J566" i="1"/>
  <c r="M568" i="1"/>
  <c r="O566" i="1"/>
  <c r="I567" i="1"/>
  <c r="P566" i="1"/>
  <c r="J567" i="1"/>
  <c r="M569" i="1"/>
  <c r="O567" i="1"/>
  <c r="I568" i="1"/>
  <c r="P567" i="1"/>
  <c r="J568" i="1"/>
  <c r="M570" i="1"/>
  <c r="O568" i="1"/>
  <c r="I569" i="1"/>
  <c r="P568" i="1"/>
  <c r="J569" i="1"/>
  <c r="M571" i="1"/>
  <c r="O569" i="1"/>
  <c r="I570" i="1"/>
  <c r="P569" i="1"/>
  <c r="J570" i="1"/>
  <c r="M572" i="1"/>
  <c r="O570" i="1"/>
  <c r="I571" i="1"/>
  <c r="P570" i="1"/>
  <c r="J571" i="1"/>
  <c r="M573" i="1"/>
  <c r="O571" i="1"/>
  <c r="I572" i="1"/>
  <c r="P571" i="1"/>
  <c r="J572" i="1"/>
  <c r="M574" i="1"/>
  <c r="O572" i="1"/>
  <c r="I573" i="1"/>
  <c r="P572" i="1"/>
  <c r="J573" i="1"/>
  <c r="M575" i="1"/>
  <c r="O573" i="1"/>
  <c r="I574" i="1"/>
  <c r="P573" i="1"/>
  <c r="J574" i="1"/>
  <c r="M576" i="1"/>
  <c r="O574" i="1"/>
  <c r="I575" i="1"/>
  <c r="P574" i="1"/>
  <c r="J575" i="1"/>
  <c r="M577" i="1"/>
  <c r="O575" i="1"/>
  <c r="I576" i="1"/>
  <c r="P575" i="1"/>
  <c r="J576" i="1"/>
  <c r="M578" i="1"/>
  <c r="O576" i="1"/>
  <c r="I577" i="1"/>
  <c r="P576" i="1"/>
  <c r="J577" i="1"/>
  <c r="M579" i="1"/>
  <c r="O577" i="1"/>
  <c r="I578" i="1"/>
  <c r="P577" i="1"/>
  <c r="J578" i="1"/>
  <c r="M580" i="1"/>
  <c r="O578" i="1"/>
  <c r="I579" i="1"/>
  <c r="P578" i="1"/>
  <c r="J579" i="1"/>
  <c r="M581" i="1"/>
  <c r="O579" i="1"/>
  <c r="I580" i="1"/>
  <c r="P579" i="1"/>
  <c r="J580" i="1"/>
  <c r="M582" i="1"/>
  <c r="O580" i="1"/>
  <c r="I581" i="1"/>
  <c r="P580" i="1"/>
  <c r="J581" i="1"/>
  <c r="M583" i="1"/>
  <c r="O581" i="1"/>
  <c r="I582" i="1"/>
  <c r="P581" i="1"/>
  <c r="J582" i="1"/>
  <c r="M584" i="1"/>
  <c r="O582" i="1"/>
  <c r="I583" i="1"/>
  <c r="P582" i="1"/>
  <c r="J583" i="1"/>
  <c r="M585" i="1"/>
  <c r="O583" i="1"/>
  <c r="I584" i="1"/>
  <c r="P583" i="1"/>
  <c r="J584" i="1"/>
  <c r="M586" i="1"/>
  <c r="O584" i="1"/>
  <c r="I585" i="1"/>
  <c r="P584" i="1"/>
  <c r="J585" i="1"/>
  <c r="M587" i="1"/>
  <c r="O585" i="1"/>
  <c r="I586" i="1"/>
  <c r="P585" i="1"/>
  <c r="J586" i="1"/>
  <c r="M588" i="1"/>
  <c r="O586" i="1"/>
  <c r="I587" i="1"/>
  <c r="P586" i="1"/>
  <c r="J587" i="1"/>
  <c r="M589" i="1"/>
  <c r="O587" i="1"/>
  <c r="I588" i="1"/>
  <c r="P587" i="1"/>
  <c r="J588" i="1"/>
  <c r="M590" i="1"/>
  <c r="O588" i="1"/>
  <c r="I589" i="1"/>
  <c r="P588" i="1"/>
  <c r="J589" i="1"/>
  <c r="M591" i="1"/>
  <c r="O589" i="1"/>
  <c r="I590" i="1"/>
  <c r="P589" i="1"/>
  <c r="J590" i="1"/>
  <c r="M592" i="1"/>
  <c r="O590" i="1"/>
  <c r="I591" i="1"/>
  <c r="P590" i="1"/>
  <c r="J591" i="1"/>
  <c r="M593" i="1"/>
  <c r="O591" i="1"/>
  <c r="I592" i="1"/>
  <c r="P591" i="1"/>
  <c r="J592" i="1"/>
  <c r="M594" i="1"/>
  <c r="O592" i="1"/>
  <c r="I593" i="1"/>
  <c r="P592" i="1"/>
  <c r="J593" i="1"/>
  <c r="M595" i="1"/>
  <c r="O593" i="1"/>
  <c r="I594" i="1"/>
  <c r="P593" i="1"/>
  <c r="J594" i="1"/>
  <c r="M596" i="1"/>
  <c r="O594" i="1"/>
  <c r="I595" i="1"/>
  <c r="P594" i="1"/>
  <c r="J595" i="1"/>
  <c r="M597" i="1"/>
  <c r="O595" i="1"/>
  <c r="I596" i="1"/>
  <c r="P595" i="1"/>
  <c r="J596" i="1"/>
  <c r="M598" i="1"/>
  <c r="O596" i="1"/>
  <c r="I597" i="1"/>
  <c r="P596" i="1"/>
  <c r="J597" i="1"/>
  <c r="M599" i="1"/>
  <c r="O597" i="1"/>
  <c r="I598" i="1"/>
  <c r="P597" i="1"/>
  <c r="J598" i="1"/>
  <c r="M600" i="1"/>
  <c r="O598" i="1"/>
  <c r="I599" i="1"/>
  <c r="P598" i="1"/>
  <c r="J599" i="1"/>
  <c r="M601" i="1"/>
  <c r="O599" i="1"/>
  <c r="I600" i="1"/>
  <c r="P599" i="1"/>
  <c r="J600" i="1"/>
  <c r="M602" i="1"/>
  <c r="O600" i="1"/>
  <c r="I601" i="1"/>
  <c r="P600" i="1"/>
  <c r="J601" i="1"/>
  <c r="M603" i="1"/>
  <c r="O601" i="1"/>
  <c r="I602" i="1"/>
  <c r="P601" i="1"/>
  <c r="J602" i="1"/>
  <c r="M604" i="1"/>
  <c r="O602" i="1"/>
  <c r="I603" i="1"/>
  <c r="P602" i="1"/>
  <c r="J603" i="1"/>
  <c r="M605" i="1"/>
  <c r="O603" i="1"/>
  <c r="I604" i="1"/>
  <c r="P603" i="1"/>
  <c r="J604" i="1"/>
  <c r="M606" i="1"/>
  <c r="O604" i="1"/>
  <c r="I605" i="1"/>
  <c r="P604" i="1"/>
  <c r="J605" i="1"/>
  <c r="M607" i="1"/>
  <c r="O605" i="1"/>
  <c r="I606" i="1"/>
  <c r="P605" i="1"/>
  <c r="J606" i="1"/>
  <c r="M608" i="1"/>
  <c r="O606" i="1"/>
  <c r="I607" i="1"/>
  <c r="P606" i="1"/>
  <c r="J607" i="1"/>
  <c r="M609" i="1"/>
  <c r="O607" i="1"/>
  <c r="I608" i="1"/>
  <c r="P607" i="1"/>
  <c r="J608" i="1"/>
  <c r="M610" i="1"/>
  <c r="O608" i="1"/>
  <c r="I609" i="1"/>
  <c r="P608" i="1"/>
  <c r="J609" i="1"/>
  <c r="M611" i="1"/>
  <c r="O609" i="1"/>
  <c r="I610" i="1"/>
  <c r="P609" i="1"/>
  <c r="J610" i="1"/>
  <c r="M612" i="1"/>
  <c r="O610" i="1"/>
  <c r="I611" i="1"/>
  <c r="P610" i="1"/>
  <c r="J611" i="1"/>
  <c r="M613" i="1"/>
  <c r="O611" i="1"/>
  <c r="I612" i="1"/>
  <c r="P611" i="1"/>
  <c r="J612" i="1"/>
  <c r="M614" i="1"/>
  <c r="O612" i="1"/>
  <c r="I613" i="1"/>
  <c r="P612" i="1"/>
  <c r="J613" i="1"/>
  <c r="M615" i="1"/>
  <c r="O613" i="1"/>
  <c r="I614" i="1"/>
  <c r="P613" i="1"/>
  <c r="J614" i="1"/>
  <c r="M616" i="1"/>
  <c r="O614" i="1"/>
  <c r="I615" i="1"/>
  <c r="P614" i="1"/>
  <c r="J615" i="1"/>
  <c r="M617" i="1"/>
  <c r="O615" i="1"/>
  <c r="I616" i="1"/>
  <c r="P615" i="1"/>
  <c r="J616" i="1"/>
  <c r="M618" i="1"/>
  <c r="O616" i="1"/>
  <c r="I617" i="1"/>
  <c r="P616" i="1"/>
  <c r="J617" i="1"/>
  <c r="M619" i="1"/>
  <c r="O617" i="1"/>
  <c r="I618" i="1"/>
  <c r="P617" i="1"/>
  <c r="J618" i="1"/>
  <c r="M620" i="1"/>
  <c r="O618" i="1"/>
  <c r="I619" i="1"/>
  <c r="P618" i="1"/>
  <c r="J619" i="1"/>
  <c r="M621" i="1"/>
  <c r="O619" i="1"/>
  <c r="I620" i="1"/>
  <c r="P619" i="1"/>
  <c r="J620" i="1"/>
  <c r="M622" i="1"/>
  <c r="O620" i="1"/>
  <c r="I621" i="1"/>
  <c r="P620" i="1"/>
  <c r="J621" i="1"/>
  <c r="M623" i="1"/>
  <c r="O621" i="1"/>
  <c r="I622" i="1"/>
  <c r="P621" i="1"/>
  <c r="J622" i="1"/>
  <c r="M624" i="1"/>
  <c r="O622" i="1"/>
  <c r="I623" i="1"/>
  <c r="P622" i="1"/>
  <c r="J623" i="1"/>
  <c r="M625" i="1"/>
  <c r="O623" i="1"/>
  <c r="I624" i="1"/>
  <c r="P623" i="1"/>
  <c r="J624" i="1"/>
  <c r="M626" i="1"/>
  <c r="O624" i="1"/>
  <c r="I625" i="1"/>
  <c r="P624" i="1"/>
  <c r="J625" i="1"/>
  <c r="M627" i="1"/>
  <c r="O625" i="1"/>
  <c r="I626" i="1"/>
  <c r="P625" i="1"/>
  <c r="J626" i="1"/>
  <c r="M628" i="1"/>
  <c r="O626" i="1"/>
  <c r="I627" i="1"/>
  <c r="P626" i="1"/>
  <c r="J627" i="1"/>
  <c r="M629" i="1"/>
  <c r="O627" i="1"/>
  <c r="I628" i="1"/>
  <c r="P627" i="1"/>
  <c r="J628" i="1"/>
  <c r="M630" i="1"/>
  <c r="O628" i="1"/>
  <c r="I629" i="1"/>
  <c r="P628" i="1"/>
  <c r="J629" i="1"/>
  <c r="M631" i="1"/>
  <c r="O629" i="1"/>
  <c r="I630" i="1"/>
  <c r="P629" i="1"/>
  <c r="J630" i="1"/>
  <c r="M632" i="1"/>
  <c r="O630" i="1"/>
  <c r="I631" i="1"/>
  <c r="P630" i="1"/>
  <c r="J631" i="1"/>
  <c r="M633" i="1"/>
  <c r="O631" i="1"/>
  <c r="I632" i="1"/>
  <c r="P631" i="1"/>
  <c r="J632" i="1"/>
  <c r="M634" i="1"/>
  <c r="O632" i="1"/>
  <c r="I633" i="1"/>
  <c r="P632" i="1"/>
  <c r="J633" i="1"/>
  <c r="M635" i="1"/>
  <c r="O633" i="1"/>
  <c r="I634" i="1"/>
  <c r="P633" i="1"/>
  <c r="J634" i="1"/>
  <c r="M636" i="1"/>
  <c r="O634" i="1"/>
  <c r="I635" i="1"/>
  <c r="P634" i="1"/>
  <c r="J635" i="1"/>
  <c r="M637" i="1"/>
  <c r="O635" i="1"/>
  <c r="I636" i="1"/>
  <c r="P635" i="1"/>
  <c r="J636" i="1"/>
  <c r="M638" i="1"/>
  <c r="O636" i="1"/>
  <c r="I637" i="1"/>
  <c r="P636" i="1"/>
  <c r="J637" i="1"/>
  <c r="M639" i="1"/>
  <c r="O637" i="1"/>
  <c r="I638" i="1"/>
  <c r="P637" i="1"/>
  <c r="J638" i="1"/>
  <c r="M640" i="1"/>
  <c r="O638" i="1"/>
  <c r="I639" i="1"/>
  <c r="P638" i="1"/>
  <c r="J639" i="1"/>
  <c r="M641" i="1"/>
  <c r="O639" i="1"/>
  <c r="I640" i="1"/>
  <c r="P639" i="1"/>
  <c r="J640" i="1"/>
  <c r="M642" i="1"/>
  <c r="O640" i="1"/>
  <c r="I641" i="1"/>
  <c r="P640" i="1"/>
  <c r="J641" i="1"/>
  <c r="M643" i="1"/>
  <c r="O641" i="1"/>
  <c r="I642" i="1"/>
  <c r="P641" i="1"/>
  <c r="J642" i="1"/>
  <c r="M644" i="1"/>
  <c r="O642" i="1"/>
  <c r="I643" i="1"/>
  <c r="P642" i="1"/>
  <c r="J643" i="1"/>
  <c r="M645" i="1"/>
  <c r="O643" i="1"/>
  <c r="I644" i="1"/>
  <c r="P643" i="1"/>
  <c r="J644" i="1"/>
  <c r="M646" i="1"/>
  <c r="O644" i="1"/>
  <c r="I645" i="1"/>
  <c r="P644" i="1"/>
  <c r="J645" i="1"/>
  <c r="M647" i="1"/>
  <c r="O645" i="1"/>
  <c r="I646" i="1"/>
  <c r="P645" i="1"/>
  <c r="J646" i="1"/>
  <c r="M648" i="1"/>
  <c r="O646" i="1"/>
  <c r="I647" i="1"/>
  <c r="P646" i="1"/>
  <c r="J647" i="1"/>
  <c r="M649" i="1"/>
  <c r="O647" i="1"/>
  <c r="I648" i="1"/>
  <c r="P647" i="1"/>
  <c r="J648" i="1"/>
  <c r="M650" i="1"/>
  <c r="O648" i="1"/>
  <c r="I649" i="1"/>
  <c r="P648" i="1"/>
  <c r="J649" i="1"/>
  <c r="M651" i="1"/>
  <c r="O649" i="1"/>
  <c r="I650" i="1"/>
  <c r="P649" i="1"/>
  <c r="J650" i="1"/>
  <c r="M652" i="1"/>
  <c r="O650" i="1"/>
  <c r="I651" i="1"/>
  <c r="P650" i="1"/>
  <c r="J651" i="1"/>
  <c r="M653" i="1"/>
  <c r="O651" i="1"/>
  <c r="I652" i="1"/>
  <c r="P651" i="1"/>
  <c r="J652" i="1"/>
  <c r="M654" i="1"/>
  <c r="O652" i="1"/>
  <c r="I653" i="1"/>
  <c r="P652" i="1"/>
  <c r="J653" i="1"/>
  <c r="M655" i="1"/>
  <c r="O653" i="1"/>
  <c r="I654" i="1"/>
  <c r="P653" i="1"/>
  <c r="J654" i="1"/>
  <c r="M656" i="1"/>
  <c r="O654" i="1"/>
  <c r="I655" i="1"/>
  <c r="P654" i="1"/>
  <c r="J655" i="1"/>
  <c r="M657" i="1"/>
  <c r="O655" i="1"/>
  <c r="I656" i="1"/>
  <c r="P655" i="1"/>
  <c r="J656" i="1"/>
  <c r="M658" i="1"/>
  <c r="O656" i="1"/>
  <c r="I657" i="1"/>
  <c r="P656" i="1"/>
  <c r="J657" i="1"/>
  <c r="M659" i="1"/>
  <c r="O657" i="1"/>
  <c r="I658" i="1"/>
  <c r="P657" i="1"/>
  <c r="J658" i="1"/>
  <c r="M660" i="1"/>
  <c r="O658" i="1"/>
  <c r="I659" i="1"/>
  <c r="P658" i="1"/>
  <c r="J659" i="1"/>
  <c r="M661" i="1"/>
  <c r="O659" i="1"/>
  <c r="I660" i="1"/>
  <c r="P659" i="1"/>
  <c r="J660" i="1"/>
  <c r="M662" i="1"/>
  <c r="O660" i="1"/>
  <c r="I661" i="1"/>
  <c r="P660" i="1"/>
  <c r="J661" i="1"/>
  <c r="M663" i="1"/>
  <c r="O661" i="1"/>
  <c r="I662" i="1"/>
  <c r="P661" i="1"/>
  <c r="J662" i="1"/>
  <c r="M664" i="1"/>
  <c r="O662" i="1"/>
  <c r="I663" i="1"/>
  <c r="P662" i="1"/>
  <c r="J663" i="1"/>
  <c r="M665" i="1"/>
  <c r="O663" i="1"/>
  <c r="I664" i="1"/>
  <c r="P663" i="1"/>
  <c r="J664" i="1"/>
  <c r="M666" i="1"/>
  <c r="O664" i="1"/>
  <c r="I665" i="1"/>
  <c r="P664" i="1"/>
  <c r="J665" i="1"/>
  <c r="M667" i="1"/>
  <c r="O665" i="1"/>
  <c r="I666" i="1"/>
  <c r="P665" i="1"/>
  <c r="J666" i="1"/>
  <c r="M668" i="1"/>
  <c r="O666" i="1"/>
  <c r="I667" i="1"/>
  <c r="P666" i="1"/>
  <c r="J667" i="1"/>
  <c r="M669" i="1"/>
  <c r="O667" i="1"/>
  <c r="I668" i="1"/>
  <c r="P667" i="1"/>
  <c r="J668" i="1"/>
  <c r="M670" i="1"/>
  <c r="O668" i="1"/>
  <c r="I669" i="1"/>
  <c r="P668" i="1"/>
  <c r="J669" i="1"/>
  <c r="M671" i="1"/>
  <c r="O669" i="1"/>
  <c r="I670" i="1"/>
  <c r="P669" i="1"/>
  <c r="J670" i="1"/>
  <c r="M672" i="1"/>
  <c r="O670" i="1"/>
  <c r="I671" i="1"/>
  <c r="P670" i="1"/>
  <c r="J671" i="1"/>
  <c r="M673" i="1"/>
  <c r="O671" i="1"/>
  <c r="I672" i="1"/>
  <c r="P671" i="1"/>
  <c r="J672" i="1"/>
  <c r="M674" i="1"/>
  <c r="O672" i="1"/>
  <c r="I673" i="1"/>
  <c r="P672" i="1"/>
  <c r="J673" i="1"/>
  <c r="M675" i="1"/>
  <c r="O673" i="1"/>
  <c r="I674" i="1"/>
  <c r="P673" i="1"/>
  <c r="J674" i="1"/>
  <c r="M676" i="1"/>
  <c r="O674" i="1"/>
  <c r="I675" i="1"/>
  <c r="P674" i="1"/>
  <c r="J675" i="1"/>
  <c r="M677" i="1"/>
  <c r="O675" i="1"/>
  <c r="I676" i="1"/>
  <c r="P675" i="1"/>
  <c r="J676" i="1"/>
  <c r="M678" i="1"/>
  <c r="O676" i="1"/>
  <c r="I677" i="1"/>
  <c r="P676" i="1"/>
  <c r="J677" i="1"/>
  <c r="M679" i="1"/>
  <c r="O677" i="1"/>
  <c r="I678" i="1"/>
  <c r="P677" i="1"/>
  <c r="J678" i="1"/>
  <c r="M680" i="1"/>
  <c r="O678" i="1"/>
  <c r="I679" i="1"/>
  <c r="P678" i="1"/>
  <c r="J679" i="1"/>
  <c r="M681" i="1"/>
  <c r="O679" i="1"/>
  <c r="I680" i="1"/>
  <c r="P679" i="1"/>
  <c r="J680" i="1"/>
  <c r="M682" i="1"/>
  <c r="O680" i="1"/>
  <c r="I681" i="1"/>
  <c r="P680" i="1"/>
  <c r="J681" i="1"/>
  <c r="M683" i="1"/>
  <c r="O681" i="1"/>
  <c r="I682" i="1"/>
  <c r="P681" i="1"/>
  <c r="J682" i="1"/>
  <c r="M684" i="1"/>
  <c r="O682" i="1"/>
  <c r="I683" i="1"/>
  <c r="P682" i="1"/>
  <c r="J683" i="1"/>
  <c r="M685" i="1"/>
  <c r="O683" i="1"/>
  <c r="I684" i="1"/>
  <c r="P683" i="1"/>
  <c r="J684" i="1"/>
  <c r="M686" i="1"/>
  <c r="O684" i="1"/>
  <c r="I685" i="1"/>
  <c r="P684" i="1"/>
  <c r="J685" i="1"/>
  <c r="M687" i="1"/>
  <c r="O685" i="1"/>
  <c r="I686" i="1"/>
  <c r="P685" i="1"/>
  <c r="J686" i="1"/>
  <c r="M688" i="1"/>
  <c r="O686" i="1"/>
  <c r="I687" i="1"/>
  <c r="P686" i="1"/>
  <c r="J687" i="1"/>
  <c r="M689" i="1"/>
  <c r="O687" i="1"/>
  <c r="I688" i="1"/>
  <c r="P687" i="1"/>
  <c r="J688" i="1"/>
  <c r="M690" i="1"/>
  <c r="O688" i="1"/>
  <c r="I689" i="1"/>
  <c r="P688" i="1"/>
  <c r="J689" i="1"/>
  <c r="M691" i="1"/>
  <c r="O689" i="1"/>
  <c r="I690" i="1"/>
  <c r="P689" i="1"/>
  <c r="J690" i="1"/>
  <c r="M692" i="1"/>
  <c r="O690" i="1"/>
  <c r="I691" i="1"/>
  <c r="P690" i="1"/>
  <c r="J691" i="1"/>
  <c r="M693" i="1"/>
  <c r="O691" i="1"/>
  <c r="I692" i="1"/>
  <c r="P691" i="1"/>
  <c r="J692" i="1"/>
  <c r="M694" i="1"/>
  <c r="O692" i="1"/>
  <c r="I693" i="1"/>
  <c r="P692" i="1"/>
  <c r="J693" i="1"/>
  <c r="M695" i="1"/>
  <c r="O693" i="1"/>
  <c r="I694" i="1"/>
  <c r="P693" i="1"/>
  <c r="J694" i="1"/>
  <c r="M696" i="1"/>
  <c r="O694" i="1"/>
  <c r="I695" i="1"/>
  <c r="P694" i="1"/>
  <c r="J695" i="1"/>
  <c r="M697" i="1"/>
  <c r="O695" i="1"/>
  <c r="I696" i="1"/>
  <c r="P695" i="1"/>
  <c r="J696" i="1"/>
  <c r="M698" i="1"/>
  <c r="O696" i="1"/>
  <c r="I697" i="1"/>
  <c r="P696" i="1"/>
  <c r="J697" i="1"/>
  <c r="M699" i="1"/>
  <c r="O697" i="1"/>
  <c r="I698" i="1"/>
  <c r="P697" i="1"/>
  <c r="J698" i="1"/>
  <c r="M700" i="1"/>
  <c r="O698" i="1"/>
  <c r="I699" i="1"/>
  <c r="P698" i="1"/>
  <c r="J699" i="1"/>
  <c r="M701" i="1"/>
  <c r="O699" i="1"/>
  <c r="I700" i="1"/>
  <c r="P699" i="1"/>
  <c r="J700" i="1"/>
  <c r="M702" i="1"/>
  <c r="O700" i="1"/>
  <c r="I701" i="1"/>
  <c r="P700" i="1"/>
  <c r="J701" i="1"/>
  <c r="M703" i="1"/>
  <c r="O701" i="1"/>
  <c r="I702" i="1"/>
  <c r="P701" i="1"/>
  <c r="J702" i="1"/>
  <c r="M704" i="1"/>
  <c r="O702" i="1"/>
  <c r="I703" i="1"/>
  <c r="P702" i="1"/>
  <c r="J703" i="1"/>
  <c r="M705" i="1"/>
  <c r="O703" i="1"/>
  <c r="I704" i="1"/>
  <c r="P703" i="1"/>
  <c r="J704" i="1"/>
  <c r="M706" i="1"/>
  <c r="O704" i="1"/>
  <c r="I705" i="1"/>
  <c r="P704" i="1"/>
  <c r="J705" i="1"/>
  <c r="M707" i="1"/>
  <c r="O705" i="1"/>
  <c r="I706" i="1"/>
  <c r="P705" i="1"/>
  <c r="J706" i="1"/>
  <c r="M708" i="1"/>
  <c r="O706" i="1"/>
  <c r="I707" i="1"/>
  <c r="P706" i="1"/>
  <c r="J707" i="1"/>
  <c r="M709" i="1"/>
  <c r="O707" i="1"/>
  <c r="I708" i="1"/>
  <c r="P707" i="1"/>
  <c r="J708" i="1"/>
  <c r="M710" i="1"/>
  <c r="O708" i="1"/>
  <c r="I709" i="1"/>
  <c r="P708" i="1"/>
  <c r="J709" i="1"/>
  <c r="M711" i="1"/>
  <c r="O709" i="1"/>
  <c r="I710" i="1"/>
  <c r="P709" i="1"/>
  <c r="J710" i="1"/>
  <c r="M712" i="1"/>
  <c r="O710" i="1"/>
  <c r="I711" i="1"/>
  <c r="P710" i="1"/>
  <c r="J711" i="1"/>
  <c r="M713" i="1"/>
  <c r="O711" i="1"/>
  <c r="I712" i="1"/>
  <c r="P711" i="1"/>
  <c r="J712" i="1"/>
  <c r="M714" i="1"/>
  <c r="O712" i="1"/>
  <c r="I713" i="1"/>
  <c r="P712" i="1"/>
  <c r="J713" i="1"/>
  <c r="M715" i="1"/>
  <c r="O713" i="1"/>
  <c r="I714" i="1"/>
  <c r="P713" i="1"/>
  <c r="J714" i="1"/>
  <c r="M716" i="1"/>
  <c r="O714" i="1"/>
  <c r="I715" i="1"/>
  <c r="P714" i="1"/>
  <c r="J715" i="1"/>
  <c r="M717" i="1"/>
  <c r="O715" i="1"/>
  <c r="I716" i="1"/>
  <c r="P715" i="1"/>
  <c r="J716" i="1"/>
  <c r="M718" i="1"/>
  <c r="O716" i="1"/>
  <c r="I717" i="1"/>
  <c r="P716" i="1"/>
  <c r="J717" i="1"/>
  <c r="M719" i="1"/>
  <c r="O717" i="1"/>
  <c r="I718" i="1"/>
  <c r="P717" i="1"/>
  <c r="J718" i="1"/>
  <c r="M720" i="1"/>
  <c r="O718" i="1"/>
  <c r="I719" i="1"/>
  <c r="P718" i="1"/>
  <c r="J719" i="1"/>
  <c r="M721" i="1"/>
  <c r="O719" i="1"/>
  <c r="I720" i="1"/>
  <c r="P719" i="1"/>
  <c r="J720" i="1"/>
  <c r="M722" i="1"/>
  <c r="O720" i="1"/>
  <c r="I721" i="1"/>
  <c r="P720" i="1"/>
  <c r="J721" i="1"/>
  <c r="M723" i="1"/>
  <c r="O721" i="1"/>
  <c r="I722" i="1"/>
  <c r="P721" i="1"/>
  <c r="J722" i="1"/>
  <c r="M724" i="1"/>
  <c r="O722" i="1"/>
  <c r="I723" i="1"/>
  <c r="P722" i="1"/>
  <c r="J723" i="1"/>
  <c r="M725" i="1"/>
  <c r="O723" i="1"/>
  <c r="I724" i="1"/>
  <c r="P723" i="1"/>
  <c r="J724" i="1"/>
  <c r="M726" i="1"/>
  <c r="O724" i="1"/>
  <c r="I725" i="1"/>
  <c r="P724" i="1"/>
  <c r="J725" i="1"/>
  <c r="M727" i="1"/>
  <c r="O725" i="1"/>
  <c r="I726" i="1"/>
  <c r="P725" i="1"/>
  <c r="J726" i="1"/>
  <c r="M728" i="1"/>
  <c r="O726" i="1"/>
  <c r="I727" i="1"/>
  <c r="P726" i="1"/>
  <c r="J727" i="1"/>
  <c r="M729" i="1"/>
  <c r="O727" i="1"/>
  <c r="I728" i="1"/>
  <c r="P727" i="1"/>
  <c r="J728" i="1"/>
  <c r="M730" i="1"/>
  <c r="O728" i="1"/>
  <c r="I729" i="1"/>
  <c r="P728" i="1"/>
  <c r="J729" i="1"/>
  <c r="M731" i="1"/>
  <c r="O729" i="1"/>
  <c r="I730" i="1"/>
  <c r="P729" i="1"/>
  <c r="J730" i="1"/>
  <c r="M732" i="1"/>
  <c r="O730" i="1"/>
  <c r="I731" i="1"/>
  <c r="P730" i="1"/>
  <c r="J731" i="1"/>
  <c r="M733" i="1"/>
  <c r="O731" i="1"/>
  <c r="I732" i="1"/>
  <c r="P731" i="1"/>
  <c r="J732" i="1"/>
  <c r="M734" i="1"/>
  <c r="O732" i="1"/>
  <c r="I733" i="1"/>
  <c r="P732" i="1"/>
  <c r="J733" i="1"/>
  <c r="M735" i="1"/>
  <c r="O733" i="1"/>
  <c r="I734" i="1"/>
  <c r="P733" i="1"/>
  <c r="J734" i="1"/>
  <c r="M736" i="1"/>
  <c r="O734" i="1"/>
  <c r="I735" i="1"/>
  <c r="P734" i="1"/>
  <c r="J735" i="1"/>
  <c r="M737" i="1"/>
  <c r="O735" i="1"/>
  <c r="I736" i="1"/>
  <c r="P735" i="1"/>
  <c r="J736" i="1"/>
  <c r="M738" i="1"/>
  <c r="O736" i="1"/>
  <c r="I737" i="1"/>
  <c r="P736" i="1"/>
  <c r="J737" i="1"/>
  <c r="M739" i="1"/>
  <c r="O737" i="1"/>
  <c r="I738" i="1"/>
  <c r="P737" i="1"/>
  <c r="J738" i="1"/>
  <c r="M740" i="1"/>
  <c r="O738" i="1"/>
  <c r="I739" i="1"/>
  <c r="P738" i="1"/>
  <c r="J739" i="1"/>
  <c r="M741" i="1"/>
  <c r="O739" i="1"/>
  <c r="I740" i="1"/>
  <c r="P739" i="1"/>
  <c r="J740" i="1"/>
  <c r="M742" i="1"/>
  <c r="O740" i="1"/>
  <c r="I741" i="1"/>
  <c r="P740" i="1"/>
  <c r="J741" i="1"/>
  <c r="M743" i="1"/>
  <c r="O741" i="1"/>
  <c r="I742" i="1"/>
  <c r="P741" i="1"/>
  <c r="J742" i="1"/>
  <c r="M744" i="1"/>
  <c r="O742" i="1"/>
  <c r="I743" i="1"/>
  <c r="P742" i="1"/>
  <c r="J743" i="1"/>
  <c r="M745" i="1"/>
  <c r="O743" i="1"/>
  <c r="I744" i="1"/>
  <c r="P743" i="1"/>
  <c r="J744" i="1"/>
  <c r="M746" i="1"/>
  <c r="O744" i="1"/>
  <c r="I745" i="1"/>
  <c r="P744" i="1"/>
  <c r="J745" i="1"/>
  <c r="M747" i="1"/>
  <c r="O745" i="1"/>
  <c r="I746" i="1"/>
  <c r="P745" i="1"/>
  <c r="J746" i="1"/>
  <c r="M748" i="1"/>
  <c r="O746" i="1"/>
  <c r="I747" i="1"/>
  <c r="P746" i="1"/>
  <c r="J747" i="1"/>
  <c r="M749" i="1"/>
  <c r="O747" i="1"/>
  <c r="I748" i="1"/>
  <c r="P747" i="1"/>
  <c r="J748" i="1"/>
  <c r="M750" i="1"/>
  <c r="O748" i="1"/>
  <c r="I749" i="1"/>
  <c r="P748" i="1"/>
  <c r="J749" i="1"/>
  <c r="M751" i="1"/>
  <c r="O749" i="1"/>
  <c r="I750" i="1"/>
  <c r="P749" i="1"/>
  <c r="J750" i="1"/>
  <c r="M752" i="1"/>
  <c r="O750" i="1"/>
  <c r="I751" i="1"/>
  <c r="P750" i="1"/>
  <c r="J751" i="1"/>
  <c r="M753" i="1"/>
  <c r="O751" i="1"/>
  <c r="I752" i="1"/>
  <c r="P751" i="1"/>
  <c r="J752" i="1"/>
  <c r="M754" i="1"/>
  <c r="O752" i="1"/>
  <c r="I753" i="1"/>
  <c r="P752" i="1"/>
  <c r="J753" i="1"/>
  <c r="M755" i="1"/>
  <c r="O753" i="1"/>
  <c r="I754" i="1"/>
  <c r="P753" i="1"/>
  <c r="J754" i="1"/>
  <c r="M756" i="1"/>
  <c r="O754" i="1"/>
  <c r="I755" i="1"/>
  <c r="P754" i="1"/>
  <c r="J755" i="1"/>
  <c r="M757" i="1"/>
  <c r="O755" i="1"/>
  <c r="I756" i="1"/>
  <c r="P755" i="1"/>
  <c r="J756" i="1"/>
  <c r="M758" i="1"/>
  <c r="O756" i="1"/>
  <c r="I757" i="1"/>
  <c r="P756" i="1"/>
  <c r="J757" i="1"/>
  <c r="M759" i="1"/>
  <c r="O757" i="1"/>
  <c r="I758" i="1"/>
  <c r="P757" i="1"/>
  <c r="J758" i="1"/>
  <c r="M760" i="1"/>
  <c r="O758" i="1"/>
  <c r="I759" i="1"/>
  <c r="P758" i="1"/>
  <c r="J759" i="1"/>
  <c r="M761" i="1"/>
  <c r="O759" i="1"/>
  <c r="I760" i="1"/>
  <c r="P759" i="1"/>
  <c r="J760" i="1"/>
  <c r="M762" i="1"/>
  <c r="O760" i="1"/>
  <c r="I761" i="1"/>
  <c r="P760" i="1"/>
  <c r="J761" i="1"/>
  <c r="M763" i="1"/>
  <c r="O761" i="1"/>
  <c r="I762" i="1"/>
  <c r="P761" i="1"/>
  <c r="J762" i="1"/>
  <c r="M764" i="1"/>
  <c r="O762" i="1"/>
  <c r="I763" i="1"/>
  <c r="P762" i="1"/>
  <c r="J763" i="1"/>
  <c r="M765" i="1"/>
  <c r="O763" i="1"/>
  <c r="I764" i="1"/>
  <c r="P763" i="1"/>
  <c r="J764" i="1"/>
  <c r="M766" i="1"/>
  <c r="O764" i="1"/>
  <c r="I765" i="1"/>
  <c r="P764" i="1"/>
  <c r="J765" i="1"/>
  <c r="M767" i="1"/>
  <c r="O765" i="1"/>
  <c r="I766" i="1"/>
  <c r="P765" i="1"/>
  <c r="J766" i="1"/>
  <c r="M768" i="1"/>
  <c r="O766" i="1"/>
  <c r="I767" i="1"/>
  <c r="P766" i="1"/>
  <c r="J767" i="1"/>
  <c r="M769" i="1"/>
  <c r="O767" i="1"/>
  <c r="I768" i="1"/>
  <c r="P767" i="1"/>
  <c r="J768" i="1"/>
  <c r="M770" i="1"/>
  <c r="O768" i="1"/>
  <c r="I769" i="1"/>
  <c r="P768" i="1"/>
  <c r="J769" i="1"/>
  <c r="M771" i="1"/>
  <c r="O769" i="1"/>
  <c r="I770" i="1"/>
  <c r="P769" i="1"/>
  <c r="J770" i="1"/>
  <c r="M772" i="1"/>
  <c r="O770" i="1"/>
  <c r="I771" i="1"/>
  <c r="P770" i="1"/>
  <c r="J771" i="1"/>
  <c r="M773" i="1"/>
  <c r="O771" i="1"/>
  <c r="I772" i="1"/>
  <c r="P771" i="1"/>
  <c r="J772" i="1"/>
  <c r="M774" i="1"/>
  <c r="O772" i="1"/>
  <c r="I773" i="1"/>
  <c r="P772" i="1"/>
  <c r="J773" i="1"/>
  <c r="M775" i="1"/>
  <c r="O773" i="1"/>
  <c r="I774" i="1"/>
  <c r="P773" i="1"/>
  <c r="J774" i="1"/>
  <c r="M776" i="1"/>
  <c r="O774" i="1"/>
  <c r="I775" i="1"/>
  <c r="P774" i="1"/>
  <c r="J775" i="1"/>
  <c r="M777" i="1"/>
  <c r="O775" i="1"/>
  <c r="I776" i="1"/>
  <c r="P775" i="1"/>
  <c r="J776" i="1"/>
  <c r="M778" i="1"/>
  <c r="O776" i="1"/>
  <c r="I777" i="1"/>
  <c r="P776" i="1"/>
  <c r="J777" i="1"/>
  <c r="M779" i="1"/>
  <c r="O777" i="1"/>
  <c r="I778" i="1"/>
  <c r="P777" i="1"/>
  <c r="J778" i="1"/>
  <c r="M780" i="1"/>
  <c r="O778" i="1"/>
  <c r="I779" i="1"/>
  <c r="P778" i="1"/>
  <c r="J779" i="1"/>
  <c r="M781" i="1"/>
  <c r="O779" i="1"/>
  <c r="I780" i="1"/>
  <c r="P779" i="1"/>
  <c r="J780" i="1"/>
  <c r="M782" i="1"/>
  <c r="O780" i="1"/>
  <c r="I781" i="1"/>
  <c r="P780" i="1"/>
  <c r="J781" i="1"/>
  <c r="M783" i="1"/>
  <c r="O781" i="1"/>
  <c r="I782" i="1"/>
  <c r="P781" i="1"/>
  <c r="J782" i="1"/>
  <c r="M784" i="1"/>
  <c r="O782" i="1"/>
  <c r="I783" i="1"/>
  <c r="P782" i="1"/>
  <c r="J783" i="1"/>
  <c r="M785" i="1"/>
  <c r="O783" i="1"/>
  <c r="I784" i="1"/>
  <c r="P783" i="1"/>
  <c r="J784" i="1"/>
  <c r="M786" i="1"/>
  <c r="O784" i="1"/>
  <c r="I785" i="1"/>
  <c r="P784" i="1"/>
  <c r="J785" i="1"/>
  <c r="M787" i="1"/>
  <c r="O785" i="1"/>
  <c r="I786" i="1"/>
  <c r="P785" i="1"/>
  <c r="J786" i="1"/>
  <c r="M788" i="1"/>
  <c r="O786" i="1"/>
  <c r="I787" i="1"/>
  <c r="P786" i="1"/>
  <c r="J787" i="1"/>
  <c r="M789" i="1"/>
  <c r="O787" i="1"/>
  <c r="I788" i="1"/>
  <c r="P787" i="1"/>
  <c r="J788" i="1"/>
  <c r="M790" i="1"/>
  <c r="O788" i="1"/>
  <c r="I789" i="1"/>
  <c r="P788" i="1"/>
  <c r="J789" i="1"/>
  <c r="M791" i="1"/>
  <c r="O789" i="1"/>
  <c r="I790" i="1"/>
  <c r="P789" i="1"/>
  <c r="J790" i="1"/>
  <c r="M792" i="1"/>
  <c r="O790" i="1"/>
  <c r="I791" i="1"/>
  <c r="P790" i="1"/>
  <c r="J791" i="1"/>
  <c r="M793" i="1"/>
  <c r="O791" i="1"/>
  <c r="I792" i="1"/>
  <c r="P791" i="1"/>
  <c r="J792" i="1"/>
  <c r="M794" i="1"/>
  <c r="O792" i="1"/>
  <c r="I793" i="1"/>
  <c r="P792" i="1"/>
  <c r="J793" i="1"/>
  <c r="M795" i="1"/>
  <c r="O793" i="1"/>
  <c r="I794" i="1"/>
  <c r="P793" i="1"/>
  <c r="J794" i="1"/>
  <c r="M796" i="1"/>
  <c r="O795" i="1"/>
  <c r="Q795" i="1"/>
  <c r="P795" i="1"/>
  <c r="O794" i="1"/>
  <c r="I795" i="1"/>
  <c r="P794" i="1"/>
  <c r="J795" i="1"/>
  <c r="M797" i="1"/>
  <c r="O796" i="1"/>
  <c r="Q796" i="1"/>
  <c r="P796" i="1"/>
  <c r="I796" i="1"/>
  <c r="J796" i="1"/>
  <c r="M798" i="1"/>
  <c r="Q797" i="1"/>
  <c r="P797" i="1"/>
  <c r="O797" i="1"/>
  <c r="I797" i="1"/>
  <c r="J797" i="1"/>
  <c r="M799" i="1"/>
  <c r="Q798" i="1"/>
  <c r="P798" i="1"/>
  <c r="O798" i="1"/>
  <c r="I798" i="1"/>
  <c r="J798" i="1"/>
  <c r="M800" i="1"/>
  <c r="P799" i="1"/>
  <c r="O799" i="1"/>
  <c r="Q799" i="1"/>
  <c r="I799" i="1"/>
  <c r="J799" i="1"/>
  <c r="M801" i="1"/>
  <c r="P800" i="1"/>
  <c r="O800" i="1"/>
  <c r="Q800" i="1"/>
  <c r="I800" i="1"/>
  <c r="J800" i="1"/>
  <c r="M802" i="1"/>
  <c r="P801" i="1"/>
  <c r="O801" i="1"/>
  <c r="Q801" i="1"/>
  <c r="I801" i="1"/>
  <c r="J801" i="1"/>
  <c r="M803" i="1"/>
  <c r="O802" i="1"/>
  <c r="Q802" i="1"/>
  <c r="P802" i="1"/>
  <c r="I802" i="1"/>
  <c r="J802" i="1"/>
  <c r="M804" i="1"/>
  <c r="O803" i="1"/>
  <c r="Q803" i="1"/>
  <c r="P803" i="1"/>
  <c r="I803" i="1"/>
  <c r="J803" i="1"/>
  <c r="M805" i="1"/>
  <c r="O804" i="1"/>
  <c r="Q804" i="1"/>
  <c r="P804" i="1"/>
  <c r="I804" i="1"/>
  <c r="J804" i="1"/>
  <c r="M806" i="1"/>
  <c r="Q805" i="1"/>
  <c r="P805" i="1"/>
  <c r="O805" i="1"/>
  <c r="I805" i="1"/>
  <c r="J805" i="1"/>
  <c r="M807" i="1"/>
  <c r="Q806" i="1"/>
  <c r="P806" i="1"/>
  <c r="O806" i="1"/>
  <c r="I806" i="1"/>
  <c r="J806" i="1"/>
  <c r="M808" i="1"/>
  <c r="P807" i="1"/>
  <c r="O807" i="1"/>
  <c r="Q807" i="1"/>
  <c r="I807" i="1"/>
  <c r="J807" i="1"/>
  <c r="M809" i="1"/>
  <c r="P808" i="1"/>
  <c r="O808" i="1"/>
  <c r="Q808" i="1"/>
  <c r="I808" i="1"/>
  <c r="J808" i="1"/>
  <c r="M810" i="1"/>
  <c r="P809" i="1"/>
  <c r="O809" i="1"/>
  <c r="Q809" i="1"/>
  <c r="I809" i="1"/>
  <c r="J809" i="1"/>
  <c r="M811" i="1"/>
  <c r="O810" i="1"/>
  <c r="Q810" i="1"/>
  <c r="P810" i="1"/>
  <c r="I810" i="1"/>
  <c r="J810" i="1"/>
  <c r="M812" i="1"/>
  <c r="O811" i="1"/>
  <c r="Q811" i="1"/>
  <c r="P811" i="1"/>
  <c r="I811" i="1"/>
  <c r="J811" i="1"/>
  <c r="M813" i="1"/>
  <c r="O812" i="1"/>
  <c r="Q812" i="1"/>
  <c r="P812" i="1"/>
  <c r="I812" i="1"/>
  <c r="J812" i="1"/>
  <c r="M814" i="1"/>
  <c r="Q813" i="1"/>
  <c r="P813" i="1"/>
  <c r="O813" i="1"/>
  <c r="I813" i="1"/>
  <c r="J813" i="1"/>
  <c r="M815" i="1"/>
  <c r="Q814" i="1"/>
  <c r="P814" i="1"/>
  <c r="O814" i="1"/>
  <c r="I814" i="1"/>
  <c r="J814" i="1"/>
  <c r="P815" i="1"/>
  <c r="O815" i="1"/>
  <c r="Q815" i="1"/>
  <c r="I815" i="1"/>
  <c r="J815" i="1"/>
  <c r="P969" i="1"/>
  <c r="P970" i="1" s="1"/>
  <c r="P971" i="1" s="1"/>
  <c r="P972" i="1" s="1"/>
  <c r="P973" i="1" s="1"/>
  <c r="P974" i="1" s="1"/>
  <c r="P975" i="1" s="1"/>
  <c r="P976" i="1" s="1"/>
  <c r="P977" i="1" s="1"/>
  <c r="P978" i="1" s="1"/>
  <c r="P979" i="1" s="1"/>
  <c r="P980" i="1" s="1"/>
  <c r="P981" i="1" s="1"/>
  <c r="P982" i="1" s="1"/>
  <c r="P983" i="1" s="1"/>
  <c r="P984" i="1" s="1"/>
  <c r="P985" i="1" s="1"/>
  <c r="P986" i="1" s="1"/>
  <c r="P987" i="1" s="1"/>
  <c r="O969" i="1"/>
  <c r="O970" i="1" s="1"/>
  <c r="O971" i="1" s="1"/>
  <c r="O972" i="1" s="1"/>
  <c r="O973" i="1" s="1"/>
  <c r="O974" i="1" s="1"/>
  <c r="O975" i="1" s="1"/>
  <c r="O976" i="1" s="1"/>
  <c r="O977" i="1" s="1"/>
  <c r="O978" i="1" s="1"/>
  <c r="O979" i="1" s="1"/>
  <c r="O980" i="1" s="1"/>
  <c r="O981" i="1" s="1"/>
  <c r="O982" i="1" s="1"/>
  <c r="O983" i="1" s="1"/>
  <c r="O984" i="1" s="1"/>
  <c r="O985" i="1" s="1"/>
  <c r="O986" i="1" s="1"/>
  <c r="O987" i="1" s="1"/>
  <c r="N815" i="1" l="1"/>
  <c r="R815" i="1" s="1"/>
  <c r="L815" i="1"/>
  <c r="S815" i="1"/>
  <c r="N814" i="1"/>
  <c r="R814" i="1" s="1"/>
  <c r="L814" i="1"/>
  <c r="S814" i="1"/>
  <c r="N813" i="1"/>
  <c r="R813" i="1" s="1"/>
  <c r="L813" i="1"/>
  <c r="S813" i="1"/>
  <c r="N812" i="1"/>
  <c r="R812" i="1" s="1"/>
  <c r="L812" i="1"/>
  <c r="S812" i="1"/>
  <c r="N811" i="1"/>
  <c r="R811" i="1" s="1"/>
  <c r="L811" i="1"/>
  <c r="S811" i="1"/>
  <c r="N810" i="1"/>
  <c r="R810" i="1" s="1"/>
  <c r="L810" i="1"/>
  <c r="S810" i="1"/>
  <c r="N809" i="1"/>
  <c r="R809" i="1" s="1"/>
  <c r="L809" i="1"/>
  <c r="S809" i="1"/>
  <c r="N808" i="1"/>
  <c r="R808" i="1" s="1"/>
  <c r="L808" i="1"/>
  <c r="S808" i="1"/>
  <c r="N807" i="1"/>
  <c r="R807" i="1" s="1"/>
  <c r="L807" i="1"/>
  <c r="S807" i="1"/>
  <c r="N806" i="1"/>
  <c r="R806" i="1" s="1"/>
  <c r="L806" i="1"/>
  <c r="S806" i="1"/>
  <c r="N805" i="1"/>
  <c r="R805" i="1" s="1"/>
  <c r="L805" i="1"/>
  <c r="S805" i="1"/>
  <c r="N804" i="1"/>
  <c r="R804" i="1" s="1"/>
  <c r="L804" i="1"/>
  <c r="S804" i="1"/>
  <c r="N803" i="1"/>
  <c r="R803" i="1" s="1"/>
  <c r="L803" i="1"/>
  <c r="S803" i="1"/>
  <c r="N802" i="1"/>
  <c r="R802" i="1" s="1"/>
  <c r="L802" i="1"/>
  <c r="S802" i="1"/>
  <c r="N801" i="1"/>
  <c r="R801" i="1" s="1"/>
  <c r="L801" i="1"/>
  <c r="S801" i="1"/>
  <c r="N800" i="1"/>
  <c r="R800" i="1" s="1"/>
  <c r="L800" i="1"/>
  <c r="S800" i="1"/>
  <c r="N799" i="1"/>
  <c r="R799" i="1" s="1"/>
  <c r="L799" i="1"/>
  <c r="S799" i="1"/>
  <c r="N798" i="1"/>
  <c r="R798" i="1" s="1"/>
  <c r="L798" i="1"/>
  <c r="S798" i="1"/>
  <c r="N797" i="1"/>
  <c r="R797" i="1" s="1"/>
  <c r="L797" i="1"/>
  <c r="S797" i="1"/>
  <c r="N796" i="1"/>
  <c r="R796" i="1" s="1"/>
  <c r="L796" i="1"/>
  <c r="S796" i="1"/>
  <c r="N795" i="1"/>
  <c r="R795" i="1" s="1"/>
  <c r="L795" i="1"/>
  <c r="S794" i="1"/>
  <c r="S795" i="1"/>
  <c r="N794" i="1"/>
  <c r="R794" i="1" s="1"/>
  <c r="L794" i="1"/>
  <c r="S793" i="1"/>
  <c r="N793" i="1"/>
  <c r="R793" i="1" s="1"/>
  <c r="L793" i="1"/>
  <c r="S792" i="1"/>
  <c r="N792" i="1"/>
  <c r="R792" i="1" s="1"/>
  <c r="L792" i="1"/>
  <c r="S791" i="1"/>
  <c r="N791" i="1"/>
  <c r="R791" i="1" s="1"/>
  <c r="L791" i="1"/>
  <c r="S790" i="1"/>
  <c r="N790" i="1"/>
  <c r="R790" i="1" s="1"/>
  <c r="L790" i="1"/>
  <c r="S789" i="1"/>
  <c r="N789" i="1"/>
  <c r="R789" i="1" s="1"/>
  <c r="L789" i="1"/>
  <c r="S788" i="1"/>
  <c r="L788" i="1"/>
  <c r="N788" i="1"/>
  <c r="R788" i="1" s="1"/>
  <c r="S787" i="1"/>
  <c r="N787" i="1"/>
  <c r="R787" i="1" s="1"/>
  <c r="L787" i="1"/>
  <c r="S786" i="1"/>
  <c r="N786" i="1"/>
  <c r="R786" i="1" s="1"/>
  <c r="L786" i="1"/>
  <c r="S785" i="1"/>
  <c r="N785" i="1"/>
  <c r="R785" i="1" s="1"/>
  <c r="L785" i="1"/>
  <c r="S784" i="1"/>
  <c r="N784" i="1"/>
  <c r="R784" i="1" s="1"/>
  <c r="L784" i="1"/>
  <c r="S783" i="1"/>
  <c r="N783" i="1"/>
  <c r="R783" i="1" s="1"/>
  <c r="L783" i="1"/>
  <c r="S782" i="1"/>
  <c r="N782" i="1"/>
  <c r="R782" i="1" s="1"/>
  <c r="L782" i="1"/>
  <c r="S781" i="1"/>
  <c r="N781" i="1"/>
  <c r="R781" i="1" s="1"/>
  <c r="L781" i="1"/>
  <c r="S780" i="1"/>
  <c r="L780" i="1"/>
  <c r="N780" i="1"/>
  <c r="R780" i="1" s="1"/>
  <c r="S779" i="1"/>
  <c r="N779" i="1"/>
  <c r="R779" i="1" s="1"/>
  <c r="L779" i="1"/>
  <c r="S778" i="1"/>
  <c r="N778" i="1"/>
  <c r="R778" i="1" s="1"/>
  <c r="L778" i="1"/>
  <c r="S777" i="1"/>
  <c r="N777" i="1"/>
  <c r="R777" i="1" s="1"/>
  <c r="L777" i="1"/>
  <c r="S776" i="1"/>
  <c r="N776" i="1"/>
  <c r="R776" i="1" s="1"/>
  <c r="L776" i="1"/>
  <c r="S775" i="1"/>
  <c r="N775" i="1"/>
  <c r="R775" i="1" s="1"/>
  <c r="L775" i="1"/>
  <c r="S774" i="1"/>
  <c r="N774" i="1"/>
  <c r="R774" i="1" s="1"/>
  <c r="L774" i="1"/>
  <c r="S773" i="1"/>
  <c r="N773" i="1"/>
  <c r="R773" i="1" s="1"/>
  <c r="L773" i="1"/>
  <c r="S772" i="1"/>
  <c r="L772" i="1"/>
  <c r="N772" i="1"/>
  <c r="R772" i="1" s="1"/>
  <c r="S771" i="1"/>
  <c r="N771" i="1"/>
  <c r="R771" i="1" s="1"/>
  <c r="L771" i="1"/>
  <c r="S770" i="1"/>
  <c r="N770" i="1"/>
  <c r="R770" i="1" s="1"/>
  <c r="L770" i="1"/>
  <c r="S769" i="1"/>
  <c r="N769" i="1"/>
  <c r="R769" i="1" s="1"/>
  <c r="L769" i="1"/>
  <c r="S768" i="1"/>
  <c r="N768" i="1"/>
  <c r="R768" i="1" s="1"/>
  <c r="L768" i="1"/>
  <c r="S767" i="1"/>
  <c r="N767" i="1"/>
  <c r="R767" i="1" s="1"/>
  <c r="L767" i="1"/>
  <c r="S766" i="1"/>
  <c r="N766" i="1"/>
  <c r="R766" i="1" s="1"/>
  <c r="L766" i="1"/>
  <c r="S765" i="1"/>
  <c r="N765" i="1"/>
  <c r="R765" i="1" s="1"/>
  <c r="L765" i="1"/>
  <c r="S764" i="1"/>
  <c r="N764" i="1"/>
  <c r="R764" i="1" s="1"/>
  <c r="L764" i="1"/>
  <c r="S763" i="1"/>
  <c r="N763" i="1"/>
  <c r="R763" i="1" s="1"/>
  <c r="L763" i="1"/>
  <c r="S762" i="1"/>
  <c r="N762" i="1"/>
  <c r="R762" i="1" s="1"/>
  <c r="L762" i="1"/>
  <c r="S761" i="1"/>
  <c r="N761" i="1"/>
  <c r="R761" i="1" s="1"/>
  <c r="L761" i="1"/>
  <c r="S760" i="1"/>
  <c r="N760" i="1"/>
  <c r="R760" i="1" s="1"/>
  <c r="L760" i="1"/>
  <c r="S759" i="1"/>
  <c r="N759" i="1"/>
  <c r="R759" i="1" s="1"/>
  <c r="L759" i="1"/>
  <c r="S758" i="1"/>
  <c r="N758" i="1"/>
  <c r="R758" i="1" s="1"/>
  <c r="L758" i="1"/>
  <c r="S757" i="1"/>
  <c r="N757" i="1"/>
  <c r="R757" i="1" s="1"/>
  <c r="L757" i="1"/>
  <c r="S756" i="1"/>
  <c r="N756" i="1"/>
  <c r="R756" i="1" s="1"/>
  <c r="L756" i="1"/>
  <c r="S755" i="1"/>
  <c r="N755" i="1"/>
  <c r="R755" i="1" s="1"/>
  <c r="L755" i="1"/>
  <c r="S754" i="1"/>
  <c r="N754" i="1"/>
  <c r="R754" i="1" s="1"/>
  <c r="L754" i="1"/>
  <c r="S753" i="1"/>
  <c r="N753" i="1"/>
  <c r="R753" i="1" s="1"/>
  <c r="L753" i="1"/>
  <c r="S752" i="1"/>
  <c r="N752" i="1"/>
  <c r="R752" i="1" s="1"/>
  <c r="L752" i="1"/>
  <c r="S751" i="1"/>
  <c r="N751" i="1"/>
  <c r="R751" i="1" s="1"/>
  <c r="L751" i="1"/>
  <c r="S750" i="1"/>
  <c r="N750" i="1"/>
  <c r="R750" i="1" s="1"/>
  <c r="L750" i="1"/>
  <c r="S749" i="1"/>
  <c r="N749" i="1"/>
  <c r="R749" i="1" s="1"/>
  <c r="L749" i="1"/>
  <c r="S748" i="1"/>
  <c r="N748" i="1"/>
  <c r="R748" i="1" s="1"/>
  <c r="L748" i="1"/>
  <c r="S747" i="1"/>
  <c r="N747" i="1"/>
  <c r="R747" i="1" s="1"/>
  <c r="L747" i="1"/>
  <c r="S746" i="1"/>
  <c r="N746" i="1"/>
  <c r="R746" i="1" s="1"/>
  <c r="L746" i="1"/>
  <c r="S745" i="1"/>
  <c r="N745" i="1"/>
  <c r="R745" i="1" s="1"/>
  <c r="L745" i="1"/>
  <c r="S744" i="1"/>
  <c r="N744" i="1"/>
  <c r="R744" i="1" s="1"/>
  <c r="L744" i="1"/>
  <c r="S743" i="1"/>
  <c r="N743" i="1"/>
  <c r="R743" i="1" s="1"/>
  <c r="L743" i="1"/>
  <c r="S742" i="1"/>
  <c r="N742" i="1"/>
  <c r="R742" i="1" s="1"/>
  <c r="L742" i="1"/>
  <c r="S741" i="1"/>
  <c r="N741" i="1"/>
  <c r="R741" i="1" s="1"/>
  <c r="L741" i="1"/>
  <c r="S740" i="1"/>
  <c r="N740" i="1"/>
  <c r="R740" i="1" s="1"/>
  <c r="L740" i="1"/>
  <c r="S739" i="1"/>
  <c r="N739" i="1"/>
  <c r="R739" i="1" s="1"/>
  <c r="L739" i="1"/>
  <c r="S738" i="1"/>
  <c r="N738" i="1"/>
  <c r="R738" i="1" s="1"/>
  <c r="L738" i="1"/>
  <c r="S737" i="1"/>
  <c r="N737" i="1"/>
  <c r="R737" i="1" s="1"/>
  <c r="L737" i="1"/>
  <c r="S736" i="1"/>
  <c r="N736" i="1"/>
  <c r="R736" i="1" s="1"/>
  <c r="L736" i="1"/>
  <c r="S735" i="1"/>
  <c r="N735" i="1"/>
  <c r="R735" i="1" s="1"/>
  <c r="L735" i="1"/>
  <c r="S734" i="1"/>
  <c r="N734" i="1"/>
  <c r="R734" i="1" s="1"/>
  <c r="L734" i="1"/>
  <c r="S733" i="1"/>
  <c r="N733" i="1"/>
  <c r="R733" i="1" s="1"/>
  <c r="L733" i="1"/>
  <c r="S732" i="1"/>
  <c r="N732" i="1"/>
  <c r="R732" i="1" s="1"/>
  <c r="L732" i="1"/>
  <c r="S731" i="1"/>
  <c r="N731" i="1"/>
  <c r="R731" i="1" s="1"/>
  <c r="L731" i="1"/>
  <c r="S730" i="1"/>
  <c r="N730" i="1"/>
  <c r="R730" i="1" s="1"/>
  <c r="L730" i="1"/>
  <c r="S729" i="1"/>
  <c r="N729" i="1"/>
  <c r="R729" i="1" s="1"/>
  <c r="L729" i="1"/>
  <c r="S728" i="1"/>
  <c r="N728" i="1"/>
  <c r="R728" i="1" s="1"/>
  <c r="L728" i="1"/>
  <c r="S727" i="1"/>
  <c r="N727" i="1"/>
  <c r="R727" i="1" s="1"/>
  <c r="L727" i="1"/>
  <c r="S726" i="1"/>
  <c r="N726" i="1"/>
  <c r="R726" i="1" s="1"/>
  <c r="L726" i="1"/>
  <c r="S725" i="1"/>
  <c r="N725" i="1"/>
  <c r="R725" i="1" s="1"/>
  <c r="L725" i="1"/>
  <c r="S724" i="1"/>
  <c r="L724" i="1"/>
  <c r="N724" i="1"/>
  <c r="R724" i="1" s="1"/>
  <c r="S723" i="1"/>
  <c r="N723" i="1"/>
  <c r="R723" i="1" s="1"/>
  <c r="L723" i="1"/>
  <c r="S722" i="1"/>
  <c r="N722" i="1"/>
  <c r="R722" i="1" s="1"/>
  <c r="L722" i="1"/>
  <c r="S721" i="1"/>
  <c r="N721" i="1"/>
  <c r="R721" i="1" s="1"/>
  <c r="L721" i="1"/>
  <c r="S720" i="1"/>
  <c r="N720" i="1"/>
  <c r="R720" i="1" s="1"/>
  <c r="L720" i="1"/>
  <c r="S719" i="1"/>
  <c r="N719" i="1"/>
  <c r="R719" i="1" s="1"/>
  <c r="L719" i="1"/>
  <c r="S718" i="1"/>
  <c r="N718" i="1"/>
  <c r="R718" i="1" s="1"/>
  <c r="L718" i="1"/>
  <c r="S717" i="1"/>
  <c r="N717" i="1"/>
  <c r="R717" i="1" s="1"/>
  <c r="L717" i="1"/>
  <c r="S716" i="1"/>
  <c r="L716" i="1"/>
  <c r="N716" i="1"/>
  <c r="R716" i="1" s="1"/>
  <c r="S715" i="1"/>
  <c r="N715" i="1"/>
  <c r="R715" i="1" s="1"/>
  <c r="L715" i="1"/>
  <c r="S714" i="1"/>
  <c r="N714" i="1"/>
  <c r="R714" i="1" s="1"/>
  <c r="L714" i="1"/>
  <c r="S713" i="1"/>
  <c r="N713" i="1"/>
  <c r="R713" i="1" s="1"/>
  <c r="L713" i="1"/>
  <c r="S712" i="1"/>
  <c r="N712" i="1"/>
  <c r="R712" i="1" s="1"/>
  <c r="L712" i="1"/>
  <c r="S711" i="1"/>
  <c r="N711" i="1"/>
  <c r="R711" i="1" s="1"/>
  <c r="L711" i="1"/>
  <c r="S710" i="1"/>
  <c r="N710" i="1"/>
  <c r="R710" i="1" s="1"/>
  <c r="L710" i="1"/>
  <c r="S709" i="1"/>
  <c r="N709" i="1"/>
  <c r="R709" i="1" s="1"/>
  <c r="L709" i="1"/>
  <c r="S708" i="1"/>
  <c r="L708" i="1"/>
  <c r="N708" i="1"/>
  <c r="R708" i="1" s="1"/>
  <c r="S707" i="1"/>
  <c r="N707" i="1"/>
  <c r="R707" i="1" s="1"/>
  <c r="L707" i="1"/>
  <c r="S706" i="1"/>
  <c r="N706" i="1"/>
  <c r="R706" i="1" s="1"/>
  <c r="L706" i="1"/>
  <c r="S705" i="1"/>
  <c r="N705" i="1"/>
  <c r="R705" i="1" s="1"/>
  <c r="L705" i="1"/>
  <c r="S704" i="1"/>
  <c r="N704" i="1"/>
  <c r="R704" i="1" s="1"/>
  <c r="L704" i="1"/>
  <c r="S703" i="1"/>
  <c r="N703" i="1"/>
  <c r="R703" i="1" s="1"/>
  <c r="L703" i="1"/>
  <c r="S702" i="1"/>
  <c r="N702" i="1"/>
  <c r="R702" i="1" s="1"/>
  <c r="L702" i="1"/>
  <c r="S701" i="1"/>
  <c r="N701" i="1"/>
  <c r="R701" i="1" s="1"/>
  <c r="L701" i="1"/>
  <c r="S700" i="1"/>
  <c r="N700" i="1"/>
  <c r="R700" i="1" s="1"/>
  <c r="L700" i="1"/>
  <c r="S699" i="1"/>
  <c r="N699" i="1"/>
  <c r="R699" i="1" s="1"/>
  <c r="L699" i="1"/>
  <c r="S698" i="1"/>
  <c r="N698" i="1"/>
  <c r="R698" i="1" s="1"/>
  <c r="L698" i="1"/>
  <c r="S697" i="1"/>
  <c r="N697" i="1"/>
  <c r="R697" i="1" s="1"/>
  <c r="L697" i="1"/>
  <c r="S696" i="1"/>
  <c r="N696" i="1"/>
  <c r="R696" i="1" s="1"/>
  <c r="L696" i="1"/>
  <c r="S695" i="1"/>
  <c r="N695" i="1"/>
  <c r="R695" i="1" s="1"/>
  <c r="L695" i="1"/>
  <c r="S694" i="1"/>
  <c r="N694" i="1"/>
  <c r="R694" i="1" s="1"/>
  <c r="L694" i="1"/>
  <c r="S693" i="1"/>
  <c r="N693" i="1"/>
  <c r="R693" i="1" s="1"/>
  <c r="L693" i="1"/>
  <c r="S692" i="1"/>
  <c r="N692" i="1"/>
  <c r="R692" i="1" s="1"/>
  <c r="L692" i="1"/>
  <c r="S691" i="1"/>
  <c r="N691" i="1"/>
  <c r="R691" i="1" s="1"/>
  <c r="L691" i="1"/>
  <c r="S690" i="1"/>
  <c r="N690" i="1"/>
  <c r="R690" i="1" s="1"/>
  <c r="L690" i="1"/>
  <c r="S689" i="1"/>
  <c r="N689" i="1"/>
  <c r="R689" i="1" s="1"/>
  <c r="L689" i="1"/>
  <c r="S688" i="1"/>
  <c r="N688" i="1"/>
  <c r="R688" i="1" s="1"/>
  <c r="L688" i="1"/>
  <c r="S687" i="1"/>
  <c r="N687" i="1"/>
  <c r="R687" i="1" s="1"/>
  <c r="L687" i="1"/>
  <c r="S686" i="1"/>
  <c r="N686" i="1"/>
  <c r="R686" i="1" s="1"/>
  <c r="L686" i="1"/>
  <c r="S685" i="1"/>
  <c r="N685" i="1"/>
  <c r="R685" i="1" s="1"/>
  <c r="L685" i="1"/>
  <c r="S684" i="1"/>
  <c r="N684" i="1"/>
  <c r="R684" i="1" s="1"/>
  <c r="L684" i="1"/>
  <c r="S683" i="1"/>
  <c r="N683" i="1"/>
  <c r="R683" i="1" s="1"/>
  <c r="L683" i="1"/>
  <c r="S682" i="1"/>
  <c r="N682" i="1"/>
  <c r="R682" i="1" s="1"/>
  <c r="L682" i="1"/>
  <c r="S681" i="1"/>
  <c r="N681" i="1"/>
  <c r="R681" i="1" s="1"/>
  <c r="L681" i="1"/>
  <c r="S680" i="1"/>
  <c r="N680" i="1"/>
  <c r="R680" i="1" s="1"/>
  <c r="L680" i="1"/>
  <c r="S679" i="1"/>
  <c r="N679" i="1"/>
  <c r="R679" i="1" s="1"/>
  <c r="L679" i="1"/>
  <c r="S678" i="1"/>
  <c r="N678" i="1"/>
  <c r="R678" i="1" s="1"/>
  <c r="L678" i="1"/>
  <c r="S677" i="1"/>
  <c r="N677" i="1"/>
  <c r="R677" i="1" s="1"/>
  <c r="L677" i="1"/>
  <c r="S676" i="1"/>
  <c r="N676" i="1"/>
  <c r="R676" i="1" s="1"/>
  <c r="L676" i="1"/>
  <c r="S675" i="1"/>
  <c r="N675" i="1"/>
  <c r="R675" i="1" s="1"/>
  <c r="L675" i="1"/>
  <c r="S674" i="1"/>
  <c r="N674" i="1"/>
  <c r="R674" i="1" s="1"/>
  <c r="L674" i="1"/>
  <c r="S673" i="1"/>
  <c r="N673" i="1"/>
  <c r="R673" i="1" s="1"/>
  <c r="L673" i="1"/>
  <c r="S672" i="1"/>
  <c r="N672" i="1"/>
  <c r="R672" i="1" s="1"/>
  <c r="L672" i="1"/>
  <c r="S671" i="1"/>
  <c r="N671" i="1"/>
  <c r="R671" i="1" s="1"/>
  <c r="L671" i="1"/>
  <c r="S670" i="1"/>
  <c r="N670" i="1"/>
  <c r="R670" i="1" s="1"/>
  <c r="L670" i="1"/>
  <c r="S669" i="1"/>
  <c r="N669" i="1"/>
  <c r="R669" i="1" s="1"/>
  <c r="L669" i="1"/>
  <c r="S668" i="1"/>
  <c r="N668" i="1"/>
  <c r="R668" i="1" s="1"/>
  <c r="L668" i="1"/>
  <c r="S667" i="1"/>
  <c r="N667" i="1"/>
  <c r="R667" i="1" s="1"/>
  <c r="L667" i="1"/>
  <c r="S666" i="1"/>
  <c r="N666" i="1"/>
  <c r="R666" i="1" s="1"/>
  <c r="L666" i="1"/>
  <c r="S665" i="1"/>
  <c r="N665" i="1"/>
  <c r="R665" i="1" s="1"/>
  <c r="L665" i="1"/>
  <c r="S664" i="1"/>
  <c r="N664" i="1"/>
  <c r="R664" i="1" s="1"/>
  <c r="L664" i="1"/>
  <c r="S663" i="1"/>
  <c r="N663" i="1"/>
  <c r="R663" i="1" s="1"/>
  <c r="L663" i="1"/>
  <c r="S662" i="1"/>
  <c r="N662" i="1"/>
  <c r="R662" i="1" s="1"/>
  <c r="L662" i="1"/>
  <c r="S661" i="1"/>
  <c r="N661" i="1"/>
  <c r="R661" i="1" s="1"/>
  <c r="L661" i="1"/>
  <c r="S660" i="1"/>
  <c r="L660" i="1"/>
  <c r="N660" i="1"/>
  <c r="R660" i="1" s="1"/>
  <c r="S659" i="1"/>
  <c r="N659" i="1"/>
  <c r="R659" i="1" s="1"/>
  <c r="L659" i="1"/>
  <c r="S658" i="1"/>
  <c r="N658" i="1"/>
  <c r="R658" i="1" s="1"/>
  <c r="L658" i="1"/>
  <c r="S657" i="1"/>
  <c r="N657" i="1"/>
  <c r="R657" i="1" s="1"/>
  <c r="L657" i="1"/>
  <c r="S656" i="1"/>
  <c r="N656" i="1"/>
  <c r="R656" i="1" s="1"/>
  <c r="L656" i="1"/>
  <c r="S655" i="1"/>
  <c r="N655" i="1"/>
  <c r="R655" i="1" s="1"/>
  <c r="L655" i="1"/>
  <c r="S654" i="1"/>
  <c r="N654" i="1"/>
  <c r="R654" i="1" s="1"/>
  <c r="L654" i="1"/>
  <c r="S653" i="1"/>
  <c r="N653" i="1"/>
  <c r="R653" i="1" s="1"/>
  <c r="L653" i="1"/>
  <c r="S652" i="1"/>
  <c r="L652" i="1"/>
  <c r="N652" i="1"/>
  <c r="R652" i="1" s="1"/>
  <c r="S651" i="1"/>
  <c r="N651" i="1"/>
  <c r="R651" i="1" s="1"/>
  <c r="L651" i="1"/>
  <c r="S650" i="1"/>
  <c r="N650" i="1"/>
  <c r="R650" i="1" s="1"/>
  <c r="L650" i="1"/>
  <c r="S649" i="1"/>
  <c r="N649" i="1"/>
  <c r="R649" i="1" s="1"/>
  <c r="L649" i="1"/>
  <c r="S648" i="1"/>
  <c r="N648" i="1"/>
  <c r="R648" i="1" s="1"/>
  <c r="L648" i="1"/>
  <c r="S647" i="1"/>
  <c r="N647" i="1"/>
  <c r="R647" i="1" s="1"/>
  <c r="L647" i="1"/>
  <c r="S646" i="1"/>
  <c r="N646" i="1"/>
  <c r="R646" i="1" s="1"/>
  <c r="L646" i="1"/>
  <c r="S645" i="1"/>
  <c r="N645" i="1"/>
  <c r="R645" i="1" s="1"/>
  <c r="L645" i="1"/>
  <c r="S644" i="1"/>
  <c r="N644" i="1"/>
  <c r="R644" i="1" s="1"/>
  <c r="L644" i="1"/>
  <c r="S643" i="1"/>
  <c r="N643" i="1"/>
  <c r="R643" i="1" s="1"/>
  <c r="L643" i="1"/>
  <c r="S642" i="1"/>
  <c r="N642" i="1"/>
  <c r="R642" i="1" s="1"/>
  <c r="L642" i="1"/>
  <c r="S641" i="1"/>
  <c r="N641" i="1"/>
  <c r="R641" i="1" s="1"/>
  <c r="L641" i="1"/>
  <c r="S640" i="1"/>
  <c r="N640" i="1"/>
  <c r="R640" i="1" s="1"/>
  <c r="L640" i="1"/>
  <c r="S639" i="1"/>
  <c r="N639" i="1"/>
  <c r="R639" i="1" s="1"/>
  <c r="L639" i="1"/>
  <c r="S638" i="1"/>
  <c r="N638" i="1"/>
  <c r="R638" i="1" s="1"/>
  <c r="L638" i="1"/>
  <c r="S637" i="1"/>
  <c r="N637" i="1"/>
  <c r="R637" i="1" s="1"/>
  <c r="L637" i="1"/>
  <c r="S636" i="1"/>
  <c r="L636" i="1"/>
  <c r="N636" i="1"/>
  <c r="R636" i="1" s="1"/>
  <c r="S635" i="1"/>
  <c r="N635" i="1"/>
  <c r="R635" i="1" s="1"/>
  <c r="L635" i="1"/>
  <c r="S634" i="1"/>
  <c r="N634" i="1"/>
  <c r="R634" i="1" s="1"/>
  <c r="L634" i="1"/>
  <c r="S633" i="1"/>
  <c r="N633" i="1"/>
  <c r="R633" i="1" s="1"/>
  <c r="L633" i="1"/>
  <c r="S632" i="1"/>
  <c r="N632" i="1"/>
  <c r="R632" i="1" s="1"/>
  <c r="L632" i="1"/>
  <c r="S631" i="1"/>
  <c r="N631" i="1"/>
  <c r="R631" i="1" s="1"/>
  <c r="L631" i="1"/>
  <c r="S630" i="1"/>
  <c r="N630" i="1"/>
  <c r="R630" i="1" s="1"/>
  <c r="L630" i="1"/>
  <c r="S629" i="1"/>
  <c r="N629" i="1"/>
  <c r="R629" i="1" s="1"/>
  <c r="L629" i="1"/>
  <c r="S628" i="1"/>
  <c r="L628" i="1"/>
  <c r="N628" i="1"/>
  <c r="R628" i="1" s="1"/>
  <c r="S627" i="1"/>
  <c r="N627" i="1"/>
  <c r="R627" i="1" s="1"/>
  <c r="L627" i="1"/>
  <c r="S626" i="1"/>
  <c r="N626" i="1"/>
  <c r="R626" i="1" s="1"/>
  <c r="L626" i="1"/>
  <c r="S625" i="1"/>
  <c r="N625" i="1"/>
  <c r="R625" i="1" s="1"/>
  <c r="L625" i="1"/>
  <c r="S624" i="1"/>
  <c r="N624" i="1"/>
  <c r="R624" i="1" s="1"/>
  <c r="L624" i="1"/>
  <c r="S623" i="1"/>
  <c r="N623" i="1"/>
  <c r="R623" i="1" s="1"/>
  <c r="L623" i="1"/>
  <c r="S622" i="1"/>
  <c r="N622" i="1"/>
  <c r="R622" i="1" s="1"/>
  <c r="L622" i="1"/>
  <c r="S621" i="1"/>
  <c r="N621" i="1"/>
  <c r="R621" i="1" s="1"/>
  <c r="L621" i="1"/>
  <c r="S620" i="1"/>
  <c r="N620" i="1"/>
  <c r="R620" i="1" s="1"/>
  <c r="L620" i="1"/>
  <c r="S619" i="1"/>
  <c r="N619" i="1"/>
  <c r="R619" i="1" s="1"/>
  <c r="L619" i="1"/>
  <c r="S618" i="1"/>
  <c r="N618" i="1"/>
  <c r="R618" i="1" s="1"/>
  <c r="L618" i="1"/>
  <c r="S617" i="1"/>
  <c r="N617" i="1"/>
  <c r="R617" i="1" s="1"/>
  <c r="L617" i="1"/>
  <c r="S616" i="1"/>
  <c r="N616" i="1"/>
  <c r="R616" i="1" s="1"/>
  <c r="L616" i="1"/>
  <c r="S615" i="1"/>
  <c r="N615" i="1"/>
  <c r="R615" i="1" s="1"/>
  <c r="L615" i="1"/>
  <c r="S614" i="1"/>
  <c r="N614" i="1"/>
  <c r="R614" i="1" s="1"/>
  <c r="L614" i="1"/>
  <c r="S613" i="1"/>
  <c r="N613" i="1"/>
  <c r="R613" i="1" s="1"/>
  <c r="L613" i="1"/>
  <c r="S612" i="1"/>
  <c r="N612" i="1"/>
  <c r="R612" i="1" s="1"/>
  <c r="L612" i="1"/>
  <c r="S611" i="1"/>
  <c r="N611" i="1"/>
  <c r="R611" i="1" s="1"/>
  <c r="L611" i="1"/>
  <c r="S610" i="1"/>
  <c r="N610" i="1"/>
  <c r="R610" i="1" s="1"/>
  <c r="L610" i="1"/>
  <c r="S609" i="1"/>
  <c r="N609" i="1"/>
  <c r="R609" i="1" s="1"/>
  <c r="L609" i="1"/>
  <c r="S608" i="1"/>
  <c r="N608" i="1"/>
  <c r="R608" i="1" s="1"/>
  <c r="L608" i="1"/>
  <c r="S607" i="1"/>
  <c r="N607" i="1"/>
  <c r="R607" i="1" s="1"/>
  <c r="L607" i="1"/>
  <c r="S606" i="1"/>
  <c r="N606" i="1"/>
  <c r="R606" i="1" s="1"/>
  <c r="L606" i="1"/>
  <c r="S605" i="1"/>
  <c r="N605" i="1"/>
  <c r="R605" i="1" s="1"/>
  <c r="L605" i="1"/>
  <c r="S604" i="1"/>
  <c r="N604" i="1"/>
  <c r="R604" i="1" s="1"/>
  <c r="L604" i="1"/>
  <c r="S603" i="1"/>
  <c r="N603" i="1"/>
  <c r="R603" i="1" s="1"/>
  <c r="L603" i="1"/>
  <c r="S602" i="1"/>
  <c r="N602" i="1"/>
  <c r="R602" i="1" s="1"/>
  <c r="L602" i="1"/>
  <c r="S601" i="1"/>
  <c r="N601" i="1"/>
  <c r="R601" i="1" s="1"/>
  <c r="L601" i="1"/>
  <c r="S600" i="1"/>
  <c r="N600" i="1"/>
  <c r="R600" i="1" s="1"/>
  <c r="L600" i="1"/>
  <c r="S599" i="1"/>
  <c r="N599" i="1"/>
  <c r="R599" i="1" s="1"/>
  <c r="L599" i="1"/>
  <c r="S598" i="1"/>
  <c r="N598" i="1"/>
  <c r="R598" i="1" s="1"/>
  <c r="L598" i="1"/>
  <c r="S597" i="1"/>
  <c r="N597" i="1"/>
  <c r="R597" i="1" s="1"/>
  <c r="L597" i="1"/>
  <c r="S596" i="1"/>
  <c r="N596" i="1"/>
  <c r="R596" i="1" s="1"/>
  <c r="L596" i="1"/>
  <c r="S595" i="1"/>
  <c r="N595" i="1"/>
  <c r="R595" i="1" s="1"/>
  <c r="L595" i="1"/>
  <c r="S594" i="1"/>
  <c r="N594" i="1"/>
  <c r="R594" i="1" s="1"/>
  <c r="L594" i="1"/>
  <c r="S593" i="1"/>
  <c r="L593" i="1"/>
  <c r="N593" i="1"/>
  <c r="R593" i="1" s="1"/>
  <c r="S592" i="1"/>
  <c r="N592" i="1"/>
  <c r="R592" i="1" s="1"/>
  <c r="L592" i="1"/>
  <c r="S591" i="1"/>
  <c r="N591" i="1"/>
  <c r="R591" i="1" s="1"/>
  <c r="L591" i="1"/>
  <c r="S590" i="1"/>
  <c r="N590" i="1"/>
  <c r="R590" i="1" s="1"/>
  <c r="L590" i="1"/>
  <c r="S589" i="1"/>
  <c r="N589" i="1"/>
  <c r="R589" i="1" s="1"/>
  <c r="L589" i="1"/>
  <c r="S588" i="1"/>
  <c r="N588" i="1"/>
  <c r="R588" i="1" s="1"/>
  <c r="L588" i="1"/>
  <c r="S587" i="1"/>
  <c r="N587" i="1"/>
  <c r="R587" i="1" s="1"/>
  <c r="L587" i="1"/>
  <c r="S586" i="1"/>
  <c r="N586" i="1"/>
  <c r="R586" i="1" s="1"/>
  <c r="L586" i="1"/>
  <c r="S585" i="1"/>
  <c r="N585" i="1"/>
  <c r="R585" i="1" s="1"/>
  <c r="L585" i="1"/>
  <c r="S584" i="1"/>
  <c r="N584" i="1"/>
  <c r="R584" i="1" s="1"/>
  <c r="L584" i="1"/>
  <c r="S583" i="1"/>
  <c r="N583" i="1"/>
  <c r="R583" i="1" s="1"/>
  <c r="L583" i="1"/>
  <c r="S582" i="1"/>
  <c r="N582" i="1"/>
  <c r="R582" i="1" s="1"/>
  <c r="L582" i="1"/>
  <c r="S581" i="1"/>
  <c r="N581" i="1"/>
  <c r="R581" i="1" s="1"/>
  <c r="L581" i="1"/>
  <c r="S580" i="1"/>
  <c r="N580" i="1"/>
  <c r="R580" i="1" s="1"/>
  <c r="L580" i="1"/>
  <c r="S579" i="1"/>
  <c r="N579" i="1"/>
  <c r="R579" i="1" s="1"/>
  <c r="L579" i="1"/>
  <c r="S578" i="1"/>
  <c r="N578" i="1"/>
  <c r="R578" i="1" s="1"/>
  <c r="L578" i="1"/>
  <c r="S577" i="1"/>
  <c r="N577" i="1"/>
  <c r="R577" i="1" s="1"/>
  <c r="L577" i="1"/>
  <c r="S576" i="1"/>
  <c r="N576" i="1"/>
  <c r="R576" i="1" s="1"/>
  <c r="L576" i="1"/>
  <c r="S575" i="1"/>
  <c r="N575" i="1"/>
  <c r="R575" i="1" s="1"/>
  <c r="L575" i="1"/>
  <c r="S574" i="1"/>
  <c r="N574" i="1"/>
  <c r="R574" i="1" s="1"/>
  <c r="L574" i="1"/>
  <c r="S573" i="1"/>
  <c r="N573" i="1"/>
  <c r="R573" i="1" s="1"/>
  <c r="L573" i="1"/>
  <c r="S572" i="1"/>
  <c r="L572" i="1"/>
  <c r="N572" i="1"/>
  <c r="R572" i="1" s="1"/>
  <c r="S571" i="1"/>
  <c r="N571" i="1"/>
  <c r="R571" i="1" s="1"/>
  <c r="L571" i="1"/>
  <c r="S570" i="1"/>
  <c r="N570" i="1"/>
  <c r="R570" i="1" s="1"/>
  <c r="L570" i="1"/>
  <c r="S569" i="1"/>
  <c r="N569" i="1"/>
  <c r="R569" i="1" s="1"/>
  <c r="L569" i="1"/>
  <c r="S568" i="1"/>
  <c r="N568" i="1"/>
  <c r="R568" i="1" s="1"/>
  <c r="L568" i="1"/>
  <c r="S567" i="1"/>
  <c r="N567" i="1"/>
  <c r="R567" i="1" s="1"/>
  <c r="L567" i="1"/>
  <c r="S566" i="1"/>
  <c r="N566" i="1"/>
  <c r="R566" i="1" s="1"/>
  <c r="L566" i="1"/>
  <c r="S565" i="1"/>
  <c r="N565" i="1"/>
  <c r="R565" i="1" s="1"/>
  <c r="L565" i="1"/>
  <c r="S564" i="1"/>
  <c r="N564" i="1"/>
  <c r="R564" i="1" s="1"/>
  <c r="L564" i="1"/>
  <c r="S563" i="1"/>
  <c r="N563" i="1"/>
  <c r="R563" i="1" s="1"/>
  <c r="L563" i="1"/>
  <c r="S562" i="1"/>
  <c r="N562" i="1"/>
  <c r="R562" i="1" s="1"/>
  <c r="L562" i="1"/>
  <c r="S561" i="1"/>
  <c r="N561" i="1"/>
  <c r="R561" i="1" s="1"/>
  <c r="L561" i="1"/>
  <c r="S560" i="1"/>
  <c r="N560" i="1"/>
  <c r="R560" i="1" s="1"/>
  <c r="L560" i="1"/>
  <c r="S559" i="1"/>
  <c r="N559" i="1"/>
  <c r="R559" i="1" s="1"/>
  <c r="L559" i="1"/>
  <c r="S558" i="1"/>
  <c r="N558" i="1"/>
  <c r="R558" i="1" s="1"/>
  <c r="L558" i="1"/>
  <c r="S557" i="1"/>
  <c r="N557" i="1"/>
  <c r="R557" i="1" s="1"/>
  <c r="L557" i="1"/>
  <c r="S556" i="1"/>
  <c r="N556" i="1"/>
  <c r="R556" i="1" s="1"/>
  <c r="L556" i="1"/>
  <c r="S555" i="1"/>
  <c r="N555" i="1"/>
  <c r="R555" i="1" s="1"/>
  <c r="L555" i="1"/>
  <c r="S554" i="1"/>
  <c r="N554" i="1"/>
  <c r="R554" i="1" s="1"/>
  <c r="L554" i="1"/>
  <c r="S553" i="1"/>
  <c r="N553" i="1"/>
  <c r="R553" i="1" s="1"/>
  <c r="L553" i="1"/>
  <c r="S552" i="1"/>
  <c r="N552" i="1"/>
  <c r="R552" i="1" s="1"/>
  <c r="L552" i="1"/>
  <c r="S551" i="1"/>
  <c r="N551" i="1"/>
  <c r="R551" i="1" s="1"/>
  <c r="L551" i="1"/>
  <c r="S550" i="1"/>
  <c r="N550" i="1"/>
  <c r="R550" i="1" s="1"/>
  <c r="L550" i="1"/>
  <c r="S549" i="1"/>
  <c r="S987" i="1"/>
  <c r="N549" i="1"/>
  <c r="R549" i="1" s="1"/>
  <c r="L549" i="1"/>
  <c r="S548" i="1"/>
  <c r="S986" i="1"/>
  <c r="N548" i="1"/>
  <c r="R548" i="1" s="1"/>
  <c r="L548" i="1"/>
  <c r="S547" i="1"/>
  <c r="S985" i="1"/>
  <c r="N987" i="1"/>
  <c r="R987" i="1" s="1"/>
  <c r="L987" i="1"/>
  <c r="N547" i="1"/>
  <c r="R547" i="1" s="1"/>
  <c r="L547" i="1"/>
  <c r="S546" i="1"/>
  <c r="S984" i="1"/>
  <c r="N986" i="1"/>
  <c r="R986" i="1" s="1"/>
  <c r="L986" i="1"/>
  <c r="N546" i="1"/>
  <c r="R546" i="1" s="1"/>
  <c r="L546" i="1"/>
  <c r="S545" i="1"/>
  <c r="S983" i="1"/>
  <c r="N985" i="1"/>
  <c r="R985" i="1" s="1"/>
  <c r="L985" i="1"/>
  <c r="N545" i="1"/>
  <c r="R545" i="1" s="1"/>
  <c r="L545" i="1"/>
  <c r="S544" i="1"/>
  <c r="S982" i="1"/>
  <c r="N984" i="1"/>
  <c r="R984" i="1" s="1"/>
  <c r="L984" i="1"/>
  <c r="N544" i="1"/>
  <c r="R544" i="1" s="1"/>
  <c r="L544" i="1"/>
  <c r="S543" i="1"/>
  <c r="S981" i="1"/>
  <c r="N983" i="1"/>
  <c r="R983" i="1" s="1"/>
  <c r="L983" i="1"/>
  <c r="N543" i="1"/>
  <c r="R543" i="1" s="1"/>
  <c r="L543" i="1"/>
  <c r="S542" i="1"/>
  <c r="S980" i="1"/>
  <c r="N982" i="1"/>
  <c r="R982" i="1" s="1"/>
  <c r="L982" i="1"/>
  <c r="N542" i="1"/>
  <c r="R542" i="1" s="1"/>
  <c r="L542" i="1"/>
  <c r="S541" i="1"/>
  <c r="S979" i="1"/>
  <c r="N981" i="1"/>
  <c r="R981" i="1" s="1"/>
  <c r="L981" i="1"/>
  <c r="N541" i="1"/>
  <c r="R541" i="1" s="1"/>
  <c r="L541" i="1"/>
  <c r="S540" i="1"/>
  <c r="S978" i="1"/>
  <c r="N980" i="1"/>
  <c r="R980" i="1" s="1"/>
  <c r="L980" i="1"/>
  <c r="L540" i="1"/>
  <c r="N540" i="1"/>
  <c r="R540" i="1" s="1"/>
  <c r="S539" i="1"/>
  <c r="S977" i="1"/>
  <c r="N979" i="1"/>
  <c r="R979" i="1" s="1"/>
  <c r="L979" i="1"/>
  <c r="N539" i="1"/>
  <c r="R539" i="1" s="1"/>
  <c r="L539" i="1"/>
  <c r="S538" i="1"/>
  <c r="S976" i="1"/>
  <c r="N978" i="1"/>
  <c r="R978" i="1" s="1"/>
  <c r="L978" i="1"/>
  <c r="N538" i="1"/>
  <c r="R538" i="1" s="1"/>
  <c r="L538" i="1"/>
  <c r="S537" i="1"/>
  <c r="S975" i="1"/>
  <c r="N977" i="1"/>
  <c r="R977" i="1" s="1"/>
  <c r="L977" i="1"/>
  <c r="N537" i="1"/>
  <c r="R537" i="1" s="1"/>
  <c r="L537" i="1"/>
  <c r="S536" i="1"/>
  <c r="S974" i="1"/>
  <c r="N976" i="1"/>
  <c r="R976" i="1" s="1"/>
  <c r="L976" i="1"/>
  <c r="N536" i="1"/>
  <c r="R536" i="1" s="1"/>
  <c r="L536" i="1"/>
  <c r="S535" i="1"/>
  <c r="S973" i="1"/>
  <c r="N975" i="1"/>
  <c r="R975" i="1" s="1"/>
  <c r="L975" i="1"/>
  <c r="L535" i="1"/>
  <c r="N535" i="1"/>
  <c r="R535" i="1" s="1"/>
  <c r="S972" i="1"/>
  <c r="S971" i="1"/>
  <c r="S970" i="1"/>
  <c r="N974" i="1"/>
  <c r="R974" i="1" s="1"/>
  <c r="L974" i="1"/>
  <c r="N973" i="1"/>
  <c r="R973" i="1" s="1"/>
  <c r="L973" i="1"/>
  <c r="N972" i="1"/>
  <c r="R972" i="1" s="1"/>
  <c r="L972" i="1"/>
  <c r="K969" i="1"/>
  <c r="N971" i="1"/>
  <c r="R971" i="1" s="1"/>
  <c r="L971" i="1"/>
  <c r="N970" i="1"/>
  <c r="R970" i="1" s="1"/>
  <c r="L970" i="1"/>
  <c r="N969" i="1"/>
  <c r="R969" i="1" s="1"/>
  <c r="L969" i="1"/>
  <c r="N534" i="1"/>
  <c r="R534" i="1" s="1"/>
  <c r="L534" i="1"/>
  <c r="S969" i="1"/>
  <c r="S534" i="1"/>
  <c r="P74" i="13"/>
  <c r="O74" i="13"/>
  <c r="J74" i="13"/>
  <c r="P73" i="13"/>
  <c r="O73" i="13"/>
  <c r="J73" i="13"/>
  <c r="P72" i="13"/>
  <c r="O72" i="13"/>
  <c r="N72" i="13"/>
  <c r="J72" i="13"/>
  <c r="P71" i="13"/>
  <c r="O71" i="13"/>
  <c r="N71" i="13"/>
  <c r="J71" i="13"/>
  <c r="P70" i="13"/>
  <c r="O70" i="13"/>
  <c r="N70" i="13"/>
  <c r="M70" i="13"/>
  <c r="J70" i="13"/>
  <c r="P69" i="13"/>
  <c r="O69" i="13"/>
  <c r="N69" i="13"/>
  <c r="M69" i="13"/>
  <c r="J69" i="13"/>
  <c r="P68" i="13"/>
  <c r="O68" i="13"/>
  <c r="N68" i="13"/>
  <c r="M68" i="13"/>
  <c r="L68" i="13"/>
  <c r="J68" i="13"/>
  <c r="P67" i="13"/>
  <c r="O67" i="13"/>
  <c r="N67" i="13"/>
  <c r="M67" i="13"/>
  <c r="L67" i="13"/>
  <c r="J67" i="13"/>
  <c r="P66" i="13"/>
  <c r="O66" i="13"/>
  <c r="N66" i="13"/>
  <c r="M66" i="13"/>
  <c r="L66" i="13"/>
  <c r="K66" i="13"/>
  <c r="J66" i="13"/>
  <c r="P65" i="13"/>
  <c r="O65" i="13"/>
  <c r="N65" i="13"/>
  <c r="M65" i="13"/>
  <c r="L65" i="13"/>
  <c r="K65" i="13"/>
  <c r="J65" i="13"/>
  <c r="P64" i="13"/>
  <c r="O64" i="13"/>
  <c r="N64" i="13"/>
  <c r="M64" i="13"/>
  <c r="L64" i="13"/>
  <c r="K64" i="13"/>
  <c r="J64" i="13"/>
  <c r="P59" i="13"/>
  <c r="O59" i="13"/>
  <c r="J59" i="13"/>
  <c r="P58" i="13"/>
  <c r="O58" i="13"/>
  <c r="J58" i="13"/>
  <c r="P57" i="13"/>
  <c r="O57" i="13"/>
  <c r="J57" i="13"/>
  <c r="P56" i="13"/>
  <c r="O56" i="13"/>
  <c r="N56" i="13"/>
  <c r="J56" i="13"/>
  <c r="P55" i="13"/>
  <c r="O55" i="13"/>
  <c r="N55" i="13"/>
  <c r="J55" i="13"/>
  <c r="P54" i="13"/>
  <c r="O54" i="13"/>
  <c r="N54" i="13"/>
  <c r="M54" i="13"/>
  <c r="J54" i="13"/>
  <c r="P53" i="13"/>
  <c r="O53" i="13"/>
  <c r="N53" i="13"/>
  <c r="M53" i="13"/>
  <c r="J53" i="13"/>
  <c r="P52" i="13"/>
  <c r="O52" i="13"/>
  <c r="N52" i="13"/>
  <c r="M52" i="13"/>
  <c r="L52" i="13"/>
  <c r="J52" i="13"/>
  <c r="P51" i="13"/>
  <c r="O51" i="13"/>
  <c r="N51" i="13"/>
  <c r="M51" i="13"/>
  <c r="L51" i="13"/>
  <c r="J51" i="13"/>
  <c r="P50" i="13"/>
  <c r="O50" i="13"/>
  <c r="N50" i="13"/>
  <c r="M50" i="13"/>
  <c r="L50" i="13"/>
  <c r="K50" i="13"/>
  <c r="J50" i="13"/>
  <c r="P49" i="13"/>
  <c r="O49" i="13"/>
  <c r="N49" i="13"/>
  <c r="M49" i="13"/>
  <c r="L49" i="13"/>
  <c r="K49" i="13"/>
  <c r="J49" i="13"/>
  <c r="P48" i="13"/>
  <c r="O48" i="13"/>
  <c r="N48" i="13"/>
  <c r="M48" i="13"/>
  <c r="L48" i="13"/>
  <c r="K48" i="13"/>
  <c r="J48" i="13"/>
  <c r="Q44" i="13"/>
  <c r="P44" i="13"/>
  <c r="J44" i="13"/>
  <c r="Q43" i="13"/>
  <c r="P43" i="13"/>
  <c r="J43" i="13"/>
  <c r="Q42" i="13"/>
  <c r="P42" i="13"/>
  <c r="O42" i="13"/>
  <c r="J42" i="13"/>
  <c r="Q41" i="13"/>
  <c r="P41" i="13"/>
  <c r="O41" i="13"/>
  <c r="J41" i="13"/>
  <c r="Q40" i="13"/>
  <c r="P40" i="13"/>
  <c r="O40" i="13"/>
  <c r="N40" i="13"/>
  <c r="J40" i="13"/>
  <c r="Q39" i="13"/>
  <c r="P39" i="13"/>
  <c r="O39" i="13"/>
  <c r="N39" i="13"/>
  <c r="J39" i="13"/>
  <c r="Q38" i="13"/>
  <c r="P38" i="13"/>
  <c r="O38" i="13"/>
  <c r="N38" i="13"/>
  <c r="M38" i="13"/>
  <c r="J38" i="13"/>
  <c r="Q37" i="13"/>
  <c r="P37" i="13"/>
  <c r="O37" i="13"/>
  <c r="N37" i="13"/>
  <c r="M37" i="13"/>
  <c r="J37" i="13"/>
  <c r="Q36" i="13"/>
  <c r="P36" i="13"/>
  <c r="O36" i="13"/>
  <c r="N36" i="13"/>
  <c r="M36" i="13"/>
  <c r="L36" i="13"/>
  <c r="J36" i="13"/>
  <c r="Q35" i="13"/>
  <c r="P35" i="13"/>
  <c r="O35" i="13"/>
  <c r="N35" i="13"/>
  <c r="M35" i="13"/>
  <c r="L35" i="13"/>
  <c r="J35" i="13"/>
  <c r="Q34" i="13"/>
  <c r="P34" i="13"/>
  <c r="O34" i="13"/>
  <c r="N34" i="13"/>
  <c r="M34" i="13"/>
  <c r="L34" i="13"/>
  <c r="J34" i="13"/>
  <c r="Q33" i="13"/>
  <c r="O33" i="13"/>
  <c r="N33" i="13"/>
  <c r="M33" i="13"/>
  <c r="L33" i="13"/>
  <c r="K33" i="13"/>
  <c r="J33" i="13"/>
  <c r="P29" i="13"/>
  <c r="O29" i="13"/>
  <c r="J29" i="13"/>
  <c r="P28" i="13"/>
  <c r="O28" i="13"/>
  <c r="J28" i="13"/>
  <c r="P27" i="13"/>
  <c r="O27" i="13"/>
  <c r="J27" i="13"/>
  <c r="P26" i="13"/>
  <c r="O26" i="13"/>
  <c r="N26" i="13"/>
  <c r="J26" i="13"/>
  <c r="P25" i="13"/>
  <c r="O25" i="13"/>
  <c r="N25" i="13"/>
  <c r="J25" i="13"/>
  <c r="P24" i="13"/>
  <c r="O24" i="13"/>
  <c r="N24" i="13"/>
  <c r="M24" i="13"/>
  <c r="J24" i="13"/>
  <c r="P23" i="13"/>
  <c r="O23" i="13"/>
  <c r="N23" i="13"/>
  <c r="M23" i="13"/>
  <c r="J23" i="13"/>
  <c r="P22" i="13"/>
  <c r="O22" i="13"/>
  <c r="N22" i="13"/>
  <c r="M22" i="13"/>
  <c r="L22" i="13"/>
  <c r="J22" i="13"/>
  <c r="P21" i="13"/>
  <c r="O21" i="13"/>
  <c r="N21" i="13"/>
  <c r="M21" i="13"/>
  <c r="L21" i="13"/>
  <c r="J21" i="13"/>
  <c r="P20" i="13"/>
  <c r="O20" i="13"/>
  <c r="N20" i="13"/>
  <c r="M20" i="13"/>
  <c r="L20" i="13"/>
  <c r="K20" i="13"/>
  <c r="J20" i="13"/>
  <c r="P19" i="13"/>
  <c r="O19" i="13"/>
  <c r="N19" i="13"/>
  <c r="M19" i="13"/>
  <c r="L19" i="13"/>
  <c r="K19" i="13"/>
  <c r="J19" i="13"/>
  <c r="P18" i="13"/>
  <c r="O18" i="13"/>
  <c r="N18" i="13"/>
  <c r="M18" i="13"/>
  <c r="L18" i="13"/>
  <c r="K18" i="13"/>
  <c r="J18" i="13"/>
  <c r="P14" i="13"/>
  <c r="O14" i="13"/>
  <c r="J14" i="13"/>
  <c r="P13" i="13"/>
  <c r="O13" i="13"/>
  <c r="J13" i="13"/>
  <c r="P12" i="13"/>
  <c r="O12" i="13"/>
  <c r="J12" i="13"/>
  <c r="P11" i="13"/>
  <c r="O11" i="13"/>
  <c r="N11" i="13"/>
  <c r="J11" i="13"/>
  <c r="P10" i="13"/>
  <c r="O10" i="13"/>
  <c r="N10" i="13"/>
  <c r="J10" i="13"/>
  <c r="P9" i="13"/>
  <c r="O9" i="13"/>
  <c r="N9" i="13"/>
  <c r="M9" i="13"/>
  <c r="J9" i="13"/>
  <c r="P8" i="13"/>
  <c r="O8" i="13"/>
  <c r="N8" i="13"/>
  <c r="M8" i="13"/>
  <c r="J8" i="13"/>
  <c r="P7" i="13"/>
  <c r="O7" i="13"/>
  <c r="N7" i="13"/>
  <c r="M7" i="13"/>
  <c r="L7" i="13"/>
  <c r="J7" i="13"/>
  <c r="P6" i="13"/>
  <c r="O6" i="13"/>
  <c r="N6" i="13"/>
  <c r="M6" i="13"/>
  <c r="L6" i="13"/>
  <c r="J6" i="13"/>
  <c r="P5" i="13"/>
  <c r="O5" i="13"/>
  <c r="N5" i="13"/>
  <c r="M5" i="13"/>
  <c r="L5" i="13"/>
  <c r="K5" i="13"/>
  <c r="J5" i="13"/>
  <c r="P4" i="13"/>
  <c r="O4" i="13"/>
  <c r="N4" i="13"/>
  <c r="M4" i="13"/>
  <c r="L4" i="13"/>
  <c r="K4" i="13"/>
  <c r="J4" i="13"/>
  <c r="O3" i="13"/>
  <c r="N3" i="13"/>
  <c r="M3" i="13"/>
  <c r="L3" i="13"/>
  <c r="K3" i="13"/>
  <c r="J3" i="13"/>
  <c r="J2" i="13"/>
  <c r="P74" i="11"/>
  <c r="O74" i="11"/>
  <c r="J74" i="11"/>
  <c r="P73" i="11"/>
  <c r="O73" i="11"/>
  <c r="J73" i="11"/>
  <c r="P72" i="11"/>
  <c r="O72" i="11"/>
  <c r="N72" i="11"/>
  <c r="J72" i="11"/>
  <c r="P71" i="11"/>
  <c r="O71" i="11"/>
  <c r="N71" i="11"/>
  <c r="J71" i="11"/>
  <c r="P70" i="11"/>
  <c r="O70" i="11"/>
  <c r="N70" i="11"/>
  <c r="M70" i="11"/>
  <c r="J70" i="11"/>
  <c r="P69" i="11"/>
  <c r="O69" i="11"/>
  <c r="N69" i="11"/>
  <c r="M69" i="11"/>
  <c r="J69" i="11"/>
  <c r="P68" i="11"/>
  <c r="O68" i="11"/>
  <c r="N68" i="11"/>
  <c r="M68" i="11"/>
  <c r="L68" i="11"/>
  <c r="J68" i="11"/>
  <c r="P67" i="11"/>
  <c r="O67" i="11"/>
  <c r="N67" i="11"/>
  <c r="M67" i="11"/>
  <c r="L67" i="11"/>
  <c r="J67" i="11"/>
  <c r="P66" i="11"/>
  <c r="O66" i="11"/>
  <c r="N66" i="11"/>
  <c r="M66" i="11"/>
  <c r="L66" i="11"/>
  <c r="K66" i="11"/>
  <c r="J66" i="11"/>
  <c r="P65" i="11"/>
  <c r="O65" i="11"/>
  <c r="N65" i="11"/>
  <c r="M65" i="11"/>
  <c r="L65" i="11"/>
  <c r="K65" i="11"/>
  <c r="J65" i="11"/>
  <c r="P64" i="11"/>
  <c r="O64" i="11"/>
  <c r="N64" i="11"/>
  <c r="M64" i="11"/>
  <c r="L64" i="11"/>
  <c r="K64" i="11"/>
  <c r="J64" i="11"/>
  <c r="P59" i="11"/>
  <c r="O59" i="11"/>
  <c r="J59" i="11"/>
  <c r="P58" i="11"/>
  <c r="O58" i="11"/>
  <c r="J58" i="11"/>
  <c r="P57" i="11"/>
  <c r="O57" i="11"/>
  <c r="J57" i="11"/>
  <c r="P56" i="11"/>
  <c r="O56" i="11"/>
  <c r="N56" i="11"/>
  <c r="J56" i="11"/>
  <c r="P55" i="11"/>
  <c r="O55" i="11"/>
  <c r="N55" i="11"/>
  <c r="J55" i="11"/>
  <c r="P54" i="11"/>
  <c r="O54" i="11"/>
  <c r="N54" i="11"/>
  <c r="M54" i="11"/>
  <c r="J54" i="11"/>
  <c r="P53" i="11"/>
  <c r="O53" i="11"/>
  <c r="N53" i="11"/>
  <c r="M53" i="11"/>
  <c r="J53" i="11"/>
  <c r="P52" i="11"/>
  <c r="O52" i="11"/>
  <c r="N52" i="11"/>
  <c r="M52" i="11"/>
  <c r="L52" i="11"/>
  <c r="J52" i="11"/>
  <c r="P51" i="11"/>
  <c r="O51" i="11"/>
  <c r="N51" i="11"/>
  <c r="M51" i="11"/>
  <c r="L51" i="11"/>
  <c r="J51" i="11"/>
  <c r="P50" i="11"/>
  <c r="O50" i="11"/>
  <c r="N50" i="11"/>
  <c r="M50" i="11"/>
  <c r="L50" i="11"/>
  <c r="K50" i="11"/>
  <c r="J50" i="11"/>
  <c r="P49" i="11"/>
  <c r="O49" i="11"/>
  <c r="N49" i="11"/>
  <c r="M49" i="11"/>
  <c r="L49" i="11"/>
  <c r="K49" i="11"/>
  <c r="J49" i="11"/>
  <c r="P48" i="11"/>
  <c r="O48" i="11"/>
  <c r="N48" i="11"/>
  <c r="M48" i="11"/>
  <c r="L48" i="11"/>
  <c r="K48" i="11"/>
  <c r="J48" i="11"/>
  <c r="Q44" i="11"/>
  <c r="P44" i="11"/>
  <c r="J44" i="11"/>
  <c r="Q43" i="11"/>
  <c r="P43" i="11"/>
  <c r="J43" i="11"/>
  <c r="Q42" i="11"/>
  <c r="P42" i="11"/>
  <c r="O42" i="11"/>
  <c r="J42" i="11"/>
  <c r="Q41" i="11"/>
  <c r="P41" i="11"/>
  <c r="O41" i="11"/>
  <c r="J41" i="11"/>
  <c r="Q40" i="11"/>
  <c r="P40" i="11"/>
  <c r="O40" i="11"/>
  <c r="N40" i="11"/>
  <c r="J40" i="11"/>
  <c r="Q39" i="11"/>
  <c r="P39" i="11"/>
  <c r="O39" i="11"/>
  <c r="N39" i="11"/>
  <c r="J39" i="11"/>
  <c r="Q38" i="11"/>
  <c r="P38" i="11"/>
  <c r="O38" i="11"/>
  <c r="N38" i="11"/>
  <c r="M38" i="11"/>
  <c r="J38" i="11"/>
  <c r="Q37" i="11"/>
  <c r="P37" i="11"/>
  <c r="O37" i="11"/>
  <c r="N37" i="11"/>
  <c r="M37" i="11"/>
  <c r="J37" i="11"/>
  <c r="Q36" i="11"/>
  <c r="P36" i="11"/>
  <c r="O36" i="11"/>
  <c r="N36" i="11"/>
  <c r="M36" i="11"/>
  <c r="L36" i="11"/>
  <c r="J36" i="11"/>
  <c r="Q35" i="11"/>
  <c r="P35" i="11"/>
  <c r="O35" i="11"/>
  <c r="N35" i="11"/>
  <c r="M35" i="11"/>
  <c r="L35" i="11"/>
  <c r="J35" i="11"/>
  <c r="Q34" i="11"/>
  <c r="P34" i="11"/>
  <c r="O34" i="11"/>
  <c r="N34" i="11"/>
  <c r="M34" i="11"/>
  <c r="L34" i="11"/>
  <c r="J34" i="11"/>
  <c r="Q33" i="11"/>
  <c r="O33" i="11"/>
  <c r="N33" i="11"/>
  <c r="M33" i="11"/>
  <c r="L33" i="11"/>
  <c r="K33" i="11"/>
  <c r="J33" i="11"/>
  <c r="P29" i="11"/>
  <c r="O29" i="11"/>
  <c r="J29" i="11"/>
  <c r="P28" i="11"/>
  <c r="O28" i="11"/>
  <c r="J28" i="11"/>
  <c r="P27" i="11"/>
  <c r="O27" i="11"/>
  <c r="J27" i="11"/>
  <c r="P26" i="11"/>
  <c r="O26" i="11"/>
  <c r="N26" i="11"/>
  <c r="J26" i="11"/>
  <c r="P25" i="11"/>
  <c r="O25" i="11"/>
  <c r="N25" i="11"/>
  <c r="J25" i="11"/>
  <c r="P24" i="11"/>
  <c r="O24" i="11"/>
  <c r="N24" i="11"/>
  <c r="M24" i="11"/>
  <c r="J24" i="11"/>
  <c r="P23" i="11"/>
  <c r="O23" i="11"/>
  <c r="N23" i="11"/>
  <c r="M23" i="11"/>
  <c r="J23" i="11"/>
  <c r="P22" i="11"/>
  <c r="O22" i="11"/>
  <c r="N22" i="11"/>
  <c r="M22" i="11"/>
  <c r="L22" i="11"/>
  <c r="J22" i="11"/>
  <c r="P21" i="11"/>
  <c r="O21" i="11"/>
  <c r="N21" i="11"/>
  <c r="M21" i="11"/>
  <c r="L21" i="11"/>
  <c r="J21" i="11"/>
  <c r="P20" i="11"/>
  <c r="O20" i="11"/>
  <c r="N20" i="11"/>
  <c r="M20" i="11"/>
  <c r="L20" i="11"/>
  <c r="K20" i="11"/>
  <c r="J20" i="11"/>
  <c r="P19" i="11"/>
  <c r="O19" i="11"/>
  <c r="N19" i="11"/>
  <c r="M19" i="11"/>
  <c r="L19" i="11"/>
  <c r="K19" i="11"/>
  <c r="J19" i="11"/>
  <c r="P18" i="11"/>
  <c r="O18" i="11"/>
  <c r="N18" i="11"/>
  <c r="M18" i="11"/>
  <c r="L18" i="11"/>
  <c r="K18" i="11"/>
  <c r="J18" i="11"/>
  <c r="P14" i="11"/>
  <c r="O14" i="11"/>
  <c r="J14" i="11"/>
  <c r="P13" i="11"/>
  <c r="O13" i="11"/>
  <c r="J13" i="11"/>
  <c r="P12" i="11"/>
  <c r="O12" i="11"/>
  <c r="J12" i="11"/>
  <c r="P11" i="11"/>
  <c r="O11" i="11"/>
  <c r="N11" i="11"/>
  <c r="J11" i="11"/>
  <c r="P10" i="11"/>
  <c r="O10" i="11"/>
  <c r="N10" i="11"/>
  <c r="J10" i="11"/>
  <c r="P9" i="11"/>
  <c r="O9" i="11"/>
  <c r="N9" i="11"/>
  <c r="M9" i="11"/>
  <c r="J9" i="11"/>
  <c r="P8" i="11"/>
  <c r="O8" i="11"/>
  <c r="N8" i="11"/>
  <c r="M8" i="11"/>
  <c r="J8" i="11"/>
  <c r="P7" i="11"/>
  <c r="O7" i="11"/>
  <c r="N7" i="11"/>
  <c r="M7" i="11"/>
  <c r="L7" i="11"/>
  <c r="J7" i="11"/>
  <c r="P6" i="11"/>
  <c r="O6" i="11"/>
  <c r="N6" i="11"/>
  <c r="M6" i="11"/>
  <c r="L6" i="11"/>
  <c r="J6" i="11"/>
  <c r="P5" i="11"/>
  <c r="O5" i="11"/>
  <c r="N5" i="11"/>
  <c r="M5" i="11"/>
  <c r="L5" i="11"/>
  <c r="K5" i="11"/>
  <c r="J5" i="11"/>
  <c r="P4" i="11"/>
  <c r="O4" i="11"/>
  <c r="N4" i="11"/>
  <c r="M4" i="11"/>
  <c r="L4" i="11"/>
  <c r="K4" i="11"/>
  <c r="J4" i="11"/>
  <c r="O3" i="11"/>
  <c r="N3" i="11"/>
  <c r="M3" i="11"/>
  <c r="L3" i="11"/>
  <c r="K3" i="11"/>
  <c r="J3" i="11"/>
  <c r="J2" i="1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A18" i="1"/>
  <c r="H17" i="1"/>
  <c r="B17" i="1"/>
  <c r="A17" i="1"/>
  <c r="A19" i="1" s="1"/>
  <c r="H16" i="1"/>
  <c r="H15" i="1"/>
  <c r="A15" i="1"/>
  <c r="H14" i="1"/>
  <c r="H13" i="1"/>
  <c r="L12" i="1"/>
  <c r="K12" i="1"/>
  <c r="J12" i="1"/>
  <c r="I12" i="1"/>
  <c r="H12" i="1"/>
  <c r="Q11" i="1"/>
  <c r="P11" i="1"/>
  <c r="O11" i="1"/>
  <c r="N11" i="1"/>
  <c r="K11" i="1"/>
  <c r="J11" i="1"/>
  <c r="I11" i="1"/>
  <c r="B5" i="1"/>
  <c r="B4" i="1"/>
  <c r="Q969" i="1"/>
  <c r="I13" i="1"/>
  <c r="J13" i="1"/>
  <c r="M816" i="1"/>
  <c r="P816" i="1"/>
  <c r="R816" i="1"/>
  <c r="Q816" i="1"/>
  <c r="M817" i="1"/>
  <c r="N816" i="1"/>
  <c r="P817" i="1"/>
  <c r="R817" i="1"/>
  <c r="Q817" i="1"/>
  <c r="M818" i="1"/>
  <c r="N817" i="1"/>
  <c r="R818" i="1"/>
  <c r="Q818" i="1"/>
  <c r="P818" i="1"/>
  <c r="N818" i="1"/>
  <c r="M819" i="1"/>
  <c r="R819" i="1"/>
  <c r="Q819" i="1"/>
  <c r="P819" i="1"/>
  <c r="M820" i="1"/>
  <c r="N819" i="1"/>
  <c r="R820" i="1"/>
  <c r="Q820" i="1"/>
  <c r="P820" i="1"/>
  <c r="M821" i="1"/>
  <c r="N820" i="1"/>
  <c r="R821" i="1"/>
  <c r="Q821" i="1"/>
  <c r="P821" i="1"/>
  <c r="M822" i="1"/>
  <c r="N821" i="1"/>
  <c r="R822" i="1"/>
  <c r="Q822" i="1"/>
  <c r="P822" i="1"/>
  <c r="N822" i="1"/>
  <c r="M823" i="1"/>
  <c r="Q823" i="1"/>
  <c r="P823" i="1"/>
  <c r="R823" i="1"/>
  <c r="M824" i="1"/>
  <c r="N823" i="1"/>
  <c r="P824" i="1"/>
  <c r="R824" i="1"/>
  <c r="Q824" i="1"/>
  <c r="M825" i="1"/>
  <c r="N824" i="1"/>
  <c r="P825" i="1"/>
  <c r="R825" i="1"/>
  <c r="Q825" i="1"/>
  <c r="M826" i="1"/>
  <c r="N825" i="1"/>
  <c r="R826" i="1"/>
  <c r="Q826" i="1"/>
  <c r="P826" i="1"/>
  <c r="N826" i="1"/>
  <c r="M827" i="1"/>
  <c r="R827" i="1"/>
  <c r="Q827" i="1"/>
  <c r="P827" i="1"/>
  <c r="M828" i="1"/>
  <c r="N827" i="1"/>
  <c r="R828" i="1"/>
  <c r="Q828" i="1"/>
  <c r="P828" i="1"/>
  <c r="M829" i="1"/>
  <c r="N828" i="1"/>
  <c r="R829" i="1"/>
  <c r="Q829" i="1"/>
  <c r="P829" i="1"/>
  <c r="M830" i="1"/>
  <c r="N829" i="1"/>
  <c r="R830" i="1"/>
  <c r="Q830" i="1"/>
  <c r="P830" i="1"/>
  <c r="N830" i="1"/>
  <c r="M831" i="1"/>
  <c r="Q831" i="1"/>
  <c r="P831" i="1"/>
  <c r="R831" i="1"/>
  <c r="M832" i="1"/>
  <c r="N831" i="1"/>
  <c r="P832" i="1"/>
  <c r="R832" i="1"/>
  <c r="Q832" i="1"/>
  <c r="M833" i="1"/>
  <c r="N832" i="1"/>
  <c r="P833" i="1"/>
  <c r="R833" i="1"/>
  <c r="Q833" i="1"/>
  <c r="M834" i="1"/>
  <c r="N833" i="1"/>
  <c r="R834" i="1"/>
  <c r="Q834" i="1"/>
  <c r="P834" i="1"/>
  <c r="N834" i="1"/>
  <c r="M835" i="1"/>
  <c r="R835" i="1"/>
  <c r="Q835" i="1"/>
  <c r="P835" i="1"/>
  <c r="M836" i="1"/>
  <c r="N835" i="1"/>
  <c r="R836" i="1"/>
  <c r="Q836" i="1"/>
  <c r="P836" i="1"/>
  <c r="M837" i="1"/>
  <c r="N836" i="1"/>
  <c r="R837" i="1"/>
  <c r="Q837" i="1"/>
  <c r="P837" i="1"/>
  <c r="M838" i="1"/>
  <c r="N837" i="1"/>
  <c r="R838" i="1"/>
  <c r="Q838" i="1"/>
  <c r="P838" i="1"/>
  <c r="N838" i="1"/>
  <c r="M839" i="1"/>
  <c r="Q839" i="1"/>
  <c r="P839" i="1"/>
  <c r="R839" i="1"/>
  <c r="M840" i="1"/>
  <c r="N839" i="1"/>
  <c r="P840" i="1"/>
  <c r="R840" i="1"/>
  <c r="Q840" i="1"/>
  <c r="M841" i="1"/>
  <c r="N840" i="1"/>
  <c r="P841" i="1"/>
  <c r="R841" i="1"/>
  <c r="Q841" i="1"/>
  <c r="M842" i="1"/>
  <c r="N841" i="1"/>
  <c r="R842" i="1"/>
  <c r="Q842" i="1"/>
  <c r="P842" i="1"/>
  <c r="N842" i="1"/>
  <c r="M843" i="1"/>
  <c r="R843" i="1"/>
  <c r="Q843" i="1"/>
  <c r="P843" i="1"/>
  <c r="M844" i="1"/>
  <c r="N843" i="1"/>
  <c r="R844" i="1"/>
  <c r="Q844" i="1"/>
  <c r="P844" i="1"/>
  <c r="M845" i="1"/>
  <c r="N844" i="1"/>
  <c r="R845" i="1"/>
  <c r="Q845" i="1"/>
  <c r="P845" i="1"/>
  <c r="M846" i="1"/>
  <c r="N845" i="1"/>
  <c r="R846" i="1"/>
  <c r="Q846" i="1"/>
  <c r="P846" i="1"/>
  <c r="N846" i="1"/>
  <c r="M847" i="1"/>
  <c r="Q847" i="1"/>
  <c r="P847" i="1"/>
  <c r="R847" i="1"/>
  <c r="M848" i="1"/>
  <c r="N847" i="1"/>
  <c r="P848" i="1"/>
  <c r="R848" i="1"/>
  <c r="Q848" i="1"/>
  <c r="M849" i="1"/>
  <c r="N848" i="1"/>
  <c r="P849" i="1"/>
  <c r="R849" i="1"/>
  <c r="Q849" i="1"/>
  <c r="M850" i="1"/>
  <c r="N849" i="1"/>
  <c r="R850" i="1"/>
  <c r="Q850" i="1"/>
  <c r="P850" i="1"/>
  <c r="N850" i="1"/>
  <c r="M851" i="1"/>
  <c r="R851" i="1"/>
  <c r="Q851" i="1"/>
  <c r="P851" i="1"/>
  <c r="M852" i="1"/>
  <c r="N851" i="1"/>
  <c r="R852" i="1"/>
  <c r="Q852" i="1"/>
  <c r="P852" i="1"/>
  <c r="M853" i="1"/>
  <c r="N852" i="1"/>
  <c r="R853" i="1"/>
  <c r="Q853" i="1"/>
  <c r="P853" i="1"/>
  <c r="M854" i="1"/>
  <c r="N853" i="1"/>
  <c r="R854" i="1"/>
  <c r="Q854" i="1"/>
  <c r="P854" i="1"/>
  <c r="N854" i="1"/>
  <c r="M855" i="1"/>
  <c r="Q855" i="1"/>
  <c r="P855" i="1"/>
  <c r="R855" i="1"/>
  <c r="M856" i="1"/>
  <c r="N855" i="1"/>
  <c r="P856" i="1"/>
  <c r="R856" i="1"/>
  <c r="Q856" i="1"/>
  <c r="M857" i="1"/>
  <c r="N856" i="1"/>
  <c r="P857" i="1"/>
  <c r="R857" i="1"/>
  <c r="Q857" i="1"/>
  <c r="M858" i="1"/>
  <c r="N857" i="1"/>
  <c r="R858" i="1"/>
  <c r="Q858" i="1"/>
  <c r="P858" i="1"/>
  <c r="N858" i="1"/>
  <c r="M859" i="1"/>
  <c r="R859" i="1"/>
  <c r="Q859" i="1"/>
  <c r="P859" i="1"/>
  <c r="M860" i="1"/>
  <c r="N859" i="1"/>
  <c r="R860" i="1"/>
  <c r="Q860" i="1"/>
  <c r="P860" i="1"/>
  <c r="M861" i="1"/>
  <c r="N860" i="1"/>
  <c r="R861" i="1"/>
  <c r="Q861" i="1"/>
  <c r="P861" i="1"/>
  <c r="M862" i="1"/>
  <c r="N861" i="1"/>
  <c r="R862" i="1"/>
  <c r="Q862" i="1"/>
  <c r="P862" i="1"/>
  <c r="N862" i="1"/>
  <c r="M863" i="1"/>
  <c r="Q863" i="1"/>
  <c r="P863" i="1"/>
  <c r="R863" i="1"/>
  <c r="N863" i="1"/>
  <c r="M864" i="1"/>
  <c r="P864" i="1"/>
  <c r="R864" i="1"/>
  <c r="Q864" i="1"/>
  <c r="M865" i="1"/>
  <c r="N864" i="1"/>
  <c r="Q865" i="1"/>
  <c r="P865" i="1"/>
  <c r="R865" i="1"/>
  <c r="M866" i="1"/>
  <c r="N865" i="1"/>
  <c r="R866" i="1"/>
  <c r="Q866" i="1"/>
  <c r="P866" i="1"/>
  <c r="M867" i="1"/>
  <c r="N866" i="1"/>
  <c r="Q867" i="1"/>
  <c r="R867" i="1"/>
  <c r="P867" i="1"/>
  <c r="N867" i="1"/>
  <c r="M868" i="1"/>
  <c r="P868" i="1"/>
  <c r="R868" i="1"/>
  <c r="Q868" i="1"/>
  <c r="M869" i="1"/>
  <c r="N868" i="1"/>
  <c r="Q869" i="1"/>
  <c r="R869" i="1"/>
  <c r="P869" i="1"/>
  <c r="N869" i="1"/>
  <c r="M870" i="1"/>
  <c r="R870" i="1"/>
  <c r="Q870" i="1"/>
  <c r="P870" i="1"/>
  <c r="N870" i="1"/>
  <c r="M871" i="1"/>
  <c r="R871" i="1"/>
  <c r="P871" i="1"/>
  <c r="Q871" i="1"/>
  <c r="N871" i="1"/>
  <c r="M872" i="1"/>
  <c r="Q872" i="1"/>
  <c r="R872" i="1"/>
  <c r="P872" i="1"/>
  <c r="M873" i="1"/>
  <c r="N872" i="1"/>
  <c r="R873" i="1"/>
  <c r="P873" i="1"/>
  <c r="Q873" i="1"/>
  <c r="N873" i="1"/>
  <c r="M874" i="1"/>
  <c r="Q874" i="1"/>
  <c r="P874" i="1"/>
  <c r="R874" i="1"/>
  <c r="N874" i="1"/>
  <c r="M875" i="1"/>
  <c r="R875" i="1"/>
  <c r="Q875" i="1"/>
  <c r="P875" i="1"/>
  <c r="M876" i="1"/>
  <c r="N875" i="1"/>
  <c r="P876" i="1"/>
  <c r="R876" i="1"/>
  <c r="Q876" i="1"/>
  <c r="N876" i="1"/>
  <c r="M877" i="1"/>
  <c r="P877" i="1"/>
  <c r="Q877" i="1"/>
  <c r="R877" i="1"/>
  <c r="M878" i="1"/>
  <c r="N877" i="1"/>
  <c r="P878" i="1"/>
  <c r="R878" i="1"/>
  <c r="Q878" i="1"/>
  <c r="N878" i="1"/>
  <c r="M879" i="1"/>
  <c r="Q879" i="1"/>
  <c r="P879" i="1"/>
  <c r="R879" i="1"/>
  <c r="M880" i="1"/>
  <c r="N879" i="1"/>
  <c r="R880" i="1"/>
  <c r="Q880" i="1"/>
  <c r="P880" i="1"/>
  <c r="N880" i="1"/>
  <c r="M881" i="1"/>
  <c r="Q881" i="1"/>
  <c r="R881" i="1"/>
  <c r="P881" i="1"/>
  <c r="M882" i="1"/>
  <c r="N881" i="1"/>
  <c r="R882" i="1"/>
  <c r="Q882" i="1"/>
  <c r="P882" i="1"/>
  <c r="N882" i="1"/>
  <c r="M883" i="1"/>
  <c r="R883" i="1"/>
  <c r="Q883" i="1"/>
  <c r="P883" i="1"/>
  <c r="M884" i="1"/>
  <c r="N883" i="1"/>
  <c r="P884" i="1"/>
  <c r="R884" i="1"/>
  <c r="Q884" i="1"/>
  <c r="N884" i="1"/>
  <c r="M885" i="1"/>
  <c r="P885" i="1"/>
  <c r="Q885" i="1"/>
  <c r="R885" i="1"/>
  <c r="M886" i="1"/>
  <c r="N885" i="1"/>
  <c r="R886" i="1"/>
  <c r="Q886" i="1"/>
  <c r="P886" i="1"/>
  <c r="N886" i="1"/>
  <c r="M887" i="1"/>
  <c r="Q887" i="1"/>
  <c r="P887" i="1"/>
  <c r="R887" i="1"/>
  <c r="M888" i="1"/>
  <c r="N887" i="1"/>
  <c r="R888" i="1"/>
  <c r="Q888" i="1"/>
  <c r="P888" i="1"/>
  <c r="N888" i="1"/>
  <c r="M889" i="1"/>
  <c r="Q889" i="1"/>
  <c r="R889" i="1"/>
  <c r="P889" i="1"/>
  <c r="M890" i="1"/>
  <c r="N889" i="1"/>
  <c r="R890" i="1"/>
  <c r="Q890" i="1"/>
  <c r="P890" i="1"/>
  <c r="N890" i="1"/>
  <c r="M891" i="1"/>
  <c r="R891" i="1"/>
  <c r="Q891" i="1"/>
  <c r="P891" i="1"/>
  <c r="M892" i="1"/>
  <c r="N891" i="1"/>
  <c r="P892" i="1"/>
  <c r="R892" i="1"/>
  <c r="Q892" i="1"/>
  <c r="N892" i="1"/>
  <c r="M893" i="1"/>
  <c r="P893" i="1"/>
  <c r="Q893" i="1"/>
  <c r="R893" i="1"/>
  <c r="M894" i="1"/>
  <c r="N893" i="1"/>
  <c r="P894" i="1"/>
  <c r="R894" i="1"/>
  <c r="Q894" i="1"/>
  <c r="N894" i="1"/>
  <c r="M895" i="1"/>
  <c r="Q895" i="1"/>
  <c r="P895" i="1"/>
  <c r="R895" i="1"/>
  <c r="M896" i="1"/>
  <c r="N895" i="1"/>
  <c r="R896" i="1"/>
  <c r="Q896" i="1"/>
  <c r="P896" i="1"/>
  <c r="N896" i="1"/>
  <c r="M897" i="1"/>
  <c r="Q897" i="1"/>
  <c r="R897" i="1"/>
  <c r="P897" i="1"/>
  <c r="M898" i="1"/>
  <c r="N897" i="1"/>
  <c r="R898" i="1"/>
  <c r="Q898" i="1"/>
  <c r="P898" i="1"/>
  <c r="N898" i="1"/>
  <c r="M899" i="1"/>
  <c r="R899" i="1"/>
  <c r="Q899" i="1"/>
  <c r="P899" i="1"/>
  <c r="M900" i="1"/>
  <c r="N899" i="1"/>
  <c r="P900" i="1"/>
  <c r="R900" i="1"/>
  <c r="Q900" i="1"/>
  <c r="N900" i="1"/>
  <c r="M901" i="1"/>
  <c r="P901" i="1"/>
  <c r="Q901" i="1"/>
  <c r="R901" i="1"/>
  <c r="M902" i="1"/>
  <c r="N901" i="1"/>
  <c r="P902" i="1"/>
  <c r="R902" i="1"/>
  <c r="Q902" i="1"/>
  <c r="N902" i="1"/>
  <c r="M903" i="1"/>
  <c r="Q903" i="1"/>
  <c r="P903" i="1"/>
  <c r="R903" i="1"/>
  <c r="M904" i="1"/>
  <c r="N903" i="1"/>
  <c r="R904" i="1"/>
  <c r="Q904" i="1"/>
  <c r="P904" i="1"/>
  <c r="N904" i="1"/>
  <c r="M905" i="1"/>
  <c r="Q905" i="1"/>
  <c r="R905" i="1"/>
  <c r="P905" i="1"/>
  <c r="M906" i="1"/>
  <c r="N905" i="1"/>
  <c r="R906" i="1"/>
  <c r="Q906" i="1"/>
  <c r="P906" i="1"/>
  <c r="N906" i="1"/>
  <c r="M907" i="1"/>
  <c r="R907" i="1"/>
  <c r="Q907" i="1"/>
  <c r="P907" i="1"/>
  <c r="M908" i="1"/>
  <c r="N907" i="1"/>
  <c r="P908" i="1"/>
  <c r="R908" i="1"/>
  <c r="Q908" i="1"/>
  <c r="N908" i="1"/>
  <c r="M909" i="1"/>
  <c r="P909" i="1"/>
  <c r="Q909" i="1"/>
  <c r="R909" i="1"/>
  <c r="M910" i="1"/>
  <c r="N909" i="1"/>
  <c r="P910" i="1"/>
  <c r="R910" i="1"/>
  <c r="Q910" i="1"/>
  <c r="N910" i="1"/>
  <c r="M911" i="1"/>
  <c r="Q911" i="1"/>
  <c r="P911" i="1"/>
  <c r="R911" i="1"/>
  <c r="M912" i="1"/>
  <c r="N911" i="1"/>
  <c r="R912" i="1"/>
  <c r="Q912" i="1"/>
  <c r="P912" i="1"/>
  <c r="N912" i="1"/>
  <c r="M913" i="1"/>
  <c r="Q913" i="1"/>
  <c r="R913" i="1"/>
  <c r="P913" i="1"/>
  <c r="M914" i="1"/>
  <c r="N913" i="1"/>
  <c r="R914" i="1"/>
  <c r="Q914" i="1"/>
  <c r="P914" i="1"/>
  <c r="N914" i="1"/>
  <c r="M915" i="1"/>
  <c r="R915" i="1"/>
  <c r="Q915" i="1"/>
  <c r="P915" i="1"/>
  <c r="M916" i="1"/>
  <c r="N915" i="1"/>
  <c r="P916" i="1"/>
  <c r="R916" i="1"/>
  <c r="Q916" i="1"/>
  <c r="N916" i="1"/>
  <c r="M917" i="1"/>
  <c r="P917" i="1"/>
  <c r="Q917" i="1"/>
  <c r="R917" i="1"/>
  <c r="M918" i="1"/>
  <c r="N917" i="1"/>
  <c r="R918" i="1"/>
  <c r="Q918" i="1"/>
  <c r="P918" i="1"/>
  <c r="N918" i="1"/>
  <c r="M919" i="1"/>
  <c r="Q919" i="1"/>
  <c r="P919" i="1"/>
  <c r="R919" i="1"/>
  <c r="M920" i="1"/>
  <c r="N919" i="1"/>
  <c r="R920" i="1"/>
  <c r="Q920" i="1"/>
  <c r="P920" i="1"/>
  <c r="N920" i="1"/>
  <c r="M921" i="1"/>
  <c r="Q921" i="1"/>
  <c r="R921" i="1"/>
  <c r="P921" i="1"/>
  <c r="M922" i="1"/>
  <c r="N921" i="1"/>
  <c r="R922" i="1"/>
  <c r="Q922" i="1"/>
  <c r="P922" i="1"/>
  <c r="N922" i="1"/>
  <c r="M923" i="1"/>
  <c r="R923" i="1"/>
  <c r="Q923" i="1"/>
  <c r="P923" i="1"/>
  <c r="M924" i="1"/>
  <c r="N923" i="1"/>
  <c r="P924" i="1"/>
  <c r="R924" i="1"/>
  <c r="Q924" i="1"/>
  <c r="N924" i="1"/>
  <c r="M925" i="1"/>
  <c r="P925" i="1"/>
  <c r="Q925" i="1"/>
  <c r="R925" i="1"/>
  <c r="M926" i="1"/>
  <c r="N925" i="1"/>
  <c r="P926" i="1"/>
  <c r="R926" i="1"/>
  <c r="Q926" i="1"/>
  <c r="N926" i="1"/>
  <c r="M927" i="1"/>
  <c r="Q927" i="1"/>
  <c r="P927" i="1"/>
  <c r="R927" i="1"/>
  <c r="M928" i="1"/>
  <c r="N927" i="1"/>
  <c r="R928" i="1"/>
  <c r="Q928" i="1"/>
  <c r="P928" i="1"/>
  <c r="N928" i="1"/>
  <c r="M929" i="1"/>
  <c r="Q929" i="1"/>
  <c r="R929" i="1"/>
  <c r="P929" i="1"/>
  <c r="M930" i="1"/>
  <c r="N929" i="1"/>
  <c r="R930" i="1"/>
  <c r="Q930" i="1"/>
  <c r="P930" i="1"/>
  <c r="N930" i="1"/>
  <c r="M931" i="1"/>
  <c r="R931" i="1"/>
  <c r="Q931" i="1"/>
  <c r="P931" i="1"/>
  <c r="M932" i="1"/>
  <c r="N931" i="1"/>
  <c r="P932" i="1"/>
  <c r="R932" i="1"/>
  <c r="Q932" i="1"/>
  <c r="N932" i="1"/>
  <c r="M933" i="1"/>
  <c r="P933" i="1"/>
  <c r="Q933" i="1"/>
  <c r="R933" i="1"/>
  <c r="M934" i="1"/>
  <c r="N933" i="1"/>
  <c r="P934" i="1"/>
  <c r="R934" i="1"/>
  <c r="Q934" i="1"/>
  <c r="N934" i="1"/>
  <c r="M935" i="1"/>
  <c r="Q935" i="1"/>
  <c r="P935" i="1"/>
  <c r="R935" i="1"/>
  <c r="M936" i="1"/>
  <c r="N935" i="1"/>
  <c r="R936" i="1"/>
  <c r="Q936" i="1"/>
  <c r="P936" i="1"/>
  <c r="N936" i="1"/>
  <c r="M937" i="1"/>
  <c r="Q937" i="1"/>
  <c r="R937" i="1"/>
  <c r="P937" i="1"/>
  <c r="M938" i="1"/>
  <c r="N937" i="1"/>
  <c r="R938" i="1"/>
  <c r="Q938" i="1"/>
  <c r="P938" i="1"/>
  <c r="N938" i="1"/>
  <c r="M939" i="1"/>
  <c r="R939" i="1"/>
  <c r="Q939" i="1"/>
  <c r="P939" i="1"/>
  <c r="M940" i="1"/>
  <c r="N939" i="1"/>
  <c r="P940" i="1"/>
  <c r="R940" i="1"/>
  <c r="Q940" i="1"/>
  <c r="N940" i="1"/>
  <c r="M941" i="1"/>
  <c r="P941" i="1"/>
  <c r="Q941" i="1"/>
  <c r="R941" i="1"/>
  <c r="M942" i="1"/>
  <c r="N941" i="1"/>
  <c r="P942" i="1"/>
  <c r="R942" i="1"/>
  <c r="Q942" i="1"/>
  <c r="N942" i="1"/>
  <c r="M943" i="1"/>
  <c r="Q943" i="1"/>
  <c r="P943" i="1"/>
  <c r="R943" i="1"/>
  <c r="M944" i="1"/>
  <c r="N943" i="1"/>
  <c r="R944" i="1"/>
  <c r="Q944" i="1"/>
  <c r="P944" i="1"/>
  <c r="N944" i="1"/>
  <c r="M945" i="1"/>
  <c r="Q945" i="1"/>
  <c r="R945" i="1"/>
  <c r="P945" i="1"/>
  <c r="M946" i="1"/>
  <c r="N945" i="1"/>
  <c r="R946" i="1"/>
  <c r="Q946" i="1"/>
  <c r="P946" i="1"/>
  <c r="M947" i="1"/>
  <c r="N946" i="1"/>
  <c r="R947" i="1"/>
  <c r="Q947" i="1"/>
  <c r="P947" i="1"/>
  <c r="M948" i="1"/>
  <c r="N947" i="1"/>
  <c r="P948" i="1"/>
  <c r="R948" i="1"/>
  <c r="Q948" i="1"/>
  <c r="N948" i="1"/>
  <c r="M949" i="1"/>
  <c r="P949" i="1"/>
  <c r="Q949" i="1"/>
  <c r="R949" i="1"/>
  <c r="M950" i="1"/>
  <c r="N949" i="1"/>
  <c r="R950" i="1"/>
  <c r="Q950" i="1"/>
  <c r="P950" i="1"/>
  <c r="N950" i="1"/>
  <c r="M951" i="1"/>
  <c r="Q951" i="1"/>
  <c r="P951" i="1"/>
  <c r="R951" i="1"/>
  <c r="M952" i="1"/>
  <c r="N951" i="1"/>
  <c r="R952" i="1"/>
  <c r="Q952" i="1"/>
  <c r="P952" i="1"/>
  <c r="N952" i="1"/>
  <c r="M953" i="1"/>
  <c r="R953" i="1"/>
  <c r="Q953" i="1"/>
  <c r="P953" i="1"/>
  <c r="M954" i="1"/>
  <c r="N953" i="1"/>
  <c r="R954" i="1"/>
  <c r="Q954" i="1"/>
  <c r="P954" i="1"/>
  <c r="M955" i="1"/>
  <c r="N954" i="1"/>
  <c r="R955" i="1"/>
  <c r="Q955" i="1"/>
  <c r="P955" i="1"/>
  <c r="M956" i="1"/>
  <c r="N955" i="1"/>
  <c r="P956" i="1"/>
  <c r="R956" i="1"/>
  <c r="Q956" i="1"/>
  <c r="N956" i="1"/>
  <c r="M957" i="1"/>
  <c r="P957" i="1"/>
  <c r="Q957" i="1"/>
  <c r="R957" i="1"/>
  <c r="M958" i="1"/>
  <c r="N957" i="1"/>
  <c r="P958" i="1"/>
  <c r="R958" i="1"/>
  <c r="Q958" i="1"/>
  <c r="M959" i="1"/>
  <c r="N958" i="1"/>
  <c r="P959" i="1"/>
  <c r="Q959" i="1"/>
  <c r="R959" i="1"/>
  <c r="M960" i="1"/>
  <c r="N959" i="1"/>
  <c r="R960" i="1"/>
  <c r="Q960" i="1"/>
  <c r="P960" i="1"/>
  <c r="N960" i="1"/>
  <c r="M961" i="1"/>
  <c r="R961" i="1"/>
  <c r="Q961" i="1"/>
  <c r="P961" i="1"/>
  <c r="M962" i="1"/>
  <c r="N961" i="1"/>
  <c r="R962" i="1"/>
  <c r="Q962" i="1"/>
  <c r="P962" i="1"/>
  <c r="M963" i="1"/>
  <c r="N962" i="1"/>
  <c r="R963" i="1"/>
  <c r="Q963" i="1"/>
  <c r="P963" i="1"/>
  <c r="M964" i="1"/>
  <c r="N963" i="1"/>
  <c r="P964" i="1"/>
  <c r="R964" i="1"/>
  <c r="Q964" i="1"/>
  <c r="N964" i="1"/>
  <c r="M965" i="1"/>
  <c r="P965" i="1"/>
  <c r="R965" i="1"/>
  <c r="Q965" i="1"/>
  <c r="M966" i="1"/>
  <c r="N965" i="1"/>
  <c r="P966" i="1"/>
  <c r="R966" i="1"/>
  <c r="Q966" i="1"/>
  <c r="N966" i="1"/>
  <c r="M967" i="1"/>
  <c r="Q967" i="1"/>
  <c r="P967" i="1"/>
  <c r="R967" i="1"/>
  <c r="N967" i="1"/>
  <c r="K970" i="1" l="1"/>
  <c r="K971" i="1" s="1"/>
  <c r="M13" i="1"/>
  <c r="N13" i="1" s="1"/>
  <c r="A22" i="1"/>
  <c r="A23" i="1" s="1"/>
  <c r="M14" i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L13" i="1"/>
  <c r="R13" i="1" s="1"/>
  <c r="P13" i="1"/>
  <c r="K13" i="1"/>
  <c r="Q13" i="1" s="1"/>
  <c r="Q970" i="1"/>
  <c r="Q971" i="1"/>
  <c r="I14" i="1"/>
  <c r="M273" i="1"/>
  <c r="N273" i="1" s="1"/>
  <c r="M274" i="1"/>
  <c r="J14" i="1"/>
  <c r="P274" i="1"/>
  <c r="P273" i="1"/>
  <c r="Q274" i="1"/>
  <c r="R274" i="1"/>
  <c r="Q273" i="1"/>
  <c r="R273" i="1"/>
  <c r="M275" i="1"/>
  <c r="N274" i="1"/>
  <c r="P275" i="1"/>
  <c r="Q275" i="1"/>
  <c r="R275" i="1"/>
  <c r="M276" i="1"/>
  <c r="N275" i="1"/>
  <c r="P276" i="1"/>
  <c r="Q276" i="1"/>
  <c r="R276" i="1"/>
  <c r="M277" i="1"/>
  <c r="N276" i="1"/>
  <c r="P277" i="1"/>
  <c r="R277" i="1"/>
  <c r="Q277" i="1"/>
  <c r="M278" i="1"/>
  <c r="N277" i="1"/>
  <c r="R278" i="1"/>
  <c r="Q278" i="1"/>
  <c r="P278" i="1"/>
  <c r="M279" i="1"/>
  <c r="N278" i="1"/>
  <c r="R279" i="1"/>
  <c r="P279" i="1"/>
  <c r="Q279" i="1"/>
  <c r="M280" i="1"/>
  <c r="N279" i="1"/>
  <c r="Q280" i="1"/>
  <c r="R280" i="1"/>
  <c r="P280" i="1"/>
  <c r="M281" i="1"/>
  <c r="N280" i="1"/>
  <c r="R281" i="1"/>
  <c r="Q281" i="1"/>
  <c r="P281" i="1"/>
  <c r="M282" i="1"/>
  <c r="N281" i="1"/>
  <c r="R282" i="1"/>
  <c r="Q282" i="1"/>
  <c r="P282" i="1"/>
  <c r="M283" i="1"/>
  <c r="N282" i="1"/>
  <c r="P283" i="1"/>
  <c r="Q283" i="1"/>
  <c r="R283" i="1"/>
  <c r="M284" i="1"/>
  <c r="N283" i="1"/>
  <c r="P284" i="1"/>
  <c r="Q284" i="1"/>
  <c r="R284" i="1"/>
  <c r="M285" i="1"/>
  <c r="N284" i="1"/>
  <c r="P285" i="1"/>
  <c r="R285" i="1"/>
  <c r="Q285" i="1"/>
  <c r="M286" i="1"/>
  <c r="N285" i="1"/>
  <c r="R286" i="1"/>
  <c r="Q286" i="1"/>
  <c r="P286" i="1"/>
  <c r="M287" i="1"/>
  <c r="N286" i="1"/>
  <c r="R287" i="1"/>
  <c r="P287" i="1"/>
  <c r="Q287" i="1"/>
  <c r="M288" i="1"/>
  <c r="N287" i="1"/>
  <c r="Q288" i="1"/>
  <c r="R288" i="1"/>
  <c r="P288" i="1"/>
  <c r="M289" i="1"/>
  <c r="N288" i="1"/>
  <c r="R289" i="1"/>
  <c r="Q289" i="1"/>
  <c r="P289" i="1"/>
  <c r="M290" i="1"/>
  <c r="N289" i="1"/>
  <c r="R290" i="1"/>
  <c r="Q290" i="1"/>
  <c r="P290" i="1"/>
  <c r="M291" i="1"/>
  <c r="N290" i="1"/>
  <c r="P291" i="1"/>
  <c r="Q291" i="1"/>
  <c r="R291" i="1"/>
  <c r="M292" i="1"/>
  <c r="N291" i="1"/>
  <c r="P292" i="1"/>
  <c r="Q292" i="1"/>
  <c r="R292" i="1"/>
  <c r="M293" i="1"/>
  <c r="N292" i="1"/>
  <c r="P293" i="1"/>
  <c r="R293" i="1"/>
  <c r="Q293" i="1"/>
  <c r="M294" i="1"/>
  <c r="N293" i="1"/>
  <c r="R294" i="1"/>
  <c r="Q294" i="1"/>
  <c r="P294" i="1"/>
  <c r="M295" i="1"/>
  <c r="N294" i="1"/>
  <c r="R295" i="1"/>
  <c r="P295" i="1"/>
  <c r="Q295" i="1"/>
  <c r="M296" i="1"/>
  <c r="N295" i="1"/>
  <c r="Q296" i="1"/>
  <c r="R296" i="1"/>
  <c r="P296" i="1"/>
  <c r="M297" i="1"/>
  <c r="N296" i="1"/>
  <c r="R297" i="1"/>
  <c r="Q297" i="1"/>
  <c r="P297" i="1"/>
  <c r="M298" i="1"/>
  <c r="N297" i="1"/>
  <c r="R298" i="1"/>
  <c r="Q298" i="1"/>
  <c r="P298" i="1"/>
  <c r="M299" i="1"/>
  <c r="N298" i="1"/>
  <c r="P299" i="1"/>
  <c r="Q299" i="1"/>
  <c r="R299" i="1"/>
  <c r="M300" i="1"/>
  <c r="N299" i="1"/>
  <c r="P300" i="1"/>
  <c r="Q300" i="1"/>
  <c r="R300" i="1"/>
  <c r="M301" i="1"/>
  <c r="N300" i="1"/>
  <c r="P301" i="1"/>
  <c r="R301" i="1"/>
  <c r="Q301" i="1"/>
  <c r="M302" i="1"/>
  <c r="N301" i="1"/>
  <c r="R302" i="1"/>
  <c r="Q302" i="1"/>
  <c r="P302" i="1"/>
  <c r="M303" i="1"/>
  <c r="N302" i="1"/>
  <c r="R303" i="1"/>
  <c r="P303" i="1"/>
  <c r="Q303" i="1"/>
  <c r="M304" i="1"/>
  <c r="N303" i="1"/>
  <c r="Q304" i="1"/>
  <c r="R304" i="1"/>
  <c r="P304" i="1"/>
  <c r="M305" i="1"/>
  <c r="N304" i="1"/>
  <c r="R305" i="1"/>
  <c r="Q305" i="1"/>
  <c r="P305" i="1"/>
  <c r="M306" i="1"/>
  <c r="N305" i="1"/>
  <c r="R306" i="1"/>
  <c r="Q306" i="1"/>
  <c r="P306" i="1"/>
  <c r="M307" i="1"/>
  <c r="N306" i="1"/>
  <c r="P307" i="1"/>
  <c r="Q307" i="1"/>
  <c r="R307" i="1"/>
  <c r="M308" i="1"/>
  <c r="N307" i="1"/>
  <c r="P308" i="1"/>
  <c r="Q308" i="1"/>
  <c r="R308" i="1"/>
  <c r="M309" i="1"/>
  <c r="N308" i="1"/>
  <c r="P309" i="1"/>
  <c r="R309" i="1"/>
  <c r="Q309" i="1"/>
  <c r="M310" i="1"/>
  <c r="N309" i="1"/>
  <c r="R310" i="1"/>
  <c r="Q310" i="1"/>
  <c r="P310" i="1"/>
  <c r="M311" i="1"/>
  <c r="N310" i="1"/>
  <c r="R311" i="1"/>
  <c r="P311" i="1"/>
  <c r="Q311" i="1"/>
  <c r="M312" i="1"/>
  <c r="N311" i="1"/>
  <c r="Q312" i="1"/>
  <c r="R312" i="1"/>
  <c r="P312" i="1"/>
  <c r="M313" i="1"/>
  <c r="N312" i="1"/>
  <c r="R313" i="1"/>
  <c r="Q313" i="1"/>
  <c r="P313" i="1"/>
  <c r="M314" i="1"/>
  <c r="N313" i="1"/>
  <c r="R314" i="1"/>
  <c r="Q314" i="1"/>
  <c r="P314" i="1"/>
  <c r="M315" i="1"/>
  <c r="N314" i="1"/>
  <c r="P315" i="1"/>
  <c r="Q315" i="1"/>
  <c r="R315" i="1"/>
  <c r="M316" i="1"/>
  <c r="N315" i="1"/>
  <c r="P316" i="1"/>
  <c r="Q316" i="1"/>
  <c r="R316" i="1"/>
  <c r="M317" i="1"/>
  <c r="N316" i="1"/>
  <c r="P317" i="1"/>
  <c r="R317" i="1"/>
  <c r="Q317" i="1"/>
  <c r="M318" i="1"/>
  <c r="N317" i="1"/>
  <c r="R318" i="1"/>
  <c r="Q318" i="1"/>
  <c r="P318" i="1"/>
  <c r="M319" i="1"/>
  <c r="N318" i="1"/>
  <c r="R319" i="1"/>
  <c r="P319" i="1"/>
  <c r="Q319" i="1"/>
  <c r="M320" i="1"/>
  <c r="N319" i="1"/>
  <c r="Q320" i="1"/>
  <c r="R320" i="1"/>
  <c r="P320" i="1"/>
  <c r="M321" i="1"/>
  <c r="N320" i="1"/>
  <c r="R321" i="1"/>
  <c r="Q321" i="1"/>
  <c r="P321" i="1"/>
  <c r="M322" i="1"/>
  <c r="N321" i="1"/>
  <c r="R322" i="1"/>
  <c r="Q322" i="1"/>
  <c r="P322" i="1"/>
  <c r="M323" i="1"/>
  <c r="N322" i="1"/>
  <c r="P323" i="1"/>
  <c r="Q323" i="1"/>
  <c r="R323" i="1"/>
  <c r="M324" i="1"/>
  <c r="N323" i="1"/>
  <c r="P324" i="1"/>
  <c r="Q324" i="1"/>
  <c r="R324" i="1"/>
  <c r="M325" i="1"/>
  <c r="N324" i="1"/>
  <c r="P325" i="1"/>
  <c r="R325" i="1"/>
  <c r="Q325" i="1"/>
  <c r="M326" i="1"/>
  <c r="N325" i="1"/>
  <c r="R326" i="1"/>
  <c r="Q326" i="1"/>
  <c r="P326" i="1"/>
  <c r="M327" i="1"/>
  <c r="N326" i="1"/>
  <c r="R327" i="1"/>
  <c r="P327" i="1"/>
  <c r="Q327" i="1"/>
  <c r="M328" i="1"/>
  <c r="N327" i="1"/>
  <c r="Q328" i="1"/>
  <c r="R328" i="1"/>
  <c r="P328" i="1"/>
  <c r="M329" i="1"/>
  <c r="N328" i="1"/>
  <c r="R329" i="1"/>
  <c r="Q329" i="1"/>
  <c r="P329" i="1"/>
  <c r="M330" i="1"/>
  <c r="N329" i="1"/>
  <c r="R330" i="1"/>
  <c r="Q330" i="1"/>
  <c r="P330" i="1"/>
  <c r="M331" i="1"/>
  <c r="N330" i="1"/>
  <c r="P331" i="1"/>
  <c r="Q331" i="1"/>
  <c r="R331" i="1"/>
  <c r="M332" i="1"/>
  <c r="N331" i="1"/>
  <c r="P332" i="1"/>
  <c r="Q332" i="1"/>
  <c r="R332" i="1"/>
  <c r="M333" i="1"/>
  <c r="N332" i="1"/>
  <c r="P333" i="1"/>
  <c r="R333" i="1"/>
  <c r="Q333" i="1"/>
  <c r="M334" i="1"/>
  <c r="N333" i="1"/>
  <c r="R334" i="1"/>
  <c r="Q334" i="1"/>
  <c r="P334" i="1"/>
  <c r="M335" i="1"/>
  <c r="N334" i="1"/>
  <c r="R335" i="1"/>
  <c r="P335" i="1"/>
  <c r="Q335" i="1"/>
  <c r="M336" i="1"/>
  <c r="N335" i="1"/>
  <c r="Q336" i="1"/>
  <c r="R336" i="1"/>
  <c r="P336" i="1"/>
  <c r="M337" i="1"/>
  <c r="N336" i="1"/>
  <c r="R337" i="1"/>
  <c r="Q337" i="1"/>
  <c r="P337" i="1"/>
  <c r="M338" i="1"/>
  <c r="N337" i="1"/>
  <c r="R338" i="1"/>
  <c r="Q338" i="1"/>
  <c r="P338" i="1"/>
  <c r="M339" i="1"/>
  <c r="N338" i="1"/>
  <c r="P339" i="1"/>
  <c r="Q339" i="1"/>
  <c r="R339" i="1"/>
  <c r="M340" i="1"/>
  <c r="N339" i="1"/>
  <c r="P340" i="1"/>
  <c r="Q340" i="1"/>
  <c r="R340" i="1"/>
  <c r="M341" i="1"/>
  <c r="N340" i="1"/>
  <c r="P341" i="1"/>
  <c r="R341" i="1"/>
  <c r="Q341" i="1"/>
  <c r="M342" i="1"/>
  <c r="N341" i="1"/>
  <c r="R342" i="1"/>
  <c r="Q342" i="1"/>
  <c r="P342" i="1"/>
  <c r="M343" i="1"/>
  <c r="N342" i="1"/>
  <c r="R343" i="1"/>
  <c r="P343" i="1"/>
  <c r="Q343" i="1"/>
  <c r="M344" i="1"/>
  <c r="N343" i="1"/>
  <c r="Q344" i="1"/>
  <c r="R344" i="1"/>
  <c r="P344" i="1"/>
  <c r="M345" i="1"/>
  <c r="N344" i="1"/>
  <c r="R345" i="1"/>
  <c r="Q345" i="1"/>
  <c r="P345" i="1"/>
  <c r="M346" i="1"/>
  <c r="N345" i="1"/>
  <c r="R346" i="1"/>
  <c r="Q346" i="1"/>
  <c r="P346" i="1"/>
  <c r="M347" i="1"/>
  <c r="N346" i="1"/>
  <c r="P347" i="1"/>
  <c r="Q347" i="1"/>
  <c r="R347" i="1"/>
  <c r="M348" i="1"/>
  <c r="N347" i="1"/>
  <c r="P348" i="1"/>
  <c r="Q348" i="1"/>
  <c r="R348" i="1"/>
  <c r="M349" i="1"/>
  <c r="N348" i="1"/>
  <c r="P349" i="1"/>
  <c r="R349" i="1"/>
  <c r="Q349" i="1"/>
  <c r="M350" i="1"/>
  <c r="N349" i="1"/>
  <c r="R350" i="1"/>
  <c r="Q350" i="1"/>
  <c r="P350" i="1"/>
  <c r="M351" i="1"/>
  <c r="N350" i="1"/>
  <c r="R351" i="1"/>
  <c r="P351" i="1"/>
  <c r="Q351" i="1"/>
  <c r="M352" i="1"/>
  <c r="N351" i="1"/>
  <c r="Q352" i="1"/>
  <c r="R352" i="1"/>
  <c r="P352" i="1"/>
  <c r="M353" i="1"/>
  <c r="N352" i="1"/>
  <c r="R353" i="1"/>
  <c r="Q353" i="1"/>
  <c r="P353" i="1"/>
  <c r="M354" i="1"/>
  <c r="N353" i="1"/>
  <c r="R354" i="1"/>
  <c r="Q354" i="1"/>
  <c r="P354" i="1"/>
  <c r="M355" i="1"/>
  <c r="N354" i="1"/>
  <c r="P355" i="1"/>
  <c r="Q355" i="1"/>
  <c r="R355" i="1"/>
  <c r="M356" i="1"/>
  <c r="N355" i="1"/>
  <c r="P356" i="1"/>
  <c r="Q356" i="1"/>
  <c r="R356" i="1"/>
  <c r="M357" i="1"/>
  <c r="N356" i="1"/>
  <c r="P357" i="1"/>
  <c r="R357" i="1"/>
  <c r="Q357" i="1"/>
  <c r="M358" i="1"/>
  <c r="N357" i="1"/>
  <c r="R358" i="1"/>
  <c r="Q358" i="1"/>
  <c r="P358" i="1"/>
  <c r="M359" i="1"/>
  <c r="N358" i="1"/>
  <c r="R359" i="1"/>
  <c r="P359" i="1"/>
  <c r="Q359" i="1"/>
  <c r="M360" i="1"/>
  <c r="N359" i="1"/>
  <c r="Q360" i="1"/>
  <c r="R360" i="1"/>
  <c r="P360" i="1"/>
  <c r="M361" i="1"/>
  <c r="N360" i="1"/>
  <c r="R361" i="1"/>
  <c r="Q361" i="1"/>
  <c r="P361" i="1"/>
  <c r="M362" i="1"/>
  <c r="N361" i="1"/>
  <c r="R362" i="1"/>
  <c r="Q362" i="1"/>
  <c r="P362" i="1"/>
  <c r="M363" i="1"/>
  <c r="N362" i="1"/>
  <c r="P363" i="1"/>
  <c r="Q363" i="1"/>
  <c r="R363" i="1"/>
  <c r="M364" i="1"/>
  <c r="N363" i="1"/>
  <c r="P364" i="1"/>
  <c r="Q364" i="1"/>
  <c r="R364" i="1"/>
  <c r="M365" i="1"/>
  <c r="N364" i="1"/>
  <c r="P365" i="1"/>
  <c r="R365" i="1"/>
  <c r="Q365" i="1"/>
  <c r="M366" i="1"/>
  <c r="N365" i="1"/>
  <c r="R366" i="1"/>
  <c r="Q366" i="1"/>
  <c r="P366" i="1"/>
  <c r="M367" i="1"/>
  <c r="N366" i="1"/>
  <c r="R367" i="1"/>
  <c r="P367" i="1"/>
  <c r="Q367" i="1"/>
  <c r="M368" i="1"/>
  <c r="N367" i="1"/>
  <c r="Q368" i="1"/>
  <c r="R368" i="1"/>
  <c r="P368" i="1"/>
  <c r="M369" i="1"/>
  <c r="N368" i="1"/>
  <c r="R369" i="1"/>
  <c r="Q369" i="1"/>
  <c r="P369" i="1"/>
  <c r="M370" i="1"/>
  <c r="N369" i="1"/>
  <c r="R370" i="1"/>
  <c r="Q370" i="1"/>
  <c r="P370" i="1"/>
  <c r="M371" i="1"/>
  <c r="N370" i="1"/>
  <c r="P371" i="1"/>
  <c r="Q371" i="1"/>
  <c r="R371" i="1"/>
  <c r="M372" i="1"/>
  <c r="N371" i="1"/>
  <c r="P372" i="1"/>
  <c r="R372" i="1"/>
  <c r="Q372" i="1"/>
  <c r="M373" i="1"/>
  <c r="N372" i="1"/>
  <c r="P373" i="1"/>
  <c r="R373" i="1"/>
  <c r="Q373" i="1"/>
  <c r="N373" i="1"/>
  <c r="M374" i="1"/>
  <c r="R374" i="1"/>
  <c r="Q374" i="1"/>
  <c r="P374" i="1"/>
  <c r="M375" i="1"/>
  <c r="N374" i="1"/>
  <c r="R375" i="1"/>
  <c r="P375" i="1"/>
  <c r="Q375" i="1"/>
  <c r="M376" i="1"/>
  <c r="N375" i="1"/>
  <c r="R376" i="1"/>
  <c r="Q376" i="1"/>
  <c r="P376" i="1"/>
  <c r="M377" i="1"/>
  <c r="N376" i="1"/>
  <c r="R377" i="1"/>
  <c r="Q377" i="1"/>
  <c r="P377" i="1"/>
  <c r="N377" i="1"/>
  <c r="M378" i="1"/>
  <c r="R378" i="1"/>
  <c r="Q378" i="1"/>
  <c r="P378" i="1"/>
  <c r="M379" i="1"/>
  <c r="N378" i="1"/>
  <c r="P379" i="1"/>
  <c r="Q379" i="1"/>
  <c r="R379" i="1"/>
  <c r="M380" i="1"/>
  <c r="N379" i="1"/>
  <c r="P380" i="1"/>
  <c r="R380" i="1"/>
  <c r="Q380" i="1"/>
  <c r="M381" i="1"/>
  <c r="N380" i="1"/>
  <c r="P381" i="1"/>
  <c r="R381" i="1"/>
  <c r="Q381" i="1"/>
  <c r="N381" i="1"/>
  <c r="M382" i="1"/>
  <c r="R382" i="1"/>
  <c r="Q382" i="1"/>
  <c r="P382" i="1"/>
  <c r="M383" i="1"/>
  <c r="N382" i="1"/>
  <c r="R383" i="1"/>
  <c r="Q383" i="1"/>
  <c r="P383" i="1"/>
  <c r="M384" i="1"/>
  <c r="N383" i="1"/>
  <c r="R384" i="1"/>
  <c r="Q384" i="1"/>
  <c r="P384" i="1"/>
  <c r="M385" i="1"/>
  <c r="N384" i="1"/>
  <c r="R385" i="1"/>
  <c r="Q385" i="1"/>
  <c r="P385" i="1"/>
  <c r="N385" i="1"/>
  <c r="M386" i="1"/>
  <c r="R386" i="1"/>
  <c r="Q386" i="1"/>
  <c r="P386" i="1"/>
  <c r="M387" i="1"/>
  <c r="N386" i="1"/>
  <c r="Q387" i="1"/>
  <c r="P387" i="1"/>
  <c r="R387" i="1"/>
  <c r="M388" i="1"/>
  <c r="N387" i="1"/>
  <c r="P388" i="1"/>
  <c r="R388" i="1"/>
  <c r="Q388" i="1"/>
  <c r="M389" i="1"/>
  <c r="N388" i="1"/>
  <c r="P389" i="1"/>
  <c r="R389" i="1"/>
  <c r="Q389" i="1"/>
  <c r="N389" i="1"/>
  <c r="M390" i="1"/>
  <c r="R390" i="1"/>
  <c r="Q390" i="1"/>
  <c r="P390" i="1"/>
  <c r="M391" i="1"/>
  <c r="N390" i="1"/>
  <c r="R391" i="1"/>
  <c r="Q391" i="1"/>
  <c r="P391" i="1"/>
  <c r="M392" i="1"/>
  <c r="N391" i="1"/>
  <c r="R392" i="1"/>
  <c r="Q392" i="1"/>
  <c r="P392" i="1"/>
  <c r="M393" i="1"/>
  <c r="N392" i="1"/>
  <c r="R393" i="1"/>
  <c r="Q393" i="1"/>
  <c r="P393" i="1"/>
  <c r="N393" i="1"/>
  <c r="M394" i="1"/>
  <c r="R394" i="1"/>
  <c r="Q394" i="1"/>
  <c r="P394" i="1"/>
  <c r="M395" i="1"/>
  <c r="N394" i="1"/>
  <c r="Q395" i="1"/>
  <c r="P395" i="1"/>
  <c r="R395" i="1"/>
  <c r="M396" i="1"/>
  <c r="N395" i="1"/>
  <c r="P396" i="1"/>
  <c r="R396" i="1"/>
  <c r="Q396" i="1"/>
  <c r="M397" i="1"/>
  <c r="N396" i="1"/>
  <c r="P397" i="1"/>
  <c r="R397" i="1"/>
  <c r="Q397" i="1"/>
  <c r="N397" i="1"/>
  <c r="M398" i="1"/>
  <c r="R398" i="1"/>
  <c r="Q398" i="1"/>
  <c r="P398" i="1"/>
  <c r="M399" i="1"/>
  <c r="N398" i="1"/>
  <c r="R399" i="1"/>
  <c r="Q399" i="1"/>
  <c r="P399" i="1"/>
  <c r="M400" i="1"/>
  <c r="N399" i="1"/>
  <c r="R400" i="1"/>
  <c r="Q400" i="1"/>
  <c r="P400" i="1"/>
  <c r="M401" i="1"/>
  <c r="N400" i="1"/>
  <c r="R401" i="1"/>
  <c r="Q401" i="1"/>
  <c r="P401" i="1"/>
  <c r="N401" i="1"/>
  <c r="M402" i="1"/>
  <c r="R402" i="1"/>
  <c r="Q402" i="1"/>
  <c r="P402" i="1"/>
  <c r="M403" i="1"/>
  <c r="N402" i="1"/>
  <c r="Q403" i="1"/>
  <c r="P403" i="1"/>
  <c r="R403" i="1"/>
  <c r="M404" i="1"/>
  <c r="N403" i="1"/>
  <c r="P404" i="1"/>
  <c r="R404" i="1"/>
  <c r="Q404" i="1"/>
  <c r="M405" i="1"/>
  <c r="N404" i="1"/>
  <c r="P405" i="1"/>
  <c r="R405" i="1"/>
  <c r="Q405" i="1"/>
  <c r="N405" i="1"/>
  <c r="M406" i="1"/>
  <c r="R406" i="1"/>
  <c r="Q406" i="1"/>
  <c r="P406" i="1"/>
  <c r="M407" i="1"/>
  <c r="N406" i="1"/>
  <c r="R407" i="1"/>
  <c r="Q407" i="1"/>
  <c r="P407" i="1"/>
  <c r="M408" i="1"/>
  <c r="N407" i="1"/>
  <c r="R408" i="1"/>
  <c r="Q408" i="1"/>
  <c r="P408" i="1"/>
  <c r="M409" i="1"/>
  <c r="N408" i="1"/>
  <c r="R409" i="1"/>
  <c r="Q409" i="1"/>
  <c r="P409" i="1"/>
  <c r="N409" i="1"/>
  <c r="M410" i="1"/>
  <c r="R410" i="1"/>
  <c r="Q410" i="1"/>
  <c r="P410" i="1"/>
  <c r="M411" i="1"/>
  <c r="N410" i="1"/>
  <c r="Q411" i="1"/>
  <c r="P411" i="1"/>
  <c r="R411" i="1"/>
  <c r="M412" i="1"/>
  <c r="N411" i="1"/>
  <c r="P412" i="1"/>
  <c r="R412" i="1"/>
  <c r="Q412" i="1"/>
  <c r="M413" i="1"/>
  <c r="N412" i="1"/>
  <c r="P413" i="1"/>
  <c r="R413" i="1"/>
  <c r="Q413" i="1"/>
  <c r="N413" i="1"/>
  <c r="M414" i="1"/>
  <c r="R414" i="1"/>
  <c r="Q414" i="1"/>
  <c r="P414" i="1"/>
  <c r="M415" i="1"/>
  <c r="N414" i="1"/>
  <c r="R415" i="1"/>
  <c r="Q415" i="1"/>
  <c r="P415" i="1"/>
  <c r="M416" i="1"/>
  <c r="N415" i="1"/>
  <c r="R416" i="1"/>
  <c r="Q416" i="1"/>
  <c r="P416" i="1"/>
  <c r="M417" i="1"/>
  <c r="N416" i="1"/>
  <c r="R417" i="1"/>
  <c r="Q417" i="1"/>
  <c r="P417" i="1"/>
  <c r="N417" i="1"/>
  <c r="M418" i="1"/>
  <c r="R418" i="1"/>
  <c r="Q418" i="1"/>
  <c r="P418" i="1"/>
  <c r="M419" i="1"/>
  <c r="N418" i="1"/>
  <c r="Q419" i="1"/>
  <c r="P419" i="1"/>
  <c r="R419" i="1"/>
  <c r="M420" i="1"/>
  <c r="N419" i="1"/>
  <c r="P420" i="1"/>
  <c r="R420" i="1"/>
  <c r="Q420" i="1"/>
  <c r="M421" i="1"/>
  <c r="N420" i="1"/>
  <c r="P421" i="1"/>
  <c r="R421" i="1"/>
  <c r="Q421" i="1"/>
  <c r="N421" i="1"/>
  <c r="M422" i="1"/>
  <c r="R422" i="1"/>
  <c r="Q422" i="1"/>
  <c r="P422" i="1"/>
  <c r="M423" i="1"/>
  <c r="N422" i="1"/>
  <c r="R423" i="1"/>
  <c r="Q423" i="1"/>
  <c r="P423" i="1"/>
  <c r="M424" i="1"/>
  <c r="N423" i="1"/>
  <c r="R424" i="1"/>
  <c r="Q424" i="1"/>
  <c r="P424" i="1"/>
  <c r="M425" i="1"/>
  <c r="N424" i="1"/>
  <c r="R425" i="1"/>
  <c r="Q425" i="1"/>
  <c r="P425" i="1"/>
  <c r="N425" i="1"/>
  <c r="M426" i="1"/>
  <c r="R426" i="1"/>
  <c r="Q426" i="1"/>
  <c r="P426" i="1"/>
  <c r="M427" i="1"/>
  <c r="N426" i="1"/>
  <c r="Q427" i="1"/>
  <c r="P427" i="1"/>
  <c r="R427" i="1"/>
  <c r="M428" i="1"/>
  <c r="N427" i="1"/>
  <c r="P428" i="1"/>
  <c r="R428" i="1"/>
  <c r="Q428" i="1"/>
  <c r="M429" i="1"/>
  <c r="N428" i="1"/>
  <c r="P429" i="1"/>
  <c r="R429" i="1"/>
  <c r="Q429" i="1"/>
  <c r="N429" i="1"/>
  <c r="M430" i="1"/>
  <c r="Q430" i="1"/>
  <c r="R430" i="1"/>
  <c r="P430" i="1"/>
  <c r="M431" i="1"/>
  <c r="N430" i="1"/>
  <c r="R431" i="1"/>
  <c r="Q431" i="1"/>
  <c r="P431" i="1"/>
  <c r="N431" i="1"/>
  <c r="M432" i="1"/>
  <c r="P432" i="1"/>
  <c r="R432" i="1"/>
  <c r="Q432" i="1"/>
  <c r="M433" i="1"/>
  <c r="N432" i="1"/>
  <c r="R433" i="1"/>
  <c r="Q433" i="1"/>
  <c r="P433" i="1"/>
  <c r="N433" i="1"/>
  <c r="M434" i="1"/>
  <c r="R434" i="1"/>
  <c r="Q434" i="1"/>
  <c r="P434" i="1"/>
  <c r="M435" i="1"/>
  <c r="N434" i="1"/>
  <c r="P435" i="1"/>
  <c r="R435" i="1"/>
  <c r="Q435" i="1"/>
  <c r="N435" i="1"/>
  <c r="M436" i="1"/>
  <c r="P436" i="1"/>
  <c r="R436" i="1"/>
  <c r="Q436" i="1"/>
  <c r="M437" i="1"/>
  <c r="N436" i="1"/>
  <c r="R437" i="1"/>
  <c r="P437" i="1"/>
  <c r="Q437" i="1"/>
  <c r="N437" i="1"/>
  <c r="M438" i="1"/>
  <c r="Q438" i="1"/>
  <c r="R438" i="1"/>
  <c r="P438" i="1"/>
  <c r="N438" i="1"/>
  <c r="M439" i="1"/>
  <c r="P439" i="1"/>
  <c r="R439" i="1"/>
  <c r="Q439" i="1"/>
  <c r="N439" i="1"/>
  <c r="M440" i="1"/>
  <c r="R440" i="1"/>
  <c r="Q440" i="1"/>
  <c r="P440" i="1"/>
  <c r="M441" i="1"/>
  <c r="N440" i="1"/>
  <c r="P441" i="1"/>
  <c r="Q441" i="1"/>
  <c r="R441" i="1"/>
  <c r="N441" i="1"/>
  <c r="M442" i="1"/>
  <c r="P442" i="1"/>
  <c r="Q442" i="1"/>
  <c r="R442" i="1"/>
  <c r="N442" i="1"/>
  <c r="M443" i="1"/>
  <c r="P443" i="1"/>
  <c r="R443" i="1"/>
  <c r="Q443" i="1"/>
  <c r="N443" i="1"/>
  <c r="M444" i="1"/>
  <c r="R444" i="1"/>
  <c r="P444" i="1"/>
  <c r="Q444" i="1"/>
  <c r="M445" i="1"/>
  <c r="N444" i="1"/>
  <c r="P445" i="1"/>
  <c r="Q445" i="1"/>
  <c r="R445" i="1"/>
  <c r="N445" i="1"/>
  <c r="M446" i="1"/>
  <c r="Q446" i="1"/>
  <c r="R446" i="1"/>
  <c r="P446" i="1"/>
  <c r="N446" i="1"/>
  <c r="M447" i="1"/>
  <c r="P447" i="1"/>
  <c r="R447" i="1"/>
  <c r="Q447" i="1"/>
  <c r="M448" i="1"/>
  <c r="N447" i="1"/>
  <c r="R448" i="1"/>
  <c r="Q448" i="1"/>
  <c r="P448" i="1"/>
  <c r="N448" i="1"/>
  <c r="M449" i="1"/>
  <c r="Q449" i="1"/>
  <c r="R449" i="1"/>
  <c r="P449" i="1"/>
  <c r="M450" i="1"/>
  <c r="N449" i="1"/>
  <c r="Q450" i="1"/>
  <c r="R450" i="1"/>
  <c r="P450" i="1"/>
  <c r="N450" i="1"/>
  <c r="M451" i="1"/>
  <c r="P451" i="1"/>
  <c r="R451" i="1"/>
  <c r="Q451" i="1"/>
  <c r="M452" i="1"/>
  <c r="N451" i="1"/>
  <c r="P452" i="1"/>
  <c r="Q452" i="1"/>
  <c r="R452" i="1"/>
  <c r="M453" i="1"/>
  <c r="N452" i="1"/>
  <c r="Q453" i="1"/>
  <c r="R453" i="1"/>
  <c r="P453" i="1"/>
  <c r="M454" i="1"/>
  <c r="N453" i="1"/>
  <c r="Q454" i="1"/>
  <c r="R454" i="1"/>
  <c r="P454" i="1"/>
  <c r="N454" i="1"/>
  <c r="M455" i="1"/>
  <c r="P455" i="1"/>
  <c r="R455" i="1"/>
  <c r="Q455" i="1"/>
  <c r="M456" i="1"/>
  <c r="N455" i="1"/>
  <c r="Q456" i="1"/>
  <c r="R456" i="1"/>
  <c r="P456" i="1"/>
  <c r="M457" i="1"/>
  <c r="N456" i="1"/>
  <c r="Q457" i="1"/>
  <c r="R457" i="1"/>
  <c r="P457" i="1"/>
  <c r="N457" i="1"/>
  <c r="M458" i="1"/>
  <c r="Q458" i="1"/>
  <c r="R458" i="1"/>
  <c r="P458" i="1"/>
  <c r="N458" i="1"/>
  <c r="M459" i="1"/>
  <c r="P459" i="1"/>
  <c r="R459" i="1"/>
  <c r="Q459" i="1"/>
  <c r="M460" i="1"/>
  <c r="N459" i="1"/>
  <c r="P460" i="1"/>
  <c r="R460" i="1"/>
  <c r="Q460" i="1"/>
  <c r="N460" i="1"/>
  <c r="M461" i="1"/>
  <c r="Q461" i="1"/>
  <c r="R461" i="1"/>
  <c r="P461" i="1"/>
  <c r="N461" i="1"/>
  <c r="M462" i="1"/>
  <c r="Q462" i="1"/>
  <c r="R462" i="1"/>
  <c r="P462" i="1"/>
  <c r="M463" i="1"/>
  <c r="N462" i="1"/>
  <c r="P463" i="1"/>
  <c r="Q463" i="1"/>
  <c r="R463" i="1"/>
  <c r="M464" i="1"/>
  <c r="N463" i="1"/>
  <c r="P464" i="1"/>
  <c r="Q464" i="1"/>
  <c r="R464" i="1"/>
  <c r="N464" i="1"/>
  <c r="M465" i="1"/>
  <c r="R465" i="1"/>
  <c r="Q465" i="1"/>
  <c r="P465" i="1"/>
  <c r="N465" i="1"/>
  <c r="M466" i="1"/>
  <c r="Q466" i="1"/>
  <c r="R466" i="1"/>
  <c r="P466" i="1"/>
  <c r="M467" i="1"/>
  <c r="N466" i="1"/>
  <c r="P467" i="1"/>
  <c r="R467" i="1"/>
  <c r="Q467" i="1"/>
  <c r="M468" i="1"/>
  <c r="N467" i="1"/>
  <c r="P468" i="1"/>
  <c r="R468" i="1"/>
  <c r="Q468" i="1"/>
  <c r="N468" i="1"/>
  <c r="M469" i="1"/>
  <c r="R469" i="1"/>
  <c r="P469" i="1"/>
  <c r="Q469" i="1"/>
  <c r="M470" i="1"/>
  <c r="N469" i="1"/>
  <c r="Q470" i="1"/>
  <c r="R470" i="1"/>
  <c r="P470" i="1"/>
  <c r="M471" i="1"/>
  <c r="N470" i="1"/>
  <c r="P471" i="1"/>
  <c r="Q471" i="1"/>
  <c r="R471" i="1"/>
  <c r="M472" i="1"/>
  <c r="N471" i="1"/>
  <c r="P472" i="1"/>
  <c r="Q472" i="1"/>
  <c r="R472" i="1"/>
  <c r="N472" i="1"/>
  <c r="M473" i="1"/>
  <c r="R473" i="1"/>
  <c r="Q473" i="1"/>
  <c r="P473" i="1"/>
  <c r="N473" i="1"/>
  <c r="M474" i="1"/>
  <c r="Q474" i="1"/>
  <c r="R474" i="1"/>
  <c r="P474" i="1"/>
  <c r="M475" i="1"/>
  <c r="N474" i="1"/>
  <c r="P475" i="1"/>
  <c r="R475" i="1"/>
  <c r="Q475" i="1"/>
  <c r="M476" i="1"/>
  <c r="N475" i="1"/>
  <c r="P476" i="1"/>
  <c r="R476" i="1"/>
  <c r="Q476" i="1"/>
  <c r="N476" i="1"/>
  <c r="M477" i="1"/>
  <c r="R477" i="1"/>
  <c r="P477" i="1"/>
  <c r="Q477" i="1"/>
  <c r="N477" i="1"/>
  <c r="M478" i="1"/>
  <c r="Q478" i="1"/>
  <c r="R478" i="1"/>
  <c r="P478" i="1"/>
  <c r="M479" i="1"/>
  <c r="N478" i="1"/>
  <c r="P479" i="1"/>
  <c r="Q479" i="1"/>
  <c r="R479" i="1"/>
  <c r="M480" i="1"/>
  <c r="N479" i="1"/>
  <c r="P480" i="1"/>
  <c r="Q480" i="1"/>
  <c r="R480" i="1"/>
  <c r="N480" i="1"/>
  <c r="M481" i="1"/>
  <c r="R481" i="1"/>
  <c r="Q481" i="1"/>
  <c r="P481" i="1"/>
  <c r="N481" i="1"/>
  <c r="M482" i="1"/>
  <c r="Q482" i="1"/>
  <c r="R482" i="1"/>
  <c r="P482" i="1"/>
  <c r="M483" i="1"/>
  <c r="N482" i="1"/>
  <c r="P483" i="1"/>
  <c r="R483" i="1"/>
  <c r="Q483" i="1"/>
  <c r="M484" i="1"/>
  <c r="N483" i="1"/>
  <c r="P484" i="1"/>
  <c r="R484" i="1"/>
  <c r="Q484" i="1"/>
  <c r="N484" i="1"/>
  <c r="M485" i="1"/>
  <c r="R485" i="1"/>
  <c r="P485" i="1"/>
  <c r="Q485" i="1"/>
  <c r="N485" i="1"/>
  <c r="M486" i="1"/>
  <c r="Q486" i="1"/>
  <c r="R486" i="1"/>
  <c r="P486" i="1"/>
  <c r="M487" i="1"/>
  <c r="N486" i="1"/>
  <c r="P487" i="1"/>
  <c r="Q487" i="1"/>
  <c r="R487" i="1"/>
  <c r="M488" i="1"/>
  <c r="N487" i="1"/>
  <c r="P488" i="1"/>
  <c r="Q488" i="1"/>
  <c r="R488" i="1"/>
  <c r="N488" i="1"/>
  <c r="M489" i="1"/>
  <c r="R489" i="1"/>
  <c r="Q489" i="1"/>
  <c r="P489" i="1"/>
  <c r="N489" i="1"/>
  <c r="M490" i="1"/>
  <c r="Q490" i="1"/>
  <c r="R490" i="1"/>
  <c r="P490" i="1"/>
  <c r="M491" i="1"/>
  <c r="N490" i="1"/>
  <c r="P491" i="1"/>
  <c r="R491" i="1"/>
  <c r="Q491" i="1"/>
  <c r="M492" i="1"/>
  <c r="N491" i="1"/>
  <c r="P492" i="1"/>
  <c r="R492" i="1"/>
  <c r="Q492" i="1"/>
  <c r="N492" i="1"/>
  <c r="M493" i="1"/>
  <c r="R493" i="1"/>
  <c r="P493" i="1"/>
  <c r="Q493" i="1"/>
  <c r="N493" i="1"/>
  <c r="M494" i="1"/>
  <c r="Q494" i="1"/>
  <c r="R494" i="1"/>
  <c r="P494" i="1"/>
  <c r="M495" i="1"/>
  <c r="N494" i="1"/>
  <c r="P495" i="1"/>
  <c r="Q495" i="1"/>
  <c r="R495" i="1"/>
  <c r="M496" i="1"/>
  <c r="N495" i="1"/>
  <c r="P496" i="1"/>
  <c r="R496" i="1"/>
  <c r="Q496" i="1"/>
  <c r="M497" i="1"/>
  <c r="N496" i="1"/>
  <c r="Q497" i="1"/>
  <c r="R497" i="1"/>
  <c r="P497" i="1"/>
  <c r="M498" i="1"/>
  <c r="N497" i="1"/>
  <c r="Q498" i="1"/>
  <c r="P498" i="1"/>
  <c r="R498" i="1"/>
  <c r="M499" i="1"/>
  <c r="N498" i="1"/>
  <c r="Q499" i="1"/>
  <c r="P499" i="1"/>
  <c r="R499" i="1"/>
  <c r="M500" i="1"/>
  <c r="N499" i="1"/>
  <c r="Q500" i="1"/>
  <c r="R500" i="1"/>
  <c r="P500" i="1"/>
  <c r="M501" i="1"/>
  <c r="N500" i="1"/>
  <c r="P501" i="1"/>
  <c r="R501" i="1"/>
  <c r="Q501" i="1"/>
  <c r="M502" i="1"/>
  <c r="N501" i="1"/>
  <c r="R502" i="1"/>
  <c r="Q502" i="1"/>
  <c r="P502" i="1"/>
  <c r="N502" i="1"/>
  <c r="M503" i="1"/>
  <c r="Q503" i="1"/>
  <c r="R503" i="1"/>
  <c r="P503" i="1"/>
  <c r="N503" i="1"/>
  <c r="M504" i="1"/>
  <c r="P504" i="1"/>
  <c r="Q504" i="1"/>
  <c r="R504" i="1"/>
  <c r="N504" i="1"/>
  <c r="M505" i="1"/>
  <c r="R505" i="1"/>
  <c r="Q505" i="1"/>
  <c r="P505" i="1"/>
  <c r="N505" i="1"/>
  <c r="M506" i="1"/>
  <c r="R506" i="1"/>
  <c r="Q506" i="1"/>
  <c r="P506" i="1"/>
  <c r="N506" i="1"/>
  <c r="M507" i="1"/>
  <c r="Q507" i="1"/>
  <c r="R507" i="1"/>
  <c r="P507" i="1"/>
  <c r="N507" i="1"/>
  <c r="M508" i="1"/>
  <c r="R508" i="1"/>
  <c r="Q508" i="1"/>
  <c r="P508" i="1"/>
  <c r="N508" i="1"/>
  <c r="M509" i="1"/>
  <c r="Q509" i="1"/>
  <c r="P509" i="1"/>
  <c r="R509" i="1"/>
  <c r="M510" i="1"/>
  <c r="N509" i="1"/>
  <c r="R510" i="1"/>
  <c r="Q510" i="1"/>
  <c r="P510" i="1"/>
  <c r="N510" i="1"/>
  <c r="M511" i="1"/>
  <c r="R511" i="1"/>
  <c r="Q511" i="1"/>
  <c r="P511" i="1"/>
  <c r="N511" i="1"/>
  <c r="M512" i="1"/>
  <c r="P512" i="1"/>
  <c r="R512" i="1"/>
  <c r="Q512" i="1"/>
  <c r="N512" i="1"/>
  <c r="M513" i="1"/>
  <c r="P513" i="1"/>
  <c r="R513" i="1"/>
  <c r="Q513" i="1"/>
  <c r="M514" i="1"/>
  <c r="N513" i="1"/>
  <c r="P514" i="1"/>
  <c r="Q514" i="1"/>
  <c r="R514" i="1"/>
  <c r="N514" i="1"/>
  <c r="M515" i="1"/>
  <c r="Q515" i="1"/>
  <c r="R515" i="1"/>
  <c r="P515" i="1"/>
  <c r="N515" i="1"/>
  <c r="M516" i="1"/>
  <c r="R516" i="1"/>
  <c r="Q516" i="1"/>
  <c r="P516" i="1"/>
  <c r="M517" i="1"/>
  <c r="N516" i="1"/>
  <c r="Q517" i="1"/>
  <c r="R517" i="1"/>
  <c r="P517" i="1"/>
  <c r="M518" i="1"/>
  <c r="N517" i="1"/>
  <c r="P518" i="1"/>
  <c r="R518" i="1"/>
  <c r="Q518" i="1"/>
  <c r="N518" i="1"/>
  <c r="M519" i="1"/>
  <c r="Q519" i="1"/>
  <c r="R519" i="1"/>
  <c r="P519" i="1"/>
  <c r="N519" i="1"/>
  <c r="M520" i="1"/>
  <c r="R520" i="1"/>
  <c r="P520" i="1"/>
  <c r="Q520" i="1"/>
  <c r="M521" i="1"/>
  <c r="N520" i="1"/>
  <c r="Q521" i="1"/>
  <c r="P521" i="1"/>
  <c r="R521" i="1"/>
  <c r="M522" i="1"/>
  <c r="N521" i="1"/>
  <c r="P522" i="1"/>
  <c r="Q522" i="1"/>
  <c r="R522" i="1"/>
  <c r="N522" i="1"/>
  <c r="M523" i="1"/>
  <c r="R523" i="1"/>
  <c r="Q523" i="1"/>
  <c r="P523" i="1"/>
  <c r="N523" i="1"/>
  <c r="M524" i="1"/>
  <c r="R524" i="1"/>
  <c r="Q524" i="1"/>
  <c r="P524" i="1"/>
  <c r="M525" i="1"/>
  <c r="N524" i="1"/>
  <c r="R525" i="1"/>
  <c r="P525" i="1"/>
  <c r="Q525" i="1"/>
  <c r="M526" i="1"/>
  <c r="N525" i="1"/>
  <c r="Q526" i="1"/>
  <c r="R526" i="1"/>
  <c r="P526" i="1"/>
  <c r="N526" i="1"/>
  <c r="M527" i="1"/>
  <c r="Q527" i="1"/>
  <c r="R527" i="1"/>
  <c r="P527" i="1"/>
  <c r="M528" i="1"/>
  <c r="N527" i="1"/>
  <c r="Q528" i="1"/>
  <c r="P528" i="1"/>
  <c r="R528" i="1"/>
  <c r="M529" i="1"/>
  <c r="N528" i="1"/>
  <c r="P529" i="1"/>
  <c r="Q529" i="1"/>
  <c r="R529" i="1"/>
  <c r="N529" i="1"/>
  <c r="M530" i="1"/>
  <c r="R530" i="1"/>
  <c r="Q530" i="1"/>
  <c r="P530" i="1"/>
  <c r="M531" i="1"/>
  <c r="N530" i="1"/>
  <c r="R531" i="1"/>
  <c r="Q531" i="1"/>
  <c r="P531" i="1"/>
  <c r="M532" i="1"/>
  <c r="N531" i="1"/>
  <c r="P532" i="1"/>
  <c r="Q532" i="1"/>
  <c r="R532" i="1"/>
  <c r="M533" i="1"/>
  <c r="N532" i="1"/>
  <c r="R533" i="1"/>
  <c r="P533" i="1"/>
  <c r="Q533" i="1"/>
  <c r="N533" i="1"/>
  <c r="K972" i="1" l="1"/>
  <c r="N14" i="1"/>
  <c r="L14" i="1"/>
  <c r="R14" i="1" s="1"/>
  <c r="P14" i="1"/>
  <c r="K14" i="1"/>
  <c r="Q972" i="1"/>
  <c r="I15" i="1"/>
  <c r="J15" i="1"/>
  <c r="J16" i="1" s="1"/>
  <c r="J17" i="1" s="1"/>
  <c r="J18" i="1" s="1"/>
  <c r="K973" i="1" l="1"/>
  <c r="N15" i="1"/>
  <c r="L15" i="1"/>
  <c r="R15" i="1" s="1"/>
  <c r="P15" i="1"/>
  <c r="P16" i="1" s="1"/>
  <c r="P17" i="1" s="1"/>
  <c r="P18" i="1" s="1"/>
  <c r="Q14" i="1"/>
  <c r="K15" i="1"/>
  <c r="Q973" i="1"/>
  <c r="I16" i="1"/>
  <c r="J19" i="1"/>
  <c r="K974" i="1" l="1"/>
  <c r="L16" i="1"/>
  <c r="R16" i="1"/>
  <c r="N16" i="1"/>
  <c r="P19" i="1"/>
  <c r="Q15" i="1"/>
  <c r="K16" i="1"/>
  <c r="Q974" i="1"/>
  <c r="I17" i="1"/>
  <c r="J20" i="1"/>
  <c r="K975" i="1" l="1"/>
  <c r="L17" i="1"/>
  <c r="R17" i="1" s="1"/>
  <c r="N17" i="1"/>
  <c r="P20" i="1"/>
  <c r="Q16" i="1"/>
  <c r="K17" i="1"/>
  <c r="Q975" i="1"/>
  <c r="I18" i="1"/>
  <c r="J21" i="1"/>
  <c r="K976" i="1" l="1"/>
  <c r="N18" i="1"/>
  <c r="L18" i="1"/>
  <c r="R18" i="1" s="1"/>
  <c r="P21" i="1"/>
  <c r="Q17" i="1"/>
  <c r="K18" i="1"/>
  <c r="Q976" i="1"/>
  <c r="I19" i="1"/>
  <c r="J22" i="1"/>
  <c r="K977" i="1" l="1"/>
  <c r="L19" i="1"/>
  <c r="R19" i="1" s="1"/>
  <c r="N19" i="1"/>
  <c r="P22" i="1"/>
  <c r="Q18" i="1"/>
  <c r="K19" i="1"/>
  <c r="Q977" i="1"/>
  <c r="I20" i="1"/>
  <c r="J23" i="1"/>
  <c r="K978" i="1" l="1"/>
  <c r="L20" i="1"/>
  <c r="R20" i="1" s="1"/>
  <c r="N20" i="1"/>
  <c r="P23" i="1"/>
  <c r="Q19" i="1"/>
  <c r="K20" i="1"/>
  <c r="Q978" i="1"/>
  <c r="I21" i="1"/>
  <c r="J24" i="1"/>
  <c r="I22" i="1"/>
  <c r="K979" i="1" l="1"/>
  <c r="L22" i="1"/>
  <c r="L21" i="1"/>
  <c r="R21" i="1" s="1"/>
  <c r="N21" i="1"/>
  <c r="N22" i="1" s="1"/>
  <c r="P24" i="1"/>
  <c r="Q20" i="1"/>
  <c r="K21" i="1"/>
  <c r="Q979" i="1"/>
  <c r="I23" i="1"/>
  <c r="J25" i="1"/>
  <c r="K980" i="1" l="1"/>
  <c r="L23" i="1"/>
  <c r="N23" i="1"/>
  <c r="R22" i="1"/>
  <c r="P25" i="1"/>
  <c r="Q21" i="1"/>
  <c r="K22" i="1"/>
  <c r="Q980" i="1"/>
  <c r="I24" i="1"/>
  <c r="J26" i="1"/>
  <c r="K981" i="1" l="1"/>
  <c r="L24" i="1"/>
  <c r="N24" i="1"/>
  <c r="R23" i="1"/>
  <c r="P26" i="1"/>
  <c r="Q22" i="1"/>
  <c r="K23" i="1"/>
  <c r="Q981" i="1"/>
  <c r="I25" i="1"/>
  <c r="J27" i="1"/>
  <c r="K982" i="1" l="1"/>
  <c r="L25" i="1"/>
  <c r="N25" i="1"/>
  <c r="R24" i="1"/>
  <c r="P27" i="1"/>
  <c r="Q23" i="1"/>
  <c r="K24" i="1"/>
  <c r="Q982" i="1"/>
  <c r="I26" i="1"/>
  <c r="J28" i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K983" i="1" l="1"/>
  <c r="L26" i="1"/>
  <c r="N26" i="1"/>
  <c r="R25" i="1"/>
  <c r="P28" i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Q24" i="1"/>
  <c r="K25" i="1"/>
  <c r="Q983" i="1"/>
  <c r="I27" i="1"/>
  <c r="J816" i="1"/>
  <c r="J42" i="1"/>
  <c r="K984" i="1" l="1"/>
  <c r="L27" i="1"/>
  <c r="N27" i="1"/>
  <c r="R26" i="1"/>
  <c r="P42" i="1"/>
  <c r="Q25" i="1"/>
  <c r="K26" i="1"/>
  <c r="Q984" i="1"/>
  <c r="I28" i="1"/>
  <c r="J43" i="1"/>
  <c r="J817" i="1"/>
  <c r="K985" i="1" l="1"/>
  <c r="L28" i="1"/>
  <c r="N28" i="1"/>
  <c r="R27" i="1"/>
  <c r="P43" i="1"/>
  <c r="Q26" i="1"/>
  <c r="K27" i="1"/>
  <c r="Q985" i="1"/>
  <c r="I29" i="1"/>
  <c r="J818" i="1"/>
  <c r="J44" i="1"/>
  <c r="K986" i="1" l="1"/>
  <c r="L29" i="1"/>
  <c r="N29" i="1"/>
  <c r="R28" i="1"/>
  <c r="R29" i="1" s="1"/>
  <c r="P44" i="1"/>
  <c r="Q27" i="1"/>
  <c r="K28" i="1"/>
  <c r="Q986" i="1"/>
  <c r="I30" i="1"/>
  <c r="J45" i="1"/>
  <c r="J819" i="1"/>
  <c r="K987" i="1" l="1"/>
  <c r="L30" i="1"/>
  <c r="N30" i="1"/>
  <c r="R30" i="1"/>
  <c r="P45" i="1"/>
  <c r="Q28" i="1"/>
  <c r="K29" i="1"/>
  <c r="Q987" i="1"/>
  <c r="I31" i="1"/>
  <c r="J820" i="1"/>
  <c r="J46" i="1"/>
  <c r="L31" i="1" l="1"/>
  <c r="R31" i="1" s="1"/>
  <c r="N31" i="1"/>
  <c r="P46" i="1"/>
  <c r="Q29" i="1"/>
  <c r="K30" i="1"/>
  <c r="I32" i="1"/>
  <c r="J47" i="1"/>
  <c r="J821" i="1"/>
  <c r="L32" i="1" l="1"/>
  <c r="R32" i="1" s="1"/>
  <c r="N32" i="1"/>
  <c r="P47" i="1"/>
  <c r="Q30" i="1"/>
  <c r="K31" i="1"/>
  <c r="I33" i="1"/>
  <c r="I816" i="1"/>
  <c r="J822" i="1"/>
  <c r="J48" i="1"/>
  <c r="L816" i="1" l="1"/>
  <c r="L33" i="1"/>
  <c r="N33" i="1"/>
  <c r="R33" i="1"/>
  <c r="P48" i="1"/>
  <c r="Q31" i="1"/>
  <c r="K32" i="1"/>
  <c r="I817" i="1"/>
  <c r="I34" i="1"/>
  <c r="J49" i="1"/>
  <c r="J823" i="1"/>
  <c r="L34" i="1" l="1"/>
  <c r="R34" i="1" s="1"/>
  <c r="L817" i="1"/>
  <c r="N34" i="1"/>
  <c r="P49" i="1"/>
  <c r="Q32" i="1"/>
  <c r="K33" i="1"/>
  <c r="I35" i="1"/>
  <c r="I818" i="1"/>
  <c r="J824" i="1"/>
  <c r="J50" i="1"/>
  <c r="L818" i="1" l="1"/>
  <c r="L35" i="1"/>
  <c r="R35" i="1"/>
  <c r="N35" i="1"/>
  <c r="P50" i="1"/>
  <c r="Q33" i="1"/>
  <c r="K34" i="1"/>
  <c r="I819" i="1"/>
  <c r="I36" i="1"/>
  <c r="J51" i="1"/>
  <c r="J825" i="1"/>
  <c r="L36" i="1" l="1"/>
  <c r="L819" i="1"/>
  <c r="N36" i="1"/>
  <c r="R36" i="1"/>
  <c r="P51" i="1"/>
  <c r="Q34" i="1"/>
  <c r="K35" i="1"/>
  <c r="I37" i="1"/>
  <c r="I820" i="1"/>
  <c r="J826" i="1"/>
  <c r="J52" i="1"/>
  <c r="L820" i="1" l="1"/>
  <c r="L37" i="1"/>
  <c r="N37" i="1"/>
  <c r="R37" i="1"/>
  <c r="P52" i="1"/>
  <c r="Q35" i="1"/>
  <c r="K36" i="1"/>
  <c r="I821" i="1"/>
  <c r="I38" i="1"/>
  <c r="J53" i="1"/>
  <c r="J827" i="1"/>
  <c r="L38" i="1" l="1"/>
  <c r="L821" i="1"/>
  <c r="R38" i="1"/>
  <c r="N38" i="1"/>
  <c r="P53" i="1"/>
  <c r="Q36" i="1"/>
  <c r="K37" i="1"/>
  <c r="I39" i="1"/>
  <c r="I822" i="1"/>
  <c r="J828" i="1"/>
  <c r="J54" i="1"/>
  <c r="L822" i="1" l="1"/>
  <c r="L39" i="1"/>
  <c r="N39" i="1"/>
  <c r="R39" i="1"/>
  <c r="P54" i="1"/>
  <c r="Q37" i="1"/>
  <c r="K38" i="1"/>
  <c r="I823" i="1"/>
  <c r="I40" i="1"/>
  <c r="J55" i="1"/>
  <c r="J829" i="1"/>
  <c r="L40" i="1" l="1"/>
  <c r="R40" i="1" s="1"/>
  <c r="L823" i="1"/>
  <c r="N40" i="1"/>
  <c r="P55" i="1"/>
  <c r="Q38" i="1"/>
  <c r="K39" i="1"/>
  <c r="I41" i="1"/>
  <c r="I824" i="1"/>
  <c r="J830" i="1"/>
  <c r="J56" i="1"/>
  <c r="L824" i="1" l="1"/>
  <c r="L41" i="1"/>
  <c r="R41" i="1"/>
  <c r="N41" i="1"/>
  <c r="P56" i="1"/>
  <c r="Q39" i="1"/>
  <c r="K40" i="1"/>
  <c r="I825" i="1"/>
  <c r="I42" i="1"/>
  <c r="J57" i="1"/>
  <c r="J831" i="1"/>
  <c r="L42" i="1" l="1"/>
  <c r="R42" i="1" s="1"/>
  <c r="L825" i="1"/>
  <c r="N42" i="1"/>
  <c r="P57" i="1"/>
  <c r="Q40" i="1"/>
  <c r="K41" i="1"/>
  <c r="I43" i="1"/>
  <c r="I826" i="1"/>
  <c r="J832" i="1"/>
  <c r="J58" i="1"/>
  <c r="L826" i="1" l="1"/>
  <c r="L43" i="1"/>
  <c r="R43" i="1" s="1"/>
  <c r="N43" i="1"/>
  <c r="P58" i="1"/>
  <c r="Q41" i="1"/>
  <c r="K42" i="1"/>
  <c r="I827" i="1"/>
  <c r="I44" i="1"/>
  <c r="J59" i="1"/>
  <c r="J833" i="1"/>
  <c r="L44" i="1" l="1"/>
  <c r="R44" i="1" s="1"/>
  <c r="L827" i="1"/>
  <c r="N44" i="1"/>
  <c r="P59" i="1"/>
  <c r="Q42" i="1"/>
  <c r="K43" i="1"/>
  <c r="I45" i="1"/>
  <c r="I828" i="1"/>
  <c r="J834" i="1"/>
  <c r="J60" i="1"/>
  <c r="L828" i="1" l="1"/>
  <c r="L45" i="1"/>
  <c r="R45" i="1" s="1"/>
  <c r="N45" i="1"/>
  <c r="P60" i="1"/>
  <c r="Q43" i="1"/>
  <c r="K44" i="1"/>
  <c r="I829" i="1"/>
  <c r="I46" i="1"/>
  <c r="J61" i="1"/>
  <c r="J835" i="1"/>
  <c r="L46" i="1" l="1"/>
  <c r="R46" i="1" s="1"/>
  <c r="L829" i="1"/>
  <c r="N46" i="1"/>
  <c r="P61" i="1"/>
  <c r="Q44" i="1"/>
  <c r="K45" i="1"/>
  <c r="I47" i="1"/>
  <c r="I830" i="1"/>
  <c r="J836" i="1"/>
  <c r="J62" i="1"/>
  <c r="L830" i="1" l="1"/>
  <c r="L47" i="1"/>
  <c r="R47" i="1" s="1"/>
  <c r="N47" i="1"/>
  <c r="P62" i="1"/>
  <c r="Q45" i="1"/>
  <c r="K46" i="1"/>
  <c r="I831" i="1"/>
  <c r="I48" i="1"/>
  <c r="J63" i="1"/>
  <c r="J837" i="1"/>
  <c r="L48" i="1" l="1"/>
  <c r="R48" i="1" s="1"/>
  <c r="L831" i="1"/>
  <c r="N48" i="1"/>
  <c r="P63" i="1"/>
  <c r="Q46" i="1"/>
  <c r="K47" i="1"/>
  <c r="I49" i="1"/>
  <c r="I832" i="1"/>
  <c r="J838" i="1"/>
  <c r="J64" i="1"/>
  <c r="L832" i="1" l="1"/>
  <c r="L49" i="1"/>
  <c r="R49" i="1" s="1"/>
  <c r="N49" i="1"/>
  <c r="P64" i="1"/>
  <c r="Q47" i="1"/>
  <c r="K48" i="1"/>
  <c r="I833" i="1"/>
  <c r="I50" i="1"/>
  <c r="J65" i="1"/>
  <c r="J839" i="1"/>
  <c r="L50" i="1" l="1"/>
  <c r="R50" i="1" s="1"/>
  <c r="L833" i="1"/>
  <c r="N50" i="1"/>
  <c r="P65" i="1"/>
  <c r="Q48" i="1"/>
  <c r="K49" i="1"/>
  <c r="I51" i="1"/>
  <c r="I834" i="1"/>
  <c r="J840" i="1"/>
  <c r="J66" i="1"/>
  <c r="L834" i="1" l="1"/>
  <c r="L51" i="1"/>
  <c r="R51" i="1" s="1"/>
  <c r="N51" i="1"/>
  <c r="P66" i="1"/>
  <c r="Q49" i="1"/>
  <c r="K50" i="1"/>
  <c r="I835" i="1"/>
  <c r="I52" i="1"/>
  <c r="J67" i="1"/>
  <c r="J841" i="1"/>
  <c r="L52" i="1" l="1"/>
  <c r="R52" i="1" s="1"/>
  <c r="L835" i="1"/>
  <c r="N52" i="1"/>
  <c r="P67" i="1"/>
  <c r="Q50" i="1"/>
  <c r="K51" i="1"/>
  <c r="I53" i="1"/>
  <c r="I836" i="1"/>
  <c r="J842" i="1"/>
  <c r="J68" i="1"/>
  <c r="L836" i="1" l="1"/>
  <c r="L53" i="1"/>
  <c r="R53" i="1" s="1"/>
  <c r="N53" i="1"/>
  <c r="P68" i="1"/>
  <c r="Q51" i="1"/>
  <c r="K52" i="1"/>
  <c r="I837" i="1"/>
  <c r="I54" i="1"/>
  <c r="J69" i="1"/>
  <c r="J843" i="1"/>
  <c r="L54" i="1" l="1"/>
  <c r="R54" i="1" s="1"/>
  <c r="L837" i="1"/>
  <c r="N54" i="1"/>
  <c r="P69" i="1"/>
  <c r="Q52" i="1"/>
  <c r="K53" i="1"/>
  <c r="I55" i="1"/>
  <c r="I838" i="1"/>
  <c r="J844" i="1"/>
  <c r="J70" i="1"/>
  <c r="L838" i="1" l="1"/>
  <c r="L55" i="1"/>
  <c r="R55" i="1" s="1"/>
  <c r="N55" i="1"/>
  <c r="P70" i="1"/>
  <c r="Q53" i="1"/>
  <c r="K54" i="1"/>
  <c r="I839" i="1"/>
  <c r="I56" i="1"/>
  <c r="J71" i="1"/>
  <c r="J845" i="1"/>
  <c r="L56" i="1" l="1"/>
  <c r="R56" i="1" s="1"/>
  <c r="L839" i="1"/>
  <c r="N56" i="1"/>
  <c r="P71" i="1"/>
  <c r="Q54" i="1"/>
  <c r="K55" i="1"/>
  <c r="I57" i="1"/>
  <c r="I840" i="1"/>
  <c r="J846" i="1"/>
  <c r="J72" i="1"/>
  <c r="L840" i="1" l="1"/>
  <c r="L57" i="1"/>
  <c r="R57" i="1" s="1"/>
  <c r="N57" i="1"/>
  <c r="P72" i="1"/>
  <c r="Q55" i="1"/>
  <c r="K56" i="1"/>
  <c r="I841" i="1"/>
  <c r="I58" i="1"/>
  <c r="J73" i="1"/>
  <c r="J847" i="1"/>
  <c r="L58" i="1" l="1"/>
  <c r="R58" i="1" s="1"/>
  <c r="L841" i="1"/>
  <c r="N58" i="1"/>
  <c r="P73" i="1"/>
  <c r="Q56" i="1"/>
  <c r="K57" i="1"/>
  <c r="I59" i="1"/>
  <c r="I842" i="1"/>
  <c r="J848" i="1"/>
  <c r="J74" i="1"/>
  <c r="L842" i="1" l="1"/>
  <c r="L59" i="1"/>
  <c r="R59" i="1" s="1"/>
  <c r="N59" i="1"/>
  <c r="P74" i="1"/>
  <c r="Q57" i="1"/>
  <c r="K58" i="1"/>
  <c r="I843" i="1"/>
  <c r="I60" i="1"/>
  <c r="J75" i="1"/>
  <c r="J849" i="1"/>
  <c r="L60" i="1" l="1"/>
  <c r="R60" i="1" s="1"/>
  <c r="L843" i="1"/>
  <c r="N60" i="1"/>
  <c r="P75" i="1"/>
  <c r="Q58" i="1"/>
  <c r="K59" i="1"/>
  <c r="I61" i="1"/>
  <c r="I844" i="1"/>
  <c r="J850" i="1"/>
  <c r="J76" i="1"/>
  <c r="L844" i="1" l="1"/>
  <c r="L61" i="1"/>
  <c r="R61" i="1" s="1"/>
  <c r="N61" i="1"/>
  <c r="P76" i="1"/>
  <c r="Q59" i="1"/>
  <c r="K60" i="1"/>
  <c r="I845" i="1"/>
  <c r="I62" i="1"/>
  <c r="J77" i="1"/>
  <c r="J851" i="1"/>
  <c r="L62" i="1" l="1"/>
  <c r="R62" i="1" s="1"/>
  <c r="L845" i="1"/>
  <c r="N62" i="1"/>
  <c r="P77" i="1"/>
  <c r="Q60" i="1"/>
  <c r="K61" i="1"/>
  <c r="I63" i="1"/>
  <c r="I846" i="1"/>
  <c r="J852" i="1"/>
  <c r="J78" i="1"/>
  <c r="L846" i="1" l="1"/>
  <c r="L63" i="1"/>
  <c r="R63" i="1" s="1"/>
  <c r="N63" i="1"/>
  <c r="P78" i="1"/>
  <c r="Q61" i="1"/>
  <c r="K62" i="1"/>
  <c r="I847" i="1"/>
  <c r="I64" i="1"/>
  <c r="J79" i="1"/>
  <c r="J853" i="1"/>
  <c r="L64" i="1" l="1"/>
  <c r="R64" i="1" s="1"/>
  <c r="L847" i="1"/>
  <c r="N64" i="1"/>
  <c r="P79" i="1"/>
  <c r="Q62" i="1"/>
  <c r="K63" i="1"/>
  <c r="I65" i="1"/>
  <c r="I848" i="1"/>
  <c r="J854" i="1"/>
  <c r="J80" i="1"/>
  <c r="L848" i="1" l="1"/>
  <c r="L65" i="1"/>
  <c r="R65" i="1" s="1"/>
  <c r="N65" i="1"/>
  <c r="P80" i="1"/>
  <c r="Q63" i="1"/>
  <c r="K64" i="1"/>
  <c r="I849" i="1"/>
  <c r="I66" i="1"/>
  <c r="J81" i="1"/>
  <c r="J855" i="1"/>
  <c r="L66" i="1" l="1"/>
  <c r="R66" i="1" s="1"/>
  <c r="L849" i="1"/>
  <c r="N66" i="1"/>
  <c r="P81" i="1"/>
  <c r="Q64" i="1"/>
  <c r="K65" i="1"/>
  <c r="I67" i="1"/>
  <c r="I850" i="1"/>
  <c r="J856" i="1"/>
  <c r="J82" i="1"/>
  <c r="L850" i="1" l="1"/>
  <c r="L67" i="1"/>
  <c r="R67" i="1" s="1"/>
  <c r="N67" i="1"/>
  <c r="P82" i="1"/>
  <c r="Q65" i="1"/>
  <c r="K66" i="1"/>
  <c r="I851" i="1"/>
  <c r="I68" i="1"/>
  <c r="J83" i="1"/>
  <c r="J857" i="1"/>
  <c r="L68" i="1" l="1"/>
  <c r="R68" i="1" s="1"/>
  <c r="L851" i="1"/>
  <c r="N68" i="1"/>
  <c r="P83" i="1"/>
  <c r="Q66" i="1"/>
  <c r="K67" i="1"/>
  <c r="I69" i="1"/>
  <c r="I852" i="1"/>
  <c r="J858" i="1"/>
  <c r="J84" i="1"/>
  <c r="L852" i="1" l="1"/>
  <c r="L69" i="1"/>
  <c r="R69" i="1" s="1"/>
  <c r="N69" i="1"/>
  <c r="P84" i="1"/>
  <c r="Q67" i="1"/>
  <c r="K68" i="1"/>
  <c r="I853" i="1"/>
  <c r="I70" i="1"/>
  <c r="J85" i="1"/>
  <c r="J859" i="1"/>
  <c r="L70" i="1" l="1"/>
  <c r="R70" i="1" s="1"/>
  <c r="L853" i="1"/>
  <c r="N70" i="1"/>
  <c r="P85" i="1"/>
  <c r="Q68" i="1"/>
  <c r="K69" i="1"/>
  <c r="I71" i="1"/>
  <c r="I854" i="1"/>
  <c r="J860" i="1"/>
  <c r="J86" i="1"/>
  <c r="L854" i="1" l="1"/>
  <c r="L71" i="1"/>
  <c r="R71" i="1" s="1"/>
  <c r="N71" i="1"/>
  <c r="P86" i="1"/>
  <c r="Q69" i="1"/>
  <c r="K70" i="1"/>
  <c r="I855" i="1"/>
  <c r="I72" i="1"/>
  <c r="J87" i="1"/>
  <c r="J861" i="1"/>
  <c r="L72" i="1" l="1"/>
  <c r="R72" i="1" s="1"/>
  <c r="L855" i="1"/>
  <c r="N72" i="1"/>
  <c r="P87" i="1"/>
  <c r="Q70" i="1"/>
  <c r="K71" i="1"/>
  <c r="I73" i="1"/>
  <c r="I856" i="1"/>
  <c r="J862" i="1"/>
  <c r="J88" i="1"/>
  <c r="L856" i="1" l="1"/>
  <c r="L73" i="1"/>
  <c r="R73" i="1" s="1"/>
  <c r="N73" i="1"/>
  <c r="P88" i="1"/>
  <c r="Q71" i="1"/>
  <c r="K72" i="1"/>
  <c r="I857" i="1"/>
  <c r="I74" i="1"/>
  <c r="J89" i="1"/>
  <c r="J863" i="1"/>
  <c r="L74" i="1" l="1"/>
  <c r="R74" i="1" s="1"/>
  <c r="L857" i="1"/>
  <c r="N74" i="1"/>
  <c r="P89" i="1"/>
  <c r="Q72" i="1"/>
  <c r="K73" i="1"/>
  <c r="I75" i="1"/>
  <c r="I858" i="1"/>
  <c r="J864" i="1"/>
  <c r="J90" i="1"/>
  <c r="L858" i="1" l="1"/>
  <c r="L75" i="1"/>
  <c r="R75" i="1" s="1"/>
  <c r="N75" i="1"/>
  <c r="P90" i="1"/>
  <c r="Q73" i="1"/>
  <c r="K74" i="1"/>
  <c r="I859" i="1"/>
  <c r="I76" i="1"/>
  <c r="J91" i="1"/>
  <c r="J865" i="1"/>
  <c r="L76" i="1" l="1"/>
  <c r="R76" i="1" s="1"/>
  <c r="L859" i="1"/>
  <c r="N76" i="1"/>
  <c r="P91" i="1"/>
  <c r="Q74" i="1"/>
  <c r="K75" i="1"/>
  <c r="I77" i="1"/>
  <c r="I860" i="1"/>
  <c r="J866" i="1"/>
  <c r="J92" i="1"/>
  <c r="L860" i="1" l="1"/>
  <c r="L77" i="1"/>
  <c r="R77" i="1" s="1"/>
  <c r="N77" i="1"/>
  <c r="P92" i="1"/>
  <c r="Q75" i="1"/>
  <c r="K76" i="1"/>
  <c r="I861" i="1"/>
  <c r="I78" i="1"/>
  <c r="J93" i="1"/>
  <c r="J867" i="1"/>
  <c r="L78" i="1" l="1"/>
  <c r="R78" i="1" s="1"/>
  <c r="L861" i="1"/>
  <c r="N78" i="1"/>
  <c r="P93" i="1"/>
  <c r="Q76" i="1"/>
  <c r="K77" i="1"/>
  <c r="I79" i="1"/>
  <c r="I862" i="1"/>
  <c r="J868" i="1"/>
  <c r="J94" i="1"/>
  <c r="L862" i="1" l="1"/>
  <c r="L79" i="1"/>
  <c r="R79" i="1" s="1"/>
  <c r="N79" i="1"/>
  <c r="P94" i="1"/>
  <c r="Q77" i="1"/>
  <c r="K78" i="1"/>
  <c r="I863" i="1"/>
  <c r="I80" i="1"/>
  <c r="J95" i="1"/>
  <c r="J869" i="1"/>
  <c r="L80" i="1" l="1"/>
  <c r="R80" i="1" s="1"/>
  <c r="L863" i="1"/>
  <c r="N80" i="1"/>
  <c r="P95" i="1"/>
  <c r="Q78" i="1"/>
  <c r="K79" i="1"/>
  <c r="I81" i="1"/>
  <c r="I864" i="1"/>
  <c r="J870" i="1"/>
  <c r="J96" i="1"/>
  <c r="L864" i="1" l="1"/>
  <c r="L81" i="1"/>
  <c r="R81" i="1" s="1"/>
  <c r="N81" i="1"/>
  <c r="P96" i="1"/>
  <c r="Q79" i="1"/>
  <c r="K80" i="1"/>
  <c r="I865" i="1"/>
  <c r="I82" i="1"/>
  <c r="J97" i="1"/>
  <c r="J871" i="1"/>
  <c r="L82" i="1" l="1"/>
  <c r="R82" i="1" s="1"/>
  <c r="L865" i="1"/>
  <c r="N82" i="1"/>
  <c r="P97" i="1"/>
  <c r="Q80" i="1"/>
  <c r="K81" i="1"/>
  <c r="I83" i="1"/>
  <c r="I866" i="1"/>
  <c r="J872" i="1"/>
  <c r="J98" i="1"/>
  <c r="L866" i="1" l="1"/>
  <c r="L83" i="1"/>
  <c r="R83" i="1" s="1"/>
  <c r="N83" i="1"/>
  <c r="P98" i="1"/>
  <c r="Q81" i="1"/>
  <c r="K82" i="1"/>
  <c r="I867" i="1"/>
  <c r="I84" i="1"/>
  <c r="J99" i="1"/>
  <c r="J873" i="1"/>
  <c r="L84" i="1" l="1"/>
  <c r="R84" i="1" s="1"/>
  <c r="L867" i="1"/>
  <c r="N84" i="1"/>
  <c r="P99" i="1"/>
  <c r="Q82" i="1"/>
  <c r="K83" i="1"/>
  <c r="I85" i="1"/>
  <c r="I868" i="1"/>
  <c r="J874" i="1"/>
  <c r="J100" i="1"/>
  <c r="L868" i="1" l="1"/>
  <c r="L85" i="1"/>
  <c r="R85" i="1" s="1"/>
  <c r="N85" i="1"/>
  <c r="P100" i="1"/>
  <c r="Q83" i="1"/>
  <c r="K84" i="1"/>
  <c r="I869" i="1"/>
  <c r="I86" i="1"/>
  <c r="J101" i="1"/>
  <c r="J875" i="1"/>
  <c r="L86" i="1" l="1"/>
  <c r="R86" i="1" s="1"/>
  <c r="L869" i="1"/>
  <c r="N86" i="1"/>
  <c r="P101" i="1"/>
  <c r="Q84" i="1"/>
  <c r="K85" i="1"/>
  <c r="I87" i="1"/>
  <c r="I870" i="1"/>
  <c r="J876" i="1"/>
  <c r="J102" i="1"/>
  <c r="L870" i="1" l="1"/>
  <c r="L87" i="1"/>
  <c r="R87" i="1" s="1"/>
  <c r="N87" i="1"/>
  <c r="P102" i="1"/>
  <c r="Q85" i="1"/>
  <c r="K86" i="1"/>
  <c r="I871" i="1"/>
  <c r="I88" i="1"/>
  <c r="J103" i="1"/>
  <c r="J877" i="1"/>
  <c r="L88" i="1" l="1"/>
  <c r="R88" i="1" s="1"/>
  <c r="L871" i="1"/>
  <c r="N88" i="1"/>
  <c r="P103" i="1"/>
  <c r="Q86" i="1"/>
  <c r="K87" i="1"/>
  <c r="I89" i="1"/>
  <c r="I872" i="1"/>
  <c r="J878" i="1"/>
  <c r="J104" i="1"/>
  <c r="L872" i="1" l="1"/>
  <c r="L89" i="1"/>
  <c r="R89" i="1" s="1"/>
  <c r="N89" i="1"/>
  <c r="P104" i="1"/>
  <c r="Q87" i="1"/>
  <c r="K88" i="1"/>
  <c r="I873" i="1"/>
  <c r="I90" i="1"/>
  <c r="J105" i="1"/>
  <c r="J879" i="1"/>
  <c r="L90" i="1" l="1"/>
  <c r="R90" i="1" s="1"/>
  <c r="L873" i="1"/>
  <c r="N90" i="1"/>
  <c r="P105" i="1"/>
  <c r="Q88" i="1"/>
  <c r="K89" i="1"/>
  <c r="I91" i="1"/>
  <c r="I874" i="1"/>
  <c r="J880" i="1"/>
  <c r="J106" i="1"/>
  <c r="L874" i="1" l="1"/>
  <c r="L91" i="1"/>
  <c r="R91" i="1" s="1"/>
  <c r="N91" i="1"/>
  <c r="P106" i="1"/>
  <c r="Q89" i="1"/>
  <c r="K90" i="1"/>
  <c r="I875" i="1"/>
  <c r="I92" i="1"/>
  <c r="J107" i="1"/>
  <c r="J881" i="1"/>
  <c r="L92" i="1" l="1"/>
  <c r="R92" i="1" s="1"/>
  <c r="L875" i="1"/>
  <c r="N92" i="1"/>
  <c r="P107" i="1"/>
  <c r="Q90" i="1"/>
  <c r="K91" i="1"/>
  <c r="I93" i="1"/>
  <c r="I876" i="1"/>
  <c r="J882" i="1"/>
  <c r="J108" i="1"/>
  <c r="L876" i="1" l="1"/>
  <c r="L93" i="1"/>
  <c r="R93" i="1" s="1"/>
  <c r="N93" i="1"/>
  <c r="P108" i="1"/>
  <c r="Q91" i="1"/>
  <c r="K92" i="1"/>
  <c r="I877" i="1"/>
  <c r="I94" i="1"/>
  <c r="J109" i="1"/>
  <c r="J883" i="1"/>
  <c r="L94" i="1" l="1"/>
  <c r="R94" i="1" s="1"/>
  <c r="L877" i="1"/>
  <c r="N94" i="1"/>
  <c r="P109" i="1"/>
  <c r="Q92" i="1"/>
  <c r="K93" i="1"/>
  <c r="I95" i="1"/>
  <c r="I878" i="1"/>
  <c r="J884" i="1"/>
  <c r="J110" i="1"/>
  <c r="L878" i="1" l="1"/>
  <c r="L95" i="1"/>
  <c r="R95" i="1" s="1"/>
  <c r="N95" i="1"/>
  <c r="P110" i="1"/>
  <c r="Q93" i="1"/>
  <c r="K94" i="1"/>
  <c r="I879" i="1"/>
  <c r="I96" i="1"/>
  <c r="J111" i="1"/>
  <c r="J885" i="1"/>
  <c r="L96" i="1" l="1"/>
  <c r="R96" i="1" s="1"/>
  <c r="L879" i="1"/>
  <c r="N96" i="1"/>
  <c r="P111" i="1"/>
  <c r="Q94" i="1"/>
  <c r="K95" i="1"/>
  <c r="I97" i="1"/>
  <c r="I880" i="1"/>
  <c r="J886" i="1"/>
  <c r="J112" i="1"/>
  <c r="L880" i="1" l="1"/>
  <c r="L97" i="1"/>
  <c r="R97" i="1" s="1"/>
  <c r="N97" i="1"/>
  <c r="P112" i="1"/>
  <c r="Q95" i="1"/>
  <c r="K96" i="1"/>
  <c r="I881" i="1"/>
  <c r="I98" i="1"/>
  <c r="J113" i="1"/>
  <c r="J887" i="1"/>
  <c r="L98" i="1" l="1"/>
  <c r="R98" i="1" s="1"/>
  <c r="L881" i="1"/>
  <c r="N98" i="1"/>
  <c r="P113" i="1"/>
  <c r="Q96" i="1"/>
  <c r="K97" i="1"/>
  <c r="I99" i="1"/>
  <c r="I882" i="1"/>
  <c r="J888" i="1"/>
  <c r="J114" i="1"/>
  <c r="L882" i="1" l="1"/>
  <c r="L99" i="1"/>
  <c r="R99" i="1" s="1"/>
  <c r="N99" i="1"/>
  <c r="P114" i="1"/>
  <c r="Q97" i="1"/>
  <c r="K98" i="1"/>
  <c r="I883" i="1"/>
  <c r="I100" i="1"/>
  <c r="J115" i="1"/>
  <c r="J889" i="1"/>
  <c r="L100" i="1" l="1"/>
  <c r="R100" i="1" s="1"/>
  <c r="L883" i="1"/>
  <c r="N100" i="1"/>
  <c r="P115" i="1"/>
  <c r="Q98" i="1"/>
  <c r="K99" i="1"/>
  <c r="I101" i="1"/>
  <c r="I884" i="1"/>
  <c r="J890" i="1"/>
  <c r="J116" i="1"/>
  <c r="L884" i="1" l="1"/>
  <c r="L101" i="1"/>
  <c r="R101" i="1" s="1"/>
  <c r="N101" i="1"/>
  <c r="P116" i="1"/>
  <c r="Q99" i="1"/>
  <c r="K100" i="1"/>
  <c r="I885" i="1"/>
  <c r="I102" i="1"/>
  <c r="J117" i="1"/>
  <c r="J891" i="1"/>
  <c r="L102" i="1" l="1"/>
  <c r="R102" i="1" s="1"/>
  <c r="L885" i="1"/>
  <c r="N102" i="1"/>
  <c r="P117" i="1"/>
  <c r="Q100" i="1"/>
  <c r="K101" i="1"/>
  <c r="I103" i="1"/>
  <c r="I886" i="1"/>
  <c r="J892" i="1"/>
  <c r="J118" i="1"/>
  <c r="L886" i="1" l="1"/>
  <c r="L103" i="1"/>
  <c r="R103" i="1" s="1"/>
  <c r="N103" i="1"/>
  <c r="P118" i="1"/>
  <c r="Q101" i="1"/>
  <c r="K102" i="1"/>
  <c r="I887" i="1"/>
  <c r="I104" i="1"/>
  <c r="J119" i="1"/>
  <c r="J893" i="1"/>
  <c r="L104" i="1" l="1"/>
  <c r="R104" i="1" s="1"/>
  <c r="L887" i="1"/>
  <c r="N104" i="1"/>
  <c r="P119" i="1"/>
  <c r="Q102" i="1"/>
  <c r="K103" i="1"/>
  <c r="I105" i="1"/>
  <c r="I888" i="1"/>
  <c r="J894" i="1"/>
  <c r="J120" i="1"/>
  <c r="L888" i="1" l="1"/>
  <c r="L105" i="1"/>
  <c r="R105" i="1" s="1"/>
  <c r="N105" i="1"/>
  <c r="P120" i="1"/>
  <c r="Q103" i="1"/>
  <c r="K104" i="1"/>
  <c r="I889" i="1"/>
  <c r="I106" i="1"/>
  <c r="J121" i="1"/>
  <c r="J895" i="1"/>
  <c r="L106" i="1" l="1"/>
  <c r="R106" i="1" s="1"/>
  <c r="L889" i="1"/>
  <c r="N106" i="1"/>
  <c r="P121" i="1"/>
  <c r="Q104" i="1"/>
  <c r="K105" i="1"/>
  <c r="I107" i="1"/>
  <c r="I890" i="1"/>
  <c r="J896" i="1"/>
  <c r="J122" i="1"/>
  <c r="L890" i="1" l="1"/>
  <c r="L107" i="1"/>
  <c r="R107" i="1" s="1"/>
  <c r="N107" i="1"/>
  <c r="P122" i="1"/>
  <c r="Q105" i="1"/>
  <c r="K106" i="1"/>
  <c r="I891" i="1"/>
  <c r="I108" i="1"/>
  <c r="J123" i="1"/>
  <c r="J897" i="1"/>
  <c r="L108" i="1" l="1"/>
  <c r="R108" i="1" s="1"/>
  <c r="L891" i="1"/>
  <c r="N108" i="1"/>
  <c r="P123" i="1"/>
  <c r="Q106" i="1"/>
  <c r="K107" i="1"/>
  <c r="I109" i="1"/>
  <c r="I892" i="1"/>
  <c r="J898" i="1"/>
  <c r="J124" i="1"/>
  <c r="L892" i="1" l="1"/>
  <c r="L109" i="1"/>
  <c r="R109" i="1" s="1"/>
  <c r="N109" i="1"/>
  <c r="P124" i="1"/>
  <c r="Q107" i="1"/>
  <c r="K108" i="1"/>
  <c r="I893" i="1"/>
  <c r="I110" i="1"/>
  <c r="J125" i="1"/>
  <c r="J899" i="1"/>
  <c r="L110" i="1" l="1"/>
  <c r="R110" i="1" s="1"/>
  <c r="L893" i="1"/>
  <c r="N110" i="1"/>
  <c r="P125" i="1"/>
  <c r="Q108" i="1"/>
  <c r="K109" i="1"/>
  <c r="I111" i="1"/>
  <c r="I894" i="1"/>
  <c r="J900" i="1"/>
  <c r="J126" i="1"/>
  <c r="L894" i="1" l="1"/>
  <c r="L111" i="1"/>
  <c r="R111" i="1" s="1"/>
  <c r="N111" i="1"/>
  <c r="P126" i="1"/>
  <c r="Q109" i="1"/>
  <c r="K110" i="1"/>
  <c r="I895" i="1"/>
  <c r="I112" i="1"/>
  <c r="J127" i="1"/>
  <c r="J901" i="1"/>
  <c r="L112" i="1" l="1"/>
  <c r="R112" i="1" s="1"/>
  <c r="L895" i="1"/>
  <c r="N112" i="1"/>
  <c r="P127" i="1"/>
  <c r="Q110" i="1"/>
  <c r="K111" i="1"/>
  <c r="I113" i="1"/>
  <c r="I896" i="1"/>
  <c r="J902" i="1"/>
  <c r="J128" i="1"/>
  <c r="L896" i="1" l="1"/>
  <c r="L113" i="1"/>
  <c r="R113" i="1" s="1"/>
  <c r="N113" i="1"/>
  <c r="P128" i="1"/>
  <c r="Q111" i="1"/>
  <c r="K112" i="1"/>
  <c r="I897" i="1"/>
  <c r="I114" i="1"/>
  <c r="J129" i="1"/>
  <c r="J903" i="1"/>
  <c r="L114" i="1" l="1"/>
  <c r="R114" i="1" s="1"/>
  <c r="L897" i="1"/>
  <c r="N114" i="1"/>
  <c r="P129" i="1"/>
  <c r="Q112" i="1"/>
  <c r="K113" i="1"/>
  <c r="I115" i="1"/>
  <c r="I898" i="1"/>
  <c r="J904" i="1"/>
  <c r="J130" i="1"/>
  <c r="L898" i="1" l="1"/>
  <c r="L115" i="1"/>
  <c r="R115" i="1" s="1"/>
  <c r="N115" i="1"/>
  <c r="P130" i="1"/>
  <c r="Q113" i="1"/>
  <c r="K114" i="1"/>
  <c r="I899" i="1"/>
  <c r="I116" i="1"/>
  <c r="J131" i="1"/>
  <c r="J905" i="1"/>
  <c r="L116" i="1" l="1"/>
  <c r="R116" i="1" s="1"/>
  <c r="L899" i="1"/>
  <c r="N116" i="1"/>
  <c r="P131" i="1"/>
  <c r="Q114" i="1"/>
  <c r="K115" i="1"/>
  <c r="I117" i="1"/>
  <c r="I900" i="1"/>
  <c r="J906" i="1"/>
  <c r="J132" i="1"/>
  <c r="L900" i="1" l="1"/>
  <c r="L117" i="1"/>
  <c r="R117" i="1" s="1"/>
  <c r="N117" i="1"/>
  <c r="P132" i="1"/>
  <c r="Q115" i="1"/>
  <c r="K116" i="1"/>
  <c r="I901" i="1"/>
  <c r="I118" i="1"/>
  <c r="J133" i="1"/>
  <c r="J907" i="1"/>
  <c r="L118" i="1" l="1"/>
  <c r="R118" i="1" s="1"/>
  <c r="L901" i="1"/>
  <c r="N118" i="1"/>
  <c r="P133" i="1"/>
  <c r="Q116" i="1"/>
  <c r="K117" i="1"/>
  <c r="I119" i="1"/>
  <c r="I902" i="1"/>
  <c r="J908" i="1"/>
  <c r="J134" i="1"/>
  <c r="L902" i="1" l="1"/>
  <c r="L119" i="1"/>
  <c r="R119" i="1" s="1"/>
  <c r="N119" i="1"/>
  <c r="P134" i="1"/>
  <c r="Q117" i="1"/>
  <c r="K118" i="1"/>
  <c r="I903" i="1"/>
  <c r="I120" i="1"/>
  <c r="J135" i="1"/>
  <c r="J909" i="1"/>
  <c r="L120" i="1" l="1"/>
  <c r="R120" i="1" s="1"/>
  <c r="L903" i="1"/>
  <c r="N120" i="1"/>
  <c r="P135" i="1"/>
  <c r="Q118" i="1"/>
  <c r="K119" i="1"/>
  <c r="I121" i="1"/>
  <c r="I904" i="1"/>
  <c r="J910" i="1"/>
  <c r="J136" i="1"/>
  <c r="L904" i="1" l="1"/>
  <c r="L121" i="1"/>
  <c r="R121" i="1" s="1"/>
  <c r="N121" i="1"/>
  <c r="P136" i="1"/>
  <c r="Q119" i="1"/>
  <c r="K120" i="1"/>
  <c r="I905" i="1"/>
  <c r="I122" i="1"/>
  <c r="J137" i="1"/>
  <c r="J911" i="1"/>
  <c r="L122" i="1" l="1"/>
  <c r="R122" i="1" s="1"/>
  <c r="L905" i="1"/>
  <c r="N122" i="1"/>
  <c r="P137" i="1"/>
  <c r="Q120" i="1"/>
  <c r="K121" i="1"/>
  <c r="I123" i="1"/>
  <c r="I906" i="1"/>
  <c r="J138" i="1"/>
  <c r="J912" i="1"/>
  <c r="L906" i="1" l="1"/>
  <c r="L123" i="1"/>
  <c r="R123" i="1" s="1"/>
  <c r="N123" i="1"/>
  <c r="P138" i="1"/>
  <c r="Q121" i="1"/>
  <c r="K122" i="1"/>
  <c r="I907" i="1"/>
  <c r="I124" i="1"/>
  <c r="J913" i="1"/>
  <c r="J139" i="1"/>
  <c r="L124" i="1" l="1"/>
  <c r="R124" i="1" s="1"/>
  <c r="L907" i="1"/>
  <c r="N124" i="1"/>
  <c r="P139" i="1"/>
  <c r="Q122" i="1"/>
  <c r="K123" i="1"/>
  <c r="I125" i="1"/>
  <c r="I908" i="1"/>
  <c r="J140" i="1"/>
  <c r="J914" i="1"/>
  <c r="L908" i="1" l="1"/>
  <c r="L125" i="1"/>
  <c r="R125" i="1" s="1"/>
  <c r="N125" i="1"/>
  <c r="P140" i="1"/>
  <c r="Q123" i="1"/>
  <c r="K124" i="1"/>
  <c r="I909" i="1"/>
  <c r="I126" i="1"/>
  <c r="J915" i="1"/>
  <c r="J141" i="1"/>
  <c r="L126" i="1" l="1"/>
  <c r="R126" i="1" s="1"/>
  <c r="L909" i="1"/>
  <c r="N126" i="1"/>
  <c r="P141" i="1"/>
  <c r="Q124" i="1"/>
  <c r="K125" i="1"/>
  <c r="I127" i="1"/>
  <c r="I910" i="1"/>
  <c r="J142" i="1"/>
  <c r="J916" i="1"/>
  <c r="L910" i="1" l="1"/>
  <c r="L127" i="1"/>
  <c r="R127" i="1" s="1"/>
  <c r="N127" i="1"/>
  <c r="P142" i="1"/>
  <c r="Q125" i="1"/>
  <c r="K126" i="1"/>
  <c r="I911" i="1"/>
  <c r="I128" i="1"/>
  <c r="J917" i="1"/>
  <c r="J143" i="1"/>
  <c r="L128" i="1" l="1"/>
  <c r="R128" i="1" s="1"/>
  <c r="L911" i="1"/>
  <c r="N128" i="1"/>
  <c r="P143" i="1"/>
  <c r="Q126" i="1"/>
  <c r="K127" i="1"/>
  <c r="I129" i="1"/>
  <c r="I912" i="1"/>
  <c r="J144" i="1"/>
  <c r="J918" i="1"/>
  <c r="L912" i="1" l="1"/>
  <c r="L129" i="1"/>
  <c r="R129" i="1" s="1"/>
  <c r="N129" i="1"/>
  <c r="P144" i="1"/>
  <c r="Q127" i="1"/>
  <c r="K128" i="1"/>
  <c r="I913" i="1"/>
  <c r="I130" i="1"/>
  <c r="J919" i="1"/>
  <c r="J145" i="1"/>
  <c r="I131" i="1"/>
  <c r="L131" i="1" l="1"/>
  <c r="L130" i="1"/>
  <c r="R130" i="1" s="1"/>
  <c r="L913" i="1"/>
  <c r="N130" i="1"/>
  <c r="N131" i="1" s="1"/>
  <c r="P145" i="1"/>
  <c r="Q128" i="1"/>
  <c r="K129" i="1"/>
  <c r="I132" i="1"/>
  <c r="I914" i="1"/>
  <c r="J146" i="1"/>
  <c r="J920" i="1"/>
  <c r="L914" i="1" l="1"/>
  <c r="L132" i="1"/>
  <c r="N132" i="1"/>
  <c r="R131" i="1"/>
  <c r="P146" i="1"/>
  <c r="Q129" i="1"/>
  <c r="K130" i="1"/>
  <c r="I915" i="1"/>
  <c r="I133" i="1"/>
  <c r="J921" i="1"/>
  <c r="J147" i="1"/>
  <c r="L133" i="1" l="1"/>
  <c r="L915" i="1"/>
  <c r="N133" i="1"/>
  <c r="R132" i="1"/>
  <c r="P147" i="1"/>
  <c r="Q130" i="1"/>
  <c r="K131" i="1"/>
  <c r="I134" i="1"/>
  <c r="I916" i="1"/>
  <c r="J148" i="1"/>
  <c r="J922" i="1"/>
  <c r="L916" i="1" l="1"/>
  <c r="L134" i="1"/>
  <c r="N134" i="1"/>
  <c r="R133" i="1"/>
  <c r="P148" i="1"/>
  <c r="Q131" i="1"/>
  <c r="K132" i="1"/>
  <c r="I917" i="1"/>
  <c r="I135" i="1"/>
  <c r="J923" i="1"/>
  <c r="J149" i="1"/>
  <c r="L135" i="1" l="1"/>
  <c r="L917" i="1"/>
  <c r="N135" i="1"/>
  <c r="R134" i="1"/>
  <c r="P149" i="1"/>
  <c r="Q132" i="1"/>
  <c r="K133" i="1"/>
  <c r="I136" i="1"/>
  <c r="I918" i="1"/>
  <c r="J150" i="1"/>
  <c r="J924" i="1"/>
  <c r="L918" i="1" l="1"/>
  <c r="L136" i="1"/>
  <c r="N136" i="1"/>
  <c r="R135" i="1"/>
  <c r="P150" i="1"/>
  <c r="Q133" i="1"/>
  <c r="K134" i="1"/>
  <c r="I919" i="1"/>
  <c r="I137" i="1"/>
  <c r="J925" i="1"/>
  <c r="J151" i="1"/>
  <c r="L137" i="1" l="1"/>
  <c r="L919" i="1"/>
  <c r="N137" i="1"/>
  <c r="R136" i="1"/>
  <c r="P151" i="1"/>
  <c r="Q134" i="1"/>
  <c r="K135" i="1"/>
  <c r="I138" i="1"/>
  <c r="I920" i="1"/>
  <c r="J152" i="1"/>
  <c r="J926" i="1"/>
  <c r="L920" i="1" l="1"/>
  <c r="L138" i="1"/>
  <c r="N138" i="1"/>
  <c r="R137" i="1"/>
  <c r="P152" i="1"/>
  <c r="Q135" i="1"/>
  <c r="K136" i="1"/>
  <c r="I921" i="1"/>
  <c r="I139" i="1"/>
  <c r="J927" i="1"/>
  <c r="J153" i="1"/>
  <c r="R138" i="1" l="1"/>
  <c r="L139" i="1"/>
  <c r="L921" i="1"/>
  <c r="N139" i="1"/>
  <c r="P153" i="1"/>
  <c r="Q136" i="1"/>
  <c r="K137" i="1"/>
  <c r="I140" i="1"/>
  <c r="I922" i="1"/>
  <c r="J928" i="1"/>
  <c r="J154" i="1"/>
  <c r="R139" i="1" l="1"/>
  <c r="L922" i="1"/>
  <c r="L140" i="1"/>
  <c r="R140" i="1" s="1"/>
  <c r="N140" i="1"/>
  <c r="P154" i="1"/>
  <c r="Q137" i="1"/>
  <c r="K138" i="1"/>
  <c r="I923" i="1"/>
  <c r="I141" i="1"/>
  <c r="J155" i="1"/>
  <c r="J929" i="1"/>
  <c r="L141" i="1" l="1"/>
  <c r="R141" i="1" s="1"/>
  <c r="L923" i="1"/>
  <c r="N141" i="1"/>
  <c r="P155" i="1"/>
  <c r="Q138" i="1"/>
  <c r="K139" i="1"/>
  <c r="I142" i="1"/>
  <c r="I924" i="1"/>
  <c r="J930" i="1"/>
  <c r="J156" i="1"/>
  <c r="L924" i="1" l="1"/>
  <c r="L142" i="1"/>
  <c r="R142" i="1" s="1"/>
  <c r="N142" i="1"/>
  <c r="P156" i="1"/>
  <c r="Q139" i="1"/>
  <c r="K140" i="1"/>
  <c r="I925" i="1"/>
  <c r="I143" i="1"/>
  <c r="J931" i="1"/>
  <c r="J157" i="1"/>
  <c r="L143" i="1" l="1"/>
  <c r="R143" i="1" s="1"/>
  <c r="L925" i="1"/>
  <c r="N143" i="1"/>
  <c r="P157" i="1"/>
  <c r="Q140" i="1"/>
  <c r="K141" i="1"/>
  <c r="I144" i="1"/>
  <c r="I926" i="1"/>
  <c r="J932" i="1"/>
  <c r="J158" i="1"/>
  <c r="L926" i="1" l="1"/>
  <c r="L144" i="1"/>
  <c r="R144" i="1" s="1"/>
  <c r="N144" i="1"/>
  <c r="P158" i="1"/>
  <c r="Q141" i="1"/>
  <c r="K142" i="1"/>
  <c r="I927" i="1"/>
  <c r="I145" i="1"/>
  <c r="J933" i="1"/>
  <c r="J159" i="1"/>
  <c r="L145" i="1" l="1"/>
  <c r="R145" i="1" s="1"/>
  <c r="L927" i="1"/>
  <c r="N145" i="1"/>
  <c r="P159" i="1"/>
  <c r="Q142" i="1"/>
  <c r="K143" i="1"/>
  <c r="I146" i="1"/>
  <c r="I928" i="1"/>
  <c r="J934" i="1"/>
  <c r="J160" i="1"/>
  <c r="L928" i="1" l="1"/>
  <c r="L146" i="1"/>
  <c r="R146" i="1" s="1"/>
  <c r="N146" i="1"/>
  <c r="P160" i="1"/>
  <c r="Q143" i="1"/>
  <c r="K144" i="1"/>
  <c r="I929" i="1"/>
  <c r="I147" i="1"/>
  <c r="J935" i="1"/>
  <c r="J161" i="1"/>
  <c r="L147" i="1" l="1"/>
  <c r="R147" i="1" s="1"/>
  <c r="L929" i="1"/>
  <c r="N147" i="1"/>
  <c r="P161" i="1"/>
  <c r="Q144" i="1"/>
  <c r="K145" i="1"/>
  <c r="I148" i="1"/>
  <c r="I930" i="1"/>
  <c r="J936" i="1"/>
  <c r="J162" i="1"/>
  <c r="L930" i="1" l="1"/>
  <c r="L148" i="1"/>
  <c r="R148" i="1" s="1"/>
  <c r="N148" i="1"/>
  <c r="P162" i="1"/>
  <c r="Q145" i="1"/>
  <c r="K146" i="1"/>
  <c r="I931" i="1"/>
  <c r="I149" i="1"/>
  <c r="J163" i="1"/>
  <c r="J937" i="1"/>
  <c r="L149" i="1" l="1"/>
  <c r="R149" i="1" s="1"/>
  <c r="L931" i="1"/>
  <c r="N149" i="1"/>
  <c r="P163" i="1"/>
  <c r="Q146" i="1"/>
  <c r="K147" i="1"/>
  <c r="I150" i="1"/>
  <c r="I932" i="1"/>
  <c r="J938" i="1"/>
  <c r="J164" i="1"/>
  <c r="L932" i="1" l="1"/>
  <c r="L150" i="1"/>
  <c r="R150" i="1" s="1"/>
  <c r="N150" i="1"/>
  <c r="P164" i="1"/>
  <c r="Q147" i="1"/>
  <c r="K148" i="1"/>
  <c r="I933" i="1"/>
  <c r="I151" i="1"/>
  <c r="J165" i="1"/>
  <c r="J939" i="1"/>
  <c r="L151" i="1" l="1"/>
  <c r="R151" i="1" s="1"/>
  <c r="L933" i="1"/>
  <c r="N151" i="1"/>
  <c r="P165" i="1"/>
  <c r="Q148" i="1"/>
  <c r="K149" i="1"/>
  <c r="I152" i="1"/>
  <c r="I934" i="1"/>
  <c r="J940" i="1"/>
  <c r="J166" i="1"/>
  <c r="L934" i="1" l="1"/>
  <c r="L152" i="1"/>
  <c r="R152" i="1" s="1"/>
  <c r="N152" i="1"/>
  <c r="P166" i="1"/>
  <c r="Q149" i="1"/>
  <c r="K150" i="1"/>
  <c r="I935" i="1"/>
  <c r="I153" i="1"/>
  <c r="J167" i="1"/>
  <c r="J941" i="1"/>
  <c r="L153" i="1" l="1"/>
  <c r="R153" i="1" s="1"/>
  <c r="L935" i="1"/>
  <c r="N153" i="1"/>
  <c r="P167" i="1"/>
  <c r="Q150" i="1"/>
  <c r="K151" i="1"/>
  <c r="I154" i="1"/>
  <c r="I936" i="1"/>
  <c r="J942" i="1"/>
  <c r="J168" i="1"/>
  <c r="L936" i="1" l="1"/>
  <c r="L154" i="1"/>
  <c r="R154" i="1" s="1"/>
  <c r="N154" i="1"/>
  <c r="P168" i="1"/>
  <c r="Q151" i="1"/>
  <c r="K152" i="1"/>
  <c r="I937" i="1"/>
  <c r="I155" i="1"/>
  <c r="J169" i="1"/>
  <c r="J943" i="1"/>
  <c r="L155" i="1" l="1"/>
  <c r="R155" i="1" s="1"/>
  <c r="L937" i="1"/>
  <c r="N155" i="1"/>
  <c r="P169" i="1"/>
  <c r="Q152" i="1"/>
  <c r="K153" i="1"/>
  <c r="I156" i="1"/>
  <c r="I938" i="1"/>
  <c r="J944" i="1"/>
  <c r="J170" i="1"/>
  <c r="L938" i="1" l="1"/>
  <c r="L156" i="1"/>
  <c r="R156" i="1" s="1"/>
  <c r="N156" i="1"/>
  <c r="P170" i="1"/>
  <c r="Q153" i="1"/>
  <c r="K154" i="1"/>
  <c r="I939" i="1"/>
  <c r="I157" i="1"/>
  <c r="J171" i="1"/>
  <c r="J945" i="1"/>
  <c r="L157" i="1" l="1"/>
  <c r="R157" i="1" s="1"/>
  <c r="L939" i="1"/>
  <c r="N157" i="1"/>
  <c r="P171" i="1"/>
  <c r="Q154" i="1"/>
  <c r="K155" i="1"/>
  <c r="I158" i="1"/>
  <c r="I940" i="1"/>
  <c r="J946" i="1"/>
  <c r="J172" i="1"/>
  <c r="L940" i="1" l="1"/>
  <c r="L158" i="1"/>
  <c r="R158" i="1" s="1"/>
  <c r="N158" i="1"/>
  <c r="P172" i="1"/>
  <c r="Q155" i="1"/>
  <c r="K156" i="1"/>
  <c r="I941" i="1"/>
  <c r="I159" i="1"/>
  <c r="J173" i="1"/>
  <c r="J947" i="1"/>
  <c r="L159" i="1" l="1"/>
  <c r="R159" i="1" s="1"/>
  <c r="L941" i="1"/>
  <c r="N159" i="1"/>
  <c r="P173" i="1"/>
  <c r="Q156" i="1"/>
  <c r="K157" i="1"/>
  <c r="I160" i="1"/>
  <c r="I942" i="1"/>
  <c r="J948" i="1"/>
  <c r="J174" i="1"/>
  <c r="L942" i="1" l="1"/>
  <c r="L160" i="1"/>
  <c r="R160" i="1" s="1"/>
  <c r="N160" i="1"/>
  <c r="P174" i="1"/>
  <c r="Q157" i="1"/>
  <c r="K158" i="1"/>
  <c r="I943" i="1"/>
  <c r="I161" i="1"/>
  <c r="J175" i="1"/>
  <c r="J949" i="1"/>
  <c r="L161" i="1" l="1"/>
  <c r="R161" i="1" s="1"/>
  <c r="L943" i="1"/>
  <c r="N161" i="1"/>
  <c r="P175" i="1"/>
  <c r="Q158" i="1"/>
  <c r="K159" i="1"/>
  <c r="I162" i="1"/>
  <c r="I944" i="1"/>
  <c r="J950" i="1"/>
  <c r="J176" i="1"/>
  <c r="L944" i="1" l="1"/>
  <c r="L162" i="1"/>
  <c r="R162" i="1" s="1"/>
  <c r="N162" i="1"/>
  <c r="P176" i="1"/>
  <c r="Q159" i="1"/>
  <c r="K160" i="1"/>
  <c r="I945" i="1"/>
  <c r="I163" i="1"/>
  <c r="J177" i="1"/>
  <c r="J951" i="1"/>
  <c r="L163" i="1" l="1"/>
  <c r="R163" i="1" s="1"/>
  <c r="L945" i="1"/>
  <c r="N163" i="1"/>
  <c r="P177" i="1"/>
  <c r="Q160" i="1"/>
  <c r="K161" i="1"/>
  <c r="I164" i="1"/>
  <c r="I946" i="1"/>
  <c r="J952" i="1"/>
  <c r="J178" i="1"/>
  <c r="L946" i="1" l="1"/>
  <c r="L164" i="1"/>
  <c r="R164" i="1" s="1"/>
  <c r="N164" i="1"/>
  <c r="P178" i="1"/>
  <c r="Q161" i="1"/>
  <c r="K162" i="1"/>
  <c r="I947" i="1"/>
  <c r="I165" i="1"/>
  <c r="J179" i="1"/>
  <c r="J953" i="1"/>
  <c r="L165" i="1" l="1"/>
  <c r="R165" i="1" s="1"/>
  <c r="L947" i="1"/>
  <c r="N165" i="1"/>
  <c r="P179" i="1"/>
  <c r="Q162" i="1"/>
  <c r="K163" i="1"/>
  <c r="I166" i="1"/>
  <c r="I948" i="1"/>
  <c r="J954" i="1"/>
  <c r="J180" i="1"/>
  <c r="L948" i="1" l="1"/>
  <c r="L166" i="1"/>
  <c r="R166" i="1" s="1"/>
  <c r="N166" i="1"/>
  <c r="P180" i="1"/>
  <c r="Q163" i="1"/>
  <c r="K164" i="1"/>
  <c r="I949" i="1"/>
  <c r="I167" i="1"/>
  <c r="J181" i="1"/>
  <c r="J955" i="1"/>
  <c r="L167" i="1" l="1"/>
  <c r="R167" i="1" s="1"/>
  <c r="L949" i="1"/>
  <c r="N167" i="1"/>
  <c r="P181" i="1"/>
  <c r="Q164" i="1"/>
  <c r="K165" i="1"/>
  <c r="I168" i="1"/>
  <c r="I950" i="1"/>
  <c r="J956" i="1"/>
  <c r="J182" i="1"/>
  <c r="L950" i="1" l="1"/>
  <c r="L168" i="1"/>
  <c r="R168" i="1" s="1"/>
  <c r="N168" i="1"/>
  <c r="P182" i="1"/>
  <c r="Q165" i="1"/>
  <c r="K166" i="1"/>
  <c r="I951" i="1"/>
  <c r="I169" i="1"/>
  <c r="J183" i="1"/>
  <c r="J957" i="1"/>
  <c r="L169" i="1" l="1"/>
  <c r="R169" i="1" s="1"/>
  <c r="L951" i="1"/>
  <c r="N169" i="1"/>
  <c r="P183" i="1"/>
  <c r="Q166" i="1"/>
  <c r="K167" i="1"/>
  <c r="I170" i="1"/>
  <c r="I952" i="1"/>
  <c r="J958" i="1"/>
  <c r="J184" i="1"/>
  <c r="L952" i="1" l="1"/>
  <c r="L170" i="1"/>
  <c r="R170" i="1" s="1"/>
  <c r="N170" i="1"/>
  <c r="P184" i="1"/>
  <c r="Q167" i="1"/>
  <c r="K168" i="1"/>
  <c r="I953" i="1"/>
  <c r="I171" i="1"/>
  <c r="J185" i="1"/>
  <c r="J959" i="1"/>
  <c r="L171" i="1" l="1"/>
  <c r="R171" i="1" s="1"/>
  <c r="L953" i="1"/>
  <c r="N171" i="1"/>
  <c r="P185" i="1"/>
  <c r="Q168" i="1"/>
  <c r="K169" i="1"/>
  <c r="I172" i="1"/>
  <c r="I954" i="1"/>
  <c r="J960" i="1"/>
  <c r="J186" i="1"/>
  <c r="L954" i="1" l="1"/>
  <c r="L172" i="1"/>
  <c r="R172" i="1" s="1"/>
  <c r="N172" i="1"/>
  <c r="P186" i="1"/>
  <c r="Q169" i="1"/>
  <c r="K170" i="1"/>
  <c r="I955" i="1"/>
  <c r="I173" i="1"/>
  <c r="J187" i="1"/>
  <c r="J961" i="1"/>
  <c r="L173" i="1" l="1"/>
  <c r="R173" i="1" s="1"/>
  <c r="L955" i="1"/>
  <c r="N173" i="1"/>
  <c r="P187" i="1"/>
  <c r="Q170" i="1"/>
  <c r="K171" i="1"/>
  <c r="I174" i="1"/>
  <c r="I956" i="1"/>
  <c r="J962" i="1"/>
  <c r="J188" i="1"/>
  <c r="L956" i="1" l="1"/>
  <c r="L174" i="1"/>
  <c r="R174" i="1" s="1"/>
  <c r="N174" i="1"/>
  <c r="P188" i="1"/>
  <c r="Q171" i="1"/>
  <c r="K172" i="1"/>
  <c r="I957" i="1"/>
  <c r="I175" i="1"/>
  <c r="J189" i="1"/>
  <c r="J963" i="1"/>
  <c r="L175" i="1" l="1"/>
  <c r="R175" i="1" s="1"/>
  <c r="L957" i="1"/>
  <c r="N175" i="1"/>
  <c r="P189" i="1"/>
  <c r="Q172" i="1"/>
  <c r="K173" i="1"/>
  <c r="I176" i="1"/>
  <c r="I958" i="1"/>
  <c r="J190" i="1"/>
  <c r="J964" i="1"/>
  <c r="L958" i="1" l="1"/>
  <c r="L176" i="1"/>
  <c r="R176" i="1" s="1"/>
  <c r="N176" i="1"/>
  <c r="P190" i="1"/>
  <c r="Q173" i="1"/>
  <c r="K174" i="1"/>
  <c r="I959" i="1"/>
  <c r="I177" i="1"/>
  <c r="J965" i="1"/>
  <c r="J191" i="1"/>
  <c r="L177" i="1" l="1"/>
  <c r="R177" i="1" s="1"/>
  <c r="L959" i="1"/>
  <c r="N177" i="1"/>
  <c r="P191" i="1"/>
  <c r="Q174" i="1"/>
  <c r="K175" i="1"/>
  <c r="I178" i="1"/>
  <c r="I960" i="1"/>
  <c r="J192" i="1"/>
  <c r="J966" i="1"/>
  <c r="L960" i="1" l="1"/>
  <c r="L178" i="1"/>
  <c r="R178" i="1" s="1"/>
  <c r="N178" i="1"/>
  <c r="P192" i="1"/>
  <c r="Q175" i="1"/>
  <c r="K176" i="1"/>
  <c r="I961" i="1"/>
  <c r="I179" i="1"/>
  <c r="J967" i="1"/>
  <c r="J193" i="1"/>
  <c r="L179" i="1" l="1"/>
  <c r="R179" i="1" s="1"/>
  <c r="L961" i="1"/>
  <c r="N179" i="1"/>
  <c r="P193" i="1"/>
  <c r="Q176" i="1"/>
  <c r="K177" i="1"/>
  <c r="I180" i="1"/>
  <c r="I962" i="1"/>
  <c r="J194" i="1"/>
  <c r="L962" i="1" l="1"/>
  <c r="L180" i="1"/>
  <c r="R180" i="1" s="1"/>
  <c r="N180" i="1"/>
  <c r="P194" i="1"/>
  <c r="Q177" i="1"/>
  <c r="K178" i="1"/>
  <c r="I963" i="1"/>
  <c r="I181" i="1"/>
  <c r="J195" i="1"/>
  <c r="L181" i="1" l="1"/>
  <c r="R181" i="1" s="1"/>
  <c r="L963" i="1"/>
  <c r="N181" i="1"/>
  <c r="P195" i="1"/>
  <c r="Q178" i="1"/>
  <c r="K179" i="1"/>
  <c r="I182" i="1"/>
  <c r="I964" i="1"/>
  <c r="J196" i="1"/>
  <c r="L964" i="1" l="1"/>
  <c r="L182" i="1"/>
  <c r="R182" i="1" s="1"/>
  <c r="N182" i="1"/>
  <c r="P196" i="1"/>
  <c r="Q179" i="1"/>
  <c r="K180" i="1"/>
  <c r="I965" i="1"/>
  <c r="I183" i="1"/>
  <c r="J197" i="1"/>
  <c r="L183" i="1" l="1"/>
  <c r="R183" i="1" s="1"/>
  <c r="L965" i="1"/>
  <c r="N183" i="1"/>
  <c r="P197" i="1"/>
  <c r="Q180" i="1"/>
  <c r="K181" i="1"/>
  <c r="I184" i="1"/>
  <c r="I966" i="1"/>
  <c r="J198" i="1"/>
  <c r="L966" i="1" l="1"/>
  <c r="L184" i="1"/>
  <c r="R184" i="1" s="1"/>
  <c r="N184" i="1"/>
  <c r="P198" i="1"/>
  <c r="Q181" i="1"/>
  <c r="K182" i="1"/>
  <c r="I967" i="1"/>
  <c r="I185" i="1"/>
  <c r="J199" i="1"/>
  <c r="L185" i="1" l="1"/>
  <c r="R185" i="1" s="1"/>
  <c r="L967" i="1"/>
  <c r="N185" i="1"/>
  <c r="P199" i="1"/>
  <c r="Q182" i="1"/>
  <c r="K183" i="1"/>
  <c r="I186" i="1"/>
  <c r="J200" i="1"/>
  <c r="L186" i="1" l="1"/>
  <c r="R186" i="1" s="1"/>
  <c r="N186" i="1"/>
  <c r="P200" i="1"/>
  <c r="Q183" i="1"/>
  <c r="K184" i="1"/>
  <c r="I187" i="1"/>
  <c r="J201" i="1"/>
  <c r="L187" i="1" l="1"/>
  <c r="R187" i="1" s="1"/>
  <c r="N187" i="1"/>
  <c r="P201" i="1"/>
  <c r="Q184" i="1"/>
  <c r="K185" i="1"/>
  <c r="I188" i="1"/>
  <c r="J202" i="1"/>
  <c r="L188" i="1" l="1"/>
  <c r="R188" i="1" s="1"/>
  <c r="N188" i="1"/>
  <c r="P202" i="1"/>
  <c r="Q185" i="1"/>
  <c r="K186" i="1"/>
  <c r="I189" i="1"/>
  <c r="J203" i="1"/>
  <c r="L189" i="1" l="1"/>
  <c r="R189" i="1" s="1"/>
  <c r="N189" i="1"/>
  <c r="P203" i="1"/>
  <c r="Q186" i="1"/>
  <c r="K187" i="1"/>
  <c r="I190" i="1"/>
  <c r="J204" i="1"/>
  <c r="L190" i="1" l="1"/>
  <c r="R190" i="1" s="1"/>
  <c r="N190" i="1"/>
  <c r="P204" i="1"/>
  <c r="Q187" i="1"/>
  <c r="K188" i="1"/>
  <c r="I191" i="1"/>
  <c r="J205" i="1"/>
  <c r="L191" i="1" l="1"/>
  <c r="R191" i="1" s="1"/>
  <c r="N191" i="1"/>
  <c r="P205" i="1"/>
  <c r="Q188" i="1"/>
  <c r="K189" i="1"/>
  <c r="I192" i="1"/>
  <c r="J206" i="1"/>
  <c r="L192" i="1" l="1"/>
  <c r="R192" i="1" s="1"/>
  <c r="N192" i="1"/>
  <c r="P206" i="1"/>
  <c r="Q189" i="1"/>
  <c r="K190" i="1"/>
  <c r="I193" i="1"/>
  <c r="J207" i="1"/>
  <c r="L193" i="1" l="1"/>
  <c r="R193" i="1" s="1"/>
  <c r="N193" i="1"/>
  <c r="P207" i="1"/>
  <c r="Q190" i="1"/>
  <c r="K191" i="1"/>
  <c r="I194" i="1"/>
  <c r="J208" i="1"/>
  <c r="L194" i="1" l="1"/>
  <c r="R194" i="1" s="1"/>
  <c r="N194" i="1"/>
  <c r="P208" i="1"/>
  <c r="Q191" i="1"/>
  <c r="K192" i="1"/>
  <c r="I195" i="1"/>
  <c r="J209" i="1"/>
  <c r="L195" i="1" l="1"/>
  <c r="R195" i="1" s="1"/>
  <c r="N195" i="1"/>
  <c r="P209" i="1"/>
  <c r="Q192" i="1"/>
  <c r="K193" i="1"/>
  <c r="I196" i="1"/>
  <c r="J210" i="1"/>
  <c r="L196" i="1" l="1"/>
  <c r="R196" i="1" s="1"/>
  <c r="N196" i="1"/>
  <c r="P210" i="1"/>
  <c r="Q193" i="1"/>
  <c r="K194" i="1"/>
  <c r="I197" i="1"/>
  <c r="J211" i="1"/>
  <c r="L197" i="1" l="1"/>
  <c r="R197" i="1" s="1"/>
  <c r="N197" i="1"/>
  <c r="P211" i="1"/>
  <c r="Q194" i="1"/>
  <c r="K195" i="1"/>
  <c r="I198" i="1"/>
  <c r="J212" i="1"/>
  <c r="L198" i="1" l="1"/>
  <c r="R198" i="1" s="1"/>
  <c r="N198" i="1"/>
  <c r="P212" i="1"/>
  <c r="Q195" i="1"/>
  <c r="K196" i="1"/>
  <c r="I199" i="1"/>
  <c r="J213" i="1"/>
  <c r="L199" i="1" l="1"/>
  <c r="R199" i="1" s="1"/>
  <c r="N199" i="1"/>
  <c r="P213" i="1"/>
  <c r="Q196" i="1"/>
  <c r="K197" i="1"/>
  <c r="I200" i="1"/>
  <c r="J214" i="1"/>
  <c r="L200" i="1" l="1"/>
  <c r="R200" i="1" s="1"/>
  <c r="N200" i="1"/>
  <c r="P214" i="1"/>
  <c r="Q197" i="1"/>
  <c r="K198" i="1"/>
  <c r="I201" i="1"/>
  <c r="J215" i="1"/>
  <c r="L201" i="1" l="1"/>
  <c r="R201" i="1" s="1"/>
  <c r="N201" i="1"/>
  <c r="P215" i="1"/>
  <c r="Q198" i="1"/>
  <c r="K199" i="1"/>
  <c r="I202" i="1"/>
  <c r="J216" i="1"/>
  <c r="L202" i="1" l="1"/>
  <c r="R202" i="1" s="1"/>
  <c r="N202" i="1"/>
  <c r="P216" i="1"/>
  <c r="Q199" i="1"/>
  <c r="K200" i="1"/>
  <c r="I203" i="1"/>
  <c r="J217" i="1"/>
  <c r="L203" i="1" l="1"/>
  <c r="R203" i="1" s="1"/>
  <c r="N203" i="1"/>
  <c r="P217" i="1"/>
  <c r="Q200" i="1"/>
  <c r="K201" i="1"/>
  <c r="I204" i="1"/>
  <c r="J218" i="1"/>
  <c r="L204" i="1" l="1"/>
  <c r="R204" i="1" s="1"/>
  <c r="N204" i="1"/>
  <c r="P218" i="1"/>
  <c r="Q201" i="1"/>
  <c r="K202" i="1"/>
  <c r="I205" i="1"/>
  <c r="J219" i="1"/>
  <c r="L205" i="1" l="1"/>
  <c r="R205" i="1" s="1"/>
  <c r="N205" i="1"/>
  <c r="P219" i="1"/>
  <c r="Q202" i="1"/>
  <c r="K203" i="1"/>
  <c r="I206" i="1"/>
  <c r="J220" i="1"/>
  <c r="L206" i="1" l="1"/>
  <c r="R206" i="1" s="1"/>
  <c r="N206" i="1"/>
  <c r="P220" i="1"/>
  <c r="Q203" i="1"/>
  <c r="K204" i="1"/>
  <c r="I207" i="1"/>
  <c r="J221" i="1"/>
  <c r="L207" i="1" l="1"/>
  <c r="R207" i="1" s="1"/>
  <c r="N207" i="1"/>
  <c r="P221" i="1"/>
  <c r="Q204" i="1"/>
  <c r="K205" i="1"/>
  <c r="I208" i="1"/>
  <c r="J222" i="1"/>
  <c r="L208" i="1" l="1"/>
  <c r="R208" i="1" s="1"/>
  <c r="N208" i="1"/>
  <c r="P222" i="1"/>
  <c r="Q205" i="1"/>
  <c r="K206" i="1"/>
  <c r="I209" i="1"/>
  <c r="J223" i="1"/>
  <c r="L209" i="1" l="1"/>
  <c r="R209" i="1" s="1"/>
  <c r="N209" i="1"/>
  <c r="P223" i="1"/>
  <c r="Q206" i="1"/>
  <c r="K207" i="1"/>
  <c r="I210" i="1"/>
  <c r="J224" i="1"/>
  <c r="L210" i="1" l="1"/>
  <c r="R210" i="1" s="1"/>
  <c r="N210" i="1"/>
  <c r="P224" i="1"/>
  <c r="Q207" i="1"/>
  <c r="K208" i="1"/>
  <c r="I211" i="1"/>
  <c r="J225" i="1"/>
  <c r="L211" i="1" l="1"/>
  <c r="R211" i="1" s="1"/>
  <c r="N211" i="1"/>
  <c r="P225" i="1"/>
  <c r="Q208" i="1"/>
  <c r="K209" i="1"/>
  <c r="I212" i="1"/>
  <c r="J226" i="1"/>
  <c r="L212" i="1" l="1"/>
  <c r="R212" i="1" s="1"/>
  <c r="N212" i="1"/>
  <c r="P226" i="1"/>
  <c r="Q209" i="1"/>
  <c r="K210" i="1"/>
  <c r="I213" i="1"/>
  <c r="J227" i="1"/>
  <c r="L213" i="1" l="1"/>
  <c r="R213" i="1" s="1"/>
  <c r="N213" i="1"/>
  <c r="P227" i="1"/>
  <c r="Q210" i="1"/>
  <c r="K211" i="1"/>
  <c r="I214" i="1"/>
  <c r="J228" i="1"/>
  <c r="L214" i="1" l="1"/>
  <c r="R214" i="1" s="1"/>
  <c r="N214" i="1"/>
  <c r="P228" i="1"/>
  <c r="Q211" i="1"/>
  <c r="K212" i="1"/>
  <c r="I215" i="1"/>
  <c r="J229" i="1"/>
  <c r="L215" i="1" l="1"/>
  <c r="R215" i="1" s="1"/>
  <c r="N215" i="1"/>
  <c r="P229" i="1"/>
  <c r="Q212" i="1"/>
  <c r="K213" i="1"/>
  <c r="I216" i="1"/>
  <c r="J230" i="1"/>
  <c r="L216" i="1" l="1"/>
  <c r="R216" i="1" s="1"/>
  <c r="N216" i="1"/>
  <c r="P230" i="1"/>
  <c r="Q213" i="1"/>
  <c r="K214" i="1"/>
  <c r="I217" i="1"/>
  <c r="J231" i="1"/>
  <c r="L217" i="1" l="1"/>
  <c r="R217" i="1" s="1"/>
  <c r="N217" i="1"/>
  <c r="P231" i="1"/>
  <c r="Q214" i="1"/>
  <c r="K215" i="1"/>
  <c r="I218" i="1"/>
  <c r="J232" i="1"/>
  <c r="L218" i="1" l="1"/>
  <c r="R218" i="1" s="1"/>
  <c r="N218" i="1"/>
  <c r="P232" i="1"/>
  <c r="Q215" i="1"/>
  <c r="K216" i="1"/>
  <c r="I219" i="1"/>
  <c r="J233" i="1"/>
  <c r="L219" i="1" l="1"/>
  <c r="R219" i="1" s="1"/>
  <c r="N219" i="1"/>
  <c r="P233" i="1"/>
  <c r="Q216" i="1"/>
  <c r="K217" i="1"/>
  <c r="I220" i="1"/>
  <c r="J234" i="1"/>
  <c r="L220" i="1" l="1"/>
  <c r="R220" i="1" s="1"/>
  <c r="N220" i="1"/>
  <c r="P234" i="1"/>
  <c r="Q217" i="1"/>
  <c r="K218" i="1"/>
  <c r="I221" i="1"/>
  <c r="J235" i="1"/>
  <c r="L221" i="1" l="1"/>
  <c r="R221" i="1" s="1"/>
  <c r="N221" i="1"/>
  <c r="P235" i="1"/>
  <c r="Q218" i="1"/>
  <c r="K219" i="1"/>
  <c r="I222" i="1"/>
  <c r="J236" i="1"/>
  <c r="L222" i="1" l="1"/>
  <c r="R222" i="1" s="1"/>
  <c r="N222" i="1"/>
  <c r="P236" i="1"/>
  <c r="Q219" i="1"/>
  <c r="K220" i="1"/>
  <c r="I223" i="1"/>
  <c r="J237" i="1"/>
  <c r="L223" i="1" l="1"/>
  <c r="R223" i="1" s="1"/>
  <c r="N223" i="1"/>
  <c r="P237" i="1"/>
  <c r="Q220" i="1"/>
  <c r="K221" i="1"/>
  <c r="I224" i="1"/>
  <c r="J238" i="1"/>
  <c r="L224" i="1" l="1"/>
  <c r="R224" i="1" s="1"/>
  <c r="N224" i="1"/>
  <c r="P238" i="1"/>
  <c r="Q221" i="1"/>
  <c r="K222" i="1"/>
  <c r="I225" i="1"/>
  <c r="J239" i="1"/>
  <c r="L225" i="1" l="1"/>
  <c r="R225" i="1" s="1"/>
  <c r="N225" i="1"/>
  <c r="P239" i="1"/>
  <c r="Q222" i="1"/>
  <c r="K223" i="1"/>
  <c r="I226" i="1"/>
  <c r="J240" i="1"/>
  <c r="L226" i="1" l="1"/>
  <c r="R226" i="1" s="1"/>
  <c r="N226" i="1"/>
  <c r="P240" i="1"/>
  <c r="Q223" i="1"/>
  <c r="K224" i="1"/>
  <c r="I227" i="1"/>
  <c r="J241" i="1"/>
  <c r="L227" i="1" l="1"/>
  <c r="R227" i="1" s="1"/>
  <c r="N227" i="1"/>
  <c r="P241" i="1"/>
  <c r="Q224" i="1"/>
  <c r="K225" i="1"/>
  <c r="I228" i="1"/>
  <c r="J242" i="1"/>
  <c r="L228" i="1" l="1"/>
  <c r="R228" i="1" s="1"/>
  <c r="N228" i="1"/>
  <c r="P242" i="1"/>
  <c r="Q225" i="1"/>
  <c r="K226" i="1"/>
  <c r="I229" i="1"/>
  <c r="J243" i="1"/>
  <c r="L229" i="1" l="1"/>
  <c r="R229" i="1" s="1"/>
  <c r="N229" i="1"/>
  <c r="P243" i="1"/>
  <c r="Q226" i="1"/>
  <c r="K227" i="1"/>
  <c r="I230" i="1"/>
  <c r="J244" i="1"/>
  <c r="L230" i="1" l="1"/>
  <c r="R230" i="1" s="1"/>
  <c r="N230" i="1"/>
  <c r="P244" i="1"/>
  <c r="Q227" i="1"/>
  <c r="K228" i="1"/>
  <c r="I231" i="1"/>
  <c r="J245" i="1"/>
  <c r="L231" i="1" l="1"/>
  <c r="R231" i="1" s="1"/>
  <c r="N231" i="1"/>
  <c r="P245" i="1"/>
  <c r="Q228" i="1"/>
  <c r="K229" i="1"/>
  <c r="I232" i="1"/>
  <c r="J246" i="1"/>
  <c r="L232" i="1" l="1"/>
  <c r="R232" i="1" s="1"/>
  <c r="N232" i="1"/>
  <c r="P246" i="1"/>
  <c r="Q229" i="1"/>
  <c r="K230" i="1"/>
  <c r="I233" i="1"/>
  <c r="J247" i="1"/>
  <c r="L233" i="1" l="1"/>
  <c r="R233" i="1" s="1"/>
  <c r="N233" i="1"/>
  <c r="P247" i="1"/>
  <c r="Q230" i="1"/>
  <c r="K231" i="1"/>
  <c r="I234" i="1"/>
  <c r="J248" i="1"/>
  <c r="L234" i="1" l="1"/>
  <c r="R234" i="1" s="1"/>
  <c r="N234" i="1"/>
  <c r="P248" i="1"/>
  <c r="Q231" i="1"/>
  <c r="K232" i="1"/>
  <c r="I235" i="1"/>
  <c r="J249" i="1"/>
  <c r="L235" i="1" l="1"/>
  <c r="R235" i="1" s="1"/>
  <c r="N235" i="1"/>
  <c r="P249" i="1"/>
  <c r="Q232" i="1"/>
  <c r="K233" i="1"/>
  <c r="I236" i="1"/>
  <c r="J250" i="1"/>
  <c r="L236" i="1" l="1"/>
  <c r="R236" i="1" s="1"/>
  <c r="N236" i="1"/>
  <c r="P250" i="1"/>
  <c r="Q233" i="1"/>
  <c r="K234" i="1"/>
  <c r="I237" i="1"/>
  <c r="J251" i="1"/>
  <c r="L237" i="1" l="1"/>
  <c r="R237" i="1" s="1"/>
  <c r="N237" i="1"/>
  <c r="P251" i="1"/>
  <c r="Q234" i="1"/>
  <c r="K235" i="1"/>
  <c r="I238" i="1"/>
  <c r="J252" i="1"/>
  <c r="L238" i="1" l="1"/>
  <c r="R238" i="1" s="1"/>
  <c r="N238" i="1"/>
  <c r="P252" i="1"/>
  <c r="Q235" i="1"/>
  <c r="K236" i="1"/>
  <c r="I239" i="1"/>
  <c r="J253" i="1"/>
  <c r="L239" i="1" l="1"/>
  <c r="R239" i="1" s="1"/>
  <c r="N239" i="1"/>
  <c r="P253" i="1"/>
  <c r="Q236" i="1"/>
  <c r="K237" i="1"/>
  <c r="I240" i="1"/>
  <c r="J254" i="1"/>
  <c r="L240" i="1" l="1"/>
  <c r="R240" i="1" s="1"/>
  <c r="N240" i="1"/>
  <c r="P254" i="1"/>
  <c r="Q237" i="1"/>
  <c r="K238" i="1"/>
  <c r="I241" i="1"/>
  <c r="J255" i="1"/>
  <c r="L241" i="1" l="1"/>
  <c r="R241" i="1" s="1"/>
  <c r="N241" i="1"/>
  <c r="P255" i="1"/>
  <c r="Q238" i="1"/>
  <c r="K239" i="1"/>
  <c r="I242" i="1"/>
  <c r="J256" i="1"/>
  <c r="L242" i="1" l="1"/>
  <c r="R242" i="1" s="1"/>
  <c r="N242" i="1"/>
  <c r="P256" i="1"/>
  <c r="Q239" i="1"/>
  <c r="K240" i="1"/>
  <c r="I243" i="1"/>
  <c r="J257" i="1"/>
  <c r="L243" i="1" l="1"/>
  <c r="R243" i="1" s="1"/>
  <c r="N243" i="1"/>
  <c r="P257" i="1"/>
  <c r="Q240" i="1"/>
  <c r="K241" i="1"/>
  <c r="I244" i="1"/>
  <c r="J258" i="1"/>
  <c r="L244" i="1" l="1"/>
  <c r="R244" i="1" s="1"/>
  <c r="N244" i="1"/>
  <c r="P258" i="1"/>
  <c r="Q241" i="1"/>
  <c r="K242" i="1"/>
  <c r="I245" i="1"/>
  <c r="J259" i="1"/>
  <c r="L245" i="1" l="1"/>
  <c r="R245" i="1" s="1"/>
  <c r="N245" i="1"/>
  <c r="P259" i="1"/>
  <c r="Q242" i="1"/>
  <c r="K243" i="1"/>
  <c r="I246" i="1"/>
  <c r="J260" i="1"/>
  <c r="L246" i="1" l="1"/>
  <c r="R246" i="1" s="1"/>
  <c r="N246" i="1"/>
  <c r="P260" i="1"/>
  <c r="Q243" i="1"/>
  <c r="K244" i="1"/>
  <c r="I247" i="1"/>
  <c r="J261" i="1"/>
  <c r="L247" i="1" l="1"/>
  <c r="R247" i="1" s="1"/>
  <c r="N247" i="1"/>
  <c r="P261" i="1"/>
  <c r="Q244" i="1"/>
  <c r="K245" i="1"/>
  <c r="I248" i="1"/>
  <c r="J262" i="1"/>
  <c r="L248" i="1" l="1"/>
  <c r="R248" i="1" s="1"/>
  <c r="N248" i="1"/>
  <c r="P262" i="1"/>
  <c r="Q245" i="1"/>
  <c r="K246" i="1"/>
  <c r="I249" i="1"/>
  <c r="J263" i="1"/>
  <c r="L249" i="1" l="1"/>
  <c r="R249" i="1" s="1"/>
  <c r="N249" i="1"/>
  <c r="P263" i="1"/>
  <c r="Q246" i="1"/>
  <c r="K247" i="1"/>
  <c r="I250" i="1"/>
  <c r="J264" i="1"/>
  <c r="L250" i="1" l="1"/>
  <c r="R250" i="1" s="1"/>
  <c r="N250" i="1"/>
  <c r="P264" i="1"/>
  <c r="Q247" i="1"/>
  <c r="K248" i="1"/>
  <c r="I251" i="1"/>
  <c r="J265" i="1"/>
  <c r="L251" i="1" l="1"/>
  <c r="R251" i="1" s="1"/>
  <c r="N251" i="1"/>
  <c r="P265" i="1"/>
  <c r="Q248" i="1"/>
  <c r="K249" i="1"/>
  <c r="I252" i="1"/>
  <c r="J266" i="1"/>
  <c r="L252" i="1" l="1"/>
  <c r="R252" i="1" s="1"/>
  <c r="N252" i="1"/>
  <c r="P266" i="1"/>
  <c r="Q249" i="1"/>
  <c r="K250" i="1"/>
  <c r="I253" i="1"/>
  <c r="J267" i="1"/>
  <c r="L253" i="1" l="1"/>
  <c r="R253" i="1" s="1"/>
  <c r="N253" i="1"/>
  <c r="P267" i="1"/>
  <c r="Q250" i="1"/>
  <c r="K251" i="1"/>
  <c r="I254" i="1"/>
  <c r="J268" i="1"/>
  <c r="L254" i="1" l="1"/>
  <c r="R254" i="1" s="1"/>
  <c r="N254" i="1"/>
  <c r="P268" i="1"/>
  <c r="Q251" i="1"/>
  <c r="K252" i="1"/>
  <c r="I255" i="1"/>
  <c r="J269" i="1"/>
  <c r="L255" i="1" l="1"/>
  <c r="R255" i="1" s="1"/>
  <c r="N255" i="1"/>
  <c r="P269" i="1"/>
  <c r="Q252" i="1"/>
  <c r="K253" i="1"/>
  <c r="I256" i="1"/>
  <c r="J270" i="1"/>
  <c r="L256" i="1" l="1"/>
  <c r="R256" i="1" s="1"/>
  <c r="N256" i="1"/>
  <c r="P270" i="1"/>
  <c r="Q253" i="1"/>
  <c r="K254" i="1"/>
  <c r="I257" i="1"/>
  <c r="J271" i="1"/>
  <c r="L257" i="1" l="1"/>
  <c r="R257" i="1" s="1"/>
  <c r="N257" i="1"/>
  <c r="P271" i="1"/>
  <c r="Q254" i="1"/>
  <c r="K255" i="1"/>
  <c r="I258" i="1"/>
  <c r="J272" i="1"/>
  <c r="L258" i="1" l="1"/>
  <c r="R258" i="1" s="1"/>
  <c r="N258" i="1"/>
  <c r="P272" i="1"/>
  <c r="Q255" i="1"/>
  <c r="K256" i="1"/>
  <c r="I259" i="1"/>
  <c r="J273" i="1"/>
  <c r="L259" i="1" l="1"/>
  <c r="R259" i="1" s="1"/>
  <c r="N259" i="1"/>
  <c r="Q256" i="1"/>
  <c r="K257" i="1"/>
  <c r="I260" i="1"/>
  <c r="J274" i="1"/>
  <c r="L260" i="1" l="1"/>
  <c r="R260" i="1" s="1"/>
  <c r="N260" i="1"/>
  <c r="Q257" i="1"/>
  <c r="K258" i="1"/>
  <c r="I261" i="1"/>
  <c r="J275" i="1"/>
  <c r="L261" i="1" l="1"/>
  <c r="R261" i="1" s="1"/>
  <c r="N261" i="1"/>
  <c r="Q258" i="1"/>
  <c r="K259" i="1"/>
  <c r="I262" i="1"/>
  <c r="J276" i="1"/>
  <c r="L262" i="1" l="1"/>
  <c r="R262" i="1" s="1"/>
  <c r="N262" i="1"/>
  <c r="Q259" i="1"/>
  <c r="K260" i="1"/>
  <c r="I263" i="1"/>
  <c r="J277" i="1"/>
  <c r="L263" i="1" l="1"/>
  <c r="R263" i="1" s="1"/>
  <c r="N263" i="1"/>
  <c r="Q260" i="1"/>
  <c r="K261" i="1"/>
  <c r="I264" i="1"/>
  <c r="J278" i="1"/>
  <c r="L264" i="1" l="1"/>
  <c r="R264" i="1" s="1"/>
  <c r="N264" i="1"/>
  <c r="Q261" i="1"/>
  <c r="K262" i="1"/>
  <c r="I265" i="1"/>
  <c r="J279" i="1"/>
  <c r="L265" i="1" l="1"/>
  <c r="R265" i="1" s="1"/>
  <c r="N265" i="1"/>
  <c r="Q262" i="1"/>
  <c r="K263" i="1"/>
  <c r="I266" i="1"/>
  <c r="J280" i="1"/>
  <c r="L266" i="1" l="1"/>
  <c r="R266" i="1" s="1"/>
  <c r="N266" i="1"/>
  <c r="Q263" i="1"/>
  <c r="K264" i="1"/>
  <c r="I267" i="1"/>
  <c r="J281" i="1"/>
  <c r="L267" i="1" l="1"/>
  <c r="R267" i="1" s="1"/>
  <c r="N267" i="1"/>
  <c r="Q264" i="1"/>
  <c r="K265" i="1"/>
  <c r="I268" i="1"/>
  <c r="J282" i="1"/>
  <c r="L268" i="1" l="1"/>
  <c r="R268" i="1" s="1"/>
  <c r="N268" i="1"/>
  <c r="Q265" i="1"/>
  <c r="K266" i="1"/>
  <c r="I269" i="1"/>
  <c r="J283" i="1"/>
  <c r="L269" i="1" l="1"/>
  <c r="R269" i="1" s="1"/>
  <c r="N269" i="1"/>
  <c r="Q266" i="1"/>
  <c r="K267" i="1"/>
  <c r="I270" i="1"/>
  <c r="J284" i="1"/>
  <c r="L270" i="1" l="1"/>
  <c r="R270" i="1" s="1"/>
  <c r="N270" i="1"/>
  <c r="Q267" i="1"/>
  <c r="K268" i="1"/>
  <c r="I271" i="1"/>
  <c r="J285" i="1"/>
  <c r="L271" i="1" l="1"/>
  <c r="R271" i="1" s="1"/>
  <c r="N271" i="1"/>
  <c r="Q268" i="1"/>
  <c r="K269" i="1"/>
  <c r="I272" i="1"/>
  <c r="J286" i="1"/>
  <c r="L272" i="1" l="1"/>
  <c r="R272" i="1" s="1"/>
  <c r="N272" i="1"/>
  <c r="Q269" i="1"/>
  <c r="K270" i="1"/>
  <c r="I273" i="1"/>
  <c r="J287" i="1"/>
  <c r="L273" i="1" l="1"/>
  <c r="Q270" i="1"/>
  <c r="K271" i="1"/>
  <c r="I274" i="1"/>
  <c r="J288" i="1"/>
  <c r="L274" i="1" l="1"/>
  <c r="Q271" i="1"/>
  <c r="K272" i="1"/>
  <c r="I275" i="1"/>
  <c r="J289" i="1"/>
  <c r="L275" i="1" l="1"/>
  <c r="Q272" i="1"/>
  <c r="K273" i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I276" i="1"/>
  <c r="J290" i="1"/>
  <c r="L276" i="1" l="1"/>
  <c r="K290" i="1"/>
  <c r="I277" i="1"/>
  <c r="J291" i="1"/>
  <c r="L277" i="1" l="1"/>
  <c r="K291" i="1"/>
  <c r="I278" i="1"/>
  <c r="J292" i="1"/>
  <c r="L278" i="1" l="1"/>
  <c r="K292" i="1"/>
  <c r="I279" i="1"/>
  <c r="J293" i="1"/>
  <c r="L279" i="1" l="1"/>
  <c r="K293" i="1"/>
  <c r="I280" i="1"/>
  <c r="J294" i="1"/>
  <c r="L280" i="1" l="1"/>
  <c r="K294" i="1"/>
  <c r="I281" i="1"/>
  <c r="J295" i="1"/>
  <c r="L281" i="1" l="1"/>
  <c r="K295" i="1"/>
  <c r="I282" i="1"/>
  <c r="J296" i="1"/>
  <c r="L282" i="1" l="1"/>
  <c r="K296" i="1"/>
  <c r="I283" i="1"/>
  <c r="J297" i="1"/>
  <c r="L283" i="1" l="1"/>
  <c r="K297" i="1"/>
  <c r="I284" i="1"/>
  <c r="J298" i="1"/>
  <c r="L284" i="1" l="1"/>
  <c r="K298" i="1"/>
  <c r="I285" i="1"/>
  <c r="J299" i="1"/>
  <c r="L285" i="1" l="1"/>
  <c r="K299" i="1"/>
  <c r="I286" i="1"/>
  <c r="J300" i="1"/>
  <c r="L286" i="1" l="1"/>
  <c r="K300" i="1"/>
  <c r="I287" i="1"/>
  <c r="J301" i="1"/>
  <c r="L287" i="1" l="1"/>
  <c r="K301" i="1"/>
  <c r="I288" i="1"/>
  <c r="J302" i="1"/>
  <c r="L288" i="1" l="1"/>
  <c r="K302" i="1"/>
  <c r="I289" i="1"/>
  <c r="J303" i="1"/>
  <c r="L289" i="1" l="1"/>
  <c r="K303" i="1"/>
  <c r="I290" i="1"/>
  <c r="J304" i="1"/>
  <c r="L290" i="1" l="1"/>
  <c r="K304" i="1"/>
  <c r="I291" i="1"/>
  <c r="J305" i="1"/>
  <c r="L291" i="1" l="1"/>
  <c r="K305" i="1"/>
  <c r="I292" i="1"/>
  <c r="J306" i="1"/>
  <c r="L292" i="1" l="1"/>
  <c r="K306" i="1"/>
  <c r="I293" i="1"/>
  <c r="J307" i="1"/>
  <c r="L293" i="1" l="1"/>
  <c r="K307" i="1"/>
  <c r="I294" i="1"/>
  <c r="J308" i="1"/>
  <c r="L294" i="1" l="1"/>
  <c r="K308" i="1"/>
  <c r="I295" i="1"/>
  <c r="J309" i="1"/>
  <c r="L295" i="1" l="1"/>
  <c r="K309" i="1"/>
  <c r="I296" i="1"/>
  <c r="J310" i="1"/>
  <c r="L296" i="1" l="1"/>
  <c r="K310" i="1"/>
  <c r="I297" i="1"/>
  <c r="J311" i="1"/>
  <c r="L297" i="1" l="1"/>
  <c r="K311" i="1"/>
  <c r="I298" i="1"/>
  <c r="J312" i="1"/>
  <c r="L298" i="1" l="1"/>
  <c r="K312" i="1"/>
  <c r="I299" i="1"/>
  <c r="J313" i="1"/>
  <c r="L299" i="1" l="1"/>
  <c r="K313" i="1"/>
  <c r="I300" i="1"/>
  <c r="J314" i="1"/>
  <c r="L300" i="1" l="1"/>
  <c r="K314" i="1"/>
  <c r="I301" i="1"/>
  <c r="J315" i="1"/>
  <c r="L301" i="1" l="1"/>
  <c r="K315" i="1"/>
  <c r="I302" i="1"/>
  <c r="J316" i="1"/>
  <c r="L302" i="1" l="1"/>
  <c r="K316" i="1"/>
  <c r="I303" i="1"/>
  <c r="J317" i="1"/>
  <c r="L303" i="1" l="1"/>
  <c r="K317" i="1"/>
  <c r="I304" i="1"/>
  <c r="J318" i="1"/>
  <c r="L304" i="1" l="1"/>
  <c r="K318" i="1"/>
  <c r="I305" i="1"/>
  <c r="J319" i="1"/>
  <c r="L305" i="1" l="1"/>
  <c r="K319" i="1"/>
  <c r="I306" i="1"/>
  <c r="J320" i="1"/>
  <c r="L306" i="1" l="1"/>
  <c r="K320" i="1"/>
  <c r="I307" i="1"/>
  <c r="J321" i="1"/>
  <c r="L307" i="1" l="1"/>
  <c r="K321" i="1"/>
  <c r="I308" i="1"/>
  <c r="J322" i="1"/>
  <c r="L308" i="1" l="1"/>
  <c r="K322" i="1"/>
  <c r="I309" i="1"/>
  <c r="J323" i="1"/>
  <c r="L309" i="1" l="1"/>
  <c r="K323" i="1"/>
  <c r="I310" i="1"/>
  <c r="J324" i="1"/>
  <c r="L310" i="1" l="1"/>
  <c r="K324" i="1"/>
  <c r="I311" i="1"/>
  <c r="J325" i="1"/>
  <c r="L311" i="1" l="1"/>
  <c r="K325" i="1"/>
  <c r="I312" i="1"/>
  <c r="J326" i="1"/>
  <c r="L312" i="1" l="1"/>
  <c r="K326" i="1"/>
  <c r="I313" i="1"/>
  <c r="J327" i="1"/>
  <c r="L313" i="1" l="1"/>
  <c r="K327" i="1"/>
  <c r="I314" i="1"/>
  <c r="J328" i="1"/>
  <c r="L314" i="1" l="1"/>
  <c r="K328" i="1"/>
  <c r="I315" i="1"/>
  <c r="J329" i="1"/>
  <c r="L315" i="1" l="1"/>
  <c r="K329" i="1"/>
  <c r="I316" i="1"/>
  <c r="J330" i="1"/>
  <c r="L316" i="1" l="1"/>
  <c r="K330" i="1"/>
  <c r="I317" i="1"/>
  <c r="J331" i="1"/>
  <c r="L317" i="1" l="1"/>
  <c r="K331" i="1"/>
  <c r="I318" i="1"/>
  <c r="J332" i="1"/>
  <c r="L318" i="1" l="1"/>
  <c r="K332" i="1"/>
  <c r="I319" i="1"/>
  <c r="J333" i="1"/>
  <c r="L319" i="1" l="1"/>
  <c r="K333" i="1"/>
  <c r="I320" i="1"/>
  <c r="J334" i="1"/>
  <c r="L320" i="1" l="1"/>
  <c r="K334" i="1"/>
  <c r="I321" i="1"/>
  <c r="J335" i="1"/>
  <c r="L321" i="1" l="1"/>
  <c r="K335" i="1"/>
  <c r="I322" i="1"/>
  <c r="J336" i="1"/>
  <c r="L322" i="1" l="1"/>
  <c r="K336" i="1"/>
  <c r="I323" i="1"/>
  <c r="J337" i="1"/>
  <c r="L323" i="1" l="1"/>
  <c r="K337" i="1"/>
  <c r="I324" i="1"/>
  <c r="J338" i="1"/>
  <c r="L324" i="1" l="1"/>
  <c r="K338" i="1"/>
  <c r="I325" i="1"/>
  <c r="J339" i="1"/>
  <c r="L325" i="1" l="1"/>
  <c r="K339" i="1"/>
  <c r="I326" i="1"/>
  <c r="J340" i="1"/>
  <c r="L326" i="1" l="1"/>
  <c r="K340" i="1"/>
  <c r="I327" i="1"/>
  <c r="J341" i="1"/>
  <c r="L327" i="1" l="1"/>
  <c r="K341" i="1"/>
  <c r="I328" i="1"/>
  <c r="J342" i="1"/>
  <c r="L328" i="1" l="1"/>
  <c r="K342" i="1"/>
  <c r="I329" i="1"/>
  <c r="J343" i="1"/>
  <c r="L329" i="1" l="1"/>
  <c r="K343" i="1"/>
  <c r="I330" i="1"/>
  <c r="J344" i="1"/>
  <c r="L330" i="1" l="1"/>
  <c r="K344" i="1"/>
  <c r="I331" i="1"/>
  <c r="J345" i="1"/>
  <c r="L331" i="1" l="1"/>
  <c r="K345" i="1"/>
  <c r="I332" i="1"/>
  <c r="J346" i="1"/>
  <c r="L332" i="1" l="1"/>
  <c r="K346" i="1"/>
  <c r="I333" i="1"/>
  <c r="J347" i="1"/>
  <c r="L333" i="1" l="1"/>
  <c r="K347" i="1"/>
  <c r="I334" i="1"/>
  <c r="J348" i="1"/>
  <c r="L334" i="1" l="1"/>
  <c r="K348" i="1"/>
  <c r="I335" i="1"/>
  <c r="J349" i="1"/>
  <c r="L335" i="1" l="1"/>
  <c r="K349" i="1"/>
  <c r="I336" i="1"/>
  <c r="J350" i="1"/>
  <c r="L336" i="1" l="1"/>
  <c r="K350" i="1"/>
  <c r="I337" i="1"/>
  <c r="J351" i="1"/>
  <c r="L337" i="1" l="1"/>
  <c r="K351" i="1"/>
  <c r="I338" i="1"/>
  <c r="J352" i="1"/>
  <c r="L338" i="1" l="1"/>
  <c r="K352" i="1"/>
  <c r="I339" i="1"/>
  <c r="J353" i="1"/>
  <c r="L339" i="1" l="1"/>
  <c r="K353" i="1"/>
  <c r="I340" i="1"/>
  <c r="J354" i="1"/>
  <c r="L340" i="1" l="1"/>
  <c r="K354" i="1"/>
  <c r="I341" i="1"/>
  <c r="J355" i="1"/>
  <c r="L341" i="1" l="1"/>
  <c r="K355" i="1"/>
  <c r="I342" i="1"/>
  <c r="J356" i="1"/>
  <c r="L342" i="1" l="1"/>
  <c r="K356" i="1"/>
  <c r="I343" i="1"/>
  <c r="J357" i="1"/>
  <c r="L343" i="1" l="1"/>
  <c r="K357" i="1"/>
  <c r="I344" i="1"/>
  <c r="J358" i="1"/>
  <c r="L344" i="1" l="1"/>
  <c r="K358" i="1"/>
  <c r="I345" i="1"/>
  <c r="J359" i="1"/>
  <c r="L345" i="1" l="1"/>
  <c r="K359" i="1"/>
  <c r="I346" i="1"/>
  <c r="J360" i="1"/>
  <c r="L346" i="1" l="1"/>
  <c r="K360" i="1"/>
  <c r="I347" i="1"/>
  <c r="J361" i="1"/>
  <c r="L347" i="1" l="1"/>
  <c r="K361" i="1"/>
  <c r="I348" i="1"/>
  <c r="J362" i="1"/>
  <c r="L348" i="1" l="1"/>
  <c r="K362" i="1"/>
  <c r="I349" i="1"/>
  <c r="J363" i="1"/>
  <c r="L349" i="1" l="1"/>
  <c r="K363" i="1"/>
  <c r="I350" i="1"/>
  <c r="J364" i="1"/>
  <c r="L350" i="1" l="1"/>
  <c r="K364" i="1"/>
  <c r="I351" i="1"/>
  <c r="J365" i="1"/>
  <c r="L351" i="1" l="1"/>
  <c r="K365" i="1"/>
  <c r="I352" i="1"/>
  <c r="J366" i="1"/>
  <c r="L352" i="1" l="1"/>
  <c r="K366" i="1"/>
  <c r="I353" i="1"/>
  <c r="J367" i="1"/>
  <c r="L353" i="1" l="1"/>
  <c r="K367" i="1"/>
  <c r="I354" i="1"/>
  <c r="J368" i="1"/>
  <c r="L354" i="1" l="1"/>
  <c r="K368" i="1"/>
  <c r="I355" i="1"/>
  <c r="J369" i="1"/>
  <c r="L355" i="1" l="1"/>
  <c r="K369" i="1"/>
  <c r="I356" i="1"/>
  <c r="J370" i="1"/>
  <c r="L356" i="1" l="1"/>
  <c r="K370" i="1"/>
  <c r="I357" i="1"/>
  <c r="J371" i="1"/>
  <c r="L357" i="1" l="1"/>
  <c r="K371" i="1"/>
  <c r="I358" i="1"/>
  <c r="J372" i="1"/>
  <c r="L358" i="1" l="1"/>
  <c r="K372" i="1"/>
  <c r="I359" i="1"/>
  <c r="J373" i="1"/>
  <c r="L359" i="1" l="1"/>
  <c r="K373" i="1"/>
  <c r="I360" i="1"/>
  <c r="J374" i="1"/>
  <c r="L360" i="1" l="1"/>
  <c r="K374" i="1"/>
  <c r="I361" i="1"/>
  <c r="J375" i="1"/>
  <c r="L361" i="1" l="1"/>
  <c r="K375" i="1"/>
  <c r="I362" i="1"/>
  <c r="J376" i="1"/>
  <c r="L362" i="1" l="1"/>
  <c r="K376" i="1"/>
  <c r="I363" i="1"/>
  <c r="J377" i="1"/>
  <c r="L363" i="1" l="1"/>
  <c r="K377" i="1"/>
  <c r="I364" i="1"/>
  <c r="J378" i="1"/>
  <c r="L364" i="1" l="1"/>
  <c r="K378" i="1"/>
  <c r="I365" i="1"/>
  <c r="J379" i="1"/>
  <c r="L365" i="1" l="1"/>
  <c r="K379" i="1"/>
  <c r="I366" i="1"/>
  <c r="J380" i="1"/>
  <c r="L366" i="1" l="1"/>
  <c r="K380" i="1"/>
  <c r="I367" i="1"/>
  <c r="J381" i="1"/>
  <c r="L367" i="1" l="1"/>
  <c r="K381" i="1"/>
  <c r="I368" i="1"/>
  <c r="J382" i="1"/>
  <c r="L368" i="1" l="1"/>
  <c r="K382" i="1"/>
  <c r="I369" i="1"/>
  <c r="J383" i="1"/>
  <c r="L369" i="1" l="1"/>
  <c r="K383" i="1"/>
  <c r="I370" i="1"/>
  <c r="J384" i="1"/>
  <c r="L370" i="1" l="1"/>
  <c r="K384" i="1"/>
  <c r="I371" i="1"/>
  <c r="J385" i="1"/>
  <c r="L371" i="1" l="1"/>
  <c r="K385" i="1"/>
  <c r="I372" i="1"/>
  <c r="J386" i="1"/>
  <c r="L372" i="1" l="1"/>
  <c r="K386" i="1"/>
  <c r="I373" i="1"/>
  <c r="J387" i="1"/>
  <c r="L373" i="1" l="1"/>
  <c r="K387" i="1"/>
  <c r="I374" i="1"/>
  <c r="J388" i="1"/>
  <c r="L374" i="1" l="1"/>
  <c r="K388" i="1"/>
  <c r="I375" i="1"/>
  <c r="J389" i="1"/>
  <c r="L375" i="1" l="1"/>
  <c r="K389" i="1"/>
  <c r="I376" i="1"/>
  <c r="J390" i="1"/>
  <c r="L376" i="1" l="1"/>
  <c r="K390" i="1"/>
  <c r="I377" i="1"/>
  <c r="J391" i="1"/>
  <c r="L377" i="1" l="1"/>
  <c r="K391" i="1"/>
  <c r="I378" i="1"/>
  <c r="J392" i="1"/>
  <c r="L378" i="1" l="1"/>
  <c r="K392" i="1"/>
  <c r="I379" i="1"/>
  <c r="J393" i="1"/>
  <c r="L379" i="1" l="1"/>
  <c r="K393" i="1"/>
  <c r="I380" i="1"/>
  <c r="J394" i="1"/>
  <c r="L380" i="1" l="1"/>
  <c r="K394" i="1"/>
  <c r="I381" i="1"/>
  <c r="J395" i="1"/>
  <c r="L381" i="1" l="1"/>
  <c r="K395" i="1"/>
  <c r="I382" i="1"/>
  <c r="J396" i="1"/>
  <c r="L382" i="1" l="1"/>
  <c r="K396" i="1"/>
  <c r="I383" i="1"/>
  <c r="J397" i="1"/>
  <c r="L383" i="1" l="1"/>
  <c r="K397" i="1"/>
  <c r="I384" i="1"/>
  <c r="J398" i="1"/>
  <c r="L384" i="1" l="1"/>
  <c r="K398" i="1"/>
  <c r="I385" i="1"/>
  <c r="J399" i="1"/>
  <c r="L385" i="1" l="1"/>
  <c r="K399" i="1"/>
  <c r="I386" i="1"/>
  <c r="J400" i="1"/>
  <c r="L386" i="1" l="1"/>
  <c r="K400" i="1"/>
  <c r="I387" i="1"/>
  <c r="J401" i="1"/>
  <c r="L387" i="1" l="1"/>
  <c r="K401" i="1"/>
  <c r="I388" i="1"/>
  <c r="J402" i="1"/>
  <c r="L388" i="1" l="1"/>
  <c r="K402" i="1"/>
  <c r="I389" i="1"/>
  <c r="J403" i="1"/>
  <c r="L389" i="1" l="1"/>
  <c r="K403" i="1"/>
  <c r="I390" i="1"/>
  <c r="J404" i="1"/>
  <c r="L390" i="1" l="1"/>
  <c r="K404" i="1"/>
  <c r="I391" i="1"/>
  <c r="J405" i="1"/>
  <c r="L391" i="1" l="1"/>
  <c r="K405" i="1"/>
  <c r="I392" i="1"/>
  <c r="J406" i="1"/>
  <c r="L392" i="1" l="1"/>
  <c r="K406" i="1"/>
  <c r="I393" i="1"/>
  <c r="J407" i="1"/>
  <c r="L393" i="1" l="1"/>
  <c r="K407" i="1"/>
  <c r="I394" i="1"/>
  <c r="J408" i="1"/>
  <c r="L394" i="1" l="1"/>
  <c r="K408" i="1"/>
  <c r="I395" i="1"/>
  <c r="J409" i="1"/>
  <c r="L395" i="1" l="1"/>
  <c r="K409" i="1"/>
  <c r="I396" i="1"/>
  <c r="J410" i="1"/>
  <c r="L396" i="1" l="1"/>
  <c r="K410" i="1"/>
  <c r="I397" i="1"/>
  <c r="J411" i="1"/>
  <c r="L397" i="1" l="1"/>
  <c r="K411" i="1"/>
  <c r="I398" i="1"/>
  <c r="J412" i="1"/>
  <c r="L398" i="1" l="1"/>
  <c r="K412" i="1"/>
  <c r="I399" i="1"/>
  <c r="J413" i="1"/>
  <c r="L399" i="1" l="1"/>
  <c r="K413" i="1"/>
  <c r="I400" i="1"/>
  <c r="J414" i="1"/>
  <c r="L400" i="1" l="1"/>
  <c r="K414" i="1"/>
  <c r="I401" i="1"/>
  <c r="J415" i="1"/>
  <c r="L401" i="1" l="1"/>
  <c r="K415" i="1"/>
  <c r="I402" i="1"/>
  <c r="J416" i="1"/>
  <c r="L402" i="1" l="1"/>
  <c r="K416" i="1"/>
  <c r="I403" i="1"/>
  <c r="J417" i="1"/>
  <c r="L403" i="1" l="1"/>
  <c r="K417" i="1"/>
  <c r="I404" i="1"/>
  <c r="J418" i="1"/>
  <c r="L404" i="1" l="1"/>
  <c r="K418" i="1"/>
  <c r="I405" i="1"/>
  <c r="J419" i="1"/>
  <c r="L405" i="1" l="1"/>
  <c r="K419" i="1"/>
  <c r="I406" i="1"/>
  <c r="J420" i="1"/>
  <c r="L406" i="1" l="1"/>
  <c r="K420" i="1"/>
  <c r="I407" i="1"/>
  <c r="J421" i="1"/>
  <c r="L407" i="1" l="1"/>
  <c r="K421" i="1"/>
  <c r="I408" i="1"/>
  <c r="J422" i="1"/>
  <c r="L408" i="1" l="1"/>
  <c r="K422" i="1"/>
  <c r="I409" i="1"/>
  <c r="J423" i="1"/>
  <c r="L409" i="1" l="1"/>
  <c r="K423" i="1"/>
  <c r="I410" i="1"/>
  <c r="J424" i="1"/>
  <c r="L410" i="1" l="1"/>
  <c r="K424" i="1"/>
  <c r="I411" i="1"/>
  <c r="J425" i="1"/>
  <c r="L411" i="1" l="1"/>
  <c r="K425" i="1"/>
  <c r="I412" i="1"/>
  <c r="J426" i="1"/>
  <c r="L412" i="1" l="1"/>
  <c r="K426" i="1"/>
  <c r="I413" i="1"/>
  <c r="J427" i="1"/>
  <c r="L413" i="1" l="1"/>
  <c r="K427" i="1"/>
  <c r="I414" i="1"/>
  <c r="J428" i="1"/>
  <c r="L414" i="1" l="1"/>
  <c r="K428" i="1"/>
  <c r="I415" i="1"/>
  <c r="J429" i="1"/>
  <c r="L415" i="1" l="1"/>
  <c r="K429" i="1"/>
  <c r="I416" i="1"/>
  <c r="J430" i="1"/>
  <c r="L416" i="1" l="1"/>
  <c r="K430" i="1"/>
  <c r="I417" i="1"/>
  <c r="J431" i="1"/>
  <c r="L417" i="1" l="1"/>
  <c r="K431" i="1"/>
  <c r="I418" i="1"/>
  <c r="J432" i="1"/>
  <c r="L418" i="1" l="1"/>
  <c r="K432" i="1"/>
  <c r="I419" i="1"/>
  <c r="J433" i="1"/>
  <c r="L419" i="1" l="1"/>
  <c r="K433" i="1"/>
  <c r="I420" i="1"/>
  <c r="J434" i="1"/>
  <c r="L420" i="1" l="1"/>
  <c r="K434" i="1"/>
  <c r="I421" i="1"/>
  <c r="J435" i="1"/>
  <c r="L421" i="1" l="1"/>
  <c r="K435" i="1"/>
  <c r="I422" i="1"/>
  <c r="J436" i="1"/>
  <c r="L422" i="1" l="1"/>
  <c r="K436" i="1"/>
  <c r="I423" i="1"/>
  <c r="J437" i="1"/>
  <c r="L423" i="1" l="1"/>
  <c r="K437" i="1"/>
  <c r="I424" i="1"/>
  <c r="J438" i="1"/>
  <c r="L424" i="1" l="1"/>
  <c r="K438" i="1"/>
  <c r="I425" i="1"/>
  <c r="J439" i="1"/>
  <c r="L425" i="1" l="1"/>
  <c r="K439" i="1"/>
  <c r="I426" i="1"/>
  <c r="J440" i="1"/>
  <c r="L426" i="1" l="1"/>
  <c r="K440" i="1"/>
  <c r="I427" i="1"/>
  <c r="J441" i="1"/>
  <c r="L427" i="1" l="1"/>
  <c r="K441" i="1"/>
  <c r="I428" i="1"/>
  <c r="J442" i="1"/>
  <c r="L428" i="1" l="1"/>
  <c r="K442" i="1"/>
  <c r="I429" i="1"/>
  <c r="J443" i="1"/>
  <c r="L429" i="1" l="1"/>
  <c r="K443" i="1"/>
  <c r="I430" i="1"/>
  <c r="J444" i="1"/>
  <c r="L430" i="1" l="1"/>
  <c r="K444" i="1"/>
  <c r="I431" i="1"/>
  <c r="J445" i="1"/>
  <c r="L431" i="1" l="1"/>
  <c r="K445" i="1"/>
  <c r="I432" i="1"/>
  <c r="J446" i="1"/>
  <c r="L432" i="1" l="1"/>
  <c r="K446" i="1"/>
  <c r="I433" i="1"/>
  <c r="J447" i="1"/>
  <c r="L433" i="1" l="1"/>
  <c r="K447" i="1"/>
  <c r="I434" i="1"/>
  <c r="J448" i="1"/>
  <c r="L434" i="1" l="1"/>
  <c r="K448" i="1"/>
  <c r="I435" i="1"/>
  <c r="J449" i="1"/>
  <c r="L435" i="1" l="1"/>
  <c r="K449" i="1"/>
  <c r="I436" i="1"/>
  <c r="J450" i="1"/>
  <c r="L436" i="1" l="1"/>
  <c r="K450" i="1"/>
  <c r="I437" i="1"/>
  <c r="J451" i="1"/>
  <c r="L437" i="1" l="1"/>
  <c r="K451" i="1"/>
  <c r="I438" i="1"/>
  <c r="J452" i="1"/>
  <c r="L438" i="1" l="1"/>
  <c r="K452" i="1"/>
  <c r="I439" i="1"/>
  <c r="J453" i="1"/>
  <c r="L439" i="1" l="1"/>
  <c r="K453" i="1"/>
  <c r="I440" i="1"/>
  <c r="J454" i="1"/>
  <c r="L440" i="1" l="1"/>
  <c r="K454" i="1"/>
  <c r="I441" i="1"/>
  <c r="J455" i="1"/>
  <c r="L441" i="1" l="1"/>
  <c r="K455" i="1"/>
  <c r="I442" i="1"/>
  <c r="J456" i="1"/>
  <c r="L442" i="1" l="1"/>
  <c r="K456" i="1"/>
  <c r="I443" i="1"/>
  <c r="J457" i="1"/>
  <c r="L443" i="1" l="1"/>
  <c r="K457" i="1"/>
  <c r="I444" i="1"/>
  <c r="J458" i="1"/>
  <c r="L444" i="1" l="1"/>
  <c r="K458" i="1"/>
  <c r="I445" i="1"/>
  <c r="J459" i="1"/>
  <c r="L445" i="1" l="1"/>
  <c r="K459" i="1"/>
  <c r="I446" i="1"/>
  <c r="J460" i="1"/>
  <c r="L446" i="1" l="1"/>
  <c r="K460" i="1"/>
  <c r="I447" i="1"/>
  <c r="J461" i="1"/>
  <c r="L447" i="1" l="1"/>
  <c r="K461" i="1"/>
  <c r="I448" i="1"/>
  <c r="J462" i="1"/>
  <c r="L448" i="1" l="1"/>
  <c r="K462" i="1"/>
  <c r="I449" i="1"/>
  <c r="J463" i="1"/>
  <c r="L449" i="1" l="1"/>
  <c r="K463" i="1"/>
  <c r="I450" i="1"/>
  <c r="J464" i="1"/>
  <c r="L450" i="1" l="1"/>
  <c r="K464" i="1"/>
  <c r="I451" i="1"/>
  <c r="J465" i="1"/>
  <c r="L451" i="1" l="1"/>
  <c r="K465" i="1"/>
  <c r="I452" i="1"/>
  <c r="J466" i="1"/>
  <c r="L452" i="1" l="1"/>
  <c r="K466" i="1"/>
  <c r="I453" i="1"/>
  <c r="J467" i="1"/>
  <c r="L453" i="1" l="1"/>
  <c r="K467" i="1"/>
  <c r="I454" i="1"/>
  <c r="J468" i="1"/>
  <c r="L454" i="1" l="1"/>
  <c r="K468" i="1"/>
  <c r="I455" i="1"/>
  <c r="J469" i="1"/>
  <c r="L455" i="1" l="1"/>
  <c r="K469" i="1"/>
  <c r="I456" i="1"/>
  <c r="J470" i="1"/>
  <c r="L456" i="1" l="1"/>
  <c r="K470" i="1"/>
  <c r="I457" i="1"/>
  <c r="J471" i="1"/>
  <c r="L457" i="1" l="1"/>
  <c r="K471" i="1"/>
  <c r="I458" i="1"/>
  <c r="J472" i="1"/>
  <c r="L458" i="1" l="1"/>
  <c r="K472" i="1"/>
  <c r="I459" i="1"/>
  <c r="J473" i="1"/>
  <c r="L459" i="1" l="1"/>
  <c r="K473" i="1"/>
  <c r="I460" i="1"/>
  <c r="J474" i="1"/>
  <c r="L460" i="1" l="1"/>
  <c r="K474" i="1"/>
  <c r="I461" i="1"/>
  <c r="J475" i="1"/>
  <c r="L461" i="1" l="1"/>
  <c r="K475" i="1"/>
  <c r="I462" i="1"/>
  <c r="J476" i="1"/>
  <c r="L462" i="1" l="1"/>
  <c r="K476" i="1"/>
  <c r="I463" i="1"/>
  <c r="J477" i="1"/>
  <c r="L463" i="1" l="1"/>
  <c r="K477" i="1"/>
  <c r="I464" i="1"/>
  <c r="J478" i="1"/>
  <c r="L464" i="1" l="1"/>
  <c r="K478" i="1"/>
  <c r="I465" i="1"/>
  <c r="J479" i="1"/>
  <c r="L465" i="1" l="1"/>
  <c r="K479" i="1"/>
  <c r="I466" i="1"/>
  <c r="J480" i="1"/>
  <c r="L466" i="1" l="1"/>
  <c r="K480" i="1"/>
  <c r="I467" i="1"/>
  <c r="J481" i="1"/>
  <c r="L467" i="1" l="1"/>
  <c r="K481" i="1"/>
  <c r="I468" i="1"/>
  <c r="J482" i="1"/>
  <c r="L468" i="1" l="1"/>
  <c r="K482" i="1"/>
  <c r="I469" i="1"/>
  <c r="J483" i="1"/>
  <c r="L469" i="1" l="1"/>
  <c r="K483" i="1"/>
  <c r="I470" i="1"/>
  <c r="J484" i="1"/>
  <c r="L470" i="1" l="1"/>
  <c r="K484" i="1"/>
  <c r="I471" i="1"/>
  <c r="J485" i="1"/>
  <c r="L471" i="1" l="1"/>
  <c r="K485" i="1"/>
  <c r="I472" i="1"/>
  <c r="J486" i="1"/>
  <c r="L472" i="1" l="1"/>
  <c r="K486" i="1"/>
  <c r="I473" i="1"/>
  <c r="J487" i="1"/>
  <c r="L473" i="1" l="1"/>
  <c r="K487" i="1"/>
  <c r="I474" i="1"/>
  <c r="J488" i="1"/>
  <c r="L474" i="1" l="1"/>
  <c r="K488" i="1"/>
  <c r="I475" i="1"/>
  <c r="J489" i="1"/>
  <c r="L475" i="1" l="1"/>
  <c r="K489" i="1"/>
  <c r="I476" i="1"/>
  <c r="J490" i="1"/>
  <c r="L476" i="1" l="1"/>
  <c r="K490" i="1"/>
  <c r="I477" i="1"/>
  <c r="J491" i="1"/>
  <c r="L477" i="1" l="1"/>
  <c r="K491" i="1"/>
  <c r="I478" i="1"/>
  <c r="J492" i="1"/>
  <c r="L478" i="1" l="1"/>
  <c r="K492" i="1"/>
  <c r="I479" i="1"/>
  <c r="J493" i="1"/>
  <c r="L479" i="1" l="1"/>
  <c r="K493" i="1"/>
  <c r="I480" i="1"/>
  <c r="J494" i="1"/>
  <c r="L480" i="1" l="1"/>
  <c r="K494" i="1"/>
  <c r="I481" i="1"/>
  <c r="J495" i="1"/>
  <c r="L481" i="1" l="1"/>
  <c r="K495" i="1"/>
  <c r="I482" i="1"/>
  <c r="J496" i="1"/>
  <c r="L482" i="1" l="1"/>
  <c r="K496" i="1"/>
  <c r="I483" i="1"/>
  <c r="J497" i="1"/>
  <c r="L483" i="1" l="1"/>
  <c r="K497" i="1"/>
  <c r="I484" i="1"/>
  <c r="J498" i="1"/>
  <c r="L484" i="1" l="1"/>
  <c r="K498" i="1"/>
  <c r="I485" i="1"/>
  <c r="J499" i="1"/>
  <c r="L485" i="1" l="1"/>
  <c r="K499" i="1"/>
  <c r="I486" i="1"/>
  <c r="J500" i="1"/>
  <c r="L486" i="1" l="1"/>
  <c r="K500" i="1"/>
  <c r="I487" i="1"/>
  <c r="J501" i="1"/>
  <c r="L487" i="1" l="1"/>
  <c r="K501" i="1"/>
  <c r="I488" i="1"/>
  <c r="J502" i="1"/>
  <c r="L488" i="1" l="1"/>
  <c r="K502" i="1"/>
  <c r="I489" i="1"/>
  <c r="J503" i="1"/>
  <c r="L489" i="1" l="1"/>
  <c r="K503" i="1"/>
  <c r="I490" i="1"/>
  <c r="J504" i="1"/>
  <c r="L490" i="1" l="1"/>
  <c r="K504" i="1"/>
  <c r="I491" i="1"/>
  <c r="J505" i="1"/>
  <c r="L491" i="1" l="1"/>
  <c r="K505" i="1"/>
  <c r="I492" i="1"/>
  <c r="J506" i="1"/>
  <c r="L492" i="1" l="1"/>
  <c r="K506" i="1"/>
  <c r="I493" i="1"/>
  <c r="J507" i="1"/>
  <c r="L493" i="1" l="1"/>
  <c r="K507" i="1"/>
  <c r="I494" i="1"/>
  <c r="J508" i="1"/>
  <c r="L494" i="1" l="1"/>
  <c r="K508" i="1"/>
  <c r="I495" i="1"/>
  <c r="J509" i="1"/>
  <c r="L495" i="1" l="1"/>
  <c r="K509" i="1"/>
  <c r="I496" i="1"/>
  <c r="J510" i="1"/>
  <c r="L496" i="1" l="1"/>
  <c r="K510" i="1"/>
  <c r="I497" i="1"/>
  <c r="J511" i="1"/>
  <c r="L497" i="1" l="1"/>
  <c r="K511" i="1"/>
  <c r="I498" i="1"/>
  <c r="J512" i="1"/>
  <c r="L498" i="1" l="1"/>
  <c r="K512" i="1"/>
  <c r="I499" i="1"/>
  <c r="J513" i="1"/>
  <c r="L499" i="1" l="1"/>
  <c r="K513" i="1"/>
  <c r="I500" i="1"/>
  <c r="J514" i="1"/>
  <c r="L500" i="1" l="1"/>
  <c r="K514" i="1"/>
  <c r="I501" i="1"/>
  <c r="J515" i="1"/>
  <c r="L501" i="1" l="1"/>
  <c r="K515" i="1"/>
  <c r="I502" i="1"/>
  <c r="J516" i="1"/>
  <c r="L502" i="1" l="1"/>
  <c r="K516" i="1"/>
  <c r="I503" i="1"/>
  <c r="J517" i="1"/>
  <c r="L503" i="1" l="1"/>
  <c r="K517" i="1"/>
  <c r="I504" i="1"/>
  <c r="J518" i="1"/>
  <c r="L504" i="1" l="1"/>
  <c r="K518" i="1"/>
  <c r="I505" i="1"/>
  <c r="J519" i="1"/>
  <c r="L505" i="1" l="1"/>
  <c r="K519" i="1"/>
  <c r="I506" i="1"/>
  <c r="J520" i="1"/>
  <c r="L506" i="1" l="1"/>
  <c r="K520" i="1"/>
  <c r="I507" i="1"/>
  <c r="J521" i="1"/>
  <c r="L507" i="1" l="1"/>
  <c r="K521" i="1"/>
  <c r="I508" i="1"/>
  <c r="J522" i="1"/>
  <c r="L508" i="1" l="1"/>
  <c r="K522" i="1"/>
  <c r="I509" i="1"/>
  <c r="J523" i="1"/>
  <c r="L509" i="1" l="1"/>
  <c r="K523" i="1"/>
  <c r="I510" i="1"/>
  <c r="J524" i="1"/>
  <c r="L510" i="1" l="1"/>
  <c r="K524" i="1"/>
  <c r="I511" i="1"/>
  <c r="J525" i="1"/>
  <c r="L511" i="1" l="1"/>
  <c r="K525" i="1"/>
  <c r="I512" i="1"/>
  <c r="J526" i="1"/>
  <c r="L512" i="1" l="1"/>
  <c r="K526" i="1"/>
  <c r="I513" i="1"/>
  <c r="J527" i="1"/>
  <c r="L513" i="1" l="1"/>
  <c r="K527" i="1"/>
  <c r="I514" i="1"/>
  <c r="J528" i="1"/>
  <c r="L514" i="1" l="1"/>
  <c r="K528" i="1"/>
  <c r="I515" i="1"/>
  <c r="J529" i="1"/>
  <c r="L515" i="1" l="1"/>
  <c r="K529" i="1"/>
  <c r="I516" i="1"/>
  <c r="J530" i="1"/>
  <c r="L516" i="1" l="1"/>
  <c r="K530" i="1"/>
  <c r="I517" i="1"/>
  <c r="J531" i="1"/>
  <c r="L517" i="1" l="1"/>
  <c r="K531" i="1"/>
  <c r="I518" i="1"/>
  <c r="J532" i="1"/>
  <c r="L518" i="1" l="1"/>
  <c r="K532" i="1"/>
  <c r="I519" i="1"/>
  <c r="J533" i="1"/>
  <c r="L519" i="1" l="1"/>
  <c r="K533" i="1"/>
  <c r="K534" i="1" s="1"/>
  <c r="K535" i="1" s="1"/>
  <c r="Q535" i="1"/>
  <c r="I520" i="1"/>
  <c r="K536" i="1" l="1"/>
  <c r="L520" i="1"/>
  <c r="Q536" i="1"/>
  <c r="I521" i="1"/>
  <c r="K537" i="1" l="1"/>
  <c r="L521" i="1"/>
  <c r="Q537" i="1"/>
  <c r="I522" i="1"/>
  <c r="K538" i="1" l="1"/>
  <c r="L522" i="1"/>
  <c r="Q538" i="1"/>
  <c r="I523" i="1"/>
  <c r="K539" i="1" l="1"/>
  <c r="L523" i="1"/>
  <c r="Q539" i="1"/>
  <c r="I524" i="1"/>
  <c r="K540" i="1" l="1"/>
  <c r="L524" i="1"/>
  <c r="Q540" i="1"/>
  <c r="I525" i="1"/>
  <c r="K541" i="1" l="1"/>
  <c r="L525" i="1"/>
  <c r="Q541" i="1"/>
  <c r="I526" i="1"/>
  <c r="K542" i="1" l="1"/>
  <c r="L526" i="1"/>
  <c r="Q542" i="1"/>
  <c r="I527" i="1"/>
  <c r="K543" i="1" l="1"/>
  <c r="L527" i="1"/>
  <c r="Q543" i="1"/>
  <c r="I528" i="1"/>
  <c r="K544" i="1" l="1"/>
  <c r="L528" i="1"/>
  <c r="Q544" i="1"/>
  <c r="I529" i="1"/>
  <c r="K545" i="1" l="1"/>
  <c r="L529" i="1"/>
  <c r="Q545" i="1"/>
  <c r="I530" i="1"/>
  <c r="K546" i="1" l="1"/>
  <c r="L530" i="1"/>
  <c r="Q546" i="1"/>
  <c r="I531" i="1"/>
  <c r="K547" i="1" l="1"/>
  <c r="L531" i="1"/>
  <c r="Q547" i="1"/>
  <c r="I532" i="1"/>
  <c r="K548" i="1" l="1"/>
  <c r="L532" i="1"/>
  <c r="Q548" i="1"/>
  <c r="I533" i="1"/>
  <c r="K549" i="1" l="1"/>
  <c r="L533" i="1"/>
  <c r="Q549" i="1"/>
  <c r="K550" i="1" l="1"/>
  <c r="Q550" i="1"/>
  <c r="K551" i="1" l="1"/>
  <c r="Q551" i="1"/>
  <c r="K552" i="1" l="1"/>
  <c r="Q552" i="1"/>
  <c r="K553" i="1" l="1"/>
  <c r="Q553" i="1"/>
  <c r="K554" i="1" l="1"/>
  <c r="Q554" i="1"/>
  <c r="K555" i="1" l="1"/>
  <c r="Q555" i="1"/>
  <c r="K556" i="1" l="1"/>
  <c r="Q556" i="1"/>
  <c r="K557" i="1" l="1"/>
  <c r="Q557" i="1"/>
  <c r="K558" i="1" l="1"/>
  <c r="Q558" i="1"/>
  <c r="K559" i="1" l="1"/>
  <c r="Q559" i="1"/>
  <c r="K560" i="1" l="1"/>
  <c r="Q560" i="1"/>
  <c r="K561" i="1" l="1"/>
  <c r="Q561" i="1"/>
  <c r="K562" i="1" l="1"/>
  <c r="Q562" i="1"/>
  <c r="K563" i="1" l="1"/>
  <c r="Q563" i="1"/>
  <c r="K564" i="1" l="1"/>
  <c r="Q564" i="1"/>
  <c r="K565" i="1" l="1"/>
  <c r="Q565" i="1"/>
  <c r="K566" i="1" l="1"/>
  <c r="Q566" i="1"/>
  <c r="K567" i="1" l="1"/>
  <c r="Q567" i="1"/>
  <c r="K568" i="1" l="1"/>
  <c r="Q568" i="1"/>
  <c r="K569" i="1" l="1"/>
  <c r="Q569" i="1"/>
  <c r="K570" i="1" l="1"/>
  <c r="Q570" i="1"/>
  <c r="K571" i="1" l="1"/>
  <c r="Q571" i="1"/>
  <c r="K572" i="1" l="1"/>
  <c r="Q572" i="1"/>
  <c r="K573" i="1" l="1"/>
  <c r="Q573" i="1"/>
  <c r="K574" i="1" l="1"/>
  <c r="Q574" i="1"/>
  <c r="K575" i="1" l="1"/>
  <c r="Q575" i="1"/>
  <c r="K576" i="1" l="1"/>
  <c r="Q576" i="1"/>
  <c r="K577" i="1" l="1"/>
  <c r="Q577" i="1"/>
  <c r="K578" i="1" l="1"/>
  <c r="Q578" i="1"/>
  <c r="K579" i="1" l="1"/>
  <c r="Q579" i="1"/>
  <c r="K580" i="1" l="1"/>
  <c r="Q580" i="1"/>
  <c r="K581" i="1" l="1"/>
  <c r="Q581" i="1"/>
  <c r="K582" i="1" l="1"/>
  <c r="Q582" i="1"/>
  <c r="K583" i="1" l="1"/>
  <c r="Q583" i="1"/>
  <c r="K584" i="1" l="1"/>
  <c r="Q584" i="1"/>
  <c r="K585" i="1" l="1"/>
  <c r="Q585" i="1"/>
  <c r="K586" i="1" l="1"/>
  <c r="Q586" i="1"/>
  <c r="K587" i="1" l="1"/>
  <c r="Q587" i="1"/>
  <c r="K588" i="1" l="1"/>
  <c r="Q588" i="1"/>
  <c r="K589" i="1" l="1"/>
  <c r="Q589" i="1"/>
  <c r="K590" i="1" l="1"/>
  <c r="Q590" i="1"/>
  <c r="K591" i="1" l="1"/>
  <c r="Q591" i="1"/>
  <c r="K592" i="1" l="1"/>
  <c r="Q592" i="1"/>
  <c r="K593" i="1" l="1"/>
  <c r="Q593" i="1"/>
  <c r="K594" i="1" l="1"/>
  <c r="Q594" i="1"/>
  <c r="K595" i="1" l="1"/>
  <c r="Q595" i="1"/>
  <c r="K596" i="1" l="1"/>
  <c r="Q596" i="1"/>
  <c r="K597" i="1" l="1"/>
  <c r="Q597" i="1"/>
  <c r="K598" i="1" l="1"/>
  <c r="Q598" i="1"/>
  <c r="K599" i="1" l="1"/>
  <c r="Q599" i="1"/>
  <c r="K600" i="1" l="1"/>
  <c r="Q600" i="1"/>
  <c r="K601" i="1" l="1"/>
  <c r="Q601" i="1"/>
  <c r="K602" i="1" l="1"/>
  <c r="Q602" i="1"/>
  <c r="K603" i="1" l="1"/>
  <c r="Q603" i="1"/>
  <c r="K604" i="1" l="1"/>
  <c r="Q604" i="1"/>
  <c r="K605" i="1" l="1"/>
  <c r="Q605" i="1"/>
  <c r="K606" i="1" l="1"/>
  <c r="Q606" i="1"/>
  <c r="K607" i="1" l="1"/>
  <c r="Q607" i="1"/>
  <c r="K608" i="1" l="1"/>
  <c r="Q608" i="1"/>
  <c r="K609" i="1" l="1"/>
  <c r="Q609" i="1"/>
  <c r="K610" i="1" l="1"/>
  <c r="Q610" i="1"/>
  <c r="K611" i="1" l="1"/>
  <c r="Q611" i="1"/>
  <c r="K612" i="1" l="1"/>
  <c r="Q612" i="1"/>
  <c r="K613" i="1" l="1"/>
  <c r="Q613" i="1"/>
  <c r="K614" i="1" l="1"/>
  <c r="Q614" i="1"/>
  <c r="K615" i="1" l="1"/>
  <c r="Q615" i="1"/>
  <c r="K616" i="1" l="1"/>
  <c r="Q616" i="1"/>
  <c r="K617" i="1" l="1"/>
  <c r="Q617" i="1"/>
  <c r="K618" i="1" l="1"/>
  <c r="Q618" i="1"/>
  <c r="K619" i="1" l="1"/>
  <c r="Q619" i="1"/>
  <c r="K620" i="1" l="1"/>
  <c r="Q620" i="1"/>
  <c r="K621" i="1" l="1"/>
  <c r="Q621" i="1"/>
  <c r="K622" i="1" l="1"/>
  <c r="Q622" i="1"/>
  <c r="K623" i="1" l="1"/>
  <c r="Q623" i="1"/>
  <c r="K624" i="1" l="1"/>
  <c r="Q624" i="1"/>
  <c r="K625" i="1" l="1"/>
  <c r="Q625" i="1"/>
  <c r="K626" i="1" l="1"/>
  <c r="Q626" i="1"/>
  <c r="K627" i="1" l="1"/>
  <c r="Q627" i="1"/>
  <c r="K628" i="1" l="1"/>
  <c r="Q628" i="1"/>
  <c r="K629" i="1" l="1"/>
  <c r="Q629" i="1"/>
  <c r="K630" i="1" l="1"/>
  <c r="Q630" i="1"/>
  <c r="K631" i="1" l="1"/>
  <c r="Q631" i="1"/>
  <c r="K632" i="1" l="1"/>
  <c r="Q632" i="1"/>
  <c r="K633" i="1" l="1"/>
  <c r="Q633" i="1"/>
  <c r="K634" i="1" l="1"/>
  <c r="Q634" i="1"/>
  <c r="K635" i="1" l="1"/>
  <c r="Q635" i="1"/>
  <c r="K636" i="1" l="1"/>
  <c r="Q636" i="1"/>
  <c r="K637" i="1" l="1"/>
  <c r="Q637" i="1"/>
  <c r="K638" i="1" l="1"/>
  <c r="Q638" i="1"/>
  <c r="K639" i="1" l="1"/>
  <c r="Q639" i="1"/>
  <c r="K640" i="1" l="1"/>
  <c r="Q640" i="1"/>
  <c r="K641" i="1" l="1"/>
  <c r="Q641" i="1"/>
  <c r="K642" i="1" l="1"/>
  <c r="Q642" i="1"/>
  <c r="K643" i="1" l="1"/>
  <c r="Q643" i="1"/>
  <c r="K644" i="1" l="1"/>
  <c r="Q644" i="1"/>
  <c r="K645" i="1" l="1"/>
  <c r="Q645" i="1"/>
  <c r="K646" i="1" l="1"/>
  <c r="Q646" i="1"/>
  <c r="K647" i="1" l="1"/>
  <c r="Q647" i="1"/>
  <c r="K648" i="1" l="1"/>
  <c r="Q648" i="1"/>
  <c r="K649" i="1" l="1"/>
  <c r="Q649" i="1"/>
  <c r="K650" i="1" l="1"/>
  <c r="Q650" i="1"/>
  <c r="K651" i="1" l="1"/>
  <c r="Q651" i="1"/>
  <c r="K652" i="1" l="1"/>
  <c r="Q652" i="1"/>
  <c r="K653" i="1" l="1"/>
  <c r="Q653" i="1"/>
  <c r="K654" i="1" l="1"/>
  <c r="Q654" i="1"/>
  <c r="K655" i="1" l="1"/>
  <c r="Q655" i="1"/>
  <c r="K656" i="1" l="1"/>
  <c r="Q656" i="1"/>
  <c r="K657" i="1" l="1"/>
  <c r="Q657" i="1"/>
  <c r="K658" i="1" l="1"/>
  <c r="Q658" i="1"/>
  <c r="K659" i="1" l="1"/>
  <c r="Q659" i="1"/>
  <c r="K660" i="1" l="1"/>
  <c r="Q660" i="1"/>
  <c r="K661" i="1" l="1"/>
  <c r="Q661" i="1"/>
  <c r="K662" i="1" l="1"/>
  <c r="Q662" i="1"/>
  <c r="K663" i="1" l="1"/>
  <c r="Q663" i="1"/>
  <c r="K664" i="1" l="1"/>
  <c r="Q664" i="1"/>
  <c r="K665" i="1" l="1"/>
  <c r="Q665" i="1"/>
  <c r="K666" i="1" l="1"/>
  <c r="Q666" i="1"/>
  <c r="K667" i="1" l="1"/>
  <c r="Q667" i="1"/>
  <c r="K668" i="1" l="1"/>
  <c r="Q668" i="1"/>
  <c r="K669" i="1" l="1"/>
  <c r="Q669" i="1"/>
  <c r="K670" i="1" l="1"/>
  <c r="Q670" i="1"/>
  <c r="K671" i="1" l="1"/>
  <c r="Q671" i="1"/>
  <c r="K672" i="1" l="1"/>
  <c r="Q672" i="1"/>
  <c r="K673" i="1" l="1"/>
  <c r="Q673" i="1"/>
  <c r="K674" i="1" l="1"/>
  <c r="Q674" i="1"/>
  <c r="K675" i="1" l="1"/>
  <c r="Q675" i="1"/>
  <c r="K676" i="1" l="1"/>
  <c r="Q676" i="1"/>
  <c r="K677" i="1" l="1"/>
  <c r="Q677" i="1"/>
  <c r="K678" i="1" l="1"/>
  <c r="Q678" i="1"/>
  <c r="K679" i="1" l="1"/>
  <c r="Q679" i="1"/>
  <c r="K680" i="1" l="1"/>
  <c r="Q680" i="1"/>
  <c r="K681" i="1" l="1"/>
  <c r="Q681" i="1"/>
  <c r="K682" i="1" l="1"/>
  <c r="Q682" i="1"/>
  <c r="K683" i="1" l="1"/>
  <c r="Q683" i="1"/>
  <c r="K684" i="1" l="1"/>
  <c r="Q684" i="1"/>
  <c r="K685" i="1" l="1"/>
  <c r="Q685" i="1"/>
  <c r="K686" i="1" l="1"/>
  <c r="Q686" i="1"/>
  <c r="K687" i="1" l="1"/>
  <c r="Q687" i="1"/>
  <c r="K688" i="1" l="1"/>
  <c r="Q688" i="1"/>
  <c r="K689" i="1" l="1"/>
  <c r="Q689" i="1"/>
  <c r="K690" i="1" l="1"/>
  <c r="Q690" i="1"/>
  <c r="K691" i="1" l="1"/>
  <c r="Q691" i="1"/>
  <c r="K692" i="1" l="1"/>
  <c r="Q692" i="1"/>
  <c r="K693" i="1" l="1"/>
  <c r="Q693" i="1"/>
  <c r="K694" i="1" l="1"/>
  <c r="Q694" i="1"/>
  <c r="K695" i="1" l="1"/>
  <c r="Q695" i="1"/>
  <c r="K696" i="1" l="1"/>
  <c r="Q696" i="1"/>
  <c r="K697" i="1" l="1"/>
  <c r="Q697" i="1"/>
  <c r="K698" i="1" l="1"/>
  <c r="Q698" i="1"/>
  <c r="K699" i="1" l="1"/>
  <c r="Q699" i="1"/>
  <c r="K700" i="1" l="1"/>
  <c r="Q700" i="1"/>
  <c r="K701" i="1" l="1"/>
  <c r="Q701" i="1"/>
  <c r="K702" i="1" l="1"/>
  <c r="Q702" i="1"/>
  <c r="K703" i="1" l="1"/>
  <c r="Q703" i="1"/>
  <c r="K704" i="1" l="1"/>
  <c r="Q704" i="1"/>
  <c r="K705" i="1" l="1"/>
  <c r="Q705" i="1"/>
  <c r="K706" i="1" l="1"/>
  <c r="Q706" i="1"/>
  <c r="K707" i="1" l="1"/>
  <c r="Q707" i="1"/>
  <c r="K708" i="1" l="1"/>
  <c r="Q708" i="1"/>
  <c r="K709" i="1" l="1"/>
  <c r="Q709" i="1"/>
  <c r="K710" i="1" l="1"/>
  <c r="Q710" i="1"/>
  <c r="K711" i="1" l="1"/>
  <c r="Q711" i="1"/>
  <c r="K712" i="1" l="1"/>
  <c r="Q712" i="1"/>
  <c r="K713" i="1" l="1"/>
  <c r="Q713" i="1"/>
  <c r="K714" i="1" l="1"/>
  <c r="Q714" i="1"/>
  <c r="K715" i="1" l="1"/>
  <c r="Q715" i="1"/>
  <c r="K716" i="1" l="1"/>
  <c r="Q716" i="1"/>
  <c r="K717" i="1" l="1"/>
  <c r="Q717" i="1"/>
  <c r="K718" i="1" l="1"/>
  <c r="Q718" i="1"/>
  <c r="K719" i="1" l="1"/>
  <c r="Q719" i="1"/>
  <c r="K720" i="1" l="1"/>
  <c r="Q720" i="1"/>
  <c r="K721" i="1" l="1"/>
  <c r="Q721" i="1"/>
  <c r="K722" i="1" l="1"/>
  <c r="Q722" i="1"/>
  <c r="K723" i="1" l="1"/>
  <c r="Q723" i="1"/>
  <c r="K724" i="1" l="1"/>
  <c r="Q724" i="1"/>
  <c r="K725" i="1" l="1"/>
  <c r="Q725" i="1"/>
  <c r="K726" i="1" l="1"/>
  <c r="Q726" i="1"/>
  <c r="K727" i="1" l="1"/>
  <c r="Q727" i="1"/>
  <c r="K728" i="1" l="1"/>
  <c r="Q728" i="1"/>
  <c r="K729" i="1" l="1"/>
  <c r="Q729" i="1"/>
  <c r="K730" i="1" l="1"/>
  <c r="Q730" i="1"/>
  <c r="K731" i="1" l="1"/>
  <c r="Q731" i="1"/>
  <c r="K732" i="1" l="1"/>
  <c r="Q732" i="1"/>
  <c r="K733" i="1" l="1"/>
  <c r="Q733" i="1"/>
  <c r="K734" i="1" l="1"/>
  <c r="Q734" i="1"/>
  <c r="K735" i="1" l="1"/>
  <c r="Q735" i="1"/>
  <c r="K736" i="1" l="1"/>
  <c r="Q736" i="1"/>
  <c r="K737" i="1" l="1"/>
  <c r="Q737" i="1"/>
  <c r="K738" i="1" l="1"/>
  <c r="Q738" i="1"/>
  <c r="K739" i="1" l="1"/>
  <c r="Q739" i="1"/>
  <c r="K740" i="1" l="1"/>
  <c r="Q740" i="1"/>
  <c r="K741" i="1" l="1"/>
  <c r="Q741" i="1"/>
  <c r="K742" i="1" l="1"/>
  <c r="Q742" i="1"/>
  <c r="K743" i="1" l="1"/>
  <c r="Q743" i="1"/>
  <c r="K744" i="1" l="1"/>
  <c r="Q744" i="1"/>
  <c r="K745" i="1" l="1"/>
  <c r="Q745" i="1"/>
  <c r="K746" i="1" l="1"/>
  <c r="Q746" i="1"/>
  <c r="K747" i="1" l="1"/>
  <c r="Q747" i="1"/>
  <c r="K748" i="1" l="1"/>
  <c r="Q748" i="1"/>
  <c r="K749" i="1" l="1"/>
  <c r="Q749" i="1"/>
  <c r="K750" i="1" l="1"/>
  <c r="Q750" i="1"/>
  <c r="K751" i="1" l="1"/>
  <c r="Q751" i="1"/>
  <c r="K752" i="1" l="1"/>
  <c r="Q752" i="1"/>
  <c r="K753" i="1" l="1"/>
  <c r="Q753" i="1"/>
  <c r="K754" i="1" l="1"/>
  <c r="Q754" i="1"/>
  <c r="K755" i="1" l="1"/>
  <c r="Q755" i="1"/>
  <c r="K756" i="1" l="1"/>
  <c r="Q756" i="1"/>
  <c r="K757" i="1" l="1"/>
  <c r="Q757" i="1"/>
  <c r="K758" i="1" l="1"/>
  <c r="Q758" i="1"/>
  <c r="K759" i="1" l="1"/>
  <c r="Q759" i="1"/>
  <c r="K760" i="1" l="1"/>
  <c r="Q760" i="1"/>
  <c r="K761" i="1" l="1"/>
  <c r="Q761" i="1"/>
  <c r="K762" i="1" l="1"/>
  <c r="Q762" i="1"/>
  <c r="K763" i="1" l="1"/>
  <c r="Q763" i="1"/>
  <c r="K764" i="1" l="1"/>
  <c r="Q764" i="1"/>
  <c r="K765" i="1" l="1"/>
  <c r="Q765" i="1"/>
  <c r="K766" i="1" l="1"/>
  <c r="Q766" i="1"/>
  <c r="K767" i="1" l="1"/>
  <c r="Q767" i="1"/>
  <c r="K768" i="1" l="1"/>
  <c r="Q768" i="1"/>
  <c r="K769" i="1" l="1"/>
  <c r="Q769" i="1"/>
  <c r="K770" i="1" l="1"/>
  <c r="Q770" i="1"/>
  <c r="K771" i="1" l="1"/>
  <c r="Q771" i="1"/>
  <c r="K772" i="1" l="1"/>
  <c r="Q772" i="1"/>
  <c r="K773" i="1" l="1"/>
  <c r="Q773" i="1"/>
  <c r="K774" i="1" l="1"/>
  <c r="Q774" i="1"/>
  <c r="K775" i="1" l="1"/>
  <c r="Q775" i="1"/>
  <c r="K776" i="1" l="1"/>
  <c r="Q776" i="1"/>
  <c r="K777" i="1" l="1"/>
  <c r="Q777" i="1"/>
  <c r="K778" i="1" l="1"/>
  <c r="Q778" i="1"/>
  <c r="K779" i="1" l="1"/>
  <c r="Q779" i="1"/>
  <c r="K780" i="1" l="1"/>
  <c r="Q780" i="1"/>
  <c r="K781" i="1" l="1"/>
  <c r="Q781" i="1"/>
  <c r="K782" i="1" l="1"/>
  <c r="Q782" i="1"/>
  <c r="K783" i="1" l="1"/>
  <c r="Q783" i="1"/>
  <c r="K784" i="1" l="1"/>
  <c r="Q784" i="1"/>
  <c r="K785" i="1" l="1"/>
  <c r="Q785" i="1"/>
  <c r="K786" i="1" l="1"/>
  <c r="Q786" i="1"/>
  <c r="K787" i="1" l="1"/>
  <c r="Q787" i="1"/>
  <c r="K788" i="1" l="1"/>
  <c r="Q788" i="1"/>
  <c r="K789" i="1" l="1"/>
  <c r="Q789" i="1"/>
  <c r="K790" i="1" l="1"/>
  <c r="Q790" i="1"/>
  <c r="K791" i="1" l="1"/>
  <c r="Q791" i="1"/>
  <c r="K792" i="1" l="1"/>
  <c r="Q792" i="1"/>
  <c r="K793" i="1" l="1"/>
  <c r="Q793" i="1"/>
  <c r="K794" i="1" l="1"/>
  <c r="Q794" i="1"/>
  <c r="K795" i="1" l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K920" i="1" s="1"/>
  <c r="K921" i="1" s="1"/>
  <c r="K922" i="1" s="1"/>
  <c r="K923" i="1" s="1"/>
  <c r="K924" i="1" s="1"/>
  <c r="K925" i="1" s="1"/>
  <c r="K926" i="1" s="1"/>
  <c r="K927" i="1" s="1"/>
  <c r="K928" i="1" s="1"/>
  <c r="K929" i="1" s="1"/>
  <c r="K930" i="1" s="1"/>
  <c r="K931" i="1" s="1"/>
  <c r="K932" i="1" s="1"/>
  <c r="K933" i="1" s="1"/>
  <c r="K934" i="1" s="1"/>
  <c r="K935" i="1" s="1"/>
  <c r="K936" i="1" s="1"/>
  <c r="K937" i="1" s="1"/>
  <c r="K938" i="1" s="1"/>
  <c r="K939" i="1" s="1"/>
  <c r="K940" i="1" s="1"/>
  <c r="K941" i="1" s="1"/>
  <c r="K942" i="1" s="1"/>
  <c r="K943" i="1" s="1"/>
  <c r="K944" i="1" s="1"/>
  <c r="K945" i="1" s="1"/>
  <c r="K946" i="1" s="1"/>
  <c r="K947" i="1" s="1"/>
  <c r="K948" i="1" s="1"/>
  <c r="K949" i="1" s="1"/>
  <c r="K950" i="1" s="1"/>
  <c r="K951" i="1" s="1"/>
  <c r="K952" i="1" s="1"/>
  <c r="K953" i="1" s="1"/>
  <c r="K954" i="1" s="1"/>
  <c r="K955" i="1" s="1"/>
  <c r="K956" i="1" s="1"/>
  <c r="K957" i="1" s="1"/>
  <c r="K958" i="1" s="1"/>
  <c r="K959" i="1" s="1"/>
  <c r="K960" i="1" s="1"/>
  <c r="K961" i="1" s="1"/>
  <c r="K962" i="1" s="1"/>
  <c r="K963" i="1" s="1"/>
  <c r="K964" i="1" s="1"/>
  <c r="K965" i="1" s="1"/>
  <c r="K966" i="1" s="1"/>
  <c r="K967" i="1" s="1"/>
</calcChain>
</file>

<file path=xl/sharedStrings.xml><?xml version="1.0" encoding="utf-8"?>
<sst xmlns="http://schemas.openxmlformats.org/spreadsheetml/2006/main" count="258" uniqueCount="64">
  <si>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</si>
  <si>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</si>
  <si>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</si>
  <si>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</si>
  <si>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</si>
  <si>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</si>
  <si>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</si>
  <si>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</si>
  <si>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</si>
  <si>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</si>
  <si>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</si>
  <si>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</si>
  <si>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</si>
  <si>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</si>
  <si>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</si>
  <si>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</si>
  <si>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</si>
  <si>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</si>
  <si>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</si>
  <si>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</si>
  <si>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</si>
  <si>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</si>
  <si>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</si>
  <si>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</si>
  <si>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</si>
  <si>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</si>
  <si>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</si>
  <si>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</si>
  <si>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</si>
  <si>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</si>
  <si>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</si>
  <si>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</si>
  <si>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</si>
  <si>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</si>
  <si>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</si>
  <si>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</si>
  <si>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</si>
  <si>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</si>
  <si>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</si>
  <si>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</si>
  <si>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</si>
  <si>
    <t>Polypropylene</t>
  </si>
  <si>
    <t>filled with a decimal</t>
  </si>
  <si>
    <t>Cattle</t>
  </si>
  <si>
    <t>Hogs</t>
  </si>
  <si>
    <t>SaleMonth</t>
  </si>
  <si>
    <t>Product</t>
  </si>
  <si>
    <t>Cash</t>
  </si>
  <si>
    <t>Option</t>
  </si>
  <si>
    <t>Bushels</t>
  </si>
  <si>
    <t>Bot</t>
  </si>
  <si>
    <t>Sold</t>
  </si>
  <si>
    <t>PL</t>
  </si>
  <si>
    <t>Mar</t>
  </si>
  <si>
    <t>May</t>
  </si>
  <si>
    <t>Jul</t>
  </si>
  <si>
    <t>Sep</t>
  </si>
  <si>
    <t>Dec</t>
  </si>
  <si>
    <t>Total</t>
  </si>
  <si>
    <t>Portfolio</t>
  </si>
  <si>
    <t>Percent of PL</t>
  </si>
  <si>
    <t>Total Months To Run Hedge</t>
  </si>
  <si>
    <t>Constant DHP + Sell off Long Futures</t>
  </si>
  <si>
    <t>Sell off DHP + Sell off Long Futures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</si>
</sst>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  <xf numFmtId="0" fontId="0" fillId="3" borderId="0" xfId="0" applyFill="1"/>
    <xf numFmtId="14" fontId="0" fillId="3" borderId="0" xfId="0" applyNumberFormat="1" applyFill="1"/>
    <xf numFmtId="0" fontId="0" fillId="0" borderId="0" xfId="0" applyFill="1"/>
    <xf numFmtId="9" fontId="0" fillId="0" borderId="0" xfId="3" applyFont="1"/>
    <xf numFmtId="14" fontId="0" fillId="0" borderId="0" xfId="0" applyNumberFormat="1" applyAlignment="1">
      <alignment wrapText="1"/>
    </xf>
    <xf numFmtId="0" fontId="0" fillId="0" borderId="0" xfId="0" applyAlignment="1">
      <alignment wrapText="1"/>
    </xf>
    <xf numFmtId="164" fontId="0" fillId="0" borderId="0" xfId="1" applyNumberFormat="1" applyFont="1" applyAlignment="1">
      <alignment wrapText="1"/>
    </xf>
    <xf numFmtId="0" fontId="0" fillId="0" borderId="0" xfId="0" applyNumberFormat="1" applyAlignment="1">
      <alignment wrapText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1.xml"/><Relationship Id="rId12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theme" Target="theme/theme1.xml"/><Relationship Id="rId5" Type="http://schemas.openxmlformats.org/officeDocument/2006/relationships/chartsheet" Target="chartsheets/sheet5.xml"/><Relationship Id="rId15" Type="http://schemas.microsoft.com/office/2006/relationships/vbaProject" Target="vbaProject.bin"/><Relationship Id="rId10" Type="http://schemas.openxmlformats.org/officeDocument/2006/relationships/worksheet" Target="worksheets/sheet4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3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61"/>
                <c:pt idx="0">
                  <c:v>0</c:v>
                </c:pt>
                <c:pt idx="1">
                  <c:v>-39600</c:v>
                </c:pt>
                <c:pt idx="2">
                  <c:v>104400</c:v>
                </c:pt>
                <c:pt idx="3">
                  <c:v>93600</c:v>
                </c:pt>
                <c:pt idx="4">
                  <c:v>-25200</c:v>
                </c:pt>
                <c:pt idx="5">
                  <c:v>-54000</c:v>
                </c:pt>
                <c:pt idx="6">
                  <c:v>36000</c:v>
                </c:pt>
                <c:pt idx="7">
                  <c:v>64800</c:v>
                </c:pt>
                <c:pt idx="8">
                  <c:v>-172800</c:v>
                </c:pt>
                <c:pt idx="9">
                  <c:v>-266400</c:v>
                </c:pt>
                <c:pt idx="10">
                  <c:v>-288000</c:v>
                </c:pt>
                <c:pt idx="11">
                  <c:v>-162000</c:v>
                </c:pt>
                <c:pt idx="12">
                  <c:v>-162000</c:v>
                </c:pt>
                <c:pt idx="13">
                  <c:v>-126000</c:v>
                </c:pt>
                <c:pt idx="14">
                  <c:v>-151200</c:v>
                </c:pt>
                <c:pt idx="15">
                  <c:v>-208800</c:v>
                </c:pt>
                <c:pt idx="16">
                  <c:v>-183600</c:v>
                </c:pt>
                <c:pt idx="17">
                  <c:v>-198000</c:v>
                </c:pt>
                <c:pt idx="18">
                  <c:v>-223200</c:v>
                </c:pt>
                <c:pt idx="19">
                  <c:v>-316800</c:v>
                </c:pt>
                <c:pt idx="20">
                  <c:v>-403200</c:v>
                </c:pt>
                <c:pt idx="21">
                  <c:v>-406800</c:v>
                </c:pt>
                <c:pt idx="22">
                  <c:v>-403056</c:v>
                </c:pt>
                <c:pt idx="23">
                  <c:v>-179856</c:v>
                </c:pt>
                <c:pt idx="24">
                  <c:v>-255456</c:v>
                </c:pt>
                <c:pt idx="25">
                  <c:v>-212256</c:v>
                </c:pt>
                <c:pt idx="26">
                  <c:v>-230256</c:v>
                </c:pt>
                <c:pt idx="27">
                  <c:v>-115056</c:v>
                </c:pt>
                <c:pt idx="28">
                  <c:v>-165456</c:v>
                </c:pt>
                <c:pt idx="29">
                  <c:v>-165456</c:v>
                </c:pt>
                <c:pt idx="30">
                  <c:v>-226656</c:v>
                </c:pt>
                <c:pt idx="31">
                  <c:v>-190656</c:v>
                </c:pt>
                <c:pt idx="32">
                  <c:v>-161856</c:v>
                </c:pt>
                <c:pt idx="33">
                  <c:v>-140256</c:v>
                </c:pt>
                <c:pt idx="34">
                  <c:v>-215856</c:v>
                </c:pt>
                <c:pt idx="35">
                  <c:v>-143856</c:v>
                </c:pt>
                <c:pt idx="36">
                  <c:v>-215856</c:v>
                </c:pt>
                <c:pt idx="37">
                  <c:v>-277056</c:v>
                </c:pt>
                <c:pt idx="38">
                  <c:v>-291456</c:v>
                </c:pt>
                <c:pt idx="39">
                  <c:v>-370656</c:v>
                </c:pt>
                <c:pt idx="40">
                  <c:v>-262656</c:v>
                </c:pt>
                <c:pt idx="41">
                  <c:v>-158256</c:v>
                </c:pt>
                <c:pt idx="42">
                  <c:v>-273312</c:v>
                </c:pt>
                <c:pt idx="43">
                  <c:v>-244512</c:v>
                </c:pt>
                <c:pt idx="44">
                  <c:v>-251712</c:v>
                </c:pt>
                <c:pt idx="45">
                  <c:v>-233712</c:v>
                </c:pt>
                <c:pt idx="46">
                  <c:v>-338112</c:v>
                </c:pt>
                <c:pt idx="47">
                  <c:v>-255312</c:v>
                </c:pt>
                <c:pt idx="48">
                  <c:v>-294912</c:v>
                </c:pt>
                <c:pt idx="49">
                  <c:v>-226512</c:v>
                </c:pt>
                <c:pt idx="50">
                  <c:v>-255312</c:v>
                </c:pt>
                <c:pt idx="51">
                  <c:v>-374112</c:v>
                </c:pt>
                <c:pt idx="52">
                  <c:v>-410112</c:v>
                </c:pt>
                <c:pt idx="53">
                  <c:v>-525312</c:v>
                </c:pt>
                <c:pt idx="54">
                  <c:v>-496512</c:v>
                </c:pt>
                <c:pt idx="55">
                  <c:v>-496512</c:v>
                </c:pt>
                <c:pt idx="56">
                  <c:v>-302112</c:v>
                </c:pt>
                <c:pt idx="57">
                  <c:v>-233712</c:v>
                </c:pt>
                <c:pt idx="58">
                  <c:v>-204912</c:v>
                </c:pt>
                <c:pt idx="59">
                  <c:v>-168912</c:v>
                </c:pt>
                <c:pt idx="60">
                  <c:v>-230112</c:v>
                </c:pt>
                <c:pt idx="61">
                  <c:v>-233712</c:v>
                </c:pt>
                <c:pt idx="62">
                  <c:v>-190512</c:v>
                </c:pt>
                <c:pt idx="63">
                  <c:v>-435312</c:v>
                </c:pt>
                <c:pt idx="64">
                  <c:v>-370512</c:v>
                </c:pt>
                <c:pt idx="65">
                  <c:v>-287712</c:v>
                </c:pt>
                <c:pt idx="66">
                  <c:v>-255312</c:v>
                </c:pt>
                <c:pt idx="67">
                  <c:v>-312912</c:v>
                </c:pt>
                <c:pt idx="68">
                  <c:v>-348912</c:v>
                </c:pt>
                <c:pt idx="69">
                  <c:v>-417312</c:v>
                </c:pt>
                <c:pt idx="70">
                  <c:v>-410112</c:v>
                </c:pt>
                <c:pt idx="71">
                  <c:v>-446112</c:v>
                </c:pt>
                <c:pt idx="72">
                  <c:v>-507312</c:v>
                </c:pt>
                <c:pt idx="73">
                  <c:v>-471312</c:v>
                </c:pt>
                <c:pt idx="74">
                  <c:v>-456912</c:v>
                </c:pt>
                <c:pt idx="75">
                  <c:v>-424512</c:v>
                </c:pt>
                <c:pt idx="76">
                  <c:v>-410112</c:v>
                </c:pt>
                <c:pt idx="77">
                  <c:v>-406512</c:v>
                </c:pt>
                <c:pt idx="78">
                  <c:v>-489312</c:v>
                </c:pt>
                <c:pt idx="79">
                  <c:v>-496512</c:v>
                </c:pt>
                <c:pt idx="80">
                  <c:v>-460512</c:v>
                </c:pt>
                <c:pt idx="81">
                  <c:v>-618912</c:v>
                </c:pt>
                <c:pt idx="82">
                  <c:v>-698112</c:v>
                </c:pt>
                <c:pt idx="83">
                  <c:v>-687312</c:v>
                </c:pt>
                <c:pt idx="84">
                  <c:v>-665712</c:v>
                </c:pt>
                <c:pt idx="85">
                  <c:v>-694512</c:v>
                </c:pt>
                <c:pt idx="86">
                  <c:v>-741168</c:v>
                </c:pt>
                <c:pt idx="87">
                  <c:v>-730368</c:v>
                </c:pt>
                <c:pt idx="88">
                  <c:v>-777168</c:v>
                </c:pt>
                <c:pt idx="89">
                  <c:v>-701568</c:v>
                </c:pt>
                <c:pt idx="90">
                  <c:v>-751968</c:v>
                </c:pt>
                <c:pt idx="91">
                  <c:v>-748368</c:v>
                </c:pt>
                <c:pt idx="92">
                  <c:v>-787968</c:v>
                </c:pt>
                <c:pt idx="93">
                  <c:v>-733968</c:v>
                </c:pt>
                <c:pt idx="94">
                  <c:v>-759168</c:v>
                </c:pt>
                <c:pt idx="95">
                  <c:v>-665568</c:v>
                </c:pt>
                <c:pt idx="96">
                  <c:v>-708768</c:v>
                </c:pt>
                <c:pt idx="97">
                  <c:v>-629568</c:v>
                </c:pt>
                <c:pt idx="98">
                  <c:v>-748368</c:v>
                </c:pt>
                <c:pt idx="99">
                  <c:v>-777168</c:v>
                </c:pt>
                <c:pt idx="100">
                  <c:v>-705168</c:v>
                </c:pt>
                <c:pt idx="101">
                  <c:v>-762768</c:v>
                </c:pt>
                <c:pt idx="102">
                  <c:v>-773568</c:v>
                </c:pt>
                <c:pt idx="103">
                  <c:v>-859968</c:v>
                </c:pt>
                <c:pt idx="104">
                  <c:v>-917568</c:v>
                </c:pt>
                <c:pt idx="105">
                  <c:v>-863568</c:v>
                </c:pt>
                <c:pt idx="106">
                  <c:v>-910368</c:v>
                </c:pt>
                <c:pt idx="107">
                  <c:v>-888768</c:v>
                </c:pt>
                <c:pt idx="108">
                  <c:v>-784368</c:v>
                </c:pt>
                <c:pt idx="109">
                  <c:v>-809568</c:v>
                </c:pt>
                <c:pt idx="110">
                  <c:v>-723168</c:v>
                </c:pt>
                <c:pt idx="111">
                  <c:v>-769968</c:v>
                </c:pt>
                <c:pt idx="112">
                  <c:v>-708768</c:v>
                </c:pt>
                <c:pt idx="113">
                  <c:v>-697968</c:v>
                </c:pt>
                <c:pt idx="114">
                  <c:v>-784368</c:v>
                </c:pt>
                <c:pt idx="115">
                  <c:v>-841968</c:v>
                </c:pt>
                <c:pt idx="116">
                  <c:v>-870768</c:v>
                </c:pt>
                <c:pt idx="117">
                  <c:v>-949968</c:v>
                </c:pt>
                <c:pt idx="118">
                  <c:v>-895968</c:v>
                </c:pt>
                <c:pt idx="119">
                  <c:v>-802368</c:v>
                </c:pt>
                <c:pt idx="120">
                  <c:v>-787968</c:v>
                </c:pt>
                <c:pt idx="121">
                  <c:v>-852768</c:v>
                </c:pt>
                <c:pt idx="122">
                  <c:v>-798768</c:v>
                </c:pt>
                <c:pt idx="123">
                  <c:v>-676368</c:v>
                </c:pt>
                <c:pt idx="124">
                  <c:v>-665568</c:v>
                </c:pt>
                <c:pt idx="125">
                  <c:v>-543168</c:v>
                </c:pt>
                <c:pt idx="126">
                  <c:v>-381168</c:v>
                </c:pt>
                <c:pt idx="127">
                  <c:v>-363168</c:v>
                </c:pt>
                <c:pt idx="128">
                  <c:v>-10368</c:v>
                </c:pt>
                <c:pt idx="129">
                  <c:v>-42624</c:v>
                </c:pt>
                <c:pt idx="130">
                  <c:v>137376</c:v>
                </c:pt>
                <c:pt idx="131">
                  <c:v>122976</c:v>
                </c:pt>
                <c:pt idx="132">
                  <c:v>104976</c:v>
                </c:pt>
                <c:pt idx="133">
                  <c:v>36576</c:v>
                </c:pt>
                <c:pt idx="134">
                  <c:v>68976</c:v>
                </c:pt>
                <c:pt idx="135">
                  <c:v>173376</c:v>
                </c:pt>
                <c:pt idx="136">
                  <c:v>230976</c:v>
                </c:pt>
                <c:pt idx="137">
                  <c:v>324576</c:v>
                </c:pt>
                <c:pt idx="138">
                  <c:v>184176</c:v>
                </c:pt>
                <c:pt idx="139">
                  <c:v>126576</c:v>
                </c:pt>
                <c:pt idx="140">
                  <c:v>173376</c:v>
                </c:pt>
                <c:pt idx="141">
                  <c:v>18576</c:v>
                </c:pt>
                <c:pt idx="142">
                  <c:v>-179424</c:v>
                </c:pt>
                <c:pt idx="143">
                  <c:v>-161424</c:v>
                </c:pt>
                <c:pt idx="144">
                  <c:v>-237024</c:v>
                </c:pt>
                <c:pt idx="145">
                  <c:v>-255024</c:v>
                </c:pt>
                <c:pt idx="146">
                  <c:v>-345024</c:v>
                </c:pt>
                <c:pt idx="147">
                  <c:v>-600624</c:v>
                </c:pt>
                <c:pt idx="148">
                  <c:v>-687024</c:v>
                </c:pt>
                <c:pt idx="149">
                  <c:v>-715824</c:v>
                </c:pt>
                <c:pt idx="150">
                  <c:v>-687024</c:v>
                </c:pt>
                <c:pt idx="151">
                  <c:v>-636624</c:v>
                </c:pt>
                <c:pt idx="152">
                  <c:v>-723024</c:v>
                </c:pt>
                <c:pt idx="153">
                  <c:v>-744624</c:v>
                </c:pt>
                <c:pt idx="154">
                  <c:v>-672624</c:v>
                </c:pt>
                <c:pt idx="155">
                  <c:v>-683424</c:v>
                </c:pt>
                <c:pt idx="156">
                  <c:v>-661824</c:v>
                </c:pt>
                <c:pt idx="157">
                  <c:v>-463824</c:v>
                </c:pt>
                <c:pt idx="158">
                  <c:v>-553824</c:v>
                </c:pt>
                <c:pt idx="159">
                  <c:v>-885024</c:v>
                </c:pt>
                <c:pt idx="160">
                  <c:v>-823824</c:v>
                </c:pt>
                <c:pt idx="161">
                  <c:v>-805824</c:v>
                </c:pt>
                <c:pt idx="162">
                  <c:v>-791424</c:v>
                </c:pt>
                <c:pt idx="163">
                  <c:v>-759024</c:v>
                </c:pt>
                <c:pt idx="164">
                  <c:v>-741024</c:v>
                </c:pt>
                <c:pt idx="165">
                  <c:v>-694224</c:v>
                </c:pt>
                <c:pt idx="166">
                  <c:v>-773424</c:v>
                </c:pt>
                <c:pt idx="167">
                  <c:v>-726624</c:v>
                </c:pt>
                <c:pt idx="168">
                  <c:v>-780624</c:v>
                </c:pt>
                <c:pt idx="169">
                  <c:v>-816624</c:v>
                </c:pt>
                <c:pt idx="170">
                  <c:v>-820224</c:v>
                </c:pt>
                <c:pt idx="171">
                  <c:v>-791424</c:v>
                </c:pt>
                <c:pt idx="172">
                  <c:v>-816624</c:v>
                </c:pt>
                <c:pt idx="173">
                  <c:v>-892080</c:v>
                </c:pt>
                <c:pt idx="174">
                  <c:v>-938880</c:v>
                </c:pt>
                <c:pt idx="175">
                  <c:v>-996480</c:v>
                </c:pt>
                <c:pt idx="176">
                  <c:v>-974880</c:v>
                </c:pt>
                <c:pt idx="177">
                  <c:v>-982080</c:v>
                </c:pt>
                <c:pt idx="178">
                  <c:v>-931680</c:v>
                </c:pt>
                <c:pt idx="179">
                  <c:v>-888480</c:v>
                </c:pt>
                <c:pt idx="180">
                  <c:v>-816480</c:v>
                </c:pt>
                <c:pt idx="181">
                  <c:v>-676080</c:v>
                </c:pt>
                <c:pt idx="182">
                  <c:v>-542880</c:v>
                </c:pt>
                <c:pt idx="183">
                  <c:v>-571680</c:v>
                </c:pt>
                <c:pt idx="184">
                  <c:v>-643680</c:v>
                </c:pt>
                <c:pt idx="185">
                  <c:v>-708480</c:v>
                </c:pt>
                <c:pt idx="186">
                  <c:v>-758880</c:v>
                </c:pt>
                <c:pt idx="187">
                  <c:v>-672480</c:v>
                </c:pt>
                <c:pt idx="188">
                  <c:v>-733680</c:v>
                </c:pt>
                <c:pt idx="189">
                  <c:v>-697680</c:v>
                </c:pt>
                <c:pt idx="190">
                  <c:v>-722880</c:v>
                </c:pt>
                <c:pt idx="191">
                  <c:v>-614880</c:v>
                </c:pt>
                <c:pt idx="192">
                  <c:v>-643680</c:v>
                </c:pt>
                <c:pt idx="193">
                  <c:v>-607680</c:v>
                </c:pt>
                <c:pt idx="194">
                  <c:v>-654480</c:v>
                </c:pt>
                <c:pt idx="195">
                  <c:v>-586080</c:v>
                </c:pt>
                <c:pt idx="196">
                  <c:v>-586080</c:v>
                </c:pt>
                <c:pt idx="197">
                  <c:v>-546480</c:v>
                </c:pt>
                <c:pt idx="198">
                  <c:v>-478080</c:v>
                </c:pt>
                <c:pt idx="199">
                  <c:v>-503280</c:v>
                </c:pt>
                <c:pt idx="200">
                  <c:v>-560880</c:v>
                </c:pt>
                <c:pt idx="201">
                  <c:v>-654480</c:v>
                </c:pt>
                <c:pt idx="202">
                  <c:v>-715680</c:v>
                </c:pt>
                <c:pt idx="203">
                  <c:v>-672480</c:v>
                </c:pt>
                <c:pt idx="204">
                  <c:v>-744480</c:v>
                </c:pt>
                <c:pt idx="205">
                  <c:v>-794880</c:v>
                </c:pt>
                <c:pt idx="206">
                  <c:v>-787680</c:v>
                </c:pt>
                <c:pt idx="207">
                  <c:v>-823680</c:v>
                </c:pt>
                <c:pt idx="208">
                  <c:v>-802080</c:v>
                </c:pt>
                <c:pt idx="209">
                  <c:v>-726480</c:v>
                </c:pt>
                <c:pt idx="210">
                  <c:v>-744480</c:v>
                </c:pt>
                <c:pt idx="211">
                  <c:v>-758880</c:v>
                </c:pt>
                <c:pt idx="212">
                  <c:v>-672480</c:v>
                </c:pt>
                <c:pt idx="213">
                  <c:v>-712080</c:v>
                </c:pt>
                <c:pt idx="214">
                  <c:v>-787680</c:v>
                </c:pt>
                <c:pt idx="215">
                  <c:v>-740880</c:v>
                </c:pt>
                <c:pt idx="216">
                  <c:v>-701280</c:v>
                </c:pt>
                <c:pt idx="217">
                  <c:v>-780480</c:v>
                </c:pt>
                <c:pt idx="218">
                  <c:v>-737280</c:v>
                </c:pt>
                <c:pt idx="219">
                  <c:v>-683280</c:v>
                </c:pt>
                <c:pt idx="220">
                  <c:v>-794880</c:v>
                </c:pt>
                <c:pt idx="221">
                  <c:v>-827280</c:v>
                </c:pt>
                <c:pt idx="222">
                  <c:v>-892080</c:v>
                </c:pt>
                <c:pt idx="223">
                  <c:v>-1043280</c:v>
                </c:pt>
                <c:pt idx="224">
                  <c:v>-996480</c:v>
                </c:pt>
                <c:pt idx="225">
                  <c:v>-1000080</c:v>
                </c:pt>
                <c:pt idx="226">
                  <c:v>-1032480</c:v>
                </c:pt>
                <c:pt idx="227">
                  <c:v>-1036080</c:v>
                </c:pt>
                <c:pt idx="228">
                  <c:v>-1018080</c:v>
                </c:pt>
                <c:pt idx="229">
                  <c:v>-996480</c:v>
                </c:pt>
                <c:pt idx="230">
                  <c:v>-964080</c:v>
                </c:pt>
                <c:pt idx="231">
                  <c:v>-967680</c:v>
                </c:pt>
                <c:pt idx="232">
                  <c:v>-931680</c:v>
                </c:pt>
                <c:pt idx="233">
                  <c:v>-971280</c:v>
                </c:pt>
                <c:pt idx="234">
                  <c:v>-946080</c:v>
                </c:pt>
                <c:pt idx="235">
                  <c:v>-938880</c:v>
                </c:pt>
                <c:pt idx="236">
                  <c:v>-1007280</c:v>
                </c:pt>
                <c:pt idx="237">
                  <c:v>-946080</c:v>
                </c:pt>
                <c:pt idx="238">
                  <c:v>-920736</c:v>
                </c:pt>
                <c:pt idx="239">
                  <c:v>-960336</c:v>
                </c:pt>
                <c:pt idx="240">
                  <c:v>-870336</c:v>
                </c:pt>
                <c:pt idx="241">
                  <c:v>-819936</c:v>
                </c:pt>
                <c:pt idx="242">
                  <c:v>-920736</c:v>
                </c:pt>
                <c:pt idx="243">
                  <c:v>-917136</c:v>
                </c:pt>
                <c:pt idx="244">
                  <c:v>-924336</c:v>
                </c:pt>
                <c:pt idx="245">
                  <c:v>-848736</c:v>
                </c:pt>
                <c:pt idx="246">
                  <c:v>-899136</c:v>
                </c:pt>
                <c:pt idx="247">
                  <c:v>-848736</c:v>
                </c:pt>
                <c:pt idx="248">
                  <c:v>-845136</c:v>
                </c:pt>
                <c:pt idx="249">
                  <c:v>-971136</c:v>
                </c:pt>
                <c:pt idx="250">
                  <c:v>-924336</c:v>
                </c:pt>
                <c:pt idx="251">
                  <c:v>-906336</c:v>
                </c:pt>
                <c:pt idx="252">
                  <c:v>-949536</c:v>
                </c:pt>
                <c:pt idx="253">
                  <c:v>-1021536</c:v>
                </c:pt>
                <c:pt idx="254">
                  <c:v>-1035936</c:v>
                </c:pt>
                <c:pt idx="255">
                  <c:v>-1050336</c:v>
                </c:pt>
                <c:pt idx="256">
                  <c:v>-1064736</c:v>
                </c:pt>
                <c:pt idx="257">
                  <c:v>-1104336</c:v>
                </c:pt>
                <c:pt idx="258">
                  <c:v>-1089936</c:v>
                </c:pt>
                <c:pt idx="259">
                  <c:v>-1125936</c:v>
                </c:pt>
                <c:pt idx="260">
                  <c:v>-1136736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61"/>
                <c:pt idx="0">
                  <c:v>0</c:v>
                </c:pt>
                <c:pt idx="1">
                  <c:v>-39600</c:v>
                </c:pt>
                <c:pt idx="2">
                  <c:v>104400</c:v>
                </c:pt>
                <c:pt idx="3">
                  <c:v>93600</c:v>
                </c:pt>
                <c:pt idx="4">
                  <c:v>-25200</c:v>
                </c:pt>
                <c:pt idx="5">
                  <c:v>-54000</c:v>
                </c:pt>
                <c:pt idx="6">
                  <c:v>36000</c:v>
                </c:pt>
                <c:pt idx="7">
                  <c:v>64800</c:v>
                </c:pt>
                <c:pt idx="8">
                  <c:v>-172800</c:v>
                </c:pt>
                <c:pt idx="9">
                  <c:v>-266400</c:v>
                </c:pt>
                <c:pt idx="10">
                  <c:v>-288000</c:v>
                </c:pt>
                <c:pt idx="11">
                  <c:v>-162000</c:v>
                </c:pt>
                <c:pt idx="12">
                  <c:v>-162000</c:v>
                </c:pt>
                <c:pt idx="13">
                  <c:v>-126000</c:v>
                </c:pt>
                <c:pt idx="14">
                  <c:v>-151200</c:v>
                </c:pt>
                <c:pt idx="15">
                  <c:v>-208800</c:v>
                </c:pt>
                <c:pt idx="16">
                  <c:v>-183600</c:v>
                </c:pt>
                <c:pt idx="17">
                  <c:v>-198000</c:v>
                </c:pt>
                <c:pt idx="18">
                  <c:v>-223200</c:v>
                </c:pt>
                <c:pt idx="19">
                  <c:v>-316800</c:v>
                </c:pt>
                <c:pt idx="20">
                  <c:v>-403200</c:v>
                </c:pt>
                <c:pt idx="21">
                  <c:v>-406800</c:v>
                </c:pt>
                <c:pt idx="22">
                  <c:v>-403056</c:v>
                </c:pt>
                <c:pt idx="23">
                  <c:v>-179856</c:v>
                </c:pt>
                <c:pt idx="24">
                  <c:v>-255456</c:v>
                </c:pt>
                <c:pt idx="25">
                  <c:v>-212256</c:v>
                </c:pt>
                <c:pt idx="26">
                  <c:v>-230256</c:v>
                </c:pt>
                <c:pt idx="27">
                  <c:v>-115056</c:v>
                </c:pt>
                <c:pt idx="28">
                  <c:v>-165456</c:v>
                </c:pt>
                <c:pt idx="29">
                  <c:v>-165456</c:v>
                </c:pt>
                <c:pt idx="30">
                  <c:v>-226656</c:v>
                </c:pt>
                <c:pt idx="31">
                  <c:v>-190656</c:v>
                </c:pt>
                <c:pt idx="32">
                  <c:v>-161856</c:v>
                </c:pt>
                <c:pt idx="33">
                  <c:v>-140256</c:v>
                </c:pt>
                <c:pt idx="34">
                  <c:v>-215856</c:v>
                </c:pt>
                <c:pt idx="35">
                  <c:v>-143856</c:v>
                </c:pt>
                <c:pt idx="36">
                  <c:v>-215856</c:v>
                </c:pt>
                <c:pt idx="37">
                  <c:v>-277056</c:v>
                </c:pt>
                <c:pt idx="38">
                  <c:v>-291456</c:v>
                </c:pt>
                <c:pt idx="39">
                  <c:v>-370656</c:v>
                </c:pt>
                <c:pt idx="40">
                  <c:v>-262656</c:v>
                </c:pt>
                <c:pt idx="41">
                  <c:v>-158256</c:v>
                </c:pt>
                <c:pt idx="42">
                  <c:v>-273312</c:v>
                </c:pt>
                <c:pt idx="43">
                  <c:v>-244512</c:v>
                </c:pt>
                <c:pt idx="44">
                  <c:v>-251712</c:v>
                </c:pt>
                <c:pt idx="45">
                  <c:v>-233712</c:v>
                </c:pt>
                <c:pt idx="46">
                  <c:v>-338112</c:v>
                </c:pt>
                <c:pt idx="47">
                  <c:v>-255312</c:v>
                </c:pt>
                <c:pt idx="48">
                  <c:v>-294912</c:v>
                </c:pt>
                <c:pt idx="49">
                  <c:v>-226512</c:v>
                </c:pt>
                <c:pt idx="50">
                  <c:v>-255312</c:v>
                </c:pt>
                <c:pt idx="51">
                  <c:v>-374112</c:v>
                </c:pt>
                <c:pt idx="52">
                  <c:v>-410112</c:v>
                </c:pt>
                <c:pt idx="53">
                  <c:v>-525312</c:v>
                </c:pt>
                <c:pt idx="54">
                  <c:v>-496512</c:v>
                </c:pt>
                <c:pt idx="55">
                  <c:v>-496512</c:v>
                </c:pt>
                <c:pt idx="56">
                  <c:v>-302112</c:v>
                </c:pt>
                <c:pt idx="57">
                  <c:v>-233712</c:v>
                </c:pt>
                <c:pt idx="58">
                  <c:v>-204912</c:v>
                </c:pt>
                <c:pt idx="59">
                  <c:v>-168912</c:v>
                </c:pt>
                <c:pt idx="60">
                  <c:v>-230112</c:v>
                </c:pt>
                <c:pt idx="61">
                  <c:v>-233712</c:v>
                </c:pt>
                <c:pt idx="62">
                  <c:v>-190512</c:v>
                </c:pt>
                <c:pt idx="63">
                  <c:v>-435312</c:v>
                </c:pt>
                <c:pt idx="64">
                  <c:v>-370512</c:v>
                </c:pt>
                <c:pt idx="65">
                  <c:v>-287712</c:v>
                </c:pt>
                <c:pt idx="66">
                  <c:v>-255312</c:v>
                </c:pt>
                <c:pt idx="67">
                  <c:v>-312912</c:v>
                </c:pt>
                <c:pt idx="68">
                  <c:v>-348912</c:v>
                </c:pt>
                <c:pt idx="69">
                  <c:v>-417312</c:v>
                </c:pt>
                <c:pt idx="70">
                  <c:v>-410112</c:v>
                </c:pt>
                <c:pt idx="71">
                  <c:v>-446112</c:v>
                </c:pt>
                <c:pt idx="72">
                  <c:v>-507312</c:v>
                </c:pt>
                <c:pt idx="73">
                  <c:v>-471312</c:v>
                </c:pt>
                <c:pt idx="74">
                  <c:v>-456912</c:v>
                </c:pt>
                <c:pt idx="75">
                  <c:v>-424512</c:v>
                </c:pt>
                <c:pt idx="76">
                  <c:v>-410112</c:v>
                </c:pt>
                <c:pt idx="77">
                  <c:v>-406512</c:v>
                </c:pt>
                <c:pt idx="78">
                  <c:v>-489312</c:v>
                </c:pt>
                <c:pt idx="79">
                  <c:v>-496512</c:v>
                </c:pt>
                <c:pt idx="80">
                  <c:v>-460512</c:v>
                </c:pt>
                <c:pt idx="81">
                  <c:v>-618912</c:v>
                </c:pt>
                <c:pt idx="82">
                  <c:v>-698112</c:v>
                </c:pt>
                <c:pt idx="83">
                  <c:v>-687312</c:v>
                </c:pt>
                <c:pt idx="84">
                  <c:v>-665712</c:v>
                </c:pt>
                <c:pt idx="85">
                  <c:v>-694512</c:v>
                </c:pt>
                <c:pt idx="86">
                  <c:v>-741168</c:v>
                </c:pt>
                <c:pt idx="87">
                  <c:v>-730368</c:v>
                </c:pt>
                <c:pt idx="88">
                  <c:v>-777168</c:v>
                </c:pt>
                <c:pt idx="89">
                  <c:v>-701568</c:v>
                </c:pt>
                <c:pt idx="90">
                  <c:v>-751968</c:v>
                </c:pt>
                <c:pt idx="91">
                  <c:v>-748368</c:v>
                </c:pt>
                <c:pt idx="92">
                  <c:v>-787968</c:v>
                </c:pt>
                <c:pt idx="93">
                  <c:v>-733968</c:v>
                </c:pt>
                <c:pt idx="94">
                  <c:v>-759168</c:v>
                </c:pt>
                <c:pt idx="95">
                  <c:v>-665568</c:v>
                </c:pt>
                <c:pt idx="96">
                  <c:v>-708768</c:v>
                </c:pt>
                <c:pt idx="97">
                  <c:v>-629568</c:v>
                </c:pt>
                <c:pt idx="98">
                  <c:v>-748368</c:v>
                </c:pt>
                <c:pt idx="99">
                  <c:v>-777168</c:v>
                </c:pt>
                <c:pt idx="100">
                  <c:v>-705168</c:v>
                </c:pt>
                <c:pt idx="101">
                  <c:v>-762768</c:v>
                </c:pt>
                <c:pt idx="102">
                  <c:v>-773568</c:v>
                </c:pt>
                <c:pt idx="103">
                  <c:v>-859968</c:v>
                </c:pt>
                <c:pt idx="104">
                  <c:v>-917568</c:v>
                </c:pt>
                <c:pt idx="105">
                  <c:v>-863568</c:v>
                </c:pt>
                <c:pt idx="106">
                  <c:v>-910368</c:v>
                </c:pt>
                <c:pt idx="107">
                  <c:v>-888768</c:v>
                </c:pt>
                <c:pt idx="108">
                  <c:v>-784368</c:v>
                </c:pt>
                <c:pt idx="109">
                  <c:v>-809568</c:v>
                </c:pt>
                <c:pt idx="110">
                  <c:v>-723168</c:v>
                </c:pt>
                <c:pt idx="111">
                  <c:v>-769968</c:v>
                </c:pt>
                <c:pt idx="112">
                  <c:v>-708768</c:v>
                </c:pt>
                <c:pt idx="113">
                  <c:v>-697968</c:v>
                </c:pt>
                <c:pt idx="114">
                  <c:v>-784368</c:v>
                </c:pt>
                <c:pt idx="115">
                  <c:v>-841968</c:v>
                </c:pt>
                <c:pt idx="116">
                  <c:v>-870768</c:v>
                </c:pt>
                <c:pt idx="117">
                  <c:v>-949968</c:v>
                </c:pt>
                <c:pt idx="118">
                  <c:v>-895968</c:v>
                </c:pt>
                <c:pt idx="119">
                  <c:v>-802368</c:v>
                </c:pt>
                <c:pt idx="120">
                  <c:v>-787968</c:v>
                </c:pt>
                <c:pt idx="121">
                  <c:v>-852768</c:v>
                </c:pt>
                <c:pt idx="122">
                  <c:v>-798768</c:v>
                </c:pt>
                <c:pt idx="123">
                  <c:v>-676368</c:v>
                </c:pt>
                <c:pt idx="124">
                  <c:v>-665568</c:v>
                </c:pt>
                <c:pt idx="125">
                  <c:v>-543168</c:v>
                </c:pt>
                <c:pt idx="126">
                  <c:v>-381168</c:v>
                </c:pt>
                <c:pt idx="127">
                  <c:v>-363168</c:v>
                </c:pt>
                <c:pt idx="128">
                  <c:v>-10368</c:v>
                </c:pt>
                <c:pt idx="129">
                  <c:v>-42624</c:v>
                </c:pt>
                <c:pt idx="130">
                  <c:v>137376</c:v>
                </c:pt>
                <c:pt idx="131">
                  <c:v>122976</c:v>
                </c:pt>
                <c:pt idx="132">
                  <c:v>104976</c:v>
                </c:pt>
                <c:pt idx="133">
                  <c:v>36576</c:v>
                </c:pt>
                <c:pt idx="134">
                  <c:v>68976</c:v>
                </c:pt>
                <c:pt idx="135">
                  <c:v>173376</c:v>
                </c:pt>
                <c:pt idx="136">
                  <c:v>230976</c:v>
                </c:pt>
                <c:pt idx="137">
                  <c:v>324576</c:v>
                </c:pt>
                <c:pt idx="138">
                  <c:v>184176</c:v>
                </c:pt>
                <c:pt idx="139">
                  <c:v>126576</c:v>
                </c:pt>
                <c:pt idx="140">
                  <c:v>173376</c:v>
                </c:pt>
                <c:pt idx="141">
                  <c:v>18576</c:v>
                </c:pt>
                <c:pt idx="142">
                  <c:v>-179424</c:v>
                </c:pt>
                <c:pt idx="143">
                  <c:v>-161424</c:v>
                </c:pt>
                <c:pt idx="144">
                  <c:v>-237024</c:v>
                </c:pt>
                <c:pt idx="145">
                  <c:v>-255024</c:v>
                </c:pt>
                <c:pt idx="146">
                  <c:v>-345024</c:v>
                </c:pt>
                <c:pt idx="147">
                  <c:v>-600624</c:v>
                </c:pt>
                <c:pt idx="148">
                  <c:v>-687024</c:v>
                </c:pt>
                <c:pt idx="149">
                  <c:v>-715824</c:v>
                </c:pt>
                <c:pt idx="150">
                  <c:v>-687024</c:v>
                </c:pt>
                <c:pt idx="151">
                  <c:v>-636624</c:v>
                </c:pt>
                <c:pt idx="152">
                  <c:v>-723024</c:v>
                </c:pt>
                <c:pt idx="153">
                  <c:v>-744624</c:v>
                </c:pt>
                <c:pt idx="154">
                  <c:v>-672624</c:v>
                </c:pt>
                <c:pt idx="155">
                  <c:v>-683424</c:v>
                </c:pt>
                <c:pt idx="156">
                  <c:v>-661824</c:v>
                </c:pt>
                <c:pt idx="157">
                  <c:v>-463824</c:v>
                </c:pt>
                <c:pt idx="158">
                  <c:v>-553824</c:v>
                </c:pt>
                <c:pt idx="159">
                  <c:v>-885024</c:v>
                </c:pt>
                <c:pt idx="160">
                  <c:v>-823824</c:v>
                </c:pt>
                <c:pt idx="161">
                  <c:v>-805824</c:v>
                </c:pt>
                <c:pt idx="162">
                  <c:v>-791424</c:v>
                </c:pt>
                <c:pt idx="163">
                  <c:v>-759024</c:v>
                </c:pt>
                <c:pt idx="164">
                  <c:v>-741024</c:v>
                </c:pt>
                <c:pt idx="165">
                  <c:v>-694224</c:v>
                </c:pt>
                <c:pt idx="166">
                  <c:v>-773424</c:v>
                </c:pt>
                <c:pt idx="167">
                  <c:v>-726624</c:v>
                </c:pt>
                <c:pt idx="168">
                  <c:v>-780624</c:v>
                </c:pt>
                <c:pt idx="169">
                  <c:v>-816624</c:v>
                </c:pt>
                <c:pt idx="170">
                  <c:v>-820224</c:v>
                </c:pt>
                <c:pt idx="171">
                  <c:v>-791424</c:v>
                </c:pt>
                <c:pt idx="172">
                  <c:v>-816624</c:v>
                </c:pt>
                <c:pt idx="173">
                  <c:v>-892080</c:v>
                </c:pt>
                <c:pt idx="174">
                  <c:v>-938880</c:v>
                </c:pt>
                <c:pt idx="175">
                  <c:v>-996480</c:v>
                </c:pt>
                <c:pt idx="176">
                  <c:v>-974880</c:v>
                </c:pt>
                <c:pt idx="177">
                  <c:v>-982080</c:v>
                </c:pt>
                <c:pt idx="178">
                  <c:v>-931680</c:v>
                </c:pt>
                <c:pt idx="179">
                  <c:v>-888480</c:v>
                </c:pt>
                <c:pt idx="180">
                  <c:v>-816480</c:v>
                </c:pt>
                <c:pt idx="181">
                  <c:v>-676080</c:v>
                </c:pt>
                <c:pt idx="182">
                  <c:v>-542880</c:v>
                </c:pt>
                <c:pt idx="183">
                  <c:v>-571680</c:v>
                </c:pt>
                <c:pt idx="184">
                  <c:v>-643680</c:v>
                </c:pt>
                <c:pt idx="185">
                  <c:v>-708480</c:v>
                </c:pt>
                <c:pt idx="186">
                  <c:v>-758880</c:v>
                </c:pt>
                <c:pt idx="187">
                  <c:v>-672480</c:v>
                </c:pt>
                <c:pt idx="188">
                  <c:v>-733680</c:v>
                </c:pt>
                <c:pt idx="189">
                  <c:v>-697680</c:v>
                </c:pt>
                <c:pt idx="190">
                  <c:v>-722880</c:v>
                </c:pt>
                <c:pt idx="191">
                  <c:v>-614880</c:v>
                </c:pt>
                <c:pt idx="192">
                  <c:v>-643680</c:v>
                </c:pt>
                <c:pt idx="193">
                  <c:v>-607680</c:v>
                </c:pt>
                <c:pt idx="194">
                  <c:v>-654480</c:v>
                </c:pt>
                <c:pt idx="195">
                  <c:v>-586080</c:v>
                </c:pt>
                <c:pt idx="196">
                  <c:v>-586080</c:v>
                </c:pt>
                <c:pt idx="197">
                  <c:v>-546480</c:v>
                </c:pt>
                <c:pt idx="198">
                  <c:v>-478080</c:v>
                </c:pt>
                <c:pt idx="199">
                  <c:v>-503280</c:v>
                </c:pt>
                <c:pt idx="200">
                  <c:v>-560880</c:v>
                </c:pt>
                <c:pt idx="201">
                  <c:v>-654480</c:v>
                </c:pt>
                <c:pt idx="202">
                  <c:v>-715680</c:v>
                </c:pt>
                <c:pt idx="203">
                  <c:v>-672480</c:v>
                </c:pt>
                <c:pt idx="204">
                  <c:v>-744480</c:v>
                </c:pt>
                <c:pt idx="205">
                  <c:v>-794880</c:v>
                </c:pt>
                <c:pt idx="206">
                  <c:v>-787680</c:v>
                </c:pt>
                <c:pt idx="207">
                  <c:v>-823680</c:v>
                </c:pt>
                <c:pt idx="208">
                  <c:v>-802080</c:v>
                </c:pt>
                <c:pt idx="209">
                  <c:v>-726480</c:v>
                </c:pt>
                <c:pt idx="210">
                  <c:v>-744480</c:v>
                </c:pt>
                <c:pt idx="211">
                  <c:v>-758880</c:v>
                </c:pt>
                <c:pt idx="212">
                  <c:v>-672480</c:v>
                </c:pt>
                <c:pt idx="213">
                  <c:v>-712080</c:v>
                </c:pt>
                <c:pt idx="214">
                  <c:v>-787680</c:v>
                </c:pt>
                <c:pt idx="215">
                  <c:v>-740880</c:v>
                </c:pt>
                <c:pt idx="216">
                  <c:v>-701280</c:v>
                </c:pt>
                <c:pt idx="217">
                  <c:v>-780480</c:v>
                </c:pt>
                <c:pt idx="218">
                  <c:v>-737280</c:v>
                </c:pt>
                <c:pt idx="219">
                  <c:v>-683280</c:v>
                </c:pt>
                <c:pt idx="220">
                  <c:v>-794880</c:v>
                </c:pt>
                <c:pt idx="221">
                  <c:v>-827280</c:v>
                </c:pt>
                <c:pt idx="222">
                  <c:v>-892080</c:v>
                </c:pt>
                <c:pt idx="223">
                  <c:v>-1043280</c:v>
                </c:pt>
                <c:pt idx="224">
                  <c:v>-996480</c:v>
                </c:pt>
                <c:pt idx="225">
                  <c:v>-1000080</c:v>
                </c:pt>
                <c:pt idx="226">
                  <c:v>-1032480</c:v>
                </c:pt>
                <c:pt idx="227">
                  <c:v>-1036080</c:v>
                </c:pt>
                <c:pt idx="228">
                  <c:v>-1018080</c:v>
                </c:pt>
                <c:pt idx="229">
                  <c:v>-996480</c:v>
                </c:pt>
                <c:pt idx="230">
                  <c:v>-964080</c:v>
                </c:pt>
                <c:pt idx="231">
                  <c:v>-967680</c:v>
                </c:pt>
                <c:pt idx="232">
                  <c:v>-931680</c:v>
                </c:pt>
                <c:pt idx="233">
                  <c:v>-971280</c:v>
                </c:pt>
                <c:pt idx="234">
                  <c:v>-946080</c:v>
                </c:pt>
                <c:pt idx="235">
                  <c:v>-938880</c:v>
                </c:pt>
                <c:pt idx="236">
                  <c:v>-1007280</c:v>
                </c:pt>
                <c:pt idx="237">
                  <c:v>-946080</c:v>
                </c:pt>
                <c:pt idx="238">
                  <c:v>-920736</c:v>
                </c:pt>
                <c:pt idx="239">
                  <c:v>-960336</c:v>
                </c:pt>
                <c:pt idx="240">
                  <c:v>-870336</c:v>
                </c:pt>
                <c:pt idx="241">
                  <c:v>-819936</c:v>
                </c:pt>
                <c:pt idx="242">
                  <c:v>-920736</c:v>
                </c:pt>
                <c:pt idx="243">
                  <c:v>-917136</c:v>
                </c:pt>
                <c:pt idx="244">
                  <c:v>-924336</c:v>
                </c:pt>
                <c:pt idx="245">
                  <c:v>-848736</c:v>
                </c:pt>
                <c:pt idx="246">
                  <c:v>-899136</c:v>
                </c:pt>
                <c:pt idx="247">
                  <c:v>-848736</c:v>
                </c:pt>
                <c:pt idx="248">
                  <c:v>-845136</c:v>
                </c:pt>
                <c:pt idx="249">
                  <c:v>-971136</c:v>
                </c:pt>
                <c:pt idx="250">
                  <c:v>-924336</c:v>
                </c:pt>
                <c:pt idx="251">
                  <c:v>-906336</c:v>
                </c:pt>
                <c:pt idx="252">
                  <c:v>-949536</c:v>
                </c:pt>
                <c:pt idx="253">
                  <c:v>-1021536</c:v>
                </c:pt>
                <c:pt idx="254">
                  <c:v>-1035936</c:v>
                </c:pt>
                <c:pt idx="255">
                  <c:v>-1050336</c:v>
                </c:pt>
                <c:pt idx="256">
                  <c:v>-1064736</c:v>
                </c:pt>
                <c:pt idx="257">
                  <c:v>-1104336</c:v>
                </c:pt>
                <c:pt idx="258">
                  <c:v>-1089936</c:v>
                </c:pt>
                <c:pt idx="259">
                  <c:v>-1125936</c:v>
                </c:pt>
                <c:pt idx="260">
                  <c:v>-1136736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61"/>
                <c:pt idx="0">
                  <c:v>0</c:v>
                </c:pt>
                <c:pt idx="1">
                  <c:v>39600</c:v>
                </c:pt>
                <c:pt idx="2">
                  <c:v>-104400</c:v>
                </c:pt>
                <c:pt idx="3">
                  <c:v>-93600</c:v>
                </c:pt>
                <c:pt idx="4">
                  <c:v>25200</c:v>
                </c:pt>
                <c:pt idx="5">
                  <c:v>54000</c:v>
                </c:pt>
                <c:pt idx="6">
                  <c:v>-36000</c:v>
                </c:pt>
                <c:pt idx="7">
                  <c:v>-64800</c:v>
                </c:pt>
                <c:pt idx="8">
                  <c:v>172800</c:v>
                </c:pt>
                <c:pt idx="9">
                  <c:v>266400</c:v>
                </c:pt>
                <c:pt idx="10">
                  <c:v>288000</c:v>
                </c:pt>
                <c:pt idx="11">
                  <c:v>162000</c:v>
                </c:pt>
                <c:pt idx="12">
                  <c:v>162000</c:v>
                </c:pt>
                <c:pt idx="13">
                  <c:v>126000</c:v>
                </c:pt>
                <c:pt idx="14">
                  <c:v>151200</c:v>
                </c:pt>
                <c:pt idx="15">
                  <c:v>208800</c:v>
                </c:pt>
                <c:pt idx="16">
                  <c:v>183600</c:v>
                </c:pt>
                <c:pt idx="17">
                  <c:v>198000</c:v>
                </c:pt>
                <c:pt idx="18">
                  <c:v>223200</c:v>
                </c:pt>
                <c:pt idx="19">
                  <c:v>316800</c:v>
                </c:pt>
                <c:pt idx="20">
                  <c:v>403200</c:v>
                </c:pt>
                <c:pt idx="21">
                  <c:v>406800</c:v>
                </c:pt>
                <c:pt idx="22">
                  <c:v>403056</c:v>
                </c:pt>
                <c:pt idx="23">
                  <c:v>179856</c:v>
                </c:pt>
                <c:pt idx="24">
                  <c:v>255456</c:v>
                </c:pt>
                <c:pt idx="25">
                  <c:v>212256</c:v>
                </c:pt>
                <c:pt idx="26">
                  <c:v>230256</c:v>
                </c:pt>
                <c:pt idx="27">
                  <c:v>115056</c:v>
                </c:pt>
                <c:pt idx="28">
                  <c:v>165456</c:v>
                </c:pt>
                <c:pt idx="29">
                  <c:v>165456</c:v>
                </c:pt>
                <c:pt idx="30">
                  <c:v>226656</c:v>
                </c:pt>
                <c:pt idx="31">
                  <c:v>190656</c:v>
                </c:pt>
                <c:pt idx="32">
                  <c:v>161856</c:v>
                </c:pt>
                <c:pt idx="33">
                  <c:v>140256</c:v>
                </c:pt>
                <c:pt idx="34">
                  <c:v>215856</c:v>
                </c:pt>
                <c:pt idx="35">
                  <c:v>143856</c:v>
                </c:pt>
                <c:pt idx="36">
                  <c:v>215856</c:v>
                </c:pt>
                <c:pt idx="37">
                  <c:v>277056</c:v>
                </c:pt>
                <c:pt idx="38">
                  <c:v>291456</c:v>
                </c:pt>
                <c:pt idx="39">
                  <c:v>370656</c:v>
                </c:pt>
                <c:pt idx="40">
                  <c:v>262656</c:v>
                </c:pt>
                <c:pt idx="41">
                  <c:v>158256</c:v>
                </c:pt>
                <c:pt idx="42">
                  <c:v>273312</c:v>
                </c:pt>
                <c:pt idx="43">
                  <c:v>244512</c:v>
                </c:pt>
                <c:pt idx="44">
                  <c:v>251712</c:v>
                </c:pt>
                <c:pt idx="45">
                  <c:v>233712</c:v>
                </c:pt>
                <c:pt idx="46">
                  <c:v>338112</c:v>
                </c:pt>
                <c:pt idx="47">
                  <c:v>255312</c:v>
                </c:pt>
                <c:pt idx="48">
                  <c:v>294912</c:v>
                </c:pt>
                <c:pt idx="49">
                  <c:v>226512</c:v>
                </c:pt>
                <c:pt idx="50">
                  <c:v>255312</c:v>
                </c:pt>
                <c:pt idx="51">
                  <c:v>374112</c:v>
                </c:pt>
                <c:pt idx="52">
                  <c:v>410112</c:v>
                </c:pt>
                <c:pt idx="53">
                  <c:v>525312</c:v>
                </c:pt>
                <c:pt idx="54">
                  <c:v>496512</c:v>
                </c:pt>
                <c:pt idx="55">
                  <c:v>496512</c:v>
                </c:pt>
                <c:pt idx="56">
                  <c:v>302112</c:v>
                </c:pt>
                <c:pt idx="57">
                  <c:v>233712</c:v>
                </c:pt>
                <c:pt idx="58">
                  <c:v>204912</c:v>
                </c:pt>
                <c:pt idx="59">
                  <c:v>168912</c:v>
                </c:pt>
                <c:pt idx="60">
                  <c:v>230112</c:v>
                </c:pt>
                <c:pt idx="61">
                  <c:v>233712</c:v>
                </c:pt>
                <c:pt idx="62">
                  <c:v>190512</c:v>
                </c:pt>
                <c:pt idx="63">
                  <c:v>435312</c:v>
                </c:pt>
                <c:pt idx="64">
                  <c:v>370512</c:v>
                </c:pt>
                <c:pt idx="65">
                  <c:v>287712</c:v>
                </c:pt>
                <c:pt idx="66">
                  <c:v>255312</c:v>
                </c:pt>
                <c:pt idx="67">
                  <c:v>312912</c:v>
                </c:pt>
                <c:pt idx="68">
                  <c:v>348912</c:v>
                </c:pt>
                <c:pt idx="69">
                  <c:v>417312</c:v>
                </c:pt>
                <c:pt idx="70">
                  <c:v>410112</c:v>
                </c:pt>
                <c:pt idx="71">
                  <c:v>446112</c:v>
                </c:pt>
                <c:pt idx="72">
                  <c:v>507312</c:v>
                </c:pt>
                <c:pt idx="73">
                  <c:v>471312</c:v>
                </c:pt>
                <c:pt idx="74">
                  <c:v>456912</c:v>
                </c:pt>
                <c:pt idx="75">
                  <c:v>424512</c:v>
                </c:pt>
                <c:pt idx="76">
                  <c:v>410112</c:v>
                </c:pt>
                <c:pt idx="77">
                  <c:v>406512</c:v>
                </c:pt>
                <c:pt idx="78">
                  <c:v>489312</c:v>
                </c:pt>
                <c:pt idx="79">
                  <c:v>496512</c:v>
                </c:pt>
                <c:pt idx="80">
                  <c:v>460512</c:v>
                </c:pt>
                <c:pt idx="81">
                  <c:v>618912</c:v>
                </c:pt>
                <c:pt idx="82">
                  <c:v>698112</c:v>
                </c:pt>
                <c:pt idx="83">
                  <c:v>687312</c:v>
                </c:pt>
                <c:pt idx="84">
                  <c:v>665712</c:v>
                </c:pt>
                <c:pt idx="85">
                  <c:v>694512</c:v>
                </c:pt>
                <c:pt idx="86">
                  <c:v>741168</c:v>
                </c:pt>
                <c:pt idx="87">
                  <c:v>730368</c:v>
                </c:pt>
                <c:pt idx="88">
                  <c:v>777168</c:v>
                </c:pt>
                <c:pt idx="89">
                  <c:v>701568</c:v>
                </c:pt>
                <c:pt idx="90">
                  <c:v>751968</c:v>
                </c:pt>
                <c:pt idx="91">
                  <c:v>748368</c:v>
                </c:pt>
                <c:pt idx="92">
                  <c:v>787968</c:v>
                </c:pt>
                <c:pt idx="93">
                  <c:v>733968</c:v>
                </c:pt>
                <c:pt idx="94">
                  <c:v>759168</c:v>
                </c:pt>
                <c:pt idx="95">
                  <c:v>665568</c:v>
                </c:pt>
                <c:pt idx="96">
                  <c:v>708768</c:v>
                </c:pt>
                <c:pt idx="97">
                  <c:v>629568</c:v>
                </c:pt>
                <c:pt idx="98">
                  <c:v>748368</c:v>
                </c:pt>
                <c:pt idx="99">
                  <c:v>777168</c:v>
                </c:pt>
                <c:pt idx="100">
                  <c:v>705168</c:v>
                </c:pt>
                <c:pt idx="101">
                  <c:v>762768</c:v>
                </c:pt>
                <c:pt idx="102">
                  <c:v>773568</c:v>
                </c:pt>
                <c:pt idx="103">
                  <c:v>859968</c:v>
                </c:pt>
                <c:pt idx="104">
                  <c:v>917568</c:v>
                </c:pt>
                <c:pt idx="105">
                  <c:v>863568</c:v>
                </c:pt>
                <c:pt idx="106">
                  <c:v>910368</c:v>
                </c:pt>
                <c:pt idx="107">
                  <c:v>888768</c:v>
                </c:pt>
                <c:pt idx="108">
                  <c:v>784368</c:v>
                </c:pt>
                <c:pt idx="109">
                  <c:v>809568</c:v>
                </c:pt>
                <c:pt idx="110">
                  <c:v>723168</c:v>
                </c:pt>
                <c:pt idx="111">
                  <c:v>769968</c:v>
                </c:pt>
                <c:pt idx="112">
                  <c:v>708768</c:v>
                </c:pt>
                <c:pt idx="113">
                  <c:v>697968</c:v>
                </c:pt>
                <c:pt idx="114">
                  <c:v>784368</c:v>
                </c:pt>
                <c:pt idx="115">
                  <c:v>841968</c:v>
                </c:pt>
                <c:pt idx="116">
                  <c:v>870768</c:v>
                </c:pt>
                <c:pt idx="117">
                  <c:v>949968</c:v>
                </c:pt>
                <c:pt idx="118">
                  <c:v>895968</c:v>
                </c:pt>
                <c:pt idx="119">
                  <c:v>802368</c:v>
                </c:pt>
                <c:pt idx="120">
                  <c:v>787968</c:v>
                </c:pt>
                <c:pt idx="121">
                  <c:v>852768</c:v>
                </c:pt>
                <c:pt idx="122">
                  <c:v>798768</c:v>
                </c:pt>
                <c:pt idx="123">
                  <c:v>676368</c:v>
                </c:pt>
                <c:pt idx="124">
                  <c:v>665568</c:v>
                </c:pt>
                <c:pt idx="125">
                  <c:v>543168</c:v>
                </c:pt>
                <c:pt idx="126">
                  <c:v>381168</c:v>
                </c:pt>
                <c:pt idx="127">
                  <c:v>363168</c:v>
                </c:pt>
                <c:pt idx="128">
                  <c:v>10368</c:v>
                </c:pt>
                <c:pt idx="129">
                  <c:v>42624</c:v>
                </c:pt>
                <c:pt idx="130">
                  <c:v>-137376</c:v>
                </c:pt>
                <c:pt idx="131">
                  <c:v>-122976</c:v>
                </c:pt>
                <c:pt idx="132">
                  <c:v>-104976</c:v>
                </c:pt>
                <c:pt idx="133">
                  <c:v>-36576</c:v>
                </c:pt>
                <c:pt idx="134">
                  <c:v>-68976</c:v>
                </c:pt>
                <c:pt idx="135">
                  <c:v>-173376</c:v>
                </c:pt>
                <c:pt idx="136">
                  <c:v>-230976</c:v>
                </c:pt>
                <c:pt idx="137">
                  <c:v>-324576</c:v>
                </c:pt>
                <c:pt idx="138">
                  <c:v>-184176</c:v>
                </c:pt>
                <c:pt idx="139">
                  <c:v>-126576</c:v>
                </c:pt>
                <c:pt idx="140">
                  <c:v>-173376</c:v>
                </c:pt>
                <c:pt idx="141">
                  <c:v>-18576</c:v>
                </c:pt>
                <c:pt idx="142">
                  <c:v>179424</c:v>
                </c:pt>
                <c:pt idx="143">
                  <c:v>161424</c:v>
                </c:pt>
                <c:pt idx="144">
                  <c:v>237024</c:v>
                </c:pt>
                <c:pt idx="145">
                  <c:v>255024</c:v>
                </c:pt>
                <c:pt idx="146">
                  <c:v>345024</c:v>
                </c:pt>
                <c:pt idx="147">
                  <c:v>600624</c:v>
                </c:pt>
                <c:pt idx="148">
                  <c:v>687024</c:v>
                </c:pt>
                <c:pt idx="149">
                  <c:v>715824</c:v>
                </c:pt>
                <c:pt idx="150">
                  <c:v>687024</c:v>
                </c:pt>
                <c:pt idx="151">
                  <c:v>636624</c:v>
                </c:pt>
                <c:pt idx="152">
                  <c:v>723024</c:v>
                </c:pt>
                <c:pt idx="153">
                  <c:v>744624</c:v>
                </c:pt>
                <c:pt idx="154">
                  <c:v>672624</c:v>
                </c:pt>
                <c:pt idx="155">
                  <c:v>683424</c:v>
                </c:pt>
                <c:pt idx="156">
                  <c:v>661824</c:v>
                </c:pt>
                <c:pt idx="157">
                  <c:v>463824</c:v>
                </c:pt>
                <c:pt idx="158">
                  <c:v>553824</c:v>
                </c:pt>
                <c:pt idx="159">
                  <c:v>885024</c:v>
                </c:pt>
                <c:pt idx="160">
                  <c:v>823824</c:v>
                </c:pt>
                <c:pt idx="161">
                  <c:v>805824</c:v>
                </c:pt>
                <c:pt idx="162">
                  <c:v>791424</c:v>
                </c:pt>
                <c:pt idx="163">
                  <c:v>759024</c:v>
                </c:pt>
                <c:pt idx="164">
                  <c:v>741024</c:v>
                </c:pt>
                <c:pt idx="165">
                  <c:v>694224</c:v>
                </c:pt>
                <c:pt idx="166">
                  <c:v>773424</c:v>
                </c:pt>
                <c:pt idx="167">
                  <c:v>726624</c:v>
                </c:pt>
                <c:pt idx="168">
                  <c:v>780624</c:v>
                </c:pt>
                <c:pt idx="169">
                  <c:v>816624</c:v>
                </c:pt>
                <c:pt idx="170">
                  <c:v>820224</c:v>
                </c:pt>
                <c:pt idx="171">
                  <c:v>791424</c:v>
                </c:pt>
                <c:pt idx="172">
                  <c:v>816624</c:v>
                </c:pt>
                <c:pt idx="173">
                  <c:v>892080</c:v>
                </c:pt>
                <c:pt idx="174">
                  <c:v>938880</c:v>
                </c:pt>
                <c:pt idx="175">
                  <c:v>996480</c:v>
                </c:pt>
                <c:pt idx="176">
                  <c:v>974880</c:v>
                </c:pt>
                <c:pt idx="177">
                  <c:v>982080</c:v>
                </c:pt>
                <c:pt idx="178">
                  <c:v>931680</c:v>
                </c:pt>
                <c:pt idx="179">
                  <c:v>888480</c:v>
                </c:pt>
                <c:pt idx="180">
                  <c:v>816480</c:v>
                </c:pt>
                <c:pt idx="181">
                  <c:v>676080</c:v>
                </c:pt>
                <c:pt idx="182">
                  <c:v>542880</c:v>
                </c:pt>
                <c:pt idx="183">
                  <c:v>571680</c:v>
                </c:pt>
                <c:pt idx="184">
                  <c:v>643680</c:v>
                </c:pt>
                <c:pt idx="185">
                  <c:v>708480</c:v>
                </c:pt>
                <c:pt idx="186">
                  <c:v>758880</c:v>
                </c:pt>
                <c:pt idx="187">
                  <c:v>672480</c:v>
                </c:pt>
                <c:pt idx="188">
                  <c:v>733680</c:v>
                </c:pt>
                <c:pt idx="189">
                  <c:v>697680</c:v>
                </c:pt>
                <c:pt idx="190">
                  <c:v>722880</c:v>
                </c:pt>
                <c:pt idx="191">
                  <c:v>614880</c:v>
                </c:pt>
                <c:pt idx="192">
                  <c:v>643680</c:v>
                </c:pt>
                <c:pt idx="193">
                  <c:v>607680</c:v>
                </c:pt>
                <c:pt idx="194">
                  <c:v>654480</c:v>
                </c:pt>
                <c:pt idx="195">
                  <c:v>586080</c:v>
                </c:pt>
                <c:pt idx="196">
                  <c:v>586080</c:v>
                </c:pt>
                <c:pt idx="197">
                  <c:v>546480</c:v>
                </c:pt>
                <c:pt idx="198">
                  <c:v>478080</c:v>
                </c:pt>
                <c:pt idx="199">
                  <c:v>503280</c:v>
                </c:pt>
                <c:pt idx="200">
                  <c:v>560880</c:v>
                </c:pt>
                <c:pt idx="201">
                  <c:v>654480</c:v>
                </c:pt>
                <c:pt idx="202">
                  <c:v>715680</c:v>
                </c:pt>
                <c:pt idx="203">
                  <c:v>672480</c:v>
                </c:pt>
                <c:pt idx="204">
                  <c:v>744480</c:v>
                </c:pt>
                <c:pt idx="205">
                  <c:v>794880</c:v>
                </c:pt>
                <c:pt idx="206">
                  <c:v>787680</c:v>
                </c:pt>
                <c:pt idx="207">
                  <c:v>823680</c:v>
                </c:pt>
                <c:pt idx="208">
                  <c:v>802080</c:v>
                </c:pt>
                <c:pt idx="209">
                  <c:v>726480</c:v>
                </c:pt>
                <c:pt idx="210">
                  <c:v>744480</c:v>
                </c:pt>
                <c:pt idx="211">
                  <c:v>758880</c:v>
                </c:pt>
                <c:pt idx="212">
                  <c:v>672480</c:v>
                </c:pt>
                <c:pt idx="213">
                  <c:v>712080</c:v>
                </c:pt>
                <c:pt idx="214">
                  <c:v>787680</c:v>
                </c:pt>
                <c:pt idx="215">
                  <c:v>740880</c:v>
                </c:pt>
                <c:pt idx="216">
                  <c:v>701280</c:v>
                </c:pt>
                <c:pt idx="217">
                  <c:v>780480</c:v>
                </c:pt>
                <c:pt idx="218">
                  <c:v>737280</c:v>
                </c:pt>
                <c:pt idx="219">
                  <c:v>683280</c:v>
                </c:pt>
                <c:pt idx="220">
                  <c:v>794880</c:v>
                </c:pt>
                <c:pt idx="221">
                  <c:v>827280</c:v>
                </c:pt>
                <c:pt idx="222">
                  <c:v>892080</c:v>
                </c:pt>
                <c:pt idx="223">
                  <c:v>1043280</c:v>
                </c:pt>
                <c:pt idx="224">
                  <c:v>996480</c:v>
                </c:pt>
                <c:pt idx="225">
                  <c:v>1000080</c:v>
                </c:pt>
                <c:pt idx="226">
                  <c:v>1032480</c:v>
                </c:pt>
                <c:pt idx="227">
                  <c:v>1036080</c:v>
                </c:pt>
                <c:pt idx="228">
                  <c:v>1018080</c:v>
                </c:pt>
                <c:pt idx="229">
                  <c:v>996480</c:v>
                </c:pt>
                <c:pt idx="230">
                  <c:v>964080</c:v>
                </c:pt>
                <c:pt idx="231">
                  <c:v>967680</c:v>
                </c:pt>
                <c:pt idx="232">
                  <c:v>931680</c:v>
                </c:pt>
                <c:pt idx="233">
                  <c:v>971280</c:v>
                </c:pt>
                <c:pt idx="234">
                  <c:v>946080</c:v>
                </c:pt>
                <c:pt idx="235">
                  <c:v>938880</c:v>
                </c:pt>
                <c:pt idx="236">
                  <c:v>1007280</c:v>
                </c:pt>
                <c:pt idx="237">
                  <c:v>946080</c:v>
                </c:pt>
                <c:pt idx="238">
                  <c:v>920736</c:v>
                </c:pt>
                <c:pt idx="239">
                  <c:v>960336</c:v>
                </c:pt>
                <c:pt idx="240">
                  <c:v>870336</c:v>
                </c:pt>
                <c:pt idx="241">
                  <c:v>819936</c:v>
                </c:pt>
                <c:pt idx="242">
                  <c:v>920736</c:v>
                </c:pt>
                <c:pt idx="243">
                  <c:v>917136</c:v>
                </c:pt>
                <c:pt idx="244">
                  <c:v>924336</c:v>
                </c:pt>
                <c:pt idx="245">
                  <c:v>848736</c:v>
                </c:pt>
                <c:pt idx="246">
                  <c:v>899136</c:v>
                </c:pt>
                <c:pt idx="247">
                  <c:v>848736</c:v>
                </c:pt>
                <c:pt idx="248">
                  <c:v>845136</c:v>
                </c:pt>
                <c:pt idx="249">
                  <c:v>971136</c:v>
                </c:pt>
                <c:pt idx="250">
                  <c:v>924336</c:v>
                </c:pt>
                <c:pt idx="251">
                  <c:v>906336</c:v>
                </c:pt>
                <c:pt idx="252">
                  <c:v>949536</c:v>
                </c:pt>
                <c:pt idx="253">
                  <c:v>1021536</c:v>
                </c:pt>
                <c:pt idx="254">
                  <c:v>1035936</c:v>
                </c:pt>
                <c:pt idx="255">
                  <c:v>1050336</c:v>
                </c:pt>
                <c:pt idx="256">
                  <c:v>1064736</c:v>
                </c:pt>
                <c:pt idx="257">
                  <c:v>1104336</c:v>
                </c:pt>
                <c:pt idx="258">
                  <c:v>1089936</c:v>
                </c:pt>
                <c:pt idx="259">
                  <c:v>1125936</c:v>
                </c:pt>
                <c:pt idx="260">
                  <c:v>1136736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61"/>
                <c:pt idx="0">
                  <c:v>0</c:v>
                </c:pt>
                <c:pt idx="1">
                  <c:v>1750</c:v>
                </c:pt>
                <c:pt idx="2">
                  <c:v>12880</c:v>
                </c:pt>
                <c:pt idx="3">
                  <c:v>9380</c:v>
                </c:pt>
                <c:pt idx="4">
                  <c:v>-23380</c:v>
                </c:pt>
                <c:pt idx="5">
                  <c:v>-30380</c:v>
                </c:pt>
                <c:pt idx="6">
                  <c:v>-39060</c:v>
                </c:pt>
                <c:pt idx="7">
                  <c:v>-37695</c:v>
                </c:pt>
                <c:pt idx="8">
                  <c:v>-45710</c:v>
                </c:pt>
                <c:pt idx="9">
                  <c:v>-19740</c:v>
                </c:pt>
                <c:pt idx="10">
                  <c:v>-22820</c:v>
                </c:pt>
                <c:pt idx="11">
                  <c:v>-26250</c:v>
                </c:pt>
                <c:pt idx="12">
                  <c:v>-22330</c:v>
                </c:pt>
                <c:pt idx="13">
                  <c:v>-25725</c:v>
                </c:pt>
                <c:pt idx="14">
                  <c:v>-35245</c:v>
                </c:pt>
                <c:pt idx="15">
                  <c:v>-50575</c:v>
                </c:pt>
                <c:pt idx="16">
                  <c:v>-51030</c:v>
                </c:pt>
                <c:pt idx="17">
                  <c:v>-47110</c:v>
                </c:pt>
                <c:pt idx="18">
                  <c:v>-47985</c:v>
                </c:pt>
                <c:pt idx="19">
                  <c:v>-50400</c:v>
                </c:pt>
                <c:pt idx="20">
                  <c:v>-24535</c:v>
                </c:pt>
                <c:pt idx="21">
                  <c:v>-21035</c:v>
                </c:pt>
                <c:pt idx="22">
                  <c:v>-23660</c:v>
                </c:pt>
                <c:pt idx="23">
                  <c:v>-96985</c:v>
                </c:pt>
                <c:pt idx="24">
                  <c:v>-110985</c:v>
                </c:pt>
                <c:pt idx="25">
                  <c:v>-110985</c:v>
                </c:pt>
                <c:pt idx="26">
                  <c:v>-110985</c:v>
                </c:pt>
                <c:pt idx="27">
                  <c:v>-110985</c:v>
                </c:pt>
                <c:pt idx="28">
                  <c:v>-110985</c:v>
                </c:pt>
                <c:pt idx="29">
                  <c:v>-110985</c:v>
                </c:pt>
                <c:pt idx="30">
                  <c:v>-110985</c:v>
                </c:pt>
                <c:pt idx="31">
                  <c:v>-110985</c:v>
                </c:pt>
                <c:pt idx="32">
                  <c:v>-110985</c:v>
                </c:pt>
                <c:pt idx="33">
                  <c:v>-115360</c:v>
                </c:pt>
                <c:pt idx="34">
                  <c:v>-133210</c:v>
                </c:pt>
                <c:pt idx="35">
                  <c:v>-106785</c:v>
                </c:pt>
                <c:pt idx="36">
                  <c:v>-106785</c:v>
                </c:pt>
                <c:pt idx="37">
                  <c:v>-128765</c:v>
                </c:pt>
                <c:pt idx="38">
                  <c:v>-133770</c:v>
                </c:pt>
                <c:pt idx="39">
                  <c:v>-89460</c:v>
                </c:pt>
                <c:pt idx="40">
                  <c:v>-92085</c:v>
                </c:pt>
                <c:pt idx="41">
                  <c:v>-173950</c:v>
                </c:pt>
                <c:pt idx="42">
                  <c:v>-179200</c:v>
                </c:pt>
                <c:pt idx="43">
                  <c:v>-179200</c:v>
                </c:pt>
                <c:pt idx="44">
                  <c:v>-179200</c:v>
                </c:pt>
                <c:pt idx="45">
                  <c:v>-179200</c:v>
                </c:pt>
                <c:pt idx="46">
                  <c:v>-179200</c:v>
                </c:pt>
                <c:pt idx="47">
                  <c:v>-179200</c:v>
                </c:pt>
                <c:pt idx="48">
                  <c:v>-179200</c:v>
                </c:pt>
                <c:pt idx="49">
                  <c:v>-179200</c:v>
                </c:pt>
                <c:pt idx="50">
                  <c:v>-179200</c:v>
                </c:pt>
                <c:pt idx="51">
                  <c:v>-179200</c:v>
                </c:pt>
                <c:pt idx="52">
                  <c:v>-179200</c:v>
                </c:pt>
                <c:pt idx="53">
                  <c:v>-179200</c:v>
                </c:pt>
                <c:pt idx="54">
                  <c:v>-179200</c:v>
                </c:pt>
                <c:pt idx="55">
                  <c:v>-179200</c:v>
                </c:pt>
                <c:pt idx="56">
                  <c:v>-179200</c:v>
                </c:pt>
                <c:pt idx="57">
                  <c:v>-179200</c:v>
                </c:pt>
                <c:pt idx="58">
                  <c:v>-179200</c:v>
                </c:pt>
                <c:pt idx="59">
                  <c:v>-179200</c:v>
                </c:pt>
                <c:pt idx="60">
                  <c:v>-179200</c:v>
                </c:pt>
                <c:pt idx="61">
                  <c:v>-179200</c:v>
                </c:pt>
                <c:pt idx="62">
                  <c:v>-179200</c:v>
                </c:pt>
                <c:pt idx="63">
                  <c:v>-179200</c:v>
                </c:pt>
                <c:pt idx="64">
                  <c:v>-173425</c:v>
                </c:pt>
                <c:pt idx="65">
                  <c:v>-173425</c:v>
                </c:pt>
                <c:pt idx="66">
                  <c:v>-173425</c:v>
                </c:pt>
                <c:pt idx="67">
                  <c:v>-173425</c:v>
                </c:pt>
                <c:pt idx="68">
                  <c:v>-173425</c:v>
                </c:pt>
                <c:pt idx="69">
                  <c:v>-173425</c:v>
                </c:pt>
                <c:pt idx="70">
                  <c:v>-173425</c:v>
                </c:pt>
                <c:pt idx="71">
                  <c:v>-173425</c:v>
                </c:pt>
                <c:pt idx="72">
                  <c:v>-173425</c:v>
                </c:pt>
                <c:pt idx="73">
                  <c:v>-173425</c:v>
                </c:pt>
                <c:pt idx="74">
                  <c:v>-173425</c:v>
                </c:pt>
                <c:pt idx="75">
                  <c:v>-173425</c:v>
                </c:pt>
                <c:pt idx="76">
                  <c:v>-173425</c:v>
                </c:pt>
                <c:pt idx="77">
                  <c:v>-173425</c:v>
                </c:pt>
                <c:pt idx="78">
                  <c:v>-173425</c:v>
                </c:pt>
                <c:pt idx="79">
                  <c:v>-173425</c:v>
                </c:pt>
                <c:pt idx="80">
                  <c:v>-173425</c:v>
                </c:pt>
                <c:pt idx="81">
                  <c:v>-173425</c:v>
                </c:pt>
                <c:pt idx="82">
                  <c:v>-173425</c:v>
                </c:pt>
                <c:pt idx="83">
                  <c:v>-172970</c:v>
                </c:pt>
                <c:pt idx="84">
                  <c:v>-168140</c:v>
                </c:pt>
                <c:pt idx="85">
                  <c:v>-169015</c:v>
                </c:pt>
                <c:pt idx="86">
                  <c:v>-181265</c:v>
                </c:pt>
                <c:pt idx="87">
                  <c:v>-178220</c:v>
                </c:pt>
                <c:pt idx="88">
                  <c:v>-182560</c:v>
                </c:pt>
                <c:pt idx="89">
                  <c:v>-180810</c:v>
                </c:pt>
                <c:pt idx="90">
                  <c:v>-180390</c:v>
                </c:pt>
                <c:pt idx="91">
                  <c:v>-179515</c:v>
                </c:pt>
                <c:pt idx="92">
                  <c:v>-177765</c:v>
                </c:pt>
                <c:pt idx="93">
                  <c:v>-176890</c:v>
                </c:pt>
                <c:pt idx="94">
                  <c:v>-176015</c:v>
                </c:pt>
                <c:pt idx="95">
                  <c:v>-173390</c:v>
                </c:pt>
                <c:pt idx="96">
                  <c:v>-172970</c:v>
                </c:pt>
                <c:pt idx="97">
                  <c:v>-160685</c:v>
                </c:pt>
                <c:pt idx="98">
                  <c:v>-170310</c:v>
                </c:pt>
                <c:pt idx="99">
                  <c:v>-172935</c:v>
                </c:pt>
                <c:pt idx="100">
                  <c:v>-166810</c:v>
                </c:pt>
                <c:pt idx="101">
                  <c:v>-173390</c:v>
                </c:pt>
                <c:pt idx="102">
                  <c:v>-169890</c:v>
                </c:pt>
                <c:pt idx="103">
                  <c:v>-184660</c:v>
                </c:pt>
                <c:pt idx="104">
                  <c:v>-180740</c:v>
                </c:pt>
                <c:pt idx="105">
                  <c:v>-181090</c:v>
                </c:pt>
                <c:pt idx="106">
                  <c:v>-188965</c:v>
                </c:pt>
                <c:pt idx="107">
                  <c:v>-184170</c:v>
                </c:pt>
                <c:pt idx="108">
                  <c:v>-169260</c:v>
                </c:pt>
                <c:pt idx="109">
                  <c:v>-173180</c:v>
                </c:pt>
                <c:pt idx="110">
                  <c:v>-160265</c:v>
                </c:pt>
                <c:pt idx="111">
                  <c:v>-159355</c:v>
                </c:pt>
                <c:pt idx="112">
                  <c:v>-168070</c:v>
                </c:pt>
                <c:pt idx="113">
                  <c:v>-167650</c:v>
                </c:pt>
                <c:pt idx="114">
                  <c:v>-140070</c:v>
                </c:pt>
                <c:pt idx="115">
                  <c:v>-130900</c:v>
                </c:pt>
                <c:pt idx="116">
                  <c:v>-112980</c:v>
                </c:pt>
                <c:pt idx="117">
                  <c:v>-96740</c:v>
                </c:pt>
                <c:pt idx="118">
                  <c:v>-130410</c:v>
                </c:pt>
                <c:pt idx="119">
                  <c:v>-153090</c:v>
                </c:pt>
                <c:pt idx="120">
                  <c:v>-149870</c:v>
                </c:pt>
                <c:pt idx="121">
                  <c:v>-163870</c:v>
                </c:pt>
                <c:pt idx="122">
                  <c:v>-149450</c:v>
                </c:pt>
                <c:pt idx="123">
                  <c:v>-126560</c:v>
                </c:pt>
                <c:pt idx="124">
                  <c:v>-121660</c:v>
                </c:pt>
                <c:pt idx="125">
                  <c:v>-109900</c:v>
                </c:pt>
                <c:pt idx="126">
                  <c:v>-104790</c:v>
                </c:pt>
                <c:pt idx="127">
                  <c:v>-124845</c:v>
                </c:pt>
                <c:pt idx="128">
                  <c:v>-111790</c:v>
                </c:pt>
                <c:pt idx="129">
                  <c:v>-143220</c:v>
                </c:pt>
                <c:pt idx="130">
                  <c:v>-83720</c:v>
                </c:pt>
                <c:pt idx="131">
                  <c:v>-90720</c:v>
                </c:pt>
                <c:pt idx="132">
                  <c:v>-83720</c:v>
                </c:pt>
                <c:pt idx="133">
                  <c:v>-100310</c:v>
                </c:pt>
                <c:pt idx="134">
                  <c:v>-87185</c:v>
                </c:pt>
                <c:pt idx="135">
                  <c:v>-50890</c:v>
                </c:pt>
                <c:pt idx="136">
                  <c:v>-27160</c:v>
                </c:pt>
                <c:pt idx="137">
                  <c:v>-10080</c:v>
                </c:pt>
                <c:pt idx="138">
                  <c:v>-35840</c:v>
                </c:pt>
                <c:pt idx="139">
                  <c:v>-32760</c:v>
                </c:pt>
                <c:pt idx="140">
                  <c:v>-34090</c:v>
                </c:pt>
                <c:pt idx="141">
                  <c:v>-37485</c:v>
                </c:pt>
                <c:pt idx="142">
                  <c:v>-33530</c:v>
                </c:pt>
                <c:pt idx="143">
                  <c:v>-36155</c:v>
                </c:pt>
                <c:pt idx="144">
                  <c:v>-28700</c:v>
                </c:pt>
                <c:pt idx="145">
                  <c:v>-28280</c:v>
                </c:pt>
                <c:pt idx="146">
                  <c:v>-26495</c:v>
                </c:pt>
                <c:pt idx="147">
                  <c:v>-23450</c:v>
                </c:pt>
                <c:pt idx="148">
                  <c:v>-34825</c:v>
                </c:pt>
                <c:pt idx="149">
                  <c:v>-25165</c:v>
                </c:pt>
                <c:pt idx="150">
                  <c:v>-19460</c:v>
                </c:pt>
                <c:pt idx="151">
                  <c:v>-18585</c:v>
                </c:pt>
                <c:pt idx="152">
                  <c:v>-21210</c:v>
                </c:pt>
                <c:pt idx="153">
                  <c:v>-26460</c:v>
                </c:pt>
                <c:pt idx="154">
                  <c:v>-14630</c:v>
                </c:pt>
                <c:pt idx="155">
                  <c:v>-12460</c:v>
                </c:pt>
                <c:pt idx="156">
                  <c:v>-8085</c:v>
                </c:pt>
                <c:pt idx="157">
                  <c:v>6370</c:v>
                </c:pt>
                <c:pt idx="158">
                  <c:v>1540</c:v>
                </c:pt>
                <c:pt idx="159">
                  <c:v>-67550</c:v>
                </c:pt>
                <c:pt idx="160">
                  <c:v>-46830</c:v>
                </c:pt>
                <c:pt idx="161">
                  <c:v>-45500</c:v>
                </c:pt>
                <c:pt idx="162">
                  <c:v>-41580</c:v>
                </c:pt>
                <c:pt idx="163">
                  <c:v>-45080</c:v>
                </c:pt>
                <c:pt idx="164">
                  <c:v>-45010</c:v>
                </c:pt>
                <c:pt idx="165">
                  <c:v>-51765</c:v>
                </c:pt>
                <c:pt idx="166">
                  <c:v>-52220</c:v>
                </c:pt>
                <c:pt idx="167">
                  <c:v>-50050</c:v>
                </c:pt>
                <c:pt idx="168">
                  <c:v>-54810</c:v>
                </c:pt>
                <c:pt idx="169">
                  <c:v>-51730</c:v>
                </c:pt>
                <c:pt idx="170">
                  <c:v>-50400</c:v>
                </c:pt>
                <c:pt idx="171">
                  <c:v>-49980</c:v>
                </c:pt>
                <c:pt idx="172">
                  <c:v>-49105</c:v>
                </c:pt>
                <c:pt idx="173">
                  <c:v>-48230</c:v>
                </c:pt>
                <c:pt idx="174">
                  <c:v>-47355</c:v>
                </c:pt>
                <c:pt idx="175">
                  <c:v>-49070</c:v>
                </c:pt>
                <c:pt idx="176">
                  <c:v>-48090</c:v>
                </c:pt>
                <c:pt idx="177">
                  <c:v>-45465</c:v>
                </c:pt>
                <c:pt idx="178">
                  <c:v>-42840</c:v>
                </c:pt>
                <c:pt idx="179">
                  <c:v>-44170</c:v>
                </c:pt>
                <c:pt idx="180">
                  <c:v>-43120</c:v>
                </c:pt>
                <c:pt idx="181">
                  <c:v>-48370</c:v>
                </c:pt>
                <c:pt idx="182">
                  <c:v>7280</c:v>
                </c:pt>
                <c:pt idx="183">
                  <c:v>-595</c:v>
                </c:pt>
                <c:pt idx="184">
                  <c:v>-8470</c:v>
                </c:pt>
                <c:pt idx="185">
                  <c:v>-21560</c:v>
                </c:pt>
                <c:pt idx="186">
                  <c:v>-36295</c:v>
                </c:pt>
                <c:pt idx="187">
                  <c:v>-24920</c:v>
                </c:pt>
                <c:pt idx="188">
                  <c:v>-31045</c:v>
                </c:pt>
                <c:pt idx="189">
                  <c:v>-24885</c:v>
                </c:pt>
                <c:pt idx="190">
                  <c:v>-28840</c:v>
                </c:pt>
                <c:pt idx="191">
                  <c:v>-16100</c:v>
                </c:pt>
                <c:pt idx="192">
                  <c:v>-18725</c:v>
                </c:pt>
                <c:pt idx="193">
                  <c:v>-15225</c:v>
                </c:pt>
                <c:pt idx="194">
                  <c:v>-11725</c:v>
                </c:pt>
                <c:pt idx="195">
                  <c:v>4480</c:v>
                </c:pt>
                <c:pt idx="196">
                  <c:v>6720</c:v>
                </c:pt>
                <c:pt idx="197">
                  <c:v>22050</c:v>
                </c:pt>
                <c:pt idx="198">
                  <c:v>23450</c:v>
                </c:pt>
                <c:pt idx="199">
                  <c:v>19950</c:v>
                </c:pt>
                <c:pt idx="200">
                  <c:v>4305</c:v>
                </c:pt>
                <c:pt idx="201">
                  <c:v>-35315</c:v>
                </c:pt>
                <c:pt idx="202">
                  <c:v>-30800</c:v>
                </c:pt>
                <c:pt idx="203">
                  <c:v>-18550</c:v>
                </c:pt>
                <c:pt idx="204">
                  <c:v>-29260</c:v>
                </c:pt>
                <c:pt idx="205">
                  <c:v>-16555</c:v>
                </c:pt>
                <c:pt idx="206">
                  <c:v>-24010</c:v>
                </c:pt>
                <c:pt idx="207">
                  <c:v>-5635</c:v>
                </c:pt>
                <c:pt idx="208">
                  <c:v>-15260</c:v>
                </c:pt>
                <c:pt idx="209">
                  <c:v>-26040</c:v>
                </c:pt>
                <c:pt idx="210">
                  <c:v>-29050</c:v>
                </c:pt>
                <c:pt idx="211">
                  <c:v>-31220</c:v>
                </c:pt>
                <c:pt idx="212">
                  <c:v>-17220</c:v>
                </c:pt>
                <c:pt idx="213">
                  <c:v>-23310</c:v>
                </c:pt>
                <c:pt idx="214">
                  <c:v>-30730</c:v>
                </c:pt>
                <c:pt idx="215">
                  <c:v>-21105</c:v>
                </c:pt>
                <c:pt idx="216">
                  <c:v>-17920</c:v>
                </c:pt>
                <c:pt idx="217">
                  <c:v>-5250</c:v>
                </c:pt>
                <c:pt idx="218">
                  <c:v>-9170</c:v>
                </c:pt>
                <c:pt idx="219">
                  <c:v>-12635</c:v>
                </c:pt>
                <c:pt idx="220">
                  <c:v>-21175</c:v>
                </c:pt>
                <c:pt idx="221">
                  <c:v>-29225</c:v>
                </c:pt>
                <c:pt idx="222">
                  <c:v>2310</c:v>
                </c:pt>
                <c:pt idx="223">
                  <c:v>39585</c:v>
                </c:pt>
                <c:pt idx="224">
                  <c:v>43085</c:v>
                </c:pt>
                <c:pt idx="225">
                  <c:v>45220</c:v>
                </c:pt>
                <c:pt idx="226">
                  <c:v>26845</c:v>
                </c:pt>
                <c:pt idx="227">
                  <c:v>25970</c:v>
                </c:pt>
                <c:pt idx="228">
                  <c:v>36890</c:v>
                </c:pt>
                <c:pt idx="229">
                  <c:v>43085</c:v>
                </c:pt>
                <c:pt idx="230">
                  <c:v>52710</c:v>
                </c:pt>
                <c:pt idx="231">
                  <c:v>51905</c:v>
                </c:pt>
                <c:pt idx="232">
                  <c:v>66920</c:v>
                </c:pt>
                <c:pt idx="233">
                  <c:v>64750</c:v>
                </c:pt>
                <c:pt idx="234">
                  <c:v>70280</c:v>
                </c:pt>
                <c:pt idx="235">
                  <c:v>74550</c:v>
                </c:pt>
                <c:pt idx="236">
                  <c:v>54880</c:v>
                </c:pt>
                <c:pt idx="237">
                  <c:v>72030</c:v>
                </c:pt>
                <c:pt idx="238">
                  <c:v>75390</c:v>
                </c:pt>
                <c:pt idx="239">
                  <c:v>65765</c:v>
                </c:pt>
                <c:pt idx="240">
                  <c:v>78925</c:v>
                </c:pt>
                <c:pt idx="241">
                  <c:v>85680</c:v>
                </c:pt>
                <c:pt idx="242">
                  <c:v>75180</c:v>
                </c:pt>
                <c:pt idx="243">
                  <c:v>75180</c:v>
                </c:pt>
                <c:pt idx="244">
                  <c:v>81305</c:v>
                </c:pt>
                <c:pt idx="245">
                  <c:v>94150</c:v>
                </c:pt>
                <c:pt idx="246">
                  <c:v>84070</c:v>
                </c:pt>
                <c:pt idx="247">
                  <c:v>92050</c:v>
                </c:pt>
                <c:pt idx="248">
                  <c:v>92365</c:v>
                </c:pt>
                <c:pt idx="249">
                  <c:v>68390</c:v>
                </c:pt>
                <c:pt idx="250">
                  <c:v>71890</c:v>
                </c:pt>
                <c:pt idx="251">
                  <c:v>70140</c:v>
                </c:pt>
                <c:pt idx="252">
                  <c:v>79765</c:v>
                </c:pt>
                <c:pt idx="253">
                  <c:v>67690</c:v>
                </c:pt>
                <c:pt idx="254">
                  <c:v>63140</c:v>
                </c:pt>
                <c:pt idx="255">
                  <c:v>162050</c:v>
                </c:pt>
                <c:pt idx="256">
                  <c:v>78925</c:v>
                </c:pt>
                <c:pt idx="257">
                  <c:v>86905</c:v>
                </c:pt>
                <c:pt idx="258">
                  <c:v>87780</c:v>
                </c:pt>
                <c:pt idx="259">
                  <c:v>88200</c:v>
                </c:pt>
                <c:pt idx="260">
                  <c:v>87325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61"/>
                <c:pt idx="0">
                  <c:v>0</c:v>
                </c:pt>
                <c:pt idx="1">
                  <c:v>-39600</c:v>
                </c:pt>
                <c:pt idx="2">
                  <c:v>104400</c:v>
                </c:pt>
                <c:pt idx="3">
                  <c:v>93600</c:v>
                </c:pt>
                <c:pt idx="4">
                  <c:v>-25200</c:v>
                </c:pt>
                <c:pt idx="5">
                  <c:v>-54000</c:v>
                </c:pt>
                <c:pt idx="6">
                  <c:v>36000</c:v>
                </c:pt>
                <c:pt idx="7">
                  <c:v>64800</c:v>
                </c:pt>
                <c:pt idx="8">
                  <c:v>-172800</c:v>
                </c:pt>
                <c:pt idx="9">
                  <c:v>-266400</c:v>
                </c:pt>
                <c:pt idx="10">
                  <c:v>-288000</c:v>
                </c:pt>
                <c:pt idx="11">
                  <c:v>-162000</c:v>
                </c:pt>
                <c:pt idx="12">
                  <c:v>-162000</c:v>
                </c:pt>
                <c:pt idx="13">
                  <c:v>-126000</c:v>
                </c:pt>
                <c:pt idx="14">
                  <c:v>-151200</c:v>
                </c:pt>
                <c:pt idx="15">
                  <c:v>-208800</c:v>
                </c:pt>
                <c:pt idx="16">
                  <c:v>-183600</c:v>
                </c:pt>
                <c:pt idx="17">
                  <c:v>-198000</c:v>
                </c:pt>
                <c:pt idx="18">
                  <c:v>-223200</c:v>
                </c:pt>
                <c:pt idx="19">
                  <c:v>-316800</c:v>
                </c:pt>
                <c:pt idx="20">
                  <c:v>-403200</c:v>
                </c:pt>
                <c:pt idx="21">
                  <c:v>-406800</c:v>
                </c:pt>
                <c:pt idx="22">
                  <c:v>-403056</c:v>
                </c:pt>
                <c:pt idx="23">
                  <c:v>-179856</c:v>
                </c:pt>
                <c:pt idx="24">
                  <c:v>-255456</c:v>
                </c:pt>
                <c:pt idx="25">
                  <c:v>-212256</c:v>
                </c:pt>
                <c:pt idx="26">
                  <c:v>-230256</c:v>
                </c:pt>
                <c:pt idx="27">
                  <c:v>-115056</c:v>
                </c:pt>
                <c:pt idx="28">
                  <c:v>-165456</c:v>
                </c:pt>
                <c:pt idx="29">
                  <c:v>-165456</c:v>
                </c:pt>
                <c:pt idx="30">
                  <c:v>-226656</c:v>
                </c:pt>
                <c:pt idx="31">
                  <c:v>-190656</c:v>
                </c:pt>
                <c:pt idx="32">
                  <c:v>-161856</c:v>
                </c:pt>
                <c:pt idx="33">
                  <c:v>-140256</c:v>
                </c:pt>
                <c:pt idx="34">
                  <c:v>-215856</c:v>
                </c:pt>
                <c:pt idx="35">
                  <c:v>-143856</c:v>
                </c:pt>
                <c:pt idx="36">
                  <c:v>-215856</c:v>
                </c:pt>
                <c:pt idx="37">
                  <c:v>-277056</c:v>
                </c:pt>
                <c:pt idx="38">
                  <c:v>-291456</c:v>
                </c:pt>
                <c:pt idx="39">
                  <c:v>-370656</c:v>
                </c:pt>
                <c:pt idx="40">
                  <c:v>-262656</c:v>
                </c:pt>
                <c:pt idx="41">
                  <c:v>-158256</c:v>
                </c:pt>
                <c:pt idx="42">
                  <c:v>-273312</c:v>
                </c:pt>
                <c:pt idx="43">
                  <c:v>-244512</c:v>
                </c:pt>
                <c:pt idx="44">
                  <c:v>-251712</c:v>
                </c:pt>
                <c:pt idx="45">
                  <c:v>-233712</c:v>
                </c:pt>
                <c:pt idx="46">
                  <c:v>-338112</c:v>
                </c:pt>
                <c:pt idx="47">
                  <c:v>-255312</c:v>
                </c:pt>
                <c:pt idx="48">
                  <c:v>-294912</c:v>
                </c:pt>
                <c:pt idx="49">
                  <c:v>-226512</c:v>
                </c:pt>
                <c:pt idx="50">
                  <c:v>-255312</c:v>
                </c:pt>
                <c:pt idx="51">
                  <c:v>-374112</c:v>
                </c:pt>
                <c:pt idx="52">
                  <c:v>-410112</c:v>
                </c:pt>
                <c:pt idx="53">
                  <c:v>-525312</c:v>
                </c:pt>
                <c:pt idx="54">
                  <c:v>-496512</c:v>
                </c:pt>
                <c:pt idx="55">
                  <c:v>-496512</c:v>
                </c:pt>
                <c:pt idx="56">
                  <c:v>-302112</c:v>
                </c:pt>
                <c:pt idx="57">
                  <c:v>-233712</c:v>
                </c:pt>
                <c:pt idx="58">
                  <c:v>-204912</c:v>
                </c:pt>
                <c:pt idx="59">
                  <c:v>-168912</c:v>
                </c:pt>
                <c:pt idx="60">
                  <c:v>-230112</c:v>
                </c:pt>
                <c:pt idx="61">
                  <c:v>-233712</c:v>
                </c:pt>
                <c:pt idx="62">
                  <c:v>-190512</c:v>
                </c:pt>
                <c:pt idx="63">
                  <c:v>-435312</c:v>
                </c:pt>
                <c:pt idx="64">
                  <c:v>-370512</c:v>
                </c:pt>
                <c:pt idx="65">
                  <c:v>-287712</c:v>
                </c:pt>
                <c:pt idx="66">
                  <c:v>-255312</c:v>
                </c:pt>
                <c:pt idx="67">
                  <c:v>-312912</c:v>
                </c:pt>
                <c:pt idx="68">
                  <c:v>-348912</c:v>
                </c:pt>
                <c:pt idx="69">
                  <c:v>-417312</c:v>
                </c:pt>
                <c:pt idx="70">
                  <c:v>-410112</c:v>
                </c:pt>
                <c:pt idx="71">
                  <c:v>-446112</c:v>
                </c:pt>
                <c:pt idx="72">
                  <c:v>-507312</c:v>
                </c:pt>
                <c:pt idx="73">
                  <c:v>-471312</c:v>
                </c:pt>
                <c:pt idx="74">
                  <c:v>-456912</c:v>
                </c:pt>
                <c:pt idx="75">
                  <c:v>-424512</c:v>
                </c:pt>
                <c:pt idx="76">
                  <c:v>-410112</c:v>
                </c:pt>
                <c:pt idx="77">
                  <c:v>-406512</c:v>
                </c:pt>
                <c:pt idx="78">
                  <c:v>-489312</c:v>
                </c:pt>
                <c:pt idx="79">
                  <c:v>-496512</c:v>
                </c:pt>
                <c:pt idx="80">
                  <c:v>-460512</c:v>
                </c:pt>
                <c:pt idx="81">
                  <c:v>-618912</c:v>
                </c:pt>
                <c:pt idx="82">
                  <c:v>-698112</c:v>
                </c:pt>
                <c:pt idx="83">
                  <c:v>-687312</c:v>
                </c:pt>
                <c:pt idx="84">
                  <c:v>-665712</c:v>
                </c:pt>
                <c:pt idx="85">
                  <c:v>-694512</c:v>
                </c:pt>
                <c:pt idx="86">
                  <c:v>-741168</c:v>
                </c:pt>
                <c:pt idx="87">
                  <c:v>-730368</c:v>
                </c:pt>
                <c:pt idx="88">
                  <c:v>-777168</c:v>
                </c:pt>
                <c:pt idx="89">
                  <c:v>-701568</c:v>
                </c:pt>
                <c:pt idx="90">
                  <c:v>-751968</c:v>
                </c:pt>
                <c:pt idx="91">
                  <c:v>-748368</c:v>
                </c:pt>
                <c:pt idx="92">
                  <c:v>-787968</c:v>
                </c:pt>
                <c:pt idx="93">
                  <c:v>-733968</c:v>
                </c:pt>
                <c:pt idx="94">
                  <c:v>-759168</c:v>
                </c:pt>
                <c:pt idx="95">
                  <c:v>-665568</c:v>
                </c:pt>
                <c:pt idx="96">
                  <c:v>-708768</c:v>
                </c:pt>
                <c:pt idx="97">
                  <c:v>-629568</c:v>
                </c:pt>
                <c:pt idx="98">
                  <c:v>-748368</c:v>
                </c:pt>
                <c:pt idx="99">
                  <c:v>-777168</c:v>
                </c:pt>
                <c:pt idx="100">
                  <c:v>-705168</c:v>
                </c:pt>
                <c:pt idx="101">
                  <c:v>-762768</c:v>
                </c:pt>
                <c:pt idx="102">
                  <c:v>-773568</c:v>
                </c:pt>
                <c:pt idx="103">
                  <c:v>-859968</c:v>
                </c:pt>
                <c:pt idx="104">
                  <c:v>-917568</c:v>
                </c:pt>
                <c:pt idx="105">
                  <c:v>-863568</c:v>
                </c:pt>
                <c:pt idx="106">
                  <c:v>-910368</c:v>
                </c:pt>
                <c:pt idx="107">
                  <c:v>-888768</c:v>
                </c:pt>
                <c:pt idx="108">
                  <c:v>-784368</c:v>
                </c:pt>
                <c:pt idx="109">
                  <c:v>-809568</c:v>
                </c:pt>
                <c:pt idx="110">
                  <c:v>-723168</c:v>
                </c:pt>
                <c:pt idx="111">
                  <c:v>-769968</c:v>
                </c:pt>
                <c:pt idx="112">
                  <c:v>-708768</c:v>
                </c:pt>
                <c:pt idx="113">
                  <c:v>-697968</c:v>
                </c:pt>
                <c:pt idx="114">
                  <c:v>-784368</c:v>
                </c:pt>
                <c:pt idx="115">
                  <c:v>-841968</c:v>
                </c:pt>
                <c:pt idx="116">
                  <c:v>-870768</c:v>
                </c:pt>
                <c:pt idx="117">
                  <c:v>-949968</c:v>
                </c:pt>
                <c:pt idx="118">
                  <c:v>-895968</c:v>
                </c:pt>
                <c:pt idx="119">
                  <c:v>-802368</c:v>
                </c:pt>
                <c:pt idx="120">
                  <c:v>-787968</c:v>
                </c:pt>
                <c:pt idx="121">
                  <c:v>-852768</c:v>
                </c:pt>
                <c:pt idx="122">
                  <c:v>-798768</c:v>
                </c:pt>
                <c:pt idx="123">
                  <c:v>-676368</c:v>
                </c:pt>
                <c:pt idx="124">
                  <c:v>-665568</c:v>
                </c:pt>
                <c:pt idx="125">
                  <c:v>-543168</c:v>
                </c:pt>
                <c:pt idx="126">
                  <c:v>-381168</c:v>
                </c:pt>
                <c:pt idx="127">
                  <c:v>-363168</c:v>
                </c:pt>
                <c:pt idx="128">
                  <c:v>-10368</c:v>
                </c:pt>
                <c:pt idx="129">
                  <c:v>-42624</c:v>
                </c:pt>
                <c:pt idx="130">
                  <c:v>137376</c:v>
                </c:pt>
                <c:pt idx="131">
                  <c:v>122976</c:v>
                </c:pt>
                <c:pt idx="132">
                  <c:v>104976</c:v>
                </c:pt>
                <c:pt idx="133">
                  <c:v>36576</c:v>
                </c:pt>
                <c:pt idx="134">
                  <c:v>68976</c:v>
                </c:pt>
                <c:pt idx="135">
                  <c:v>173376</c:v>
                </c:pt>
                <c:pt idx="136">
                  <c:v>230976</c:v>
                </c:pt>
                <c:pt idx="137">
                  <c:v>324576</c:v>
                </c:pt>
                <c:pt idx="138">
                  <c:v>184176</c:v>
                </c:pt>
                <c:pt idx="139">
                  <c:v>126576</c:v>
                </c:pt>
                <c:pt idx="140">
                  <c:v>173376</c:v>
                </c:pt>
                <c:pt idx="141">
                  <c:v>18576</c:v>
                </c:pt>
                <c:pt idx="142">
                  <c:v>-179424</c:v>
                </c:pt>
                <c:pt idx="143">
                  <c:v>-161424</c:v>
                </c:pt>
                <c:pt idx="144">
                  <c:v>-237024</c:v>
                </c:pt>
                <c:pt idx="145">
                  <c:v>-255024</c:v>
                </c:pt>
                <c:pt idx="146">
                  <c:v>-345024</c:v>
                </c:pt>
                <c:pt idx="147">
                  <c:v>-600624</c:v>
                </c:pt>
                <c:pt idx="148">
                  <c:v>-687024</c:v>
                </c:pt>
                <c:pt idx="149">
                  <c:v>-715824</c:v>
                </c:pt>
                <c:pt idx="150">
                  <c:v>-687024</c:v>
                </c:pt>
                <c:pt idx="151">
                  <c:v>-636624</c:v>
                </c:pt>
                <c:pt idx="152">
                  <c:v>-723024</c:v>
                </c:pt>
                <c:pt idx="153">
                  <c:v>-744624</c:v>
                </c:pt>
                <c:pt idx="154">
                  <c:v>-672624</c:v>
                </c:pt>
                <c:pt idx="155">
                  <c:v>-683424</c:v>
                </c:pt>
                <c:pt idx="156">
                  <c:v>-661824</c:v>
                </c:pt>
                <c:pt idx="157">
                  <c:v>-463824</c:v>
                </c:pt>
                <c:pt idx="158">
                  <c:v>-553824</c:v>
                </c:pt>
                <c:pt idx="159">
                  <c:v>-885024</c:v>
                </c:pt>
                <c:pt idx="160">
                  <c:v>-823824</c:v>
                </c:pt>
                <c:pt idx="161">
                  <c:v>-805824</c:v>
                </c:pt>
                <c:pt idx="162">
                  <c:v>-791424</c:v>
                </c:pt>
                <c:pt idx="163">
                  <c:v>-759024</c:v>
                </c:pt>
                <c:pt idx="164">
                  <c:v>-741024</c:v>
                </c:pt>
                <c:pt idx="165">
                  <c:v>-694224</c:v>
                </c:pt>
                <c:pt idx="166">
                  <c:v>-773424</c:v>
                </c:pt>
                <c:pt idx="167">
                  <c:v>-726624</c:v>
                </c:pt>
                <c:pt idx="168">
                  <c:v>-780624</c:v>
                </c:pt>
                <c:pt idx="169">
                  <c:v>-816624</c:v>
                </c:pt>
                <c:pt idx="170">
                  <c:v>-820224</c:v>
                </c:pt>
                <c:pt idx="171">
                  <c:v>-791424</c:v>
                </c:pt>
                <c:pt idx="172">
                  <c:v>-816624</c:v>
                </c:pt>
                <c:pt idx="173">
                  <c:v>-892080</c:v>
                </c:pt>
                <c:pt idx="174">
                  <c:v>-938880</c:v>
                </c:pt>
                <c:pt idx="175">
                  <c:v>-996480</c:v>
                </c:pt>
                <c:pt idx="176">
                  <c:v>-974880</c:v>
                </c:pt>
                <c:pt idx="177">
                  <c:v>-982080</c:v>
                </c:pt>
                <c:pt idx="178">
                  <c:v>-931680</c:v>
                </c:pt>
                <c:pt idx="179">
                  <c:v>-888480</c:v>
                </c:pt>
                <c:pt idx="180">
                  <c:v>-816480</c:v>
                </c:pt>
                <c:pt idx="181">
                  <c:v>-676080</c:v>
                </c:pt>
                <c:pt idx="182">
                  <c:v>-542880</c:v>
                </c:pt>
                <c:pt idx="183">
                  <c:v>-571680</c:v>
                </c:pt>
                <c:pt idx="184">
                  <c:v>-643680</c:v>
                </c:pt>
                <c:pt idx="185">
                  <c:v>-708480</c:v>
                </c:pt>
                <c:pt idx="186">
                  <c:v>-758880</c:v>
                </c:pt>
                <c:pt idx="187">
                  <c:v>-672480</c:v>
                </c:pt>
                <c:pt idx="188">
                  <c:v>-733680</c:v>
                </c:pt>
                <c:pt idx="189">
                  <c:v>-697680</c:v>
                </c:pt>
                <c:pt idx="190">
                  <c:v>-722880</c:v>
                </c:pt>
                <c:pt idx="191">
                  <c:v>-614880</c:v>
                </c:pt>
                <c:pt idx="192">
                  <c:v>-643680</c:v>
                </c:pt>
                <c:pt idx="193">
                  <c:v>-607680</c:v>
                </c:pt>
                <c:pt idx="194">
                  <c:v>-654480</c:v>
                </c:pt>
                <c:pt idx="195">
                  <c:v>-586080</c:v>
                </c:pt>
                <c:pt idx="196">
                  <c:v>-586080</c:v>
                </c:pt>
                <c:pt idx="197">
                  <c:v>-546480</c:v>
                </c:pt>
                <c:pt idx="198">
                  <c:v>-478080</c:v>
                </c:pt>
                <c:pt idx="199">
                  <c:v>-503280</c:v>
                </c:pt>
                <c:pt idx="200">
                  <c:v>-560880</c:v>
                </c:pt>
                <c:pt idx="201">
                  <c:v>-654480</c:v>
                </c:pt>
                <c:pt idx="202">
                  <c:v>-715680</c:v>
                </c:pt>
                <c:pt idx="203">
                  <c:v>-672480</c:v>
                </c:pt>
                <c:pt idx="204">
                  <c:v>-744480</c:v>
                </c:pt>
                <c:pt idx="205">
                  <c:v>-794880</c:v>
                </c:pt>
                <c:pt idx="206">
                  <c:v>-787680</c:v>
                </c:pt>
                <c:pt idx="207">
                  <c:v>-823680</c:v>
                </c:pt>
                <c:pt idx="208">
                  <c:v>-802080</c:v>
                </c:pt>
                <c:pt idx="209">
                  <c:v>-726480</c:v>
                </c:pt>
                <c:pt idx="210">
                  <c:v>-744480</c:v>
                </c:pt>
                <c:pt idx="211">
                  <c:v>-758880</c:v>
                </c:pt>
                <c:pt idx="212">
                  <c:v>-672480</c:v>
                </c:pt>
                <c:pt idx="213">
                  <c:v>-712080</c:v>
                </c:pt>
                <c:pt idx="214">
                  <c:v>-787680</c:v>
                </c:pt>
                <c:pt idx="215">
                  <c:v>-740880</c:v>
                </c:pt>
                <c:pt idx="216">
                  <c:v>-701280</c:v>
                </c:pt>
                <c:pt idx="217">
                  <c:v>-780480</c:v>
                </c:pt>
                <c:pt idx="218">
                  <c:v>-737280</c:v>
                </c:pt>
                <c:pt idx="219">
                  <c:v>-683280</c:v>
                </c:pt>
                <c:pt idx="220">
                  <c:v>-794880</c:v>
                </c:pt>
                <c:pt idx="221">
                  <c:v>-827280</c:v>
                </c:pt>
                <c:pt idx="222">
                  <c:v>-892080</c:v>
                </c:pt>
                <c:pt idx="223">
                  <c:v>-1043280</c:v>
                </c:pt>
                <c:pt idx="224">
                  <c:v>-996480</c:v>
                </c:pt>
                <c:pt idx="225">
                  <c:v>-1000080</c:v>
                </c:pt>
                <c:pt idx="226">
                  <c:v>-1032480</c:v>
                </c:pt>
                <c:pt idx="227">
                  <c:v>-1036080</c:v>
                </c:pt>
                <c:pt idx="228">
                  <c:v>-1018080</c:v>
                </c:pt>
                <c:pt idx="229">
                  <c:v>-996480</c:v>
                </c:pt>
                <c:pt idx="230">
                  <c:v>-964080</c:v>
                </c:pt>
                <c:pt idx="231">
                  <c:v>-967680</c:v>
                </c:pt>
                <c:pt idx="232">
                  <c:v>-931680</c:v>
                </c:pt>
                <c:pt idx="233">
                  <c:v>-971280</c:v>
                </c:pt>
                <c:pt idx="234">
                  <c:v>-946080</c:v>
                </c:pt>
                <c:pt idx="235">
                  <c:v>-938880</c:v>
                </c:pt>
                <c:pt idx="236">
                  <c:v>-1007280</c:v>
                </c:pt>
                <c:pt idx="237">
                  <c:v>-946080</c:v>
                </c:pt>
                <c:pt idx="238">
                  <c:v>-920736</c:v>
                </c:pt>
                <c:pt idx="239">
                  <c:v>-960336</c:v>
                </c:pt>
                <c:pt idx="240">
                  <c:v>-870336</c:v>
                </c:pt>
                <c:pt idx="241">
                  <c:v>-819936</c:v>
                </c:pt>
                <c:pt idx="242">
                  <c:v>-920736</c:v>
                </c:pt>
                <c:pt idx="243">
                  <c:v>-917136</c:v>
                </c:pt>
                <c:pt idx="244">
                  <c:v>-924336</c:v>
                </c:pt>
                <c:pt idx="245">
                  <c:v>-848736</c:v>
                </c:pt>
                <c:pt idx="246">
                  <c:v>-899136</c:v>
                </c:pt>
                <c:pt idx="247">
                  <c:v>-848736</c:v>
                </c:pt>
                <c:pt idx="248">
                  <c:v>-845136</c:v>
                </c:pt>
                <c:pt idx="249">
                  <c:v>-971136</c:v>
                </c:pt>
                <c:pt idx="250">
                  <c:v>-924336</c:v>
                </c:pt>
                <c:pt idx="251">
                  <c:v>-906336</c:v>
                </c:pt>
                <c:pt idx="252">
                  <c:v>-949536</c:v>
                </c:pt>
                <c:pt idx="253">
                  <c:v>-1021536</c:v>
                </c:pt>
                <c:pt idx="254">
                  <c:v>-1035936</c:v>
                </c:pt>
                <c:pt idx="255">
                  <c:v>-1050336</c:v>
                </c:pt>
                <c:pt idx="256">
                  <c:v>-1064736</c:v>
                </c:pt>
                <c:pt idx="257">
                  <c:v>-1104336</c:v>
                </c:pt>
                <c:pt idx="258">
                  <c:v>-1089936</c:v>
                </c:pt>
                <c:pt idx="259">
                  <c:v>-1125936</c:v>
                </c:pt>
                <c:pt idx="260">
                  <c:v>-1136736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61"/>
                <c:pt idx="0">
                  <c:v>0</c:v>
                </c:pt>
                <c:pt idx="1">
                  <c:v>39600</c:v>
                </c:pt>
                <c:pt idx="2">
                  <c:v>-104400</c:v>
                </c:pt>
                <c:pt idx="3">
                  <c:v>-93600</c:v>
                </c:pt>
                <c:pt idx="4">
                  <c:v>25200</c:v>
                </c:pt>
                <c:pt idx="5">
                  <c:v>54000</c:v>
                </c:pt>
                <c:pt idx="6">
                  <c:v>-36000</c:v>
                </c:pt>
                <c:pt idx="7">
                  <c:v>-64800</c:v>
                </c:pt>
                <c:pt idx="8">
                  <c:v>172800</c:v>
                </c:pt>
                <c:pt idx="9">
                  <c:v>266400</c:v>
                </c:pt>
                <c:pt idx="10">
                  <c:v>288000</c:v>
                </c:pt>
                <c:pt idx="11">
                  <c:v>162000</c:v>
                </c:pt>
                <c:pt idx="12">
                  <c:v>162000</c:v>
                </c:pt>
                <c:pt idx="13">
                  <c:v>126000</c:v>
                </c:pt>
                <c:pt idx="14">
                  <c:v>151200</c:v>
                </c:pt>
                <c:pt idx="15">
                  <c:v>208800</c:v>
                </c:pt>
                <c:pt idx="16">
                  <c:v>183600</c:v>
                </c:pt>
                <c:pt idx="17">
                  <c:v>198000</c:v>
                </c:pt>
                <c:pt idx="18">
                  <c:v>223200</c:v>
                </c:pt>
                <c:pt idx="19">
                  <c:v>316800</c:v>
                </c:pt>
                <c:pt idx="20">
                  <c:v>403200</c:v>
                </c:pt>
                <c:pt idx="21">
                  <c:v>406800</c:v>
                </c:pt>
                <c:pt idx="22">
                  <c:v>403056</c:v>
                </c:pt>
                <c:pt idx="23">
                  <c:v>179856</c:v>
                </c:pt>
                <c:pt idx="24">
                  <c:v>255456</c:v>
                </c:pt>
                <c:pt idx="25">
                  <c:v>212256</c:v>
                </c:pt>
                <c:pt idx="26">
                  <c:v>230256</c:v>
                </c:pt>
                <c:pt idx="27">
                  <c:v>115056</c:v>
                </c:pt>
                <c:pt idx="28">
                  <c:v>165456</c:v>
                </c:pt>
                <c:pt idx="29">
                  <c:v>165456</c:v>
                </c:pt>
                <c:pt idx="30">
                  <c:v>226656</c:v>
                </c:pt>
                <c:pt idx="31">
                  <c:v>190656</c:v>
                </c:pt>
                <c:pt idx="32">
                  <c:v>161856</c:v>
                </c:pt>
                <c:pt idx="33">
                  <c:v>140256</c:v>
                </c:pt>
                <c:pt idx="34">
                  <c:v>215856</c:v>
                </c:pt>
                <c:pt idx="35">
                  <c:v>143856</c:v>
                </c:pt>
                <c:pt idx="36">
                  <c:v>215856</c:v>
                </c:pt>
                <c:pt idx="37">
                  <c:v>277056</c:v>
                </c:pt>
                <c:pt idx="38">
                  <c:v>291456</c:v>
                </c:pt>
                <c:pt idx="39">
                  <c:v>370656</c:v>
                </c:pt>
                <c:pt idx="40">
                  <c:v>262656</c:v>
                </c:pt>
                <c:pt idx="41">
                  <c:v>158256</c:v>
                </c:pt>
                <c:pt idx="42">
                  <c:v>273312</c:v>
                </c:pt>
                <c:pt idx="43">
                  <c:v>244512</c:v>
                </c:pt>
                <c:pt idx="44">
                  <c:v>251712</c:v>
                </c:pt>
                <c:pt idx="45">
                  <c:v>233712</c:v>
                </c:pt>
                <c:pt idx="46">
                  <c:v>338112</c:v>
                </c:pt>
                <c:pt idx="47">
                  <c:v>255312</c:v>
                </c:pt>
                <c:pt idx="48">
                  <c:v>294912</c:v>
                </c:pt>
                <c:pt idx="49">
                  <c:v>226512</c:v>
                </c:pt>
                <c:pt idx="50">
                  <c:v>255312</c:v>
                </c:pt>
                <c:pt idx="51">
                  <c:v>374112</c:v>
                </c:pt>
                <c:pt idx="52">
                  <c:v>410112</c:v>
                </c:pt>
                <c:pt idx="53">
                  <c:v>525312</c:v>
                </c:pt>
                <c:pt idx="54">
                  <c:v>496512</c:v>
                </c:pt>
                <c:pt idx="55">
                  <c:v>496512</c:v>
                </c:pt>
                <c:pt idx="56">
                  <c:v>302112</c:v>
                </c:pt>
                <c:pt idx="57">
                  <c:v>233712</c:v>
                </c:pt>
                <c:pt idx="58">
                  <c:v>204912</c:v>
                </c:pt>
                <c:pt idx="59">
                  <c:v>168912</c:v>
                </c:pt>
                <c:pt idx="60">
                  <c:v>230112</c:v>
                </c:pt>
                <c:pt idx="61">
                  <c:v>233712</c:v>
                </c:pt>
                <c:pt idx="62">
                  <c:v>190512</c:v>
                </c:pt>
                <c:pt idx="63">
                  <c:v>435312</c:v>
                </c:pt>
                <c:pt idx="64">
                  <c:v>370512</c:v>
                </c:pt>
                <c:pt idx="65">
                  <c:v>287712</c:v>
                </c:pt>
                <c:pt idx="66">
                  <c:v>255312</c:v>
                </c:pt>
                <c:pt idx="67">
                  <c:v>312912</c:v>
                </c:pt>
                <c:pt idx="68">
                  <c:v>348912</c:v>
                </c:pt>
                <c:pt idx="69">
                  <c:v>417312</c:v>
                </c:pt>
                <c:pt idx="70">
                  <c:v>410112</c:v>
                </c:pt>
                <c:pt idx="71">
                  <c:v>446112</c:v>
                </c:pt>
                <c:pt idx="72">
                  <c:v>507312</c:v>
                </c:pt>
                <c:pt idx="73">
                  <c:v>471312</c:v>
                </c:pt>
                <c:pt idx="74">
                  <c:v>456912</c:v>
                </c:pt>
                <c:pt idx="75">
                  <c:v>424512</c:v>
                </c:pt>
                <c:pt idx="76">
                  <c:v>410112</c:v>
                </c:pt>
                <c:pt idx="77">
                  <c:v>406512</c:v>
                </c:pt>
                <c:pt idx="78">
                  <c:v>489312</c:v>
                </c:pt>
                <c:pt idx="79">
                  <c:v>496512</c:v>
                </c:pt>
                <c:pt idx="80">
                  <c:v>460512</c:v>
                </c:pt>
                <c:pt idx="81">
                  <c:v>618912</c:v>
                </c:pt>
                <c:pt idx="82">
                  <c:v>698112</c:v>
                </c:pt>
                <c:pt idx="83">
                  <c:v>687312</c:v>
                </c:pt>
                <c:pt idx="84">
                  <c:v>665712</c:v>
                </c:pt>
                <c:pt idx="85">
                  <c:v>694512</c:v>
                </c:pt>
                <c:pt idx="86">
                  <c:v>741168</c:v>
                </c:pt>
                <c:pt idx="87">
                  <c:v>730368</c:v>
                </c:pt>
                <c:pt idx="88">
                  <c:v>777168</c:v>
                </c:pt>
                <c:pt idx="89">
                  <c:v>701568</c:v>
                </c:pt>
                <c:pt idx="90">
                  <c:v>751968</c:v>
                </c:pt>
                <c:pt idx="91">
                  <c:v>748368</c:v>
                </c:pt>
                <c:pt idx="92">
                  <c:v>787968</c:v>
                </c:pt>
                <c:pt idx="93">
                  <c:v>733968</c:v>
                </c:pt>
                <c:pt idx="94">
                  <c:v>759168</c:v>
                </c:pt>
                <c:pt idx="95">
                  <c:v>665568</c:v>
                </c:pt>
                <c:pt idx="96">
                  <c:v>708768</c:v>
                </c:pt>
                <c:pt idx="97">
                  <c:v>629568</c:v>
                </c:pt>
                <c:pt idx="98">
                  <c:v>748368</c:v>
                </c:pt>
                <c:pt idx="99">
                  <c:v>777168</c:v>
                </c:pt>
                <c:pt idx="100">
                  <c:v>705168</c:v>
                </c:pt>
                <c:pt idx="101">
                  <c:v>762768</c:v>
                </c:pt>
                <c:pt idx="102">
                  <c:v>773568</c:v>
                </c:pt>
                <c:pt idx="103">
                  <c:v>859968</c:v>
                </c:pt>
                <c:pt idx="104">
                  <c:v>917568</c:v>
                </c:pt>
                <c:pt idx="105">
                  <c:v>863568</c:v>
                </c:pt>
                <c:pt idx="106">
                  <c:v>910368</c:v>
                </c:pt>
                <c:pt idx="107">
                  <c:v>888768</c:v>
                </c:pt>
                <c:pt idx="108">
                  <c:v>784368</c:v>
                </c:pt>
                <c:pt idx="109">
                  <c:v>809568</c:v>
                </c:pt>
                <c:pt idx="110">
                  <c:v>723168</c:v>
                </c:pt>
                <c:pt idx="111">
                  <c:v>769968</c:v>
                </c:pt>
                <c:pt idx="112">
                  <c:v>708768</c:v>
                </c:pt>
                <c:pt idx="113">
                  <c:v>697968</c:v>
                </c:pt>
                <c:pt idx="114">
                  <c:v>784368</c:v>
                </c:pt>
                <c:pt idx="115">
                  <c:v>841968</c:v>
                </c:pt>
                <c:pt idx="116">
                  <c:v>870768</c:v>
                </c:pt>
                <c:pt idx="117">
                  <c:v>949968</c:v>
                </c:pt>
                <c:pt idx="118">
                  <c:v>895968</c:v>
                </c:pt>
                <c:pt idx="119">
                  <c:v>802368</c:v>
                </c:pt>
                <c:pt idx="120">
                  <c:v>787968</c:v>
                </c:pt>
                <c:pt idx="121">
                  <c:v>852768</c:v>
                </c:pt>
                <c:pt idx="122">
                  <c:v>798768</c:v>
                </c:pt>
                <c:pt idx="123">
                  <c:v>676368</c:v>
                </c:pt>
                <c:pt idx="124">
                  <c:v>665568</c:v>
                </c:pt>
                <c:pt idx="125">
                  <c:v>543168</c:v>
                </c:pt>
                <c:pt idx="126">
                  <c:v>381168</c:v>
                </c:pt>
                <c:pt idx="127">
                  <c:v>363168</c:v>
                </c:pt>
                <c:pt idx="128">
                  <c:v>10368</c:v>
                </c:pt>
                <c:pt idx="129">
                  <c:v>42624</c:v>
                </c:pt>
                <c:pt idx="130">
                  <c:v>-137376</c:v>
                </c:pt>
                <c:pt idx="131">
                  <c:v>-122976</c:v>
                </c:pt>
                <c:pt idx="132">
                  <c:v>-104976</c:v>
                </c:pt>
                <c:pt idx="133">
                  <c:v>-36576</c:v>
                </c:pt>
                <c:pt idx="134">
                  <c:v>-68976</c:v>
                </c:pt>
                <c:pt idx="135">
                  <c:v>-173376</c:v>
                </c:pt>
                <c:pt idx="136">
                  <c:v>-230976</c:v>
                </c:pt>
                <c:pt idx="137">
                  <c:v>-324576</c:v>
                </c:pt>
                <c:pt idx="138">
                  <c:v>-184176</c:v>
                </c:pt>
                <c:pt idx="139">
                  <c:v>-126576</c:v>
                </c:pt>
                <c:pt idx="140">
                  <c:v>-173376</c:v>
                </c:pt>
                <c:pt idx="141">
                  <c:v>-18576</c:v>
                </c:pt>
                <c:pt idx="142">
                  <c:v>179424</c:v>
                </c:pt>
                <c:pt idx="143">
                  <c:v>161424</c:v>
                </c:pt>
                <c:pt idx="144">
                  <c:v>237024</c:v>
                </c:pt>
                <c:pt idx="145">
                  <c:v>255024</c:v>
                </c:pt>
                <c:pt idx="146">
                  <c:v>345024</c:v>
                </c:pt>
                <c:pt idx="147">
                  <c:v>600624</c:v>
                </c:pt>
                <c:pt idx="148">
                  <c:v>687024</c:v>
                </c:pt>
                <c:pt idx="149">
                  <c:v>715824</c:v>
                </c:pt>
                <c:pt idx="150">
                  <c:v>687024</c:v>
                </c:pt>
                <c:pt idx="151">
                  <c:v>636624</c:v>
                </c:pt>
                <c:pt idx="152">
                  <c:v>723024</c:v>
                </c:pt>
                <c:pt idx="153">
                  <c:v>744624</c:v>
                </c:pt>
                <c:pt idx="154">
                  <c:v>672624</c:v>
                </c:pt>
                <c:pt idx="155">
                  <c:v>683424</c:v>
                </c:pt>
                <c:pt idx="156">
                  <c:v>661824</c:v>
                </c:pt>
                <c:pt idx="157">
                  <c:v>463824</c:v>
                </c:pt>
                <c:pt idx="158">
                  <c:v>553824</c:v>
                </c:pt>
                <c:pt idx="159">
                  <c:v>885024</c:v>
                </c:pt>
                <c:pt idx="160">
                  <c:v>823824</c:v>
                </c:pt>
                <c:pt idx="161">
                  <c:v>805824</c:v>
                </c:pt>
                <c:pt idx="162">
                  <c:v>791424</c:v>
                </c:pt>
                <c:pt idx="163">
                  <c:v>759024</c:v>
                </c:pt>
                <c:pt idx="164">
                  <c:v>741024</c:v>
                </c:pt>
                <c:pt idx="165">
                  <c:v>694224</c:v>
                </c:pt>
                <c:pt idx="166">
                  <c:v>773424</c:v>
                </c:pt>
                <c:pt idx="167">
                  <c:v>726624</c:v>
                </c:pt>
                <c:pt idx="168">
                  <c:v>780624</c:v>
                </c:pt>
                <c:pt idx="169">
                  <c:v>816624</c:v>
                </c:pt>
                <c:pt idx="170">
                  <c:v>820224</c:v>
                </c:pt>
                <c:pt idx="171">
                  <c:v>791424</c:v>
                </c:pt>
                <c:pt idx="172">
                  <c:v>816624</c:v>
                </c:pt>
                <c:pt idx="173">
                  <c:v>892080</c:v>
                </c:pt>
                <c:pt idx="174">
                  <c:v>938880</c:v>
                </c:pt>
                <c:pt idx="175">
                  <c:v>996480</c:v>
                </c:pt>
                <c:pt idx="176">
                  <c:v>974880</c:v>
                </c:pt>
                <c:pt idx="177">
                  <c:v>982080</c:v>
                </c:pt>
                <c:pt idx="178">
                  <c:v>931680</c:v>
                </c:pt>
                <c:pt idx="179">
                  <c:v>888480</c:v>
                </c:pt>
                <c:pt idx="180">
                  <c:v>816480</c:v>
                </c:pt>
                <c:pt idx="181">
                  <c:v>676080</c:v>
                </c:pt>
                <c:pt idx="182">
                  <c:v>542880</c:v>
                </c:pt>
                <c:pt idx="183">
                  <c:v>571680</c:v>
                </c:pt>
                <c:pt idx="184">
                  <c:v>643680</c:v>
                </c:pt>
                <c:pt idx="185">
                  <c:v>708480</c:v>
                </c:pt>
                <c:pt idx="186">
                  <c:v>758880</c:v>
                </c:pt>
                <c:pt idx="187">
                  <c:v>672480</c:v>
                </c:pt>
                <c:pt idx="188">
                  <c:v>733680</c:v>
                </c:pt>
                <c:pt idx="189">
                  <c:v>697680</c:v>
                </c:pt>
                <c:pt idx="190">
                  <c:v>722880</c:v>
                </c:pt>
                <c:pt idx="191">
                  <c:v>614880</c:v>
                </c:pt>
                <c:pt idx="192">
                  <c:v>643680</c:v>
                </c:pt>
                <c:pt idx="193">
                  <c:v>607680</c:v>
                </c:pt>
                <c:pt idx="194">
                  <c:v>654480</c:v>
                </c:pt>
                <c:pt idx="195">
                  <c:v>586080</c:v>
                </c:pt>
                <c:pt idx="196">
                  <c:v>586080</c:v>
                </c:pt>
                <c:pt idx="197">
                  <c:v>546480</c:v>
                </c:pt>
                <c:pt idx="198">
                  <c:v>478080</c:v>
                </c:pt>
                <c:pt idx="199">
                  <c:v>503280</c:v>
                </c:pt>
                <c:pt idx="200">
                  <c:v>560880</c:v>
                </c:pt>
                <c:pt idx="201">
                  <c:v>654480</c:v>
                </c:pt>
                <c:pt idx="202">
                  <c:v>715680</c:v>
                </c:pt>
                <c:pt idx="203">
                  <c:v>672480</c:v>
                </c:pt>
                <c:pt idx="204">
                  <c:v>744480</c:v>
                </c:pt>
                <c:pt idx="205">
                  <c:v>794880</c:v>
                </c:pt>
                <c:pt idx="206">
                  <c:v>787680</c:v>
                </c:pt>
                <c:pt idx="207">
                  <c:v>823680</c:v>
                </c:pt>
                <c:pt idx="208">
                  <c:v>802080</c:v>
                </c:pt>
                <c:pt idx="209">
                  <c:v>726480</c:v>
                </c:pt>
                <c:pt idx="210">
                  <c:v>744480</c:v>
                </c:pt>
                <c:pt idx="211">
                  <c:v>758880</c:v>
                </c:pt>
                <c:pt idx="212">
                  <c:v>672480</c:v>
                </c:pt>
                <c:pt idx="213">
                  <c:v>712080</c:v>
                </c:pt>
                <c:pt idx="214">
                  <c:v>787680</c:v>
                </c:pt>
                <c:pt idx="215">
                  <c:v>740880</c:v>
                </c:pt>
                <c:pt idx="216">
                  <c:v>701280</c:v>
                </c:pt>
                <c:pt idx="217">
                  <c:v>780480</c:v>
                </c:pt>
                <c:pt idx="218">
                  <c:v>737280</c:v>
                </c:pt>
                <c:pt idx="219">
                  <c:v>683280</c:v>
                </c:pt>
                <c:pt idx="220">
                  <c:v>794880</c:v>
                </c:pt>
                <c:pt idx="221">
                  <c:v>827280</c:v>
                </c:pt>
                <c:pt idx="222">
                  <c:v>892080</c:v>
                </c:pt>
                <c:pt idx="223">
                  <c:v>1043280</c:v>
                </c:pt>
                <c:pt idx="224">
                  <c:v>996480</c:v>
                </c:pt>
                <c:pt idx="225">
                  <c:v>1000080</c:v>
                </c:pt>
                <c:pt idx="226">
                  <c:v>1032480</c:v>
                </c:pt>
                <c:pt idx="227">
                  <c:v>1036080</c:v>
                </c:pt>
                <c:pt idx="228">
                  <c:v>1018080</c:v>
                </c:pt>
                <c:pt idx="229">
                  <c:v>996480</c:v>
                </c:pt>
                <c:pt idx="230">
                  <c:v>964080</c:v>
                </c:pt>
                <c:pt idx="231">
                  <c:v>967680</c:v>
                </c:pt>
                <c:pt idx="232">
                  <c:v>931680</c:v>
                </c:pt>
                <c:pt idx="233">
                  <c:v>971280</c:v>
                </c:pt>
                <c:pt idx="234">
                  <c:v>946080</c:v>
                </c:pt>
                <c:pt idx="235">
                  <c:v>938880</c:v>
                </c:pt>
                <c:pt idx="236">
                  <c:v>1007280</c:v>
                </c:pt>
                <c:pt idx="237">
                  <c:v>946080</c:v>
                </c:pt>
                <c:pt idx="238">
                  <c:v>920736</c:v>
                </c:pt>
                <c:pt idx="239">
                  <c:v>960336</c:v>
                </c:pt>
                <c:pt idx="240">
                  <c:v>870336</c:v>
                </c:pt>
                <c:pt idx="241">
                  <c:v>819936</c:v>
                </c:pt>
                <c:pt idx="242">
                  <c:v>920736</c:v>
                </c:pt>
                <c:pt idx="243">
                  <c:v>917136</c:v>
                </c:pt>
                <c:pt idx="244">
                  <c:v>924336</c:v>
                </c:pt>
                <c:pt idx="245">
                  <c:v>848736</c:v>
                </c:pt>
                <c:pt idx="246">
                  <c:v>899136</c:v>
                </c:pt>
                <c:pt idx="247">
                  <c:v>848736</c:v>
                </c:pt>
                <c:pt idx="248">
                  <c:v>845136</c:v>
                </c:pt>
                <c:pt idx="249">
                  <c:v>971136</c:v>
                </c:pt>
                <c:pt idx="250">
                  <c:v>924336</c:v>
                </c:pt>
                <c:pt idx="251">
                  <c:v>906336</c:v>
                </c:pt>
                <c:pt idx="252">
                  <c:v>949536</c:v>
                </c:pt>
                <c:pt idx="253">
                  <c:v>1021536</c:v>
                </c:pt>
                <c:pt idx="254">
                  <c:v>1035936</c:v>
                </c:pt>
                <c:pt idx="255">
                  <c:v>1050336</c:v>
                </c:pt>
                <c:pt idx="256">
                  <c:v>1064736</c:v>
                </c:pt>
                <c:pt idx="257">
                  <c:v>1104336</c:v>
                </c:pt>
                <c:pt idx="258">
                  <c:v>1089936</c:v>
                </c:pt>
                <c:pt idx="259">
                  <c:v>1125936</c:v>
                </c:pt>
                <c:pt idx="260">
                  <c:v>1136736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61"/>
                <c:pt idx="0">
                  <c:v>0</c:v>
                </c:pt>
                <c:pt idx="1">
                  <c:v>1750</c:v>
                </c:pt>
                <c:pt idx="2">
                  <c:v>12880</c:v>
                </c:pt>
                <c:pt idx="3">
                  <c:v>9380</c:v>
                </c:pt>
                <c:pt idx="4">
                  <c:v>-23380</c:v>
                </c:pt>
                <c:pt idx="5">
                  <c:v>-30380</c:v>
                </c:pt>
                <c:pt idx="6">
                  <c:v>-39060</c:v>
                </c:pt>
                <c:pt idx="7">
                  <c:v>-37695</c:v>
                </c:pt>
                <c:pt idx="8">
                  <c:v>-45710</c:v>
                </c:pt>
                <c:pt idx="9">
                  <c:v>-19740</c:v>
                </c:pt>
                <c:pt idx="10">
                  <c:v>-22820</c:v>
                </c:pt>
                <c:pt idx="11">
                  <c:v>-26250</c:v>
                </c:pt>
                <c:pt idx="12">
                  <c:v>-22330</c:v>
                </c:pt>
                <c:pt idx="13">
                  <c:v>-25725</c:v>
                </c:pt>
                <c:pt idx="14">
                  <c:v>-35245</c:v>
                </c:pt>
                <c:pt idx="15">
                  <c:v>-50575</c:v>
                </c:pt>
                <c:pt idx="16">
                  <c:v>-51030</c:v>
                </c:pt>
                <c:pt idx="17">
                  <c:v>-47110</c:v>
                </c:pt>
                <c:pt idx="18">
                  <c:v>-47985</c:v>
                </c:pt>
                <c:pt idx="19">
                  <c:v>-50400</c:v>
                </c:pt>
                <c:pt idx="20">
                  <c:v>-24535</c:v>
                </c:pt>
                <c:pt idx="21">
                  <c:v>-21035</c:v>
                </c:pt>
                <c:pt idx="22">
                  <c:v>-23660</c:v>
                </c:pt>
                <c:pt idx="23">
                  <c:v>-96985</c:v>
                </c:pt>
                <c:pt idx="24">
                  <c:v>-110985</c:v>
                </c:pt>
                <c:pt idx="25">
                  <c:v>-110985</c:v>
                </c:pt>
                <c:pt idx="26">
                  <c:v>-110985</c:v>
                </c:pt>
                <c:pt idx="27">
                  <c:v>-110985</c:v>
                </c:pt>
                <c:pt idx="28">
                  <c:v>-110985</c:v>
                </c:pt>
                <c:pt idx="29">
                  <c:v>-110985</c:v>
                </c:pt>
                <c:pt idx="30">
                  <c:v>-110985</c:v>
                </c:pt>
                <c:pt idx="31">
                  <c:v>-110985</c:v>
                </c:pt>
                <c:pt idx="32">
                  <c:v>-110985</c:v>
                </c:pt>
                <c:pt idx="33">
                  <c:v>-115360</c:v>
                </c:pt>
                <c:pt idx="34">
                  <c:v>-133210</c:v>
                </c:pt>
                <c:pt idx="35">
                  <c:v>-106785</c:v>
                </c:pt>
                <c:pt idx="36">
                  <c:v>-106785</c:v>
                </c:pt>
                <c:pt idx="37">
                  <c:v>-128765</c:v>
                </c:pt>
                <c:pt idx="38">
                  <c:v>-133770</c:v>
                </c:pt>
                <c:pt idx="39">
                  <c:v>-89460</c:v>
                </c:pt>
                <c:pt idx="40">
                  <c:v>-92085</c:v>
                </c:pt>
                <c:pt idx="41">
                  <c:v>-173950</c:v>
                </c:pt>
                <c:pt idx="42">
                  <c:v>-179200</c:v>
                </c:pt>
                <c:pt idx="43">
                  <c:v>-179200</c:v>
                </c:pt>
                <c:pt idx="44">
                  <c:v>-179200</c:v>
                </c:pt>
                <c:pt idx="45">
                  <c:v>-179200</c:v>
                </c:pt>
                <c:pt idx="46">
                  <c:v>-179200</c:v>
                </c:pt>
                <c:pt idx="47">
                  <c:v>-179200</c:v>
                </c:pt>
                <c:pt idx="48">
                  <c:v>-179200</c:v>
                </c:pt>
                <c:pt idx="49">
                  <c:v>-179200</c:v>
                </c:pt>
                <c:pt idx="50">
                  <c:v>-179200</c:v>
                </c:pt>
                <c:pt idx="51">
                  <c:v>-179200</c:v>
                </c:pt>
                <c:pt idx="52">
                  <c:v>-179200</c:v>
                </c:pt>
                <c:pt idx="53">
                  <c:v>-179200</c:v>
                </c:pt>
                <c:pt idx="54">
                  <c:v>-179200</c:v>
                </c:pt>
                <c:pt idx="55">
                  <c:v>-179200</c:v>
                </c:pt>
                <c:pt idx="56">
                  <c:v>-179200</c:v>
                </c:pt>
                <c:pt idx="57">
                  <c:v>-179200</c:v>
                </c:pt>
                <c:pt idx="58">
                  <c:v>-179200</c:v>
                </c:pt>
                <c:pt idx="59">
                  <c:v>-179200</c:v>
                </c:pt>
                <c:pt idx="60">
                  <c:v>-179200</c:v>
                </c:pt>
                <c:pt idx="61">
                  <c:v>-179200</c:v>
                </c:pt>
                <c:pt idx="62">
                  <c:v>-179200</c:v>
                </c:pt>
                <c:pt idx="63">
                  <c:v>-179200</c:v>
                </c:pt>
                <c:pt idx="64">
                  <c:v>-173425</c:v>
                </c:pt>
                <c:pt idx="65">
                  <c:v>-173425</c:v>
                </c:pt>
                <c:pt idx="66">
                  <c:v>-173425</c:v>
                </c:pt>
                <c:pt idx="67">
                  <c:v>-173425</c:v>
                </c:pt>
                <c:pt idx="68">
                  <c:v>-173425</c:v>
                </c:pt>
                <c:pt idx="69">
                  <c:v>-173425</c:v>
                </c:pt>
                <c:pt idx="70">
                  <c:v>-173425</c:v>
                </c:pt>
                <c:pt idx="71">
                  <c:v>-173425</c:v>
                </c:pt>
                <c:pt idx="72">
                  <c:v>-173425</c:v>
                </c:pt>
                <c:pt idx="73">
                  <c:v>-173425</c:v>
                </c:pt>
                <c:pt idx="74">
                  <c:v>-173425</c:v>
                </c:pt>
                <c:pt idx="75">
                  <c:v>-173425</c:v>
                </c:pt>
                <c:pt idx="76">
                  <c:v>-173425</c:v>
                </c:pt>
                <c:pt idx="77">
                  <c:v>-173425</c:v>
                </c:pt>
                <c:pt idx="78">
                  <c:v>-173425</c:v>
                </c:pt>
                <c:pt idx="79">
                  <c:v>-173425</c:v>
                </c:pt>
                <c:pt idx="80">
                  <c:v>-173425</c:v>
                </c:pt>
                <c:pt idx="81">
                  <c:v>-173425</c:v>
                </c:pt>
                <c:pt idx="82">
                  <c:v>-173425</c:v>
                </c:pt>
                <c:pt idx="83">
                  <c:v>-172970</c:v>
                </c:pt>
                <c:pt idx="84">
                  <c:v>-168140</c:v>
                </c:pt>
                <c:pt idx="85">
                  <c:v>-169015</c:v>
                </c:pt>
                <c:pt idx="86">
                  <c:v>-181265</c:v>
                </c:pt>
                <c:pt idx="87">
                  <c:v>-178220</c:v>
                </c:pt>
                <c:pt idx="88">
                  <c:v>-182560</c:v>
                </c:pt>
                <c:pt idx="89">
                  <c:v>-180810</c:v>
                </c:pt>
                <c:pt idx="90">
                  <c:v>-180390</c:v>
                </c:pt>
                <c:pt idx="91">
                  <c:v>-179515</c:v>
                </c:pt>
                <c:pt idx="92">
                  <c:v>-177765</c:v>
                </c:pt>
                <c:pt idx="93">
                  <c:v>-176890</c:v>
                </c:pt>
                <c:pt idx="94">
                  <c:v>-176015</c:v>
                </c:pt>
                <c:pt idx="95">
                  <c:v>-173390</c:v>
                </c:pt>
                <c:pt idx="96">
                  <c:v>-172970</c:v>
                </c:pt>
                <c:pt idx="97">
                  <c:v>-160685</c:v>
                </c:pt>
                <c:pt idx="98">
                  <c:v>-170310</c:v>
                </c:pt>
                <c:pt idx="99">
                  <c:v>-172935</c:v>
                </c:pt>
                <c:pt idx="100">
                  <c:v>-166810</c:v>
                </c:pt>
                <c:pt idx="101">
                  <c:v>-173390</c:v>
                </c:pt>
                <c:pt idx="102">
                  <c:v>-169890</c:v>
                </c:pt>
                <c:pt idx="103">
                  <c:v>-184660</c:v>
                </c:pt>
                <c:pt idx="104">
                  <c:v>-180740</c:v>
                </c:pt>
                <c:pt idx="105">
                  <c:v>-181090</c:v>
                </c:pt>
                <c:pt idx="106">
                  <c:v>-188965</c:v>
                </c:pt>
                <c:pt idx="107">
                  <c:v>-184170</c:v>
                </c:pt>
                <c:pt idx="108">
                  <c:v>-169260</c:v>
                </c:pt>
                <c:pt idx="109">
                  <c:v>-173180</c:v>
                </c:pt>
                <c:pt idx="110">
                  <c:v>-160265</c:v>
                </c:pt>
                <c:pt idx="111">
                  <c:v>-159355</c:v>
                </c:pt>
                <c:pt idx="112">
                  <c:v>-168070</c:v>
                </c:pt>
                <c:pt idx="113">
                  <c:v>-167650</c:v>
                </c:pt>
                <c:pt idx="114">
                  <c:v>-140070</c:v>
                </c:pt>
                <c:pt idx="115">
                  <c:v>-130900</c:v>
                </c:pt>
                <c:pt idx="116">
                  <c:v>-112980</c:v>
                </c:pt>
                <c:pt idx="117">
                  <c:v>-96740</c:v>
                </c:pt>
                <c:pt idx="118">
                  <c:v>-130410</c:v>
                </c:pt>
                <c:pt idx="119">
                  <c:v>-153090</c:v>
                </c:pt>
                <c:pt idx="120">
                  <c:v>-149870</c:v>
                </c:pt>
                <c:pt idx="121">
                  <c:v>-163870</c:v>
                </c:pt>
                <c:pt idx="122">
                  <c:v>-149450</c:v>
                </c:pt>
                <c:pt idx="123">
                  <c:v>-126560</c:v>
                </c:pt>
                <c:pt idx="124">
                  <c:v>-121660</c:v>
                </c:pt>
                <c:pt idx="125">
                  <c:v>-109900</c:v>
                </c:pt>
                <c:pt idx="126">
                  <c:v>-104790</c:v>
                </c:pt>
                <c:pt idx="127">
                  <c:v>-124845</c:v>
                </c:pt>
                <c:pt idx="128">
                  <c:v>-111790</c:v>
                </c:pt>
                <c:pt idx="129">
                  <c:v>-143220</c:v>
                </c:pt>
                <c:pt idx="130">
                  <c:v>-83720</c:v>
                </c:pt>
                <c:pt idx="131">
                  <c:v>-90720</c:v>
                </c:pt>
                <c:pt idx="132">
                  <c:v>-83720</c:v>
                </c:pt>
                <c:pt idx="133">
                  <c:v>-100310</c:v>
                </c:pt>
                <c:pt idx="134">
                  <c:v>-87185</c:v>
                </c:pt>
                <c:pt idx="135">
                  <c:v>-50890</c:v>
                </c:pt>
                <c:pt idx="136">
                  <c:v>-27160</c:v>
                </c:pt>
                <c:pt idx="137">
                  <c:v>-10080</c:v>
                </c:pt>
                <c:pt idx="138">
                  <c:v>-35840</c:v>
                </c:pt>
                <c:pt idx="139">
                  <c:v>-32760</c:v>
                </c:pt>
                <c:pt idx="140">
                  <c:v>-34090</c:v>
                </c:pt>
                <c:pt idx="141">
                  <c:v>-37485</c:v>
                </c:pt>
                <c:pt idx="142">
                  <c:v>-33530</c:v>
                </c:pt>
                <c:pt idx="143">
                  <c:v>-36155</c:v>
                </c:pt>
                <c:pt idx="144">
                  <c:v>-28700</c:v>
                </c:pt>
                <c:pt idx="145">
                  <c:v>-28280</c:v>
                </c:pt>
                <c:pt idx="146">
                  <c:v>-26495</c:v>
                </c:pt>
                <c:pt idx="147">
                  <c:v>-23450</c:v>
                </c:pt>
                <c:pt idx="148">
                  <c:v>-34825</c:v>
                </c:pt>
                <c:pt idx="149">
                  <c:v>-25165</c:v>
                </c:pt>
                <c:pt idx="150">
                  <c:v>-19460</c:v>
                </c:pt>
                <c:pt idx="151">
                  <c:v>-18585</c:v>
                </c:pt>
                <c:pt idx="152">
                  <c:v>-21210</c:v>
                </c:pt>
                <c:pt idx="153">
                  <c:v>-26460</c:v>
                </c:pt>
                <c:pt idx="154">
                  <c:v>-14630</c:v>
                </c:pt>
                <c:pt idx="155">
                  <c:v>-12460</c:v>
                </c:pt>
                <c:pt idx="156">
                  <c:v>-8085</c:v>
                </c:pt>
                <c:pt idx="157">
                  <c:v>6370</c:v>
                </c:pt>
                <c:pt idx="158">
                  <c:v>1540</c:v>
                </c:pt>
                <c:pt idx="159">
                  <c:v>-67550</c:v>
                </c:pt>
                <c:pt idx="160">
                  <c:v>-46830</c:v>
                </c:pt>
                <c:pt idx="161">
                  <c:v>-45500</c:v>
                </c:pt>
                <c:pt idx="162">
                  <c:v>-41580</c:v>
                </c:pt>
                <c:pt idx="163">
                  <c:v>-45080</c:v>
                </c:pt>
                <c:pt idx="164">
                  <c:v>-45010</c:v>
                </c:pt>
                <c:pt idx="165">
                  <c:v>-51765</c:v>
                </c:pt>
                <c:pt idx="166">
                  <c:v>-52220</c:v>
                </c:pt>
                <c:pt idx="167">
                  <c:v>-50050</c:v>
                </c:pt>
                <c:pt idx="168">
                  <c:v>-54810</c:v>
                </c:pt>
                <c:pt idx="169">
                  <c:v>-51730</c:v>
                </c:pt>
                <c:pt idx="170">
                  <c:v>-50400</c:v>
                </c:pt>
                <c:pt idx="171">
                  <c:v>-49980</c:v>
                </c:pt>
                <c:pt idx="172">
                  <c:v>-49105</c:v>
                </c:pt>
                <c:pt idx="173">
                  <c:v>-48230</c:v>
                </c:pt>
                <c:pt idx="174">
                  <c:v>-47355</c:v>
                </c:pt>
                <c:pt idx="175">
                  <c:v>-49070</c:v>
                </c:pt>
                <c:pt idx="176">
                  <c:v>-48090</c:v>
                </c:pt>
                <c:pt idx="177">
                  <c:v>-45465</c:v>
                </c:pt>
                <c:pt idx="178">
                  <c:v>-42840</c:v>
                </c:pt>
                <c:pt idx="179">
                  <c:v>-44170</c:v>
                </c:pt>
                <c:pt idx="180">
                  <c:v>-43120</c:v>
                </c:pt>
                <c:pt idx="181">
                  <c:v>-48370</c:v>
                </c:pt>
                <c:pt idx="182">
                  <c:v>7280</c:v>
                </c:pt>
                <c:pt idx="183">
                  <c:v>-595</c:v>
                </c:pt>
                <c:pt idx="184">
                  <c:v>-8470</c:v>
                </c:pt>
                <c:pt idx="185">
                  <c:v>-21560</c:v>
                </c:pt>
                <c:pt idx="186">
                  <c:v>-36295</c:v>
                </c:pt>
                <c:pt idx="187">
                  <c:v>-24920</c:v>
                </c:pt>
                <c:pt idx="188">
                  <c:v>-31045</c:v>
                </c:pt>
                <c:pt idx="189">
                  <c:v>-24885</c:v>
                </c:pt>
                <c:pt idx="190">
                  <c:v>-28840</c:v>
                </c:pt>
                <c:pt idx="191">
                  <c:v>-16100</c:v>
                </c:pt>
                <c:pt idx="192">
                  <c:v>-18725</c:v>
                </c:pt>
                <c:pt idx="193">
                  <c:v>-15225</c:v>
                </c:pt>
                <c:pt idx="194">
                  <c:v>-11725</c:v>
                </c:pt>
                <c:pt idx="195">
                  <c:v>4480</c:v>
                </c:pt>
                <c:pt idx="196">
                  <c:v>6720</c:v>
                </c:pt>
                <c:pt idx="197">
                  <c:v>22050</c:v>
                </c:pt>
                <c:pt idx="198">
                  <c:v>23450</c:v>
                </c:pt>
                <c:pt idx="199">
                  <c:v>19950</c:v>
                </c:pt>
                <c:pt idx="200">
                  <c:v>4305</c:v>
                </c:pt>
                <c:pt idx="201">
                  <c:v>-35315</c:v>
                </c:pt>
                <c:pt idx="202">
                  <c:v>-30800</c:v>
                </c:pt>
                <c:pt idx="203">
                  <c:v>-18550</c:v>
                </c:pt>
                <c:pt idx="204">
                  <c:v>-29260</c:v>
                </c:pt>
                <c:pt idx="205">
                  <c:v>-16555</c:v>
                </c:pt>
                <c:pt idx="206">
                  <c:v>-24010</c:v>
                </c:pt>
                <c:pt idx="207">
                  <c:v>-5635</c:v>
                </c:pt>
                <c:pt idx="208">
                  <c:v>-15260</c:v>
                </c:pt>
                <c:pt idx="209">
                  <c:v>-26040</c:v>
                </c:pt>
                <c:pt idx="210">
                  <c:v>-29050</c:v>
                </c:pt>
                <c:pt idx="211">
                  <c:v>-31220</c:v>
                </c:pt>
                <c:pt idx="212">
                  <c:v>-17220</c:v>
                </c:pt>
                <c:pt idx="213">
                  <c:v>-23310</c:v>
                </c:pt>
                <c:pt idx="214">
                  <c:v>-30730</c:v>
                </c:pt>
                <c:pt idx="215">
                  <c:v>-21105</c:v>
                </c:pt>
                <c:pt idx="216">
                  <c:v>-17920</c:v>
                </c:pt>
                <c:pt idx="217">
                  <c:v>-5250</c:v>
                </c:pt>
                <c:pt idx="218">
                  <c:v>-9170</c:v>
                </c:pt>
                <c:pt idx="219">
                  <c:v>-12635</c:v>
                </c:pt>
                <c:pt idx="220">
                  <c:v>-21175</c:v>
                </c:pt>
                <c:pt idx="221">
                  <c:v>-29225</c:v>
                </c:pt>
                <c:pt idx="222">
                  <c:v>2310</c:v>
                </c:pt>
                <c:pt idx="223">
                  <c:v>39585</c:v>
                </c:pt>
                <c:pt idx="224">
                  <c:v>43085</c:v>
                </c:pt>
                <c:pt idx="225">
                  <c:v>45220</c:v>
                </c:pt>
                <c:pt idx="226">
                  <c:v>26845</c:v>
                </c:pt>
                <c:pt idx="227">
                  <c:v>25970</c:v>
                </c:pt>
                <c:pt idx="228">
                  <c:v>36890</c:v>
                </c:pt>
                <c:pt idx="229">
                  <c:v>43085</c:v>
                </c:pt>
                <c:pt idx="230">
                  <c:v>52710</c:v>
                </c:pt>
                <c:pt idx="231">
                  <c:v>51905</c:v>
                </c:pt>
                <c:pt idx="232">
                  <c:v>66920</c:v>
                </c:pt>
                <c:pt idx="233">
                  <c:v>64750</c:v>
                </c:pt>
                <c:pt idx="234">
                  <c:v>70280</c:v>
                </c:pt>
                <c:pt idx="235">
                  <c:v>74550</c:v>
                </c:pt>
                <c:pt idx="236">
                  <c:v>54880</c:v>
                </c:pt>
                <c:pt idx="237">
                  <c:v>72030</c:v>
                </c:pt>
                <c:pt idx="238">
                  <c:v>75390</c:v>
                </c:pt>
                <c:pt idx="239">
                  <c:v>65765</c:v>
                </c:pt>
                <c:pt idx="240">
                  <c:v>78925</c:v>
                </c:pt>
                <c:pt idx="241">
                  <c:v>85680</c:v>
                </c:pt>
                <c:pt idx="242">
                  <c:v>75180</c:v>
                </c:pt>
                <c:pt idx="243">
                  <c:v>75180</c:v>
                </c:pt>
                <c:pt idx="244">
                  <c:v>81305</c:v>
                </c:pt>
                <c:pt idx="245">
                  <c:v>94150</c:v>
                </c:pt>
                <c:pt idx="246">
                  <c:v>84070</c:v>
                </c:pt>
                <c:pt idx="247">
                  <c:v>92050</c:v>
                </c:pt>
                <c:pt idx="248">
                  <c:v>92365</c:v>
                </c:pt>
                <c:pt idx="249">
                  <c:v>68390</c:v>
                </c:pt>
                <c:pt idx="250">
                  <c:v>71890</c:v>
                </c:pt>
                <c:pt idx="251">
                  <c:v>70140</c:v>
                </c:pt>
                <c:pt idx="252">
                  <c:v>79765</c:v>
                </c:pt>
                <c:pt idx="253">
                  <c:v>67690</c:v>
                </c:pt>
                <c:pt idx="254">
                  <c:v>63140</c:v>
                </c:pt>
                <c:pt idx="255">
                  <c:v>162050</c:v>
                </c:pt>
                <c:pt idx="256">
                  <c:v>78925</c:v>
                </c:pt>
                <c:pt idx="257">
                  <c:v>86905</c:v>
                </c:pt>
                <c:pt idx="258">
                  <c:v>87780</c:v>
                </c:pt>
                <c:pt idx="259">
                  <c:v>88200</c:v>
                </c:pt>
                <c:pt idx="260">
                  <c:v>87325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61"/>
                <c:pt idx="0">
                  <c:v>0</c:v>
                </c:pt>
                <c:pt idx="1">
                  <c:v>-39600</c:v>
                </c:pt>
                <c:pt idx="2">
                  <c:v>104400</c:v>
                </c:pt>
                <c:pt idx="3">
                  <c:v>93600</c:v>
                </c:pt>
                <c:pt idx="4">
                  <c:v>-25200</c:v>
                </c:pt>
                <c:pt idx="5">
                  <c:v>-54000</c:v>
                </c:pt>
                <c:pt idx="6">
                  <c:v>36000</c:v>
                </c:pt>
                <c:pt idx="7">
                  <c:v>64800</c:v>
                </c:pt>
                <c:pt idx="8">
                  <c:v>-172800</c:v>
                </c:pt>
                <c:pt idx="9">
                  <c:v>-266400</c:v>
                </c:pt>
                <c:pt idx="10">
                  <c:v>-288000</c:v>
                </c:pt>
                <c:pt idx="11">
                  <c:v>-162000</c:v>
                </c:pt>
                <c:pt idx="12">
                  <c:v>-162000</c:v>
                </c:pt>
                <c:pt idx="13">
                  <c:v>-126000</c:v>
                </c:pt>
                <c:pt idx="14">
                  <c:v>-151200</c:v>
                </c:pt>
                <c:pt idx="15">
                  <c:v>-208800</c:v>
                </c:pt>
                <c:pt idx="16">
                  <c:v>-183600</c:v>
                </c:pt>
                <c:pt idx="17">
                  <c:v>-198000</c:v>
                </c:pt>
                <c:pt idx="18">
                  <c:v>-223200</c:v>
                </c:pt>
                <c:pt idx="19">
                  <c:v>-316800</c:v>
                </c:pt>
                <c:pt idx="20">
                  <c:v>-403200</c:v>
                </c:pt>
                <c:pt idx="21">
                  <c:v>-406800</c:v>
                </c:pt>
                <c:pt idx="22">
                  <c:v>-403056</c:v>
                </c:pt>
                <c:pt idx="23">
                  <c:v>-179856</c:v>
                </c:pt>
                <c:pt idx="24">
                  <c:v>-255456</c:v>
                </c:pt>
                <c:pt idx="25">
                  <c:v>-212256</c:v>
                </c:pt>
                <c:pt idx="26">
                  <c:v>-230256</c:v>
                </c:pt>
                <c:pt idx="27">
                  <c:v>-115056</c:v>
                </c:pt>
                <c:pt idx="28">
                  <c:v>-165456</c:v>
                </c:pt>
                <c:pt idx="29">
                  <c:v>-165456</c:v>
                </c:pt>
                <c:pt idx="30">
                  <c:v>-226656</c:v>
                </c:pt>
                <c:pt idx="31">
                  <c:v>-190656</c:v>
                </c:pt>
                <c:pt idx="32">
                  <c:v>-161856</c:v>
                </c:pt>
                <c:pt idx="33">
                  <c:v>-140256</c:v>
                </c:pt>
                <c:pt idx="34">
                  <c:v>-215856</c:v>
                </c:pt>
                <c:pt idx="35">
                  <c:v>-143856</c:v>
                </c:pt>
                <c:pt idx="36">
                  <c:v>-215856</c:v>
                </c:pt>
                <c:pt idx="37">
                  <c:v>-277056</c:v>
                </c:pt>
                <c:pt idx="38">
                  <c:v>-291456</c:v>
                </c:pt>
                <c:pt idx="39">
                  <c:v>-370656</c:v>
                </c:pt>
                <c:pt idx="40">
                  <c:v>-262656</c:v>
                </c:pt>
                <c:pt idx="41">
                  <c:v>-158256</c:v>
                </c:pt>
                <c:pt idx="42">
                  <c:v>-273312</c:v>
                </c:pt>
                <c:pt idx="43">
                  <c:v>-244512</c:v>
                </c:pt>
                <c:pt idx="44">
                  <c:v>-251712</c:v>
                </c:pt>
                <c:pt idx="45">
                  <c:v>-233712</c:v>
                </c:pt>
                <c:pt idx="46">
                  <c:v>-338112</c:v>
                </c:pt>
                <c:pt idx="47">
                  <c:v>-255312</c:v>
                </c:pt>
                <c:pt idx="48">
                  <c:v>-294912</c:v>
                </c:pt>
                <c:pt idx="49">
                  <c:v>-226512</c:v>
                </c:pt>
                <c:pt idx="50">
                  <c:v>-255312</c:v>
                </c:pt>
                <c:pt idx="51">
                  <c:v>-374112</c:v>
                </c:pt>
                <c:pt idx="52">
                  <c:v>-410112</c:v>
                </c:pt>
                <c:pt idx="53">
                  <c:v>-525312</c:v>
                </c:pt>
                <c:pt idx="54">
                  <c:v>-496512</c:v>
                </c:pt>
                <c:pt idx="55">
                  <c:v>-496512</c:v>
                </c:pt>
                <c:pt idx="56">
                  <c:v>-302112</c:v>
                </c:pt>
                <c:pt idx="57">
                  <c:v>-233712</c:v>
                </c:pt>
                <c:pt idx="58">
                  <c:v>-204912</c:v>
                </c:pt>
                <c:pt idx="59">
                  <c:v>-168912</c:v>
                </c:pt>
                <c:pt idx="60">
                  <c:v>-230112</c:v>
                </c:pt>
                <c:pt idx="61">
                  <c:v>-233712</c:v>
                </c:pt>
                <c:pt idx="62">
                  <c:v>-190512</c:v>
                </c:pt>
                <c:pt idx="63">
                  <c:v>-435312</c:v>
                </c:pt>
                <c:pt idx="64">
                  <c:v>-370512</c:v>
                </c:pt>
                <c:pt idx="65">
                  <c:v>-287712</c:v>
                </c:pt>
                <c:pt idx="66">
                  <c:v>-255312</c:v>
                </c:pt>
                <c:pt idx="67">
                  <c:v>-312912</c:v>
                </c:pt>
                <c:pt idx="68">
                  <c:v>-348912</c:v>
                </c:pt>
                <c:pt idx="69">
                  <c:v>-417312</c:v>
                </c:pt>
                <c:pt idx="70">
                  <c:v>-410112</c:v>
                </c:pt>
                <c:pt idx="71">
                  <c:v>-446112</c:v>
                </c:pt>
                <c:pt idx="72">
                  <c:v>-507312</c:v>
                </c:pt>
                <c:pt idx="73">
                  <c:v>-471312</c:v>
                </c:pt>
                <c:pt idx="74">
                  <c:v>-456912</c:v>
                </c:pt>
                <c:pt idx="75">
                  <c:v>-424512</c:v>
                </c:pt>
                <c:pt idx="76">
                  <c:v>-410112</c:v>
                </c:pt>
                <c:pt idx="77">
                  <c:v>-406512</c:v>
                </c:pt>
                <c:pt idx="78">
                  <c:v>-489312</c:v>
                </c:pt>
                <c:pt idx="79">
                  <c:v>-496512</c:v>
                </c:pt>
                <c:pt idx="80">
                  <c:v>-460512</c:v>
                </c:pt>
                <c:pt idx="81">
                  <c:v>-618912</c:v>
                </c:pt>
                <c:pt idx="82">
                  <c:v>-698112</c:v>
                </c:pt>
                <c:pt idx="83">
                  <c:v>-687312</c:v>
                </c:pt>
                <c:pt idx="84">
                  <c:v>-665712</c:v>
                </c:pt>
                <c:pt idx="85">
                  <c:v>-694512</c:v>
                </c:pt>
                <c:pt idx="86">
                  <c:v>-741168</c:v>
                </c:pt>
                <c:pt idx="87">
                  <c:v>-730368</c:v>
                </c:pt>
                <c:pt idx="88">
                  <c:v>-777168</c:v>
                </c:pt>
                <c:pt idx="89">
                  <c:v>-701568</c:v>
                </c:pt>
                <c:pt idx="90">
                  <c:v>-751968</c:v>
                </c:pt>
                <c:pt idx="91">
                  <c:v>-748368</c:v>
                </c:pt>
                <c:pt idx="92">
                  <c:v>-787968</c:v>
                </c:pt>
                <c:pt idx="93">
                  <c:v>-733968</c:v>
                </c:pt>
                <c:pt idx="94">
                  <c:v>-759168</c:v>
                </c:pt>
                <c:pt idx="95">
                  <c:v>-665568</c:v>
                </c:pt>
                <c:pt idx="96">
                  <c:v>-708768</c:v>
                </c:pt>
                <c:pt idx="97">
                  <c:v>-629568</c:v>
                </c:pt>
                <c:pt idx="98">
                  <c:v>-748368</c:v>
                </c:pt>
                <c:pt idx="99">
                  <c:v>-777168</c:v>
                </c:pt>
                <c:pt idx="100">
                  <c:v>-705168</c:v>
                </c:pt>
                <c:pt idx="101">
                  <c:v>-762768</c:v>
                </c:pt>
                <c:pt idx="102">
                  <c:v>-773568</c:v>
                </c:pt>
                <c:pt idx="103">
                  <c:v>-859968</c:v>
                </c:pt>
                <c:pt idx="104">
                  <c:v>-917568</c:v>
                </c:pt>
                <c:pt idx="105">
                  <c:v>-863568</c:v>
                </c:pt>
                <c:pt idx="106">
                  <c:v>-910368</c:v>
                </c:pt>
                <c:pt idx="107">
                  <c:v>-888768</c:v>
                </c:pt>
                <c:pt idx="108">
                  <c:v>-784368</c:v>
                </c:pt>
                <c:pt idx="109">
                  <c:v>-809568</c:v>
                </c:pt>
                <c:pt idx="110">
                  <c:v>-723168</c:v>
                </c:pt>
                <c:pt idx="111">
                  <c:v>-769968</c:v>
                </c:pt>
                <c:pt idx="112">
                  <c:v>-708768</c:v>
                </c:pt>
                <c:pt idx="113">
                  <c:v>-697968</c:v>
                </c:pt>
                <c:pt idx="114">
                  <c:v>-784368</c:v>
                </c:pt>
                <c:pt idx="115">
                  <c:v>-841968</c:v>
                </c:pt>
                <c:pt idx="116">
                  <c:v>-870768</c:v>
                </c:pt>
                <c:pt idx="117">
                  <c:v>-949968</c:v>
                </c:pt>
                <c:pt idx="118">
                  <c:v>-895968</c:v>
                </c:pt>
                <c:pt idx="119">
                  <c:v>-802368</c:v>
                </c:pt>
                <c:pt idx="120">
                  <c:v>-787968</c:v>
                </c:pt>
                <c:pt idx="121">
                  <c:v>-852768</c:v>
                </c:pt>
                <c:pt idx="122">
                  <c:v>-798768</c:v>
                </c:pt>
                <c:pt idx="123">
                  <c:v>-676368</c:v>
                </c:pt>
                <c:pt idx="124">
                  <c:v>-665568</c:v>
                </c:pt>
                <c:pt idx="125">
                  <c:v>-543168</c:v>
                </c:pt>
                <c:pt idx="126">
                  <c:v>-381168</c:v>
                </c:pt>
                <c:pt idx="127">
                  <c:v>-363168</c:v>
                </c:pt>
                <c:pt idx="128">
                  <c:v>-10368</c:v>
                </c:pt>
                <c:pt idx="129">
                  <c:v>-42624</c:v>
                </c:pt>
                <c:pt idx="130">
                  <c:v>137376</c:v>
                </c:pt>
                <c:pt idx="131">
                  <c:v>122976</c:v>
                </c:pt>
                <c:pt idx="132">
                  <c:v>104976</c:v>
                </c:pt>
                <c:pt idx="133">
                  <c:v>36576</c:v>
                </c:pt>
                <c:pt idx="134">
                  <c:v>68976</c:v>
                </c:pt>
                <c:pt idx="135">
                  <c:v>173376</c:v>
                </c:pt>
                <c:pt idx="136">
                  <c:v>230976</c:v>
                </c:pt>
                <c:pt idx="137">
                  <c:v>324576</c:v>
                </c:pt>
                <c:pt idx="138">
                  <c:v>184176</c:v>
                </c:pt>
                <c:pt idx="139">
                  <c:v>126576</c:v>
                </c:pt>
                <c:pt idx="140">
                  <c:v>173376</c:v>
                </c:pt>
                <c:pt idx="141">
                  <c:v>18576</c:v>
                </c:pt>
                <c:pt idx="142">
                  <c:v>-179424</c:v>
                </c:pt>
                <c:pt idx="143">
                  <c:v>-161424</c:v>
                </c:pt>
                <c:pt idx="144">
                  <c:v>-237024</c:v>
                </c:pt>
                <c:pt idx="145">
                  <c:v>-255024</c:v>
                </c:pt>
                <c:pt idx="146">
                  <c:v>-345024</c:v>
                </c:pt>
                <c:pt idx="147">
                  <c:v>-600624</c:v>
                </c:pt>
                <c:pt idx="148">
                  <c:v>-687024</c:v>
                </c:pt>
                <c:pt idx="149">
                  <c:v>-715824</c:v>
                </c:pt>
                <c:pt idx="150">
                  <c:v>-687024</c:v>
                </c:pt>
                <c:pt idx="151">
                  <c:v>-636624</c:v>
                </c:pt>
                <c:pt idx="152">
                  <c:v>-723024</c:v>
                </c:pt>
                <c:pt idx="153">
                  <c:v>-744624</c:v>
                </c:pt>
                <c:pt idx="154">
                  <c:v>-672624</c:v>
                </c:pt>
                <c:pt idx="155">
                  <c:v>-683424</c:v>
                </c:pt>
                <c:pt idx="156">
                  <c:v>-661824</c:v>
                </c:pt>
                <c:pt idx="157">
                  <c:v>-463824</c:v>
                </c:pt>
                <c:pt idx="158">
                  <c:v>-553824</c:v>
                </c:pt>
                <c:pt idx="159">
                  <c:v>-885024</c:v>
                </c:pt>
                <c:pt idx="160">
                  <c:v>-823824</c:v>
                </c:pt>
                <c:pt idx="161">
                  <c:v>-805824</c:v>
                </c:pt>
                <c:pt idx="162">
                  <c:v>-791424</c:v>
                </c:pt>
                <c:pt idx="163">
                  <c:v>-759024</c:v>
                </c:pt>
                <c:pt idx="164">
                  <c:v>-741024</c:v>
                </c:pt>
                <c:pt idx="165">
                  <c:v>-694224</c:v>
                </c:pt>
                <c:pt idx="166">
                  <c:v>-773424</c:v>
                </c:pt>
                <c:pt idx="167">
                  <c:v>-726624</c:v>
                </c:pt>
                <c:pt idx="168">
                  <c:v>-780624</c:v>
                </c:pt>
                <c:pt idx="169">
                  <c:v>-816624</c:v>
                </c:pt>
                <c:pt idx="170">
                  <c:v>-820224</c:v>
                </c:pt>
                <c:pt idx="171">
                  <c:v>-791424</c:v>
                </c:pt>
                <c:pt idx="172">
                  <c:v>-816624</c:v>
                </c:pt>
                <c:pt idx="173">
                  <c:v>-892080</c:v>
                </c:pt>
                <c:pt idx="174">
                  <c:v>-938880</c:v>
                </c:pt>
                <c:pt idx="175">
                  <c:v>-996480</c:v>
                </c:pt>
                <c:pt idx="176">
                  <c:v>-974880</c:v>
                </c:pt>
                <c:pt idx="177">
                  <c:v>-982080</c:v>
                </c:pt>
                <c:pt idx="178">
                  <c:v>-931680</c:v>
                </c:pt>
                <c:pt idx="179">
                  <c:v>-888480</c:v>
                </c:pt>
                <c:pt idx="180">
                  <c:v>-816480</c:v>
                </c:pt>
                <c:pt idx="181">
                  <c:v>-676080</c:v>
                </c:pt>
                <c:pt idx="182">
                  <c:v>-542880</c:v>
                </c:pt>
                <c:pt idx="183">
                  <c:v>-571680</c:v>
                </c:pt>
                <c:pt idx="184">
                  <c:v>-643680</c:v>
                </c:pt>
                <c:pt idx="185">
                  <c:v>-708480</c:v>
                </c:pt>
                <c:pt idx="186">
                  <c:v>-758880</c:v>
                </c:pt>
                <c:pt idx="187">
                  <c:v>-672480</c:v>
                </c:pt>
                <c:pt idx="188">
                  <c:v>-733680</c:v>
                </c:pt>
                <c:pt idx="189">
                  <c:v>-697680</c:v>
                </c:pt>
                <c:pt idx="190">
                  <c:v>-722880</c:v>
                </c:pt>
                <c:pt idx="191">
                  <c:v>-614880</c:v>
                </c:pt>
                <c:pt idx="192">
                  <c:v>-643680</c:v>
                </c:pt>
                <c:pt idx="193">
                  <c:v>-607680</c:v>
                </c:pt>
                <c:pt idx="194">
                  <c:v>-654480</c:v>
                </c:pt>
                <c:pt idx="195">
                  <c:v>-586080</c:v>
                </c:pt>
                <c:pt idx="196">
                  <c:v>-586080</c:v>
                </c:pt>
                <c:pt idx="197">
                  <c:v>-546480</c:v>
                </c:pt>
                <c:pt idx="198">
                  <c:v>-478080</c:v>
                </c:pt>
                <c:pt idx="199">
                  <c:v>-503280</c:v>
                </c:pt>
                <c:pt idx="200">
                  <c:v>-560880</c:v>
                </c:pt>
                <c:pt idx="201">
                  <c:v>-654480</c:v>
                </c:pt>
                <c:pt idx="202">
                  <c:v>-715680</c:v>
                </c:pt>
                <c:pt idx="203">
                  <c:v>-672480</c:v>
                </c:pt>
                <c:pt idx="204">
                  <c:v>-744480</c:v>
                </c:pt>
                <c:pt idx="205">
                  <c:v>-794880</c:v>
                </c:pt>
                <c:pt idx="206">
                  <c:v>-787680</c:v>
                </c:pt>
                <c:pt idx="207">
                  <c:v>-823680</c:v>
                </c:pt>
                <c:pt idx="208">
                  <c:v>-802080</c:v>
                </c:pt>
                <c:pt idx="209">
                  <c:v>-726480</c:v>
                </c:pt>
                <c:pt idx="210">
                  <c:v>-744480</c:v>
                </c:pt>
                <c:pt idx="211">
                  <c:v>-758880</c:v>
                </c:pt>
                <c:pt idx="212">
                  <c:v>-672480</c:v>
                </c:pt>
                <c:pt idx="213">
                  <c:v>-712080</c:v>
                </c:pt>
                <c:pt idx="214">
                  <c:v>-787680</c:v>
                </c:pt>
                <c:pt idx="215">
                  <c:v>-740880</c:v>
                </c:pt>
                <c:pt idx="216">
                  <c:v>-701280</c:v>
                </c:pt>
                <c:pt idx="217">
                  <c:v>-780480</c:v>
                </c:pt>
                <c:pt idx="218">
                  <c:v>-737280</c:v>
                </c:pt>
                <c:pt idx="219">
                  <c:v>-683280</c:v>
                </c:pt>
                <c:pt idx="220">
                  <c:v>-794880</c:v>
                </c:pt>
                <c:pt idx="221">
                  <c:v>-827280</c:v>
                </c:pt>
                <c:pt idx="222">
                  <c:v>-892080</c:v>
                </c:pt>
                <c:pt idx="223">
                  <c:v>-1043280</c:v>
                </c:pt>
                <c:pt idx="224">
                  <c:v>-996480</c:v>
                </c:pt>
                <c:pt idx="225">
                  <c:v>-1000080</c:v>
                </c:pt>
                <c:pt idx="226">
                  <c:v>-1032480</c:v>
                </c:pt>
                <c:pt idx="227">
                  <c:v>-1036080</c:v>
                </c:pt>
                <c:pt idx="228">
                  <c:v>-1018080</c:v>
                </c:pt>
                <c:pt idx="229">
                  <c:v>-996480</c:v>
                </c:pt>
                <c:pt idx="230">
                  <c:v>-964080</c:v>
                </c:pt>
                <c:pt idx="231">
                  <c:v>-967680</c:v>
                </c:pt>
                <c:pt idx="232">
                  <c:v>-931680</c:v>
                </c:pt>
                <c:pt idx="233">
                  <c:v>-971280</c:v>
                </c:pt>
                <c:pt idx="234">
                  <c:v>-946080</c:v>
                </c:pt>
                <c:pt idx="235">
                  <c:v>-938880</c:v>
                </c:pt>
                <c:pt idx="236">
                  <c:v>-1007280</c:v>
                </c:pt>
                <c:pt idx="237">
                  <c:v>-946080</c:v>
                </c:pt>
                <c:pt idx="238">
                  <c:v>-920736</c:v>
                </c:pt>
                <c:pt idx="239">
                  <c:v>-960336</c:v>
                </c:pt>
                <c:pt idx="240">
                  <c:v>-870336</c:v>
                </c:pt>
                <c:pt idx="241">
                  <c:v>-819936</c:v>
                </c:pt>
                <c:pt idx="242">
                  <c:v>-920736</c:v>
                </c:pt>
                <c:pt idx="243">
                  <c:v>-917136</c:v>
                </c:pt>
                <c:pt idx="244">
                  <c:v>-924336</c:v>
                </c:pt>
                <c:pt idx="245">
                  <c:v>-848736</c:v>
                </c:pt>
                <c:pt idx="246">
                  <c:v>-899136</c:v>
                </c:pt>
                <c:pt idx="247">
                  <c:v>-848736</c:v>
                </c:pt>
                <c:pt idx="248">
                  <c:v>-845136</c:v>
                </c:pt>
                <c:pt idx="249">
                  <c:v>-971136</c:v>
                </c:pt>
                <c:pt idx="250">
                  <c:v>-924336</c:v>
                </c:pt>
                <c:pt idx="251">
                  <c:v>-906336</c:v>
                </c:pt>
                <c:pt idx="252">
                  <c:v>-949536</c:v>
                </c:pt>
                <c:pt idx="253">
                  <c:v>-1021536</c:v>
                </c:pt>
                <c:pt idx="254">
                  <c:v>-1035936</c:v>
                </c:pt>
                <c:pt idx="255">
                  <c:v>-1050336</c:v>
                </c:pt>
                <c:pt idx="256">
                  <c:v>-1064736</c:v>
                </c:pt>
                <c:pt idx="257">
                  <c:v>-1104336</c:v>
                </c:pt>
                <c:pt idx="258">
                  <c:v>-1089936</c:v>
                </c:pt>
                <c:pt idx="259">
                  <c:v>-1125936</c:v>
                </c:pt>
                <c:pt idx="260">
                  <c:v>-1136736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61"/>
                <c:pt idx="0">
                  <c:v>0</c:v>
                </c:pt>
                <c:pt idx="1">
                  <c:v>39600</c:v>
                </c:pt>
                <c:pt idx="2">
                  <c:v>-104400</c:v>
                </c:pt>
                <c:pt idx="3">
                  <c:v>-93600</c:v>
                </c:pt>
                <c:pt idx="4">
                  <c:v>25200</c:v>
                </c:pt>
                <c:pt idx="5">
                  <c:v>54000</c:v>
                </c:pt>
                <c:pt idx="6">
                  <c:v>-36000</c:v>
                </c:pt>
                <c:pt idx="7">
                  <c:v>-64800</c:v>
                </c:pt>
                <c:pt idx="8">
                  <c:v>172800</c:v>
                </c:pt>
                <c:pt idx="9">
                  <c:v>266400</c:v>
                </c:pt>
                <c:pt idx="10">
                  <c:v>288000</c:v>
                </c:pt>
                <c:pt idx="11">
                  <c:v>162000</c:v>
                </c:pt>
                <c:pt idx="12">
                  <c:v>162000</c:v>
                </c:pt>
                <c:pt idx="13">
                  <c:v>126000</c:v>
                </c:pt>
                <c:pt idx="14">
                  <c:v>151200</c:v>
                </c:pt>
                <c:pt idx="15">
                  <c:v>208800</c:v>
                </c:pt>
                <c:pt idx="16">
                  <c:v>183600</c:v>
                </c:pt>
                <c:pt idx="17">
                  <c:v>198000</c:v>
                </c:pt>
                <c:pt idx="18">
                  <c:v>223200</c:v>
                </c:pt>
                <c:pt idx="19">
                  <c:v>316800</c:v>
                </c:pt>
                <c:pt idx="20">
                  <c:v>403200</c:v>
                </c:pt>
                <c:pt idx="21">
                  <c:v>406800</c:v>
                </c:pt>
                <c:pt idx="22">
                  <c:v>403056</c:v>
                </c:pt>
                <c:pt idx="23">
                  <c:v>179856</c:v>
                </c:pt>
                <c:pt idx="24">
                  <c:v>255456</c:v>
                </c:pt>
                <c:pt idx="25">
                  <c:v>212256</c:v>
                </c:pt>
                <c:pt idx="26">
                  <c:v>230256</c:v>
                </c:pt>
                <c:pt idx="27">
                  <c:v>115056</c:v>
                </c:pt>
                <c:pt idx="28">
                  <c:v>165456</c:v>
                </c:pt>
                <c:pt idx="29">
                  <c:v>165456</c:v>
                </c:pt>
                <c:pt idx="30">
                  <c:v>226656</c:v>
                </c:pt>
                <c:pt idx="31">
                  <c:v>190656</c:v>
                </c:pt>
                <c:pt idx="32">
                  <c:v>161856</c:v>
                </c:pt>
                <c:pt idx="33">
                  <c:v>140256</c:v>
                </c:pt>
                <c:pt idx="34">
                  <c:v>215856</c:v>
                </c:pt>
                <c:pt idx="35">
                  <c:v>143856</c:v>
                </c:pt>
                <c:pt idx="36">
                  <c:v>215856</c:v>
                </c:pt>
                <c:pt idx="37">
                  <c:v>277056</c:v>
                </c:pt>
                <c:pt idx="38">
                  <c:v>291456</c:v>
                </c:pt>
                <c:pt idx="39">
                  <c:v>370656</c:v>
                </c:pt>
                <c:pt idx="40">
                  <c:v>262656</c:v>
                </c:pt>
                <c:pt idx="41">
                  <c:v>158256</c:v>
                </c:pt>
                <c:pt idx="42">
                  <c:v>273312</c:v>
                </c:pt>
                <c:pt idx="43">
                  <c:v>244512</c:v>
                </c:pt>
                <c:pt idx="44">
                  <c:v>251712</c:v>
                </c:pt>
                <c:pt idx="45">
                  <c:v>233712</c:v>
                </c:pt>
                <c:pt idx="46">
                  <c:v>338112</c:v>
                </c:pt>
                <c:pt idx="47">
                  <c:v>255312</c:v>
                </c:pt>
                <c:pt idx="48">
                  <c:v>294912</c:v>
                </c:pt>
                <c:pt idx="49">
                  <c:v>226512</c:v>
                </c:pt>
                <c:pt idx="50">
                  <c:v>255312</c:v>
                </c:pt>
                <c:pt idx="51">
                  <c:v>374112</c:v>
                </c:pt>
                <c:pt idx="52">
                  <c:v>410112</c:v>
                </c:pt>
                <c:pt idx="53">
                  <c:v>525312</c:v>
                </c:pt>
                <c:pt idx="54">
                  <c:v>496512</c:v>
                </c:pt>
                <c:pt idx="55">
                  <c:v>496512</c:v>
                </c:pt>
                <c:pt idx="56">
                  <c:v>302112</c:v>
                </c:pt>
                <c:pt idx="57">
                  <c:v>233712</c:v>
                </c:pt>
                <c:pt idx="58">
                  <c:v>204912</c:v>
                </c:pt>
                <c:pt idx="59">
                  <c:v>168912</c:v>
                </c:pt>
                <c:pt idx="60">
                  <c:v>230112</c:v>
                </c:pt>
                <c:pt idx="61">
                  <c:v>233712</c:v>
                </c:pt>
                <c:pt idx="62">
                  <c:v>190512</c:v>
                </c:pt>
                <c:pt idx="63">
                  <c:v>435312</c:v>
                </c:pt>
                <c:pt idx="64">
                  <c:v>370512</c:v>
                </c:pt>
                <c:pt idx="65">
                  <c:v>287712</c:v>
                </c:pt>
                <c:pt idx="66">
                  <c:v>255312</c:v>
                </c:pt>
                <c:pt idx="67">
                  <c:v>312912</c:v>
                </c:pt>
                <c:pt idx="68">
                  <c:v>348912</c:v>
                </c:pt>
                <c:pt idx="69">
                  <c:v>417312</c:v>
                </c:pt>
                <c:pt idx="70">
                  <c:v>410112</c:v>
                </c:pt>
                <c:pt idx="71">
                  <c:v>446112</c:v>
                </c:pt>
                <c:pt idx="72">
                  <c:v>507312</c:v>
                </c:pt>
                <c:pt idx="73">
                  <c:v>471312</c:v>
                </c:pt>
                <c:pt idx="74">
                  <c:v>456912</c:v>
                </c:pt>
                <c:pt idx="75">
                  <c:v>424512</c:v>
                </c:pt>
                <c:pt idx="76">
                  <c:v>410112</c:v>
                </c:pt>
                <c:pt idx="77">
                  <c:v>406512</c:v>
                </c:pt>
                <c:pt idx="78">
                  <c:v>489312</c:v>
                </c:pt>
                <c:pt idx="79">
                  <c:v>496512</c:v>
                </c:pt>
                <c:pt idx="80">
                  <c:v>460512</c:v>
                </c:pt>
                <c:pt idx="81">
                  <c:v>618912</c:v>
                </c:pt>
                <c:pt idx="82">
                  <c:v>698112</c:v>
                </c:pt>
                <c:pt idx="83">
                  <c:v>687312</c:v>
                </c:pt>
                <c:pt idx="84">
                  <c:v>665712</c:v>
                </c:pt>
                <c:pt idx="85">
                  <c:v>694512</c:v>
                </c:pt>
                <c:pt idx="86">
                  <c:v>741168</c:v>
                </c:pt>
                <c:pt idx="87">
                  <c:v>730368</c:v>
                </c:pt>
                <c:pt idx="88">
                  <c:v>777168</c:v>
                </c:pt>
                <c:pt idx="89">
                  <c:v>701568</c:v>
                </c:pt>
                <c:pt idx="90">
                  <c:v>751968</c:v>
                </c:pt>
                <c:pt idx="91">
                  <c:v>748368</c:v>
                </c:pt>
                <c:pt idx="92">
                  <c:v>787968</c:v>
                </c:pt>
                <c:pt idx="93">
                  <c:v>733968</c:v>
                </c:pt>
                <c:pt idx="94">
                  <c:v>759168</c:v>
                </c:pt>
                <c:pt idx="95">
                  <c:v>665568</c:v>
                </c:pt>
                <c:pt idx="96">
                  <c:v>708768</c:v>
                </c:pt>
                <c:pt idx="97">
                  <c:v>629568</c:v>
                </c:pt>
                <c:pt idx="98">
                  <c:v>748368</c:v>
                </c:pt>
                <c:pt idx="99">
                  <c:v>777168</c:v>
                </c:pt>
                <c:pt idx="100">
                  <c:v>705168</c:v>
                </c:pt>
                <c:pt idx="101">
                  <c:v>762768</c:v>
                </c:pt>
                <c:pt idx="102">
                  <c:v>773568</c:v>
                </c:pt>
                <c:pt idx="103">
                  <c:v>859968</c:v>
                </c:pt>
                <c:pt idx="104">
                  <c:v>917568</c:v>
                </c:pt>
                <c:pt idx="105">
                  <c:v>863568</c:v>
                </c:pt>
                <c:pt idx="106">
                  <c:v>910368</c:v>
                </c:pt>
                <c:pt idx="107">
                  <c:v>888768</c:v>
                </c:pt>
                <c:pt idx="108">
                  <c:v>784368</c:v>
                </c:pt>
                <c:pt idx="109">
                  <c:v>809568</c:v>
                </c:pt>
                <c:pt idx="110">
                  <c:v>723168</c:v>
                </c:pt>
                <c:pt idx="111">
                  <c:v>769968</c:v>
                </c:pt>
                <c:pt idx="112">
                  <c:v>708768</c:v>
                </c:pt>
                <c:pt idx="113">
                  <c:v>697968</c:v>
                </c:pt>
                <c:pt idx="114">
                  <c:v>784368</c:v>
                </c:pt>
                <c:pt idx="115">
                  <c:v>841968</c:v>
                </c:pt>
                <c:pt idx="116">
                  <c:v>870768</c:v>
                </c:pt>
                <c:pt idx="117">
                  <c:v>949968</c:v>
                </c:pt>
                <c:pt idx="118">
                  <c:v>895968</c:v>
                </c:pt>
                <c:pt idx="119">
                  <c:v>802368</c:v>
                </c:pt>
                <c:pt idx="120">
                  <c:v>787968</c:v>
                </c:pt>
                <c:pt idx="121">
                  <c:v>852768</c:v>
                </c:pt>
                <c:pt idx="122">
                  <c:v>798768</c:v>
                </c:pt>
                <c:pt idx="123">
                  <c:v>676368</c:v>
                </c:pt>
                <c:pt idx="124">
                  <c:v>665568</c:v>
                </c:pt>
                <c:pt idx="125">
                  <c:v>543168</c:v>
                </c:pt>
                <c:pt idx="126">
                  <c:v>381168</c:v>
                </c:pt>
                <c:pt idx="127">
                  <c:v>363168</c:v>
                </c:pt>
                <c:pt idx="128">
                  <c:v>10368</c:v>
                </c:pt>
                <c:pt idx="129">
                  <c:v>42624</c:v>
                </c:pt>
                <c:pt idx="130">
                  <c:v>-137376</c:v>
                </c:pt>
                <c:pt idx="131">
                  <c:v>-122976</c:v>
                </c:pt>
                <c:pt idx="132">
                  <c:v>-104976</c:v>
                </c:pt>
                <c:pt idx="133">
                  <c:v>-36576</c:v>
                </c:pt>
                <c:pt idx="134">
                  <c:v>-68976</c:v>
                </c:pt>
                <c:pt idx="135">
                  <c:v>-173376</c:v>
                </c:pt>
                <c:pt idx="136">
                  <c:v>-230976</c:v>
                </c:pt>
                <c:pt idx="137">
                  <c:v>-324576</c:v>
                </c:pt>
                <c:pt idx="138">
                  <c:v>-184176</c:v>
                </c:pt>
                <c:pt idx="139">
                  <c:v>-126576</c:v>
                </c:pt>
                <c:pt idx="140">
                  <c:v>-173376</c:v>
                </c:pt>
                <c:pt idx="141">
                  <c:v>-18576</c:v>
                </c:pt>
                <c:pt idx="142">
                  <c:v>179424</c:v>
                </c:pt>
                <c:pt idx="143">
                  <c:v>161424</c:v>
                </c:pt>
                <c:pt idx="144">
                  <c:v>237024</c:v>
                </c:pt>
                <c:pt idx="145">
                  <c:v>255024</c:v>
                </c:pt>
                <c:pt idx="146">
                  <c:v>345024</c:v>
                </c:pt>
                <c:pt idx="147">
                  <c:v>600624</c:v>
                </c:pt>
                <c:pt idx="148">
                  <c:v>687024</c:v>
                </c:pt>
                <c:pt idx="149">
                  <c:v>715824</c:v>
                </c:pt>
                <c:pt idx="150">
                  <c:v>687024</c:v>
                </c:pt>
                <c:pt idx="151">
                  <c:v>636624</c:v>
                </c:pt>
                <c:pt idx="152">
                  <c:v>723024</c:v>
                </c:pt>
                <c:pt idx="153">
                  <c:v>744624</c:v>
                </c:pt>
                <c:pt idx="154">
                  <c:v>672624</c:v>
                </c:pt>
                <c:pt idx="155">
                  <c:v>683424</c:v>
                </c:pt>
                <c:pt idx="156">
                  <c:v>661824</c:v>
                </c:pt>
                <c:pt idx="157">
                  <c:v>463824</c:v>
                </c:pt>
                <c:pt idx="158">
                  <c:v>553824</c:v>
                </c:pt>
                <c:pt idx="159">
                  <c:v>885024</c:v>
                </c:pt>
                <c:pt idx="160">
                  <c:v>823824</c:v>
                </c:pt>
                <c:pt idx="161">
                  <c:v>805824</c:v>
                </c:pt>
                <c:pt idx="162">
                  <c:v>791424</c:v>
                </c:pt>
                <c:pt idx="163">
                  <c:v>759024</c:v>
                </c:pt>
                <c:pt idx="164">
                  <c:v>741024</c:v>
                </c:pt>
                <c:pt idx="165">
                  <c:v>694224</c:v>
                </c:pt>
                <c:pt idx="166">
                  <c:v>773424</c:v>
                </c:pt>
                <c:pt idx="167">
                  <c:v>726624</c:v>
                </c:pt>
                <c:pt idx="168">
                  <c:v>780624</c:v>
                </c:pt>
                <c:pt idx="169">
                  <c:v>816624</c:v>
                </c:pt>
                <c:pt idx="170">
                  <c:v>820224</c:v>
                </c:pt>
                <c:pt idx="171">
                  <c:v>791424</c:v>
                </c:pt>
                <c:pt idx="172">
                  <c:v>816624</c:v>
                </c:pt>
                <c:pt idx="173">
                  <c:v>892080</c:v>
                </c:pt>
                <c:pt idx="174">
                  <c:v>938880</c:v>
                </c:pt>
                <c:pt idx="175">
                  <c:v>996480</c:v>
                </c:pt>
                <c:pt idx="176">
                  <c:v>974880</c:v>
                </c:pt>
                <c:pt idx="177">
                  <c:v>982080</c:v>
                </c:pt>
                <c:pt idx="178">
                  <c:v>931680</c:v>
                </c:pt>
                <c:pt idx="179">
                  <c:v>888480</c:v>
                </c:pt>
                <c:pt idx="180">
                  <c:v>816480</c:v>
                </c:pt>
                <c:pt idx="181">
                  <c:v>676080</c:v>
                </c:pt>
                <c:pt idx="182">
                  <c:v>542880</c:v>
                </c:pt>
                <c:pt idx="183">
                  <c:v>571680</c:v>
                </c:pt>
                <c:pt idx="184">
                  <c:v>643680</c:v>
                </c:pt>
                <c:pt idx="185">
                  <c:v>708480</c:v>
                </c:pt>
                <c:pt idx="186">
                  <c:v>758880</c:v>
                </c:pt>
                <c:pt idx="187">
                  <c:v>672480</c:v>
                </c:pt>
                <c:pt idx="188">
                  <c:v>733680</c:v>
                </c:pt>
                <c:pt idx="189">
                  <c:v>697680</c:v>
                </c:pt>
                <c:pt idx="190">
                  <c:v>722880</c:v>
                </c:pt>
                <c:pt idx="191">
                  <c:v>614880</c:v>
                </c:pt>
                <c:pt idx="192">
                  <c:v>643680</c:v>
                </c:pt>
                <c:pt idx="193">
                  <c:v>607680</c:v>
                </c:pt>
                <c:pt idx="194">
                  <c:v>654480</c:v>
                </c:pt>
                <c:pt idx="195">
                  <c:v>586080</c:v>
                </c:pt>
                <c:pt idx="196">
                  <c:v>586080</c:v>
                </c:pt>
                <c:pt idx="197">
                  <c:v>546480</c:v>
                </c:pt>
                <c:pt idx="198">
                  <c:v>478080</c:v>
                </c:pt>
                <c:pt idx="199">
                  <c:v>503280</c:v>
                </c:pt>
                <c:pt idx="200">
                  <c:v>560880</c:v>
                </c:pt>
                <c:pt idx="201">
                  <c:v>654480</c:v>
                </c:pt>
                <c:pt idx="202">
                  <c:v>715680</c:v>
                </c:pt>
                <c:pt idx="203">
                  <c:v>672480</c:v>
                </c:pt>
                <c:pt idx="204">
                  <c:v>744480</c:v>
                </c:pt>
                <c:pt idx="205">
                  <c:v>794880</c:v>
                </c:pt>
                <c:pt idx="206">
                  <c:v>787680</c:v>
                </c:pt>
                <c:pt idx="207">
                  <c:v>823680</c:v>
                </c:pt>
                <c:pt idx="208">
                  <c:v>802080</c:v>
                </c:pt>
                <c:pt idx="209">
                  <c:v>726480</c:v>
                </c:pt>
                <c:pt idx="210">
                  <c:v>744480</c:v>
                </c:pt>
                <c:pt idx="211">
                  <c:v>758880</c:v>
                </c:pt>
                <c:pt idx="212">
                  <c:v>672480</c:v>
                </c:pt>
                <c:pt idx="213">
                  <c:v>712080</c:v>
                </c:pt>
                <c:pt idx="214">
                  <c:v>787680</c:v>
                </c:pt>
                <c:pt idx="215">
                  <c:v>740880</c:v>
                </c:pt>
                <c:pt idx="216">
                  <c:v>701280</c:v>
                </c:pt>
                <c:pt idx="217">
                  <c:v>780480</c:v>
                </c:pt>
                <c:pt idx="218">
                  <c:v>737280</c:v>
                </c:pt>
                <c:pt idx="219">
                  <c:v>683280</c:v>
                </c:pt>
                <c:pt idx="220">
                  <c:v>794880</c:v>
                </c:pt>
                <c:pt idx="221">
                  <c:v>827280</c:v>
                </c:pt>
                <c:pt idx="222">
                  <c:v>892080</c:v>
                </c:pt>
                <c:pt idx="223">
                  <c:v>1043280</c:v>
                </c:pt>
                <c:pt idx="224">
                  <c:v>996480</c:v>
                </c:pt>
                <c:pt idx="225">
                  <c:v>1000080</c:v>
                </c:pt>
                <c:pt idx="226">
                  <c:v>1032480</c:v>
                </c:pt>
                <c:pt idx="227">
                  <c:v>1036080</c:v>
                </c:pt>
                <c:pt idx="228">
                  <c:v>1018080</c:v>
                </c:pt>
                <c:pt idx="229">
                  <c:v>996480</c:v>
                </c:pt>
                <c:pt idx="230">
                  <c:v>964080</c:v>
                </c:pt>
                <c:pt idx="231">
                  <c:v>967680</c:v>
                </c:pt>
                <c:pt idx="232">
                  <c:v>931680</c:v>
                </c:pt>
                <c:pt idx="233">
                  <c:v>971280</c:v>
                </c:pt>
                <c:pt idx="234">
                  <c:v>946080</c:v>
                </c:pt>
                <c:pt idx="235">
                  <c:v>938880</c:v>
                </c:pt>
                <c:pt idx="236">
                  <c:v>1007280</c:v>
                </c:pt>
                <c:pt idx="237">
                  <c:v>946080</c:v>
                </c:pt>
                <c:pt idx="238">
                  <c:v>920736</c:v>
                </c:pt>
                <c:pt idx="239">
                  <c:v>960336</c:v>
                </c:pt>
                <c:pt idx="240">
                  <c:v>870336</c:v>
                </c:pt>
                <c:pt idx="241">
                  <c:v>819936</c:v>
                </c:pt>
                <c:pt idx="242">
                  <c:v>920736</c:v>
                </c:pt>
                <c:pt idx="243">
                  <c:v>917136</c:v>
                </c:pt>
                <c:pt idx="244">
                  <c:v>924336</c:v>
                </c:pt>
                <c:pt idx="245">
                  <c:v>848736</c:v>
                </c:pt>
                <c:pt idx="246">
                  <c:v>899136</c:v>
                </c:pt>
                <c:pt idx="247">
                  <c:v>848736</c:v>
                </c:pt>
                <c:pt idx="248">
                  <c:v>845136</c:v>
                </c:pt>
                <c:pt idx="249">
                  <c:v>971136</c:v>
                </c:pt>
                <c:pt idx="250">
                  <c:v>924336</c:v>
                </c:pt>
                <c:pt idx="251">
                  <c:v>906336</c:v>
                </c:pt>
                <c:pt idx="252">
                  <c:v>949536</c:v>
                </c:pt>
                <c:pt idx="253">
                  <c:v>1021536</c:v>
                </c:pt>
                <c:pt idx="254">
                  <c:v>1035936</c:v>
                </c:pt>
                <c:pt idx="255">
                  <c:v>1050336</c:v>
                </c:pt>
                <c:pt idx="256">
                  <c:v>1064736</c:v>
                </c:pt>
                <c:pt idx="257">
                  <c:v>1104336</c:v>
                </c:pt>
                <c:pt idx="258">
                  <c:v>1089936</c:v>
                </c:pt>
                <c:pt idx="259">
                  <c:v>1125936</c:v>
                </c:pt>
                <c:pt idx="260">
                  <c:v>1136736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261"/>
                <c:pt idx="0">
                  <c:v>0</c:v>
                </c:pt>
                <c:pt idx="1">
                  <c:v>-37850</c:v>
                </c:pt>
                <c:pt idx="2">
                  <c:v>117280</c:v>
                </c:pt>
                <c:pt idx="3">
                  <c:v>102980</c:v>
                </c:pt>
                <c:pt idx="4">
                  <c:v>-48580</c:v>
                </c:pt>
                <c:pt idx="5">
                  <c:v>-84380</c:v>
                </c:pt>
                <c:pt idx="6">
                  <c:v>-3060</c:v>
                </c:pt>
                <c:pt idx="7">
                  <c:v>27105</c:v>
                </c:pt>
                <c:pt idx="8">
                  <c:v>-218510</c:v>
                </c:pt>
                <c:pt idx="9">
                  <c:v>-286140</c:v>
                </c:pt>
                <c:pt idx="10">
                  <c:v>-310820</c:v>
                </c:pt>
                <c:pt idx="11">
                  <c:v>-188250</c:v>
                </c:pt>
                <c:pt idx="12">
                  <c:v>-184330</c:v>
                </c:pt>
                <c:pt idx="13">
                  <c:v>-151725</c:v>
                </c:pt>
                <c:pt idx="14">
                  <c:v>-186445</c:v>
                </c:pt>
                <c:pt idx="15">
                  <c:v>-259375</c:v>
                </c:pt>
                <c:pt idx="16">
                  <c:v>-234630</c:v>
                </c:pt>
                <c:pt idx="17">
                  <c:v>-245110</c:v>
                </c:pt>
                <c:pt idx="18">
                  <c:v>-271185</c:v>
                </c:pt>
                <c:pt idx="19">
                  <c:v>-367200</c:v>
                </c:pt>
                <c:pt idx="20">
                  <c:v>-427735</c:v>
                </c:pt>
                <c:pt idx="21">
                  <c:v>-427835</c:v>
                </c:pt>
                <c:pt idx="22">
                  <c:v>-426716</c:v>
                </c:pt>
                <c:pt idx="23">
                  <c:v>-276841</c:v>
                </c:pt>
                <c:pt idx="24">
                  <c:v>-366441</c:v>
                </c:pt>
                <c:pt idx="25">
                  <c:v>-323241</c:v>
                </c:pt>
                <c:pt idx="26">
                  <c:v>-341241</c:v>
                </c:pt>
                <c:pt idx="27">
                  <c:v>-226041</c:v>
                </c:pt>
                <c:pt idx="28">
                  <c:v>-276441</c:v>
                </c:pt>
                <c:pt idx="29">
                  <c:v>-276441</c:v>
                </c:pt>
                <c:pt idx="30">
                  <c:v>-337641</c:v>
                </c:pt>
                <c:pt idx="31">
                  <c:v>-301641</c:v>
                </c:pt>
                <c:pt idx="32">
                  <c:v>-272841</c:v>
                </c:pt>
                <c:pt idx="33">
                  <c:v>-255616</c:v>
                </c:pt>
                <c:pt idx="34">
                  <c:v>-349066</c:v>
                </c:pt>
                <c:pt idx="35">
                  <c:v>-250641</c:v>
                </c:pt>
                <c:pt idx="36">
                  <c:v>-322641</c:v>
                </c:pt>
                <c:pt idx="37">
                  <c:v>-405821</c:v>
                </c:pt>
                <c:pt idx="38">
                  <c:v>-425226</c:v>
                </c:pt>
                <c:pt idx="39">
                  <c:v>-460116</c:v>
                </c:pt>
                <c:pt idx="40">
                  <c:v>-354741</c:v>
                </c:pt>
                <c:pt idx="41">
                  <c:v>-332206</c:v>
                </c:pt>
                <c:pt idx="42">
                  <c:v>-452512</c:v>
                </c:pt>
                <c:pt idx="43">
                  <c:v>-423712</c:v>
                </c:pt>
                <c:pt idx="44">
                  <c:v>-430912</c:v>
                </c:pt>
                <c:pt idx="45">
                  <c:v>-412912</c:v>
                </c:pt>
                <c:pt idx="46">
                  <c:v>-517312</c:v>
                </c:pt>
                <c:pt idx="47">
                  <c:v>-434512</c:v>
                </c:pt>
                <c:pt idx="48">
                  <c:v>-474112</c:v>
                </c:pt>
                <c:pt idx="49">
                  <c:v>-405712</c:v>
                </c:pt>
                <c:pt idx="50">
                  <c:v>-434512</c:v>
                </c:pt>
                <c:pt idx="51">
                  <c:v>-553312</c:v>
                </c:pt>
                <c:pt idx="52">
                  <c:v>-589312</c:v>
                </c:pt>
                <c:pt idx="53">
                  <c:v>-704512</c:v>
                </c:pt>
                <c:pt idx="54">
                  <c:v>-675712</c:v>
                </c:pt>
                <c:pt idx="55">
                  <c:v>-675712</c:v>
                </c:pt>
                <c:pt idx="56">
                  <c:v>-481312</c:v>
                </c:pt>
                <c:pt idx="57">
                  <c:v>-412912</c:v>
                </c:pt>
                <c:pt idx="58">
                  <c:v>-384112</c:v>
                </c:pt>
                <c:pt idx="59">
                  <c:v>-348112</c:v>
                </c:pt>
                <c:pt idx="60">
                  <c:v>-409312</c:v>
                </c:pt>
                <c:pt idx="61">
                  <c:v>-412912</c:v>
                </c:pt>
                <c:pt idx="62">
                  <c:v>-369712</c:v>
                </c:pt>
                <c:pt idx="63">
                  <c:v>-614512</c:v>
                </c:pt>
                <c:pt idx="64">
                  <c:v>-543937</c:v>
                </c:pt>
                <c:pt idx="65">
                  <c:v>-461137</c:v>
                </c:pt>
                <c:pt idx="66">
                  <c:v>-428737</c:v>
                </c:pt>
                <c:pt idx="67">
                  <c:v>-486337</c:v>
                </c:pt>
                <c:pt idx="68">
                  <c:v>-522337</c:v>
                </c:pt>
                <c:pt idx="69">
                  <c:v>-590737</c:v>
                </c:pt>
                <c:pt idx="70">
                  <c:v>-583537</c:v>
                </c:pt>
                <c:pt idx="71">
                  <c:v>-619537</c:v>
                </c:pt>
                <c:pt idx="72">
                  <c:v>-680737</c:v>
                </c:pt>
                <c:pt idx="73">
                  <c:v>-644737</c:v>
                </c:pt>
                <c:pt idx="74">
                  <c:v>-630337</c:v>
                </c:pt>
                <c:pt idx="75">
                  <c:v>-597937</c:v>
                </c:pt>
                <c:pt idx="76">
                  <c:v>-583537</c:v>
                </c:pt>
                <c:pt idx="77">
                  <c:v>-579937</c:v>
                </c:pt>
                <c:pt idx="78">
                  <c:v>-662737</c:v>
                </c:pt>
                <c:pt idx="79">
                  <c:v>-669937</c:v>
                </c:pt>
                <c:pt idx="80">
                  <c:v>-633937</c:v>
                </c:pt>
                <c:pt idx="81">
                  <c:v>-792337</c:v>
                </c:pt>
                <c:pt idx="82">
                  <c:v>-871537</c:v>
                </c:pt>
                <c:pt idx="83">
                  <c:v>-860282</c:v>
                </c:pt>
                <c:pt idx="84">
                  <c:v>-833852</c:v>
                </c:pt>
                <c:pt idx="85">
                  <c:v>-863527</c:v>
                </c:pt>
                <c:pt idx="86">
                  <c:v>-922433</c:v>
                </c:pt>
                <c:pt idx="87">
                  <c:v>-908588</c:v>
                </c:pt>
                <c:pt idx="88">
                  <c:v>-959728</c:v>
                </c:pt>
                <c:pt idx="89">
                  <c:v>-882378</c:v>
                </c:pt>
                <c:pt idx="90">
                  <c:v>-932358</c:v>
                </c:pt>
                <c:pt idx="91">
                  <c:v>-927883</c:v>
                </c:pt>
                <c:pt idx="92">
                  <c:v>-965733</c:v>
                </c:pt>
                <c:pt idx="93">
                  <c:v>-910858</c:v>
                </c:pt>
                <c:pt idx="94">
                  <c:v>-935183</c:v>
                </c:pt>
                <c:pt idx="95">
                  <c:v>-838958</c:v>
                </c:pt>
                <c:pt idx="96">
                  <c:v>-881738</c:v>
                </c:pt>
                <c:pt idx="97">
                  <c:v>-790253</c:v>
                </c:pt>
                <c:pt idx="98">
                  <c:v>-918678</c:v>
                </c:pt>
                <c:pt idx="99">
                  <c:v>-950103</c:v>
                </c:pt>
                <c:pt idx="100">
                  <c:v>-871978</c:v>
                </c:pt>
                <c:pt idx="101">
                  <c:v>-936158</c:v>
                </c:pt>
                <c:pt idx="102">
                  <c:v>-943458</c:v>
                </c:pt>
                <c:pt idx="103">
                  <c:v>-1044628</c:v>
                </c:pt>
                <c:pt idx="104">
                  <c:v>-1098308</c:v>
                </c:pt>
                <c:pt idx="105">
                  <c:v>-1044658</c:v>
                </c:pt>
                <c:pt idx="106">
                  <c:v>-1099333</c:v>
                </c:pt>
                <c:pt idx="107">
                  <c:v>-1072938</c:v>
                </c:pt>
                <c:pt idx="108">
                  <c:v>-953628</c:v>
                </c:pt>
                <c:pt idx="109">
                  <c:v>-982748</c:v>
                </c:pt>
                <c:pt idx="110">
                  <c:v>-883433</c:v>
                </c:pt>
                <c:pt idx="111">
                  <c:v>-929323</c:v>
                </c:pt>
                <c:pt idx="112">
                  <c:v>-876838</c:v>
                </c:pt>
                <c:pt idx="113">
                  <c:v>-865618</c:v>
                </c:pt>
                <c:pt idx="114">
                  <c:v>-924438</c:v>
                </c:pt>
                <c:pt idx="115">
                  <c:v>-972868</c:v>
                </c:pt>
                <c:pt idx="116">
                  <c:v>-983748</c:v>
                </c:pt>
                <c:pt idx="117">
                  <c:v>-1046708</c:v>
                </c:pt>
                <c:pt idx="118">
                  <c:v>-1026378</c:v>
                </c:pt>
                <c:pt idx="119">
                  <c:v>-955458</c:v>
                </c:pt>
                <c:pt idx="120">
                  <c:v>-937838</c:v>
                </c:pt>
                <c:pt idx="121">
                  <c:v>-1016638</c:v>
                </c:pt>
                <c:pt idx="122">
                  <c:v>-948218</c:v>
                </c:pt>
                <c:pt idx="123">
                  <c:v>-802928</c:v>
                </c:pt>
                <c:pt idx="124">
                  <c:v>-787228</c:v>
                </c:pt>
                <c:pt idx="125">
                  <c:v>-653068</c:v>
                </c:pt>
                <c:pt idx="126">
                  <c:v>-485958</c:v>
                </c:pt>
                <c:pt idx="127">
                  <c:v>-488013</c:v>
                </c:pt>
                <c:pt idx="128">
                  <c:v>-122158</c:v>
                </c:pt>
                <c:pt idx="129">
                  <c:v>-185844</c:v>
                </c:pt>
                <c:pt idx="130">
                  <c:v>53656</c:v>
                </c:pt>
                <c:pt idx="131">
                  <c:v>32256</c:v>
                </c:pt>
                <c:pt idx="132">
                  <c:v>21256</c:v>
                </c:pt>
                <c:pt idx="133">
                  <c:v>-63734</c:v>
                </c:pt>
                <c:pt idx="134">
                  <c:v>-18209</c:v>
                </c:pt>
                <c:pt idx="135">
                  <c:v>122486</c:v>
                </c:pt>
                <c:pt idx="136">
                  <c:v>203816</c:v>
                </c:pt>
                <c:pt idx="137">
                  <c:v>314496</c:v>
                </c:pt>
                <c:pt idx="138">
                  <c:v>148336</c:v>
                </c:pt>
                <c:pt idx="139">
                  <c:v>93816</c:v>
                </c:pt>
                <c:pt idx="140">
                  <c:v>139286</c:v>
                </c:pt>
                <c:pt idx="141">
                  <c:v>-18909</c:v>
                </c:pt>
                <c:pt idx="142">
                  <c:v>-212954</c:v>
                </c:pt>
                <c:pt idx="143">
                  <c:v>-197579</c:v>
                </c:pt>
                <c:pt idx="144">
                  <c:v>-265724</c:v>
                </c:pt>
                <c:pt idx="145">
                  <c:v>-283304</c:v>
                </c:pt>
                <c:pt idx="146">
                  <c:v>-371519</c:v>
                </c:pt>
                <c:pt idx="147">
                  <c:v>-624074</c:v>
                </c:pt>
                <c:pt idx="148">
                  <c:v>-721849</c:v>
                </c:pt>
                <c:pt idx="149">
                  <c:v>-740989</c:v>
                </c:pt>
                <c:pt idx="150">
                  <c:v>-706484</c:v>
                </c:pt>
                <c:pt idx="151">
                  <c:v>-655209</c:v>
                </c:pt>
                <c:pt idx="152">
                  <c:v>-744234</c:v>
                </c:pt>
                <c:pt idx="153">
                  <c:v>-771084</c:v>
                </c:pt>
                <c:pt idx="154">
                  <c:v>-687254</c:v>
                </c:pt>
                <c:pt idx="155">
                  <c:v>-695884</c:v>
                </c:pt>
                <c:pt idx="156">
                  <c:v>-669909</c:v>
                </c:pt>
                <c:pt idx="157">
                  <c:v>-457454</c:v>
                </c:pt>
                <c:pt idx="158">
                  <c:v>-552284</c:v>
                </c:pt>
                <c:pt idx="159">
                  <c:v>-952574</c:v>
                </c:pt>
                <c:pt idx="160">
                  <c:v>-870654</c:v>
                </c:pt>
                <c:pt idx="161">
                  <c:v>-851324</c:v>
                </c:pt>
                <c:pt idx="162">
                  <c:v>-833004</c:v>
                </c:pt>
                <c:pt idx="163">
                  <c:v>-804104</c:v>
                </c:pt>
                <c:pt idx="164">
                  <c:v>-786034</c:v>
                </c:pt>
                <c:pt idx="165">
                  <c:v>-745989</c:v>
                </c:pt>
                <c:pt idx="166">
                  <c:v>-825644</c:v>
                </c:pt>
                <c:pt idx="167">
                  <c:v>-776674</c:v>
                </c:pt>
                <c:pt idx="168">
                  <c:v>-835434</c:v>
                </c:pt>
                <c:pt idx="169">
                  <c:v>-868354</c:v>
                </c:pt>
                <c:pt idx="170">
                  <c:v>-870624</c:v>
                </c:pt>
                <c:pt idx="171">
                  <c:v>-841404</c:v>
                </c:pt>
                <c:pt idx="172">
                  <c:v>-865729</c:v>
                </c:pt>
                <c:pt idx="173">
                  <c:v>-940310</c:v>
                </c:pt>
                <c:pt idx="174">
                  <c:v>-986235</c:v>
                </c:pt>
                <c:pt idx="175">
                  <c:v>-1045550</c:v>
                </c:pt>
                <c:pt idx="176">
                  <c:v>-1022970</c:v>
                </c:pt>
                <c:pt idx="177">
                  <c:v>-1027545</c:v>
                </c:pt>
                <c:pt idx="178">
                  <c:v>-974520</c:v>
                </c:pt>
                <c:pt idx="179">
                  <c:v>-932650</c:v>
                </c:pt>
                <c:pt idx="180">
                  <c:v>-859600</c:v>
                </c:pt>
                <c:pt idx="181">
                  <c:v>-724450</c:v>
                </c:pt>
                <c:pt idx="182">
                  <c:v>-535600</c:v>
                </c:pt>
                <c:pt idx="183">
                  <c:v>-572275</c:v>
                </c:pt>
                <c:pt idx="184">
                  <c:v>-652150</c:v>
                </c:pt>
                <c:pt idx="185">
                  <c:v>-730040</c:v>
                </c:pt>
                <c:pt idx="186">
                  <c:v>-795175</c:v>
                </c:pt>
                <c:pt idx="187">
                  <c:v>-697400</c:v>
                </c:pt>
                <c:pt idx="188">
                  <c:v>-764725</c:v>
                </c:pt>
                <c:pt idx="189">
                  <c:v>-722565</c:v>
                </c:pt>
                <c:pt idx="190">
                  <c:v>-751720</c:v>
                </c:pt>
                <c:pt idx="191">
                  <c:v>-630980</c:v>
                </c:pt>
                <c:pt idx="192">
                  <c:v>-662405</c:v>
                </c:pt>
                <c:pt idx="193">
                  <c:v>-622905</c:v>
                </c:pt>
                <c:pt idx="194">
                  <c:v>-666205</c:v>
                </c:pt>
                <c:pt idx="195">
                  <c:v>-581600</c:v>
                </c:pt>
                <c:pt idx="196">
                  <c:v>-579360</c:v>
                </c:pt>
                <c:pt idx="197">
                  <c:v>-524430</c:v>
                </c:pt>
                <c:pt idx="198">
                  <c:v>-454630</c:v>
                </c:pt>
                <c:pt idx="199">
                  <c:v>-483330</c:v>
                </c:pt>
                <c:pt idx="200">
                  <c:v>-556575</c:v>
                </c:pt>
                <c:pt idx="201">
                  <c:v>-689795</c:v>
                </c:pt>
                <c:pt idx="202">
                  <c:v>-746480</c:v>
                </c:pt>
                <c:pt idx="203">
                  <c:v>-691030</c:v>
                </c:pt>
                <c:pt idx="204">
                  <c:v>-773740</c:v>
                </c:pt>
                <c:pt idx="205">
                  <c:v>-811435</c:v>
                </c:pt>
                <c:pt idx="206">
                  <c:v>-811690</c:v>
                </c:pt>
                <c:pt idx="207">
                  <c:v>-829315</c:v>
                </c:pt>
                <c:pt idx="208">
                  <c:v>-817340</c:v>
                </c:pt>
                <c:pt idx="209">
                  <c:v>-752520</c:v>
                </c:pt>
                <c:pt idx="210">
                  <c:v>-773530</c:v>
                </c:pt>
                <c:pt idx="211">
                  <c:v>-790100</c:v>
                </c:pt>
                <c:pt idx="212">
                  <c:v>-689700</c:v>
                </c:pt>
                <c:pt idx="213">
                  <c:v>-735390</c:v>
                </c:pt>
                <c:pt idx="214">
                  <c:v>-818410</c:v>
                </c:pt>
                <c:pt idx="215">
                  <c:v>-761985</c:v>
                </c:pt>
                <c:pt idx="216">
                  <c:v>-719200</c:v>
                </c:pt>
                <c:pt idx="217">
                  <c:v>-785730</c:v>
                </c:pt>
                <c:pt idx="218">
                  <c:v>-746450</c:v>
                </c:pt>
                <c:pt idx="219">
                  <c:v>-695915</c:v>
                </c:pt>
                <c:pt idx="220">
                  <c:v>-816055</c:v>
                </c:pt>
                <c:pt idx="221">
                  <c:v>-856505</c:v>
                </c:pt>
                <c:pt idx="222">
                  <c:v>-889770</c:v>
                </c:pt>
                <c:pt idx="223">
                  <c:v>-1003695</c:v>
                </c:pt>
                <c:pt idx="224">
                  <c:v>-953395</c:v>
                </c:pt>
                <c:pt idx="225">
                  <c:v>-954860</c:v>
                </c:pt>
                <c:pt idx="226">
                  <c:v>-1005635</c:v>
                </c:pt>
                <c:pt idx="227">
                  <c:v>-1010110</c:v>
                </c:pt>
                <c:pt idx="228">
                  <c:v>-981190</c:v>
                </c:pt>
                <c:pt idx="229">
                  <c:v>-953395</c:v>
                </c:pt>
                <c:pt idx="230">
                  <c:v>-911370</c:v>
                </c:pt>
                <c:pt idx="231">
                  <c:v>-915775</c:v>
                </c:pt>
                <c:pt idx="232">
                  <c:v>-864760</c:v>
                </c:pt>
                <c:pt idx="233">
                  <c:v>-906530</c:v>
                </c:pt>
                <c:pt idx="234">
                  <c:v>-875800</c:v>
                </c:pt>
                <c:pt idx="235">
                  <c:v>-864330</c:v>
                </c:pt>
                <c:pt idx="236">
                  <c:v>-952400</c:v>
                </c:pt>
                <c:pt idx="237">
                  <c:v>-874050</c:v>
                </c:pt>
                <c:pt idx="238">
                  <c:v>-845346</c:v>
                </c:pt>
                <c:pt idx="239">
                  <c:v>-894571</c:v>
                </c:pt>
                <c:pt idx="240">
                  <c:v>-791411</c:v>
                </c:pt>
                <c:pt idx="241">
                  <c:v>-734256</c:v>
                </c:pt>
                <c:pt idx="242">
                  <c:v>-845556</c:v>
                </c:pt>
                <c:pt idx="243">
                  <c:v>-841956</c:v>
                </c:pt>
                <c:pt idx="244">
                  <c:v>-843031</c:v>
                </c:pt>
                <c:pt idx="245">
                  <c:v>-754586</c:v>
                </c:pt>
                <c:pt idx="246">
                  <c:v>-815066</c:v>
                </c:pt>
                <c:pt idx="247">
                  <c:v>-756686</c:v>
                </c:pt>
                <c:pt idx="248">
                  <c:v>-752771</c:v>
                </c:pt>
                <c:pt idx="249">
                  <c:v>-902746</c:v>
                </c:pt>
                <c:pt idx="250">
                  <c:v>-852446</c:v>
                </c:pt>
                <c:pt idx="251">
                  <c:v>-836196</c:v>
                </c:pt>
                <c:pt idx="252">
                  <c:v>-869771</c:v>
                </c:pt>
                <c:pt idx="253">
                  <c:v>-953846</c:v>
                </c:pt>
                <c:pt idx="254">
                  <c:v>-972796</c:v>
                </c:pt>
                <c:pt idx="255">
                  <c:v>-888286</c:v>
                </c:pt>
                <c:pt idx="256">
                  <c:v>-985811</c:v>
                </c:pt>
                <c:pt idx="257">
                  <c:v>-1017431</c:v>
                </c:pt>
                <c:pt idx="258">
                  <c:v>-1002156</c:v>
                </c:pt>
                <c:pt idx="259">
                  <c:v>-1037736</c:v>
                </c:pt>
                <c:pt idx="260">
                  <c:v>-1049411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[0]!dhpRangeSelloff</c:f>
              <c:numCache>
                <c:formatCode>General</c:formatCode>
                <c:ptCount val="261"/>
                <c:pt idx="0">
                  <c:v>0</c:v>
                </c:pt>
                <c:pt idx="1">
                  <c:v>1750</c:v>
                </c:pt>
                <c:pt idx="2">
                  <c:v>12880</c:v>
                </c:pt>
                <c:pt idx="3">
                  <c:v>9380</c:v>
                </c:pt>
                <c:pt idx="4">
                  <c:v>-23380</c:v>
                </c:pt>
                <c:pt idx="5">
                  <c:v>-30380</c:v>
                </c:pt>
                <c:pt idx="6">
                  <c:v>-39060</c:v>
                </c:pt>
                <c:pt idx="7">
                  <c:v>-37695</c:v>
                </c:pt>
                <c:pt idx="8">
                  <c:v>-45710</c:v>
                </c:pt>
                <c:pt idx="9">
                  <c:v>-19740</c:v>
                </c:pt>
                <c:pt idx="10">
                  <c:v>-22820</c:v>
                </c:pt>
                <c:pt idx="11">
                  <c:v>-26250</c:v>
                </c:pt>
                <c:pt idx="12">
                  <c:v>-22330</c:v>
                </c:pt>
                <c:pt idx="13">
                  <c:v>-25725</c:v>
                </c:pt>
                <c:pt idx="14">
                  <c:v>-35245</c:v>
                </c:pt>
                <c:pt idx="15">
                  <c:v>-50575</c:v>
                </c:pt>
                <c:pt idx="16">
                  <c:v>-51030</c:v>
                </c:pt>
                <c:pt idx="17">
                  <c:v>-47110</c:v>
                </c:pt>
                <c:pt idx="18">
                  <c:v>-47985</c:v>
                </c:pt>
                <c:pt idx="19">
                  <c:v>-50400</c:v>
                </c:pt>
                <c:pt idx="20">
                  <c:v>-24535</c:v>
                </c:pt>
                <c:pt idx="21">
                  <c:v>-21035</c:v>
                </c:pt>
                <c:pt idx="22">
                  <c:v>-23441.25</c:v>
                </c:pt>
                <c:pt idx="23">
                  <c:v>-90655.833333333328</c:v>
                </c:pt>
                <c:pt idx="24">
                  <c:v>-103489.16666666666</c:v>
                </c:pt>
                <c:pt idx="25">
                  <c:v>-103489.16666666666</c:v>
                </c:pt>
                <c:pt idx="26">
                  <c:v>-103489.16666666666</c:v>
                </c:pt>
                <c:pt idx="27">
                  <c:v>-103489.16666666666</c:v>
                </c:pt>
                <c:pt idx="28">
                  <c:v>-103489.16666666666</c:v>
                </c:pt>
                <c:pt idx="29">
                  <c:v>-103489.16666666666</c:v>
                </c:pt>
                <c:pt idx="30">
                  <c:v>-103489.16666666666</c:v>
                </c:pt>
                <c:pt idx="31">
                  <c:v>-103489.16666666666</c:v>
                </c:pt>
                <c:pt idx="32">
                  <c:v>-103489.16666666666</c:v>
                </c:pt>
                <c:pt idx="33">
                  <c:v>-107499.58333333333</c:v>
                </c:pt>
                <c:pt idx="34">
                  <c:v>-123862.08333333333</c:v>
                </c:pt>
                <c:pt idx="35">
                  <c:v>-99639.166666666657</c:v>
                </c:pt>
                <c:pt idx="36">
                  <c:v>-99639.166666666657</c:v>
                </c:pt>
                <c:pt idx="37">
                  <c:v>-119787.49999999999</c:v>
                </c:pt>
                <c:pt idx="38">
                  <c:v>-124375.41666666666</c:v>
                </c:pt>
                <c:pt idx="39">
                  <c:v>-83757.916666666657</c:v>
                </c:pt>
                <c:pt idx="40">
                  <c:v>-86164.166666666657</c:v>
                </c:pt>
                <c:pt idx="41">
                  <c:v>-161207.08333333331</c:v>
                </c:pt>
                <c:pt idx="42">
                  <c:v>-165582.08333333331</c:v>
                </c:pt>
                <c:pt idx="43">
                  <c:v>-165582.08333333331</c:v>
                </c:pt>
                <c:pt idx="44">
                  <c:v>-165582.08333333331</c:v>
                </c:pt>
                <c:pt idx="45">
                  <c:v>-165582.08333333331</c:v>
                </c:pt>
                <c:pt idx="46">
                  <c:v>-165582.08333333331</c:v>
                </c:pt>
                <c:pt idx="47">
                  <c:v>-165582.08333333331</c:v>
                </c:pt>
                <c:pt idx="48">
                  <c:v>-165582.08333333331</c:v>
                </c:pt>
                <c:pt idx="49">
                  <c:v>-165582.08333333331</c:v>
                </c:pt>
                <c:pt idx="50">
                  <c:v>-165582.08333333331</c:v>
                </c:pt>
                <c:pt idx="51">
                  <c:v>-165582.08333333331</c:v>
                </c:pt>
                <c:pt idx="52">
                  <c:v>-165582.08333333331</c:v>
                </c:pt>
                <c:pt idx="53">
                  <c:v>-165582.08333333331</c:v>
                </c:pt>
                <c:pt idx="54">
                  <c:v>-165582.08333333331</c:v>
                </c:pt>
                <c:pt idx="55">
                  <c:v>-165582.08333333331</c:v>
                </c:pt>
                <c:pt idx="56">
                  <c:v>-165582.08333333331</c:v>
                </c:pt>
                <c:pt idx="57">
                  <c:v>-165582.08333333331</c:v>
                </c:pt>
                <c:pt idx="58">
                  <c:v>-165582.08333333331</c:v>
                </c:pt>
                <c:pt idx="59">
                  <c:v>-165582.08333333331</c:v>
                </c:pt>
                <c:pt idx="60">
                  <c:v>-165582.08333333331</c:v>
                </c:pt>
                <c:pt idx="61">
                  <c:v>-165582.08333333331</c:v>
                </c:pt>
                <c:pt idx="62">
                  <c:v>-165582.08333333331</c:v>
                </c:pt>
                <c:pt idx="63">
                  <c:v>-165582.08333333331</c:v>
                </c:pt>
                <c:pt idx="64">
                  <c:v>-161250.83333333331</c:v>
                </c:pt>
                <c:pt idx="65">
                  <c:v>-161250.83333333331</c:v>
                </c:pt>
                <c:pt idx="66">
                  <c:v>-161250.83333333331</c:v>
                </c:pt>
                <c:pt idx="67">
                  <c:v>-161250.83333333331</c:v>
                </c:pt>
                <c:pt idx="68">
                  <c:v>-161250.83333333331</c:v>
                </c:pt>
                <c:pt idx="69">
                  <c:v>-161250.83333333331</c:v>
                </c:pt>
                <c:pt idx="70">
                  <c:v>-161250.83333333331</c:v>
                </c:pt>
                <c:pt idx="71">
                  <c:v>-161250.83333333331</c:v>
                </c:pt>
                <c:pt idx="72">
                  <c:v>-161250.83333333331</c:v>
                </c:pt>
                <c:pt idx="73">
                  <c:v>-161250.83333333331</c:v>
                </c:pt>
                <c:pt idx="74">
                  <c:v>-161250.83333333331</c:v>
                </c:pt>
                <c:pt idx="75">
                  <c:v>-161250.83333333331</c:v>
                </c:pt>
                <c:pt idx="76">
                  <c:v>-161250.83333333331</c:v>
                </c:pt>
                <c:pt idx="77">
                  <c:v>-161250.83333333331</c:v>
                </c:pt>
                <c:pt idx="78">
                  <c:v>-161250.83333333331</c:v>
                </c:pt>
                <c:pt idx="79">
                  <c:v>-161250.83333333331</c:v>
                </c:pt>
                <c:pt idx="80">
                  <c:v>-161250.83333333331</c:v>
                </c:pt>
                <c:pt idx="81">
                  <c:v>-161250.83333333331</c:v>
                </c:pt>
                <c:pt idx="82">
                  <c:v>-161250.83333333331</c:v>
                </c:pt>
                <c:pt idx="83">
                  <c:v>-160909.58333333331</c:v>
                </c:pt>
                <c:pt idx="84">
                  <c:v>-157287.08333333331</c:v>
                </c:pt>
                <c:pt idx="85">
                  <c:v>-157943.33333333331</c:v>
                </c:pt>
                <c:pt idx="86">
                  <c:v>-166109.99999999997</c:v>
                </c:pt>
                <c:pt idx="87">
                  <c:v>-164079.99999999997</c:v>
                </c:pt>
                <c:pt idx="88">
                  <c:v>-166973.33333333331</c:v>
                </c:pt>
                <c:pt idx="89">
                  <c:v>-165806.66666666666</c:v>
                </c:pt>
                <c:pt idx="90">
                  <c:v>-165526.66666666666</c:v>
                </c:pt>
                <c:pt idx="91">
                  <c:v>-164943.33333333331</c:v>
                </c:pt>
                <c:pt idx="92">
                  <c:v>-163776.66666666666</c:v>
                </c:pt>
                <c:pt idx="93">
                  <c:v>-163193.33333333331</c:v>
                </c:pt>
                <c:pt idx="94">
                  <c:v>-162609.99999999997</c:v>
                </c:pt>
                <c:pt idx="95">
                  <c:v>-160859.99999999997</c:v>
                </c:pt>
                <c:pt idx="96">
                  <c:v>-160579.99999999997</c:v>
                </c:pt>
                <c:pt idx="97">
                  <c:v>-152389.99999999997</c:v>
                </c:pt>
                <c:pt idx="98">
                  <c:v>-158806.66666666663</c:v>
                </c:pt>
                <c:pt idx="99">
                  <c:v>-160556.66666666663</c:v>
                </c:pt>
                <c:pt idx="100">
                  <c:v>-156473.33333333328</c:v>
                </c:pt>
                <c:pt idx="101">
                  <c:v>-160859.99999999994</c:v>
                </c:pt>
                <c:pt idx="102">
                  <c:v>-158526.6666666666</c:v>
                </c:pt>
                <c:pt idx="103">
                  <c:v>-168373.33333333326</c:v>
                </c:pt>
                <c:pt idx="104">
                  <c:v>-165759.99999999991</c:v>
                </c:pt>
                <c:pt idx="105">
                  <c:v>-165993.33333333326</c:v>
                </c:pt>
                <c:pt idx="106">
                  <c:v>-171243.33333333326</c:v>
                </c:pt>
                <c:pt idx="107">
                  <c:v>-168446.24999999991</c:v>
                </c:pt>
                <c:pt idx="108">
                  <c:v>-159748.74999999991</c:v>
                </c:pt>
                <c:pt idx="109">
                  <c:v>-162035.41666666657</c:v>
                </c:pt>
                <c:pt idx="110">
                  <c:v>-154501.66666666657</c:v>
                </c:pt>
                <c:pt idx="111">
                  <c:v>-153970.83333333323</c:v>
                </c:pt>
                <c:pt idx="112">
                  <c:v>-159054.58333333323</c:v>
                </c:pt>
                <c:pt idx="113">
                  <c:v>-158809.58333333323</c:v>
                </c:pt>
                <c:pt idx="114">
                  <c:v>-142721.24999999988</c:v>
                </c:pt>
                <c:pt idx="115">
                  <c:v>-137372.08333333323</c:v>
                </c:pt>
                <c:pt idx="116">
                  <c:v>-126918.7499999999</c:v>
                </c:pt>
                <c:pt idx="117">
                  <c:v>-117445.41666666657</c:v>
                </c:pt>
                <c:pt idx="118">
                  <c:v>-137086.24999999991</c:v>
                </c:pt>
                <c:pt idx="119">
                  <c:v>-150316.24999999991</c:v>
                </c:pt>
                <c:pt idx="120">
                  <c:v>-148437.91666666657</c:v>
                </c:pt>
                <c:pt idx="121">
                  <c:v>-156604.58333333323</c:v>
                </c:pt>
                <c:pt idx="122">
                  <c:v>-148192.91666666657</c:v>
                </c:pt>
                <c:pt idx="123">
                  <c:v>-134840.41666666657</c:v>
                </c:pt>
                <c:pt idx="124">
                  <c:v>-131982.08333333323</c:v>
                </c:pt>
                <c:pt idx="125">
                  <c:v>-125122.08333333323</c:v>
                </c:pt>
                <c:pt idx="126">
                  <c:v>-122141.2499999999</c:v>
                </c:pt>
                <c:pt idx="127">
                  <c:v>-133839.99999999988</c:v>
                </c:pt>
                <c:pt idx="128">
                  <c:v>-126224.58333333321</c:v>
                </c:pt>
                <c:pt idx="129">
                  <c:v>-141939.5833333332</c:v>
                </c:pt>
                <c:pt idx="130">
                  <c:v>-112189.5833333332</c:v>
                </c:pt>
                <c:pt idx="131">
                  <c:v>-115689.5833333332</c:v>
                </c:pt>
                <c:pt idx="132">
                  <c:v>-112189.5833333332</c:v>
                </c:pt>
                <c:pt idx="133">
                  <c:v>-120484.5833333332</c:v>
                </c:pt>
                <c:pt idx="134">
                  <c:v>-113922.0833333332</c:v>
                </c:pt>
                <c:pt idx="135">
                  <c:v>-95774.583333333198</c:v>
                </c:pt>
                <c:pt idx="136">
                  <c:v>-83909.583333333198</c:v>
                </c:pt>
                <c:pt idx="137">
                  <c:v>-75369.583333333198</c:v>
                </c:pt>
                <c:pt idx="138">
                  <c:v>-88249.583333333198</c:v>
                </c:pt>
                <c:pt idx="139">
                  <c:v>-86709.583333333198</c:v>
                </c:pt>
                <c:pt idx="140">
                  <c:v>-87374.583333333198</c:v>
                </c:pt>
                <c:pt idx="141">
                  <c:v>-89072.083333333198</c:v>
                </c:pt>
                <c:pt idx="142">
                  <c:v>-87094.583333333198</c:v>
                </c:pt>
                <c:pt idx="143">
                  <c:v>-88407.083333333198</c:v>
                </c:pt>
                <c:pt idx="144">
                  <c:v>-84679.583333333198</c:v>
                </c:pt>
                <c:pt idx="145">
                  <c:v>-84469.583333333198</c:v>
                </c:pt>
                <c:pt idx="146">
                  <c:v>-83577.083333333198</c:v>
                </c:pt>
                <c:pt idx="147">
                  <c:v>-82054.583333333198</c:v>
                </c:pt>
                <c:pt idx="148">
                  <c:v>-87742.083333333198</c:v>
                </c:pt>
                <c:pt idx="149">
                  <c:v>-82912.083333333198</c:v>
                </c:pt>
                <c:pt idx="150">
                  <c:v>-80059.583333333198</c:v>
                </c:pt>
                <c:pt idx="151">
                  <c:v>-79622.083333333198</c:v>
                </c:pt>
                <c:pt idx="152">
                  <c:v>-80715.833333333198</c:v>
                </c:pt>
                <c:pt idx="153">
                  <c:v>-82903.333333333198</c:v>
                </c:pt>
                <c:pt idx="154">
                  <c:v>-77974.166666666526</c:v>
                </c:pt>
                <c:pt idx="155">
                  <c:v>-77069.999999999854</c:v>
                </c:pt>
                <c:pt idx="156">
                  <c:v>-75247.083333333183</c:v>
                </c:pt>
                <c:pt idx="157">
                  <c:v>-69224.166666666511</c:v>
                </c:pt>
                <c:pt idx="158">
                  <c:v>-71236.666666666511</c:v>
                </c:pt>
                <c:pt idx="159">
                  <c:v>-100024.16666666651</c:v>
                </c:pt>
                <c:pt idx="160">
                  <c:v>-91390.833333333183</c:v>
                </c:pt>
                <c:pt idx="161">
                  <c:v>-90836.666666666511</c:v>
                </c:pt>
                <c:pt idx="162">
                  <c:v>-89203.333333333183</c:v>
                </c:pt>
                <c:pt idx="163">
                  <c:v>-90661.666666666511</c:v>
                </c:pt>
                <c:pt idx="164">
                  <c:v>-90632.49999999984</c:v>
                </c:pt>
                <c:pt idx="165">
                  <c:v>-93447.083333333168</c:v>
                </c:pt>
                <c:pt idx="166">
                  <c:v>-93636.666666666497</c:v>
                </c:pt>
                <c:pt idx="167">
                  <c:v>-92732.499999999825</c:v>
                </c:pt>
                <c:pt idx="168">
                  <c:v>-94715.833333333154</c:v>
                </c:pt>
                <c:pt idx="169">
                  <c:v>-93432.499999999825</c:v>
                </c:pt>
                <c:pt idx="170">
                  <c:v>-92878.333333333154</c:v>
                </c:pt>
                <c:pt idx="171">
                  <c:v>-92703.333333333154</c:v>
                </c:pt>
                <c:pt idx="172">
                  <c:v>-92338.749999999825</c:v>
                </c:pt>
                <c:pt idx="173">
                  <c:v>-92047.083333333154</c:v>
                </c:pt>
                <c:pt idx="174">
                  <c:v>-91755.416666666482</c:v>
                </c:pt>
                <c:pt idx="175">
                  <c:v>-92327.083333333154</c:v>
                </c:pt>
                <c:pt idx="176">
                  <c:v>-92000.416666666482</c:v>
                </c:pt>
                <c:pt idx="177">
                  <c:v>-91125.416666666482</c:v>
                </c:pt>
                <c:pt idx="178">
                  <c:v>-90250.416666666482</c:v>
                </c:pt>
                <c:pt idx="179">
                  <c:v>-90693.749999999811</c:v>
                </c:pt>
                <c:pt idx="180">
                  <c:v>-90343.749999999811</c:v>
                </c:pt>
                <c:pt idx="181">
                  <c:v>-92093.749999999811</c:v>
                </c:pt>
                <c:pt idx="182">
                  <c:v>-73543.749999999811</c:v>
                </c:pt>
                <c:pt idx="183">
                  <c:v>-76168.749999999811</c:v>
                </c:pt>
                <c:pt idx="184">
                  <c:v>-78793.749999999811</c:v>
                </c:pt>
                <c:pt idx="185">
                  <c:v>-83157.083333333139</c:v>
                </c:pt>
                <c:pt idx="186">
                  <c:v>-88068.749999999811</c:v>
                </c:pt>
                <c:pt idx="187">
                  <c:v>-84277.083333333139</c:v>
                </c:pt>
                <c:pt idx="188">
                  <c:v>-86318.749999999811</c:v>
                </c:pt>
                <c:pt idx="189">
                  <c:v>-84265.416666666482</c:v>
                </c:pt>
                <c:pt idx="190">
                  <c:v>-85583.749999999811</c:v>
                </c:pt>
                <c:pt idx="191">
                  <c:v>-81337.083333333139</c:v>
                </c:pt>
                <c:pt idx="192">
                  <c:v>-82212.083333333139</c:v>
                </c:pt>
                <c:pt idx="193">
                  <c:v>-81045.416666666468</c:v>
                </c:pt>
                <c:pt idx="194">
                  <c:v>-79878.749999999796</c:v>
                </c:pt>
                <c:pt idx="195">
                  <c:v>-75827.499999999796</c:v>
                </c:pt>
                <c:pt idx="196">
                  <c:v>-75267.499999999796</c:v>
                </c:pt>
                <c:pt idx="197">
                  <c:v>-71434.999999999796</c:v>
                </c:pt>
                <c:pt idx="198">
                  <c:v>-71084.999999999796</c:v>
                </c:pt>
                <c:pt idx="199">
                  <c:v>-71959.999999999796</c:v>
                </c:pt>
                <c:pt idx="200">
                  <c:v>-75871.249999999796</c:v>
                </c:pt>
                <c:pt idx="201">
                  <c:v>-85776.249999999796</c:v>
                </c:pt>
                <c:pt idx="202">
                  <c:v>-84647.499999999796</c:v>
                </c:pt>
                <c:pt idx="203">
                  <c:v>-81584.999999999796</c:v>
                </c:pt>
                <c:pt idx="204">
                  <c:v>-84262.499999999796</c:v>
                </c:pt>
                <c:pt idx="205">
                  <c:v>-81086.249999999796</c:v>
                </c:pt>
                <c:pt idx="206">
                  <c:v>-82949.999999999796</c:v>
                </c:pt>
                <c:pt idx="207">
                  <c:v>-78356.249999999796</c:v>
                </c:pt>
                <c:pt idx="208">
                  <c:v>-80762.499999999796</c:v>
                </c:pt>
                <c:pt idx="209">
                  <c:v>-83457.499999999796</c:v>
                </c:pt>
                <c:pt idx="210">
                  <c:v>-84209.999999999796</c:v>
                </c:pt>
                <c:pt idx="211">
                  <c:v>-84752.499999999796</c:v>
                </c:pt>
                <c:pt idx="212">
                  <c:v>-81252.499999999796</c:v>
                </c:pt>
                <c:pt idx="213">
                  <c:v>-82774.999999999796</c:v>
                </c:pt>
                <c:pt idx="214">
                  <c:v>-84629.999999999796</c:v>
                </c:pt>
                <c:pt idx="215">
                  <c:v>-82223.749999999796</c:v>
                </c:pt>
                <c:pt idx="216">
                  <c:v>-81427.499999999796</c:v>
                </c:pt>
                <c:pt idx="217">
                  <c:v>-79315.833333333125</c:v>
                </c:pt>
                <c:pt idx="218">
                  <c:v>-79969.166666666453</c:v>
                </c:pt>
                <c:pt idx="219">
                  <c:v>-80546.666666666453</c:v>
                </c:pt>
                <c:pt idx="220">
                  <c:v>-81969.999999999782</c:v>
                </c:pt>
                <c:pt idx="221">
                  <c:v>-83311.666666666453</c:v>
                </c:pt>
                <c:pt idx="222">
                  <c:v>-78055.833333333125</c:v>
                </c:pt>
                <c:pt idx="223">
                  <c:v>-71843.333333333125</c:v>
                </c:pt>
                <c:pt idx="224">
                  <c:v>-71259.999999999796</c:v>
                </c:pt>
                <c:pt idx="225">
                  <c:v>-70904.166666666468</c:v>
                </c:pt>
                <c:pt idx="226">
                  <c:v>-73966.666666666468</c:v>
                </c:pt>
                <c:pt idx="227">
                  <c:v>-74112.499999999796</c:v>
                </c:pt>
                <c:pt idx="228">
                  <c:v>-72292.499999999796</c:v>
                </c:pt>
                <c:pt idx="229">
                  <c:v>-71259.999999999796</c:v>
                </c:pt>
                <c:pt idx="230">
                  <c:v>-69655.833333333125</c:v>
                </c:pt>
                <c:pt idx="231">
                  <c:v>-69789.999999999796</c:v>
                </c:pt>
                <c:pt idx="232">
                  <c:v>-67287.499999999796</c:v>
                </c:pt>
                <c:pt idx="233">
                  <c:v>-67649.166666666468</c:v>
                </c:pt>
                <c:pt idx="234">
                  <c:v>-66727.499999999796</c:v>
                </c:pt>
                <c:pt idx="235">
                  <c:v>-66015.833333333125</c:v>
                </c:pt>
                <c:pt idx="236">
                  <c:v>-69294.166666666453</c:v>
                </c:pt>
                <c:pt idx="237">
                  <c:v>-66435.833333333125</c:v>
                </c:pt>
                <c:pt idx="238">
                  <c:v>-66155.833333333125</c:v>
                </c:pt>
                <c:pt idx="239">
                  <c:v>-66957.916666666453</c:v>
                </c:pt>
                <c:pt idx="240">
                  <c:v>-65861.249999999782</c:v>
                </c:pt>
                <c:pt idx="241">
                  <c:v>-65298.333333333117</c:v>
                </c:pt>
                <c:pt idx="242">
                  <c:v>-66173.33333333311</c:v>
                </c:pt>
                <c:pt idx="243">
                  <c:v>-66173.33333333311</c:v>
                </c:pt>
                <c:pt idx="244">
                  <c:v>-65662.916666666439</c:v>
                </c:pt>
                <c:pt idx="245">
                  <c:v>-64592.499999999774</c:v>
                </c:pt>
                <c:pt idx="246">
                  <c:v>-65432.499999999774</c:v>
                </c:pt>
                <c:pt idx="247">
                  <c:v>-64767.499999999774</c:v>
                </c:pt>
                <c:pt idx="248">
                  <c:v>-64741.249999999774</c:v>
                </c:pt>
                <c:pt idx="249">
                  <c:v>-66739.166666666439</c:v>
                </c:pt>
                <c:pt idx="250">
                  <c:v>-66447.499999999767</c:v>
                </c:pt>
                <c:pt idx="251">
                  <c:v>-66593.333333333096</c:v>
                </c:pt>
                <c:pt idx="252">
                  <c:v>-65791.249999999767</c:v>
                </c:pt>
                <c:pt idx="253">
                  <c:v>-66797.499999999767</c:v>
                </c:pt>
                <c:pt idx="254">
                  <c:v>-67176.666666666439</c:v>
                </c:pt>
                <c:pt idx="255">
                  <c:v>-58934.166666666439</c:v>
                </c:pt>
                <c:pt idx="256">
                  <c:v>-65861.249999999767</c:v>
                </c:pt>
                <c:pt idx="257">
                  <c:v>-65196.249999999767</c:v>
                </c:pt>
                <c:pt idx="258">
                  <c:v>-65123.333333333103</c:v>
                </c:pt>
                <c:pt idx="259">
                  <c:v>-65088.333333333103</c:v>
                </c:pt>
                <c:pt idx="260">
                  <c:v>-65161.249999999767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1-42DB-89DA-EE863FD8F365}"/>
            </c:ext>
          </c:extLst>
        </c:ser>
        <c:ser>
          <c:idx val="1"/>
          <c:order val="1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[0]!longExoRangeSelloff</c:f>
              <c:numCache>
                <c:formatCode>General</c:formatCode>
                <c:ptCount val="261"/>
                <c:pt idx="0">
                  <c:v>0</c:v>
                </c:pt>
                <c:pt idx="1">
                  <c:v>-39600</c:v>
                </c:pt>
                <c:pt idx="2">
                  <c:v>104400</c:v>
                </c:pt>
                <c:pt idx="3">
                  <c:v>93600</c:v>
                </c:pt>
                <c:pt idx="4">
                  <c:v>-25200</c:v>
                </c:pt>
                <c:pt idx="5">
                  <c:v>-54000</c:v>
                </c:pt>
                <c:pt idx="6">
                  <c:v>36000</c:v>
                </c:pt>
                <c:pt idx="7">
                  <c:v>64800</c:v>
                </c:pt>
                <c:pt idx="8">
                  <c:v>-172800</c:v>
                </c:pt>
                <c:pt idx="9">
                  <c:v>-266400</c:v>
                </c:pt>
                <c:pt idx="10">
                  <c:v>-288000</c:v>
                </c:pt>
                <c:pt idx="11">
                  <c:v>-162000</c:v>
                </c:pt>
                <c:pt idx="12">
                  <c:v>-162000</c:v>
                </c:pt>
                <c:pt idx="13">
                  <c:v>-126000</c:v>
                </c:pt>
                <c:pt idx="14">
                  <c:v>-151200</c:v>
                </c:pt>
                <c:pt idx="15">
                  <c:v>-208800</c:v>
                </c:pt>
                <c:pt idx="16">
                  <c:v>-183600</c:v>
                </c:pt>
                <c:pt idx="17">
                  <c:v>-198000</c:v>
                </c:pt>
                <c:pt idx="18">
                  <c:v>-223200</c:v>
                </c:pt>
                <c:pt idx="19">
                  <c:v>-316800</c:v>
                </c:pt>
                <c:pt idx="20">
                  <c:v>-403200</c:v>
                </c:pt>
                <c:pt idx="21">
                  <c:v>-406800</c:v>
                </c:pt>
                <c:pt idx="22">
                  <c:v>-403368</c:v>
                </c:pt>
                <c:pt idx="23">
                  <c:v>-198768</c:v>
                </c:pt>
                <c:pt idx="24">
                  <c:v>-268068</c:v>
                </c:pt>
                <c:pt idx="25">
                  <c:v>-228468</c:v>
                </c:pt>
                <c:pt idx="26">
                  <c:v>-244968</c:v>
                </c:pt>
                <c:pt idx="27">
                  <c:v>-139368</c:v>
                </c:pt>
                <c:pt idx="28">
                  <c:v>-185568</c:v>
                </c:pt>
                <c:pt idx="29">
                  <c:v>-185568</c:v>
                </c:pt>
                <c:pt idx="30">
                  <c:v>-241668</c:v>
                </c:pt>
                <c:pt idx="31">
                  <c:v>-208668</c:v>
                </c:pt>
                <c:pt idx="32">
                  <c:v>-182268</c:v>
                </c:pt>
                <c:pt idx="33">
                  <c:v>-162468</c:v>
                </c:pt>
                <c:pt idx="34">
                  <c:v>-231768</c:v>
                </c:pt>
                <c:pt idx="35">
                  <c:v>-165768</c:v>
                </c:pt>
                <c:pt idx="36">
                  <c:v>-231768</c:v>
                </c:pt>
                <c:pt idx="37">
                  <c:v>-287868</c:v>
                </c:pt>
                <c:pt idx="38">
                  <c:v>-301068</c:v>
                </c:pt>
                <c:pt idx="39">
                  <c:v>-373668</c:v>
                </c:pt>
                <c:pt idx="40">
                  <c:v>-274668</c:v>
                </c:pt>
                <c:pt idx="41">
                  <c:v>-178968</c:v>
                </c:pt>
                <c:pt idx="42">
                  <c:v>-274848</c:v>
                </c:pt>
                <c:pt idx="43">
                  <c:v>-250848</c:v>
                </c:pt>
                <c:pt idx="44">
                  <c:v>-256848</c:v>
                </c:pt>
                <c:pt idx="45">
                  <c:v>-241848</c:v>
                </c:pt>
                <c:pt idx="46">
                  <c:v>-328848</c:v>
                </c:pt>
                <c:pt idx="47">
                  <c:v>-259848</c:v>
                </c:pt>
                <c:pt idx="48">
                  <c:v>-292848</c:v>
                </c:pt>
                <c:pt idx="49">
                  <c:v>-235848</c:v>
                </c:pt>
                <c:pt idx="50">
                  <c:v>-259848</c:v>
                </c:pt>
                <c:pt idx="51">
                  <c:v>-358848</c:v>
                </c:pt>
                <c:pt idx="52">
                  <c:v>-388848</c:v>
                </c:pt>
                <c:pt idx="53">
                  <c:v>-484848</c:v>
                </c:pt>
                <c:pt idx="54">
                  <c:v>-460848</c:v>
                </c:pt>
                <c:pt idx="55">
                  <c:v>-460848</c:v>
                </c:pt>
                <c:pt idx="56">
                  <c:v>-298848</c:v>
                </c:pt>
                <c:pt idx="57">
                  <c:v>-241848</c:v>
                </c:pt>
                <c:pt idx="58">
                  <c:v>-217848</c:v>
                </c:pt>
                <c:pt idx="59">
                  <c:v>-187848</c:v>
                </c:pt>
                <c:pt idx="60">
                  <c:v>-238848</c:v>
                </c:pt>
                <c:pt idx="61">
                  <c:v>-241848</c:v>
                </c:pt>
                <c:pt idx="62">
                  <c:v>-205848</c:v>
                </c:pt>
                <c:pt idx="63">
                  <c:v>-409848</c:v>
                </c:pt>
                <c:pt idx="64">
                  <c:v>-361248</c:v>
                </c:pt>
                <c:pt idx="65">
                  <c:v>-299148</c:v>
                </c:pt>
                <c:pt idx="66">
                  <c:v>-274848</c:v>
                </c:pt>
                <c:pt idx="67">
                  <c:v>-318048</c:v>
                </c:pt>
                <c:pt idx="68">
                  <c:v>-345048</c:v>
                </c:pt>
                <c:pt idx="69">
                  <c:v>-396348</c:v>
                </c:pt>
                <c:pt idx="70">
                  <c:v>-390948</c:v>
                </c:pt>
                <c:pt idx="71">
                  <c:v>-417948</c:v>
                </c:pt>
                <c:pt idx="72">
                  <c:v>-463848</c:v>
                </c:pt>
                <c:pt idx="73">
                  <c:v>-436848</c:v>
                </c:pt>
                <c:pt idx="74">
                  <c:v>-426048</c:v>
                </c:pt>
                <c:pt idx="75">
                  <c:v>-401748</c:v>
                </c:pt>
                <c:pt idx="76">
                  <c:v>-390948</c:v>
                </c:pt>
                <c:pt idx="77">
                  <c:v>-388248</c:v>
                </c:pt>
                <c:pt idx="78">
                  <c:v>-450348</c:v>
                </c:pt>
                <c:pt idx="79">
                  <c:v>-455748</c:v>
                </c:pt>
                <c:pt idx="80">
                  <c:v>-428748</c:v>
                </c:pt>
                <c:pt idx="81">
                  <c:v>-547548</c:v>
                </c:pt>
                <c:pt idx="82">
                  <c:v>-606948</c:v>
                </c:pt>
                <c:pt idx="83">
                  <c:v>-598848</c:v>
                </c:pt>
                <c:pt idx="84">
                  <c:v>-582648</c:v>
                </c:pt>
                <c:pt idx="85">
                  <c:v>-604248</c:v>
                </c:pt>
                <c:pt idx="86">
                  <c:v>-635352</c:v>
                </c:pt>
                <c:pt idx="87">
                  <c:v>-628152</c:v>
                </c:pt>
                <c:pt idx="88">
                  <c:v>-659352</c:v>
                </c:pt>
                <c:pt idx="89">
                  <c:v>-608952</c:v>
                </c:pt>
                <c:pt idx="90">
                  <c:v>-642552</c:v>
                </c:pt>
                <c:pt idx="91">
                  <c:v>-640152</c:v>
                </c:pt>
                <c:pt idx="92">
                  <c:v>-666552</c:v>
                </c:pt>
                <c:pt idx="93">
                  <c:v>-630552</c:v>
                </c:pt>
                <c:pt idx="94">
                  <c:v>-647352</c:v>
                </c:pt>
                <c:pt idx="95">
                  <c:v>-584952</c:v>
                </c:pt>
                <c:pt idx="96">
                  <c:v>-613752</c:v>
                </c:pt>
                <c:pt idx="97">
                  <c:v>-560952</c:v>
                </c:pt>
                <c:pt idx="98">
                  <c:v>-640152</c:v>
                </c:pt>
                <c:pt idx="99">
                  <c:v>-659352</c:v>
                </c:pt>
                <c:pt idx="100">
                  <c:v>-611352</c:v>
                </c:pt>
                <c:pt idx="101">
                  <c:v>-649752</c:v>
                </c:pt>
                <c:pt idx="102">
                  <c:v>-656952</c:v>
                </c:pt>
                <c:pt idx="103">
                  <c:v>-714552</c:v>
                </c:pt>
                <c:pt idx="104">
                  <c:v>-752952</c:v>
                </c:pt>
                <c:pt idx="105">
                  <c:v>-716952</c:v>
                </c:pt>
                <c:pt idx="106">
                  <c:v>-748152</c:v>
                </c:pt>
                <c:pt idx="107">
                  <c:v>-735552</c:v>
                </c:pt>
                <c:pt idx="108">
                  <c:v>-674652</c:v>
                </c:pt>
                <c:pt idx="109">
                  <c:v>-689352</c:v>
                </c:pt>
                <c:pt idx="110">
                  <c:v>-638952</c:v>
                </c:pt>
                <c:pt idx="111">
                  <c:v>-666252</c:v>
                </c:pt>
                <c:pt idx="112">
                  <c:v>-630552</c:v>
                </c:pt>
                <c:pt idx="113">
                  <c:v>-624252</c:v>
                </c:pt>
                <c:pt idx="114">
                  <c:v>-674652</c:v>
                </c:pt>
                <c:pt idx="115">
                  <c:v>-708252</c:v>
                </c:pt>
                <c:pt idx="116">
                  <c:v>-725052</c:v>
                </c:pt>
                <c:pt idx="117">
                  <c:v>-771252</c:v>
                </c:pt>
                <c:pt idx="118">
                  <c:v>-739752</c:v>
                </c:pt>
                <c:pt idx="119">
                  <c:v>-685152</c:v>
                </c:pt>
                <c:pt idx="120">
                  <c:v>-676752</c:v>
                </c:pt>
                <c:pt idx="121">
                  <c:v>-714552</c:v>
                </c:pt>
                <c:pt idx="122">
                  <c:v>-683052</c:v>
                </c:pt>
                <c:pt idx="123">
                  <c:v>-611652</c:v>
                </c:pt>
                <c:pt idx="124">
                  <c:v>-605352</c:v>
                </c:pt>
                <c:pt idx="125">
                  <c:v>-533952</c:v>
                </c:pt>
                <c:pt idx="126">
                  <c:v>-439452</c:v>
                </c:pt>
                <c:pt idx="127">
                  <c:v>-428952</c:v>
                </c:pt>
                <c:pt idx="128">
                  <c:v>-223152</c:v>
                </c:pt>
                <c:pt idx="129">
                  <c:v>-239280</c:v>
                </c:pt>
                <c:pt idx="130">
                  <c:v>-149280</c:v>
                </c:pt>
                <c:pt idx="131">
                  <c:v>-156480</c:v>
                </c:pt>
                <c:pt idx="132">
                  <c:v>-165480</c:v>
                </c:pt>
                <c:pt idx="133">
                  <c:v>-199680</c:v>
                </c:pt>
                <c:pt idx="134">
                  <c:v>-183480</c:v>
                </c:pt>
                <c:pt idx="135">
                  <c:v>-131280</c:v>
                </c:pt>
                <c:pt idx="136">
                  <c:v>-102480</c:v>
                </c:pt>
                <c:pt idx="137">
                  <c:v>-55680</c:v>
                </c:pt>
                <c:pt idx="138">
                  <c:v>-125880</c:v>
                </c:pt>
                <c:pt idx="139">
                  <c:v>-154680</c:v>
                </c:pt>
                <c:pt idx="140">
                  <c:v>-131280</c:v>
                </c:pt>
                <c:pt idx="141">
                  <c:v>-208680</c:v>
                </c:pt>
                <c:pt idx="142">
                  <c:v>-307680</c:v>
                </c:pt>
                <c:pt idx="143">
                  <c:v>-298680</c:v>
                </c:pt>
                <c:pt idx="144">
                  <c:v>-336480</c:v>
                </c:pt>
                <c:pt idx="145">
                  <c:v>-345480</c:v>
                </c:pt>
                <c:pt idx="146">
                  <c:v>-390480</c:v>
                </c:pt>
                <c:pt idx="147">
                  <c:v>-518280</c:v>
                </c:pt>
                <c:pt idx="148">
                  <c:v>-561480</c:v>
                </c:pt>
                <c:pt idx="149">
                  <c:v>-575880</c:v>
                </c:pt>
                <c:pt idx="150">
                  <c:v>-561480</c:v>
                </c:pt>
                <c:pt idx="151">
                  <c:v>-536280</c:v>
                </c:pt>
                <c:pt idx="152">
                  <c:v>-572280</c:v>
                </c:pt>
                <c:pt idx="153">
                  <c:v>-581280</c:v>
                </c:pt>
                <c:pt idx="154">
                  <c:v>-551280</c:v>
                </c:pt>
                <c:pt idx="155">
                  <c:v>-555780</c:v>
                </c:pt>
                <c:pt idx="156">
                  <c:v>-546780</c:v>
                </c:pt>
                <c:pt idx="157">
                  <c:v>-464280</c:v>
                </c:pt>
                <c:pt idx="158">
                  <c:v>-501780</c:v>
                </c:pt>
                <c:pt idx="159">
                  <c:v>-639780</c:v>
                </c:pt>
                <c:pt idx="160">
                  <c:v>-614280</c:v>
                </c:pt>
                <c:pt idx="161">
                  <c:v>-606780</c:v>
                </c:pt>
                <c:pt idx="162">
                  <c:v>-600780</c:v>
                </c:pt>
                <c:pt idx="163">
                  <c:v>-587280</c:v>
                </c:pt>
                <c:pt idx="164">
                  <c:v>-579780</c:v>
                </c:pt>
                <c:pt idx="165">
                  <c:v>-560280</c:v>
                </c:pt>
                <c:pt idx="166">
                  <c:v>-593280</c:v>
                </c:pt>
                <c:pt idx="167">
                  <c:v>-573780</c:v>
                </c:pt>
                <c:pt idx="168">
                  <c:v>-596280</c:v>
                </c:pt>
                <c:pt idx="169">
                  <c:v>-611280</c:v>
                </c:pt>
                <c:pt idx="170">
                  <c:v>-612780</c:v>
                </c:pt>
                <c:pt idx="171">
                  <c:v>-600780</c:v>
                </c:pt>
                <c:pt idx="172">
                  <c:v>-611280</c:v>
                </c:pt>
                <c:pt idx="173">
                  <c:v>-636432</c:v>
                </c:pt>
                <c:pt idx="174">
                  <c:v>-652032</c:v>
                </c:pt>
                <c:pt idx="175">
                  <c:v>-671232</c:v>
                </c:pt>
                <c:pt idx="176">
                  <c:v>-664032</c:v>
                </c:pt>
                <c:pt idx="177">
                  <c:v>-666432</c:v>
                </c:pt>
                <c:pt idx="178">
                  <c:v>-649632</c:v>
                </c:pt>
                <c:pt idx="179">
                  <c:v>-635232</c:v>
                </c:pt>
                <c:pt idx="180">
                  <c:v>-611232</c:v>
                </c:pt>
                <c:pt idx="181">
                  <c:v>-564432</c:v>
                </c:pt>
                <c:pt idx="182">
                  <c:v>-520032</c:v>
                </c:pt>
                <c:pt idx="183">
                  <c:v>-529632</c:v>
                </c:pt>
                <c:pt idx="184">
                  <c:v>-553632</c:v>
                </c:pt>
                <c:pt idx="185">
                  <c:v>-575232</c:v>
                </c:pt>
                <c:pt idx="186">
                  <c:v>-592032</c:v>
                </c:pt>
                <c:pt idx="187">
                  <c:v>-563232</c:v>
                </c:pt>
                <c:pt idx="188">
                  <c:v>-583632</c:v>
                </c:pt>
                <c:pt idx="189">
                  <c:v>-571632</c:v>
                </c:pt>
                <c:pt idx="190">
                  <c:v>-580032</c:v>
                </c:pt>
                <c:pt idx="191">
                  <c:v>-544032</c:v>
                </c:pt>
                <c:pt idx="192">
                  <c:v>-553632</c:v>
                </c:pt>
                <c:pt idx="193">
                  <c:v>-541632</c:v>
                </c:pt>
                <c:pt idx="194">
                  <c:v>-557232</c:v>
                </c:pt>
                <c:pt idx="195">
                  <c:v>-540132</c:v>
                </c:pt>
                <c:pt idx="196">
                  <c:v>-540132</c:v>
                </c:pt>
                <c:pt idx="197">
                  <c:v>-530232</c:v>
                </c:pt>
                <c:pt idx="198">
                  <c:v>-513132</c:v>
                </c:pt>
                <c:pt idx="199">
                  <c:v>-519432</c:v>
                </c:pt>
                <c:pt idx="200">
                  <c:v>-533832</c:v>
                </c:pt>
                <c:pt idx="201">
                  <c:v>-557232</c:v>
                </c:pt>
                <c:pt idx="202">
                  <c:v>-572532</c:v>
                </c:pt>
                <c:pt idx="203">
                  <c:v>-561732</c:v>
                </c:pt>
                <c:pt idx="204">
                  <c:v>-579732</c:v>
                </c:pt>
                <c:pt idx="205">
                  <c:v>-592332</c:v>
                </c:pt>
                <c:pt idx="206">
                  <c:v>-590532</c:v>
                </c:pt>
                <c:pt idx="207">
                  <c:v>-599532</c:v>
                </c:pt>
                <c:pt idx="208">
                  <c:v>-594132</c:v>
                </c:pt>
                <c:pt idx="209">
                  <c:v>-575232</c:v>
                </c:pt>
                <c:pt idx="210">
                  <c:v>-579732</c:v>
                </c:pt>
                <c:pt idx="211">
                  <c:v>-583332</c:v>
                </c:pt>
                <c:pt idx="212">
                  <c:v>-561732</c:v>
                </c:pt>
                <c:pt idx="213">
                  <c:v>-571632</c:v>
                </c:pt>
                <c:pt idx="214">
                  <c:v>-590532</c:v>
                </c:pt>
                <c:pt idx="215">
                  <c:v>-578832</c:v>
                </c:pt>
                <c:pt idx="216">
                  <c:v>-568932</c:v>
                </c:pt>
                <c:pt idx="217">
                  <c:v>-582132</c:v>
                </c:pt>
                <c:pt idx="218">
                  <c:v>-574932</c:v>
                </c:pt>
                <c:pt idx="219">
                  <c:v>-565932</c:v>
                </c:pt>
                <c:pt idx="220">
                  <c:v>-584532</c:v>
                </c:pt>
                <c:pt idx="221">
                  <c:v>-589932</c:v>
                </c:pt>
                <c:pt idx="222">
                  <c:v>-600732</c:v>
                </c:pt>
                <c:pt idx="223">
                  <c:v>-625932</c:v>
                </c:pt>
                <c:pt idx="224">
                  <c:v>-618132</c:v>
                </c:pt>
                <c:pt idx="225">
                  <c:v>-618732</c:v>
                </c:pt>
                <c:pt idx="226">
                  <c:v>-624132</c:v>
                </c:pt>
                <c:pt idx="227">
                  <c:v>-624732</c:v>
                </c:pt>
                <c:pt idx="228">
                  <c:v>-621732</c:v>
                </c:pt>
                <c:pt idx="229">
                  <c:v>-618132</c:v>
                </c:pt>
                <c:pt idx="230">
                  <c:v>-612732</c:v>
                </c:pt>
                <c:pt idx="231">
                  <c:v>-613332</c:v>
                </c:pt>
                <c:pt idx="232">
                  <c:v>-607332</c:v>
                </c:pt>
                <c:pt idx="233">
                  <c:v>-613932</c:v>
                </c:pt>
                <c:pt idx="234">
                  <c:v>-609732</c:v>
                </c:pt>
                <c:pt idx="235">
                  <c:v>-608532</c:v>
                </c:pt>
                <c:pt idx="236">
                  <c:v>-619932</c:v>
                </c:pt>
                <c:pt idx="237">
                  <c:v>-609732</c:v>
                </c:pt>
                <c:pt idx="238">
                  <c:v>-607620</c:v>
                </c:pt>
                <c:pt idx="239">
                  <c:v>-610920</c:v>
                </c:pt>
                <c:pt idx="240">
                  <c:v>-603420</c:v>
                </c:pt>
                <c:pt idx="241">
                  <c:v>-599220</c:v>
                </c:pt>
                <c:pt idx="242">
                  <c:v>-607620</c:v>
                </c:pt>
                <c:pt idx="243">
                  <c:v>-607320</c:v>
                </c:pt>
                <c:pt idx="244">
                  <c:v>-607920</c:v>
                </c:pt>
                <c:pt idx="245">
                  <c:v>-601620</c:v>
                </c:pt>
                <c:pt idx="246">
                  <c:v>-605820</c:v>
                </c:pt>
                <c:pt idx="247">
                  <c:v>-601620</c:v>
                </c:pt>
                <c:pt idx="248">
                  <c:v>-601320</c:v>
                </c:pt>
                <c:pt idx="249">
                  <c:v>-611820</c:v>
                </c:pt>
                <c:pt idx="250">
                  <c:v>-607920</c:v>
                </c:pt>
                <c:pt idx="251">
                  <c:v>-606420</c:v>
                </c:pt>
                <c:pt idx="252">
                  <c:v>-610020</c:v>
                </c:pt>
                <c:pt idx="253">
                  <c:v>-616020</c:v>
                </c:pt>
                <c:pt idx="254">
                  <c:v>-617220</c:v>
                </c:pt>
                <c:pt idx="255">
                  <c:v>-618420</c:v>
                </c:pt>
                <c:pt idx="256">
                  <c:v>-619620</c:v>
                </c:pt>
                <c:pt idx="257">
                  <c:v>-622920</c:v>
                </c:pt>
                <c:pt idx="258">
                  <c:v>-621720</c:v>
                </c:pt>
                <c:pt idx="259">
                  <c:v>-624720</c:v>
                </c:pt>
                <c:pt idx="260">
                  <c:v>-625620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1-42DB-89DA-EE863FD8F365}"/>
            </c:ext>
          </c:extLst>
        </c:ser>
        <c:ser>
          <c:idx val="2"/>
          <c:order val="2"/>
          <c:tx>
            <c:strRef>
              <c:f>Data!$Q$11</c:f>
              <c:strCache>
                <c:ptCount val="1"/>
                <c:pt idx="0">
                  <c:v>Sell off 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[0]!shortExoRangeSelloff</c:f>
              <c:numCache>
                <c:formatCode>General</c:formatCode>
                <c:ptCount val="261"/>
                <c:pt idx="0">
                  <c:v>0</c:v>
                </c:pt>
                <c:pt idx="1">
                  <c:v>39600</c:v>
                </c:pt>
                <c:pt idx="2">
                  <c:v>-104400</c:v>
                </c:pt>
                <c:pt idx="3">
                  <c:v>-93600</c:v>
                </c:pt>
                <c:pt idx="4">
                  <c:v>25200</c:v>
                </c:pt>
                <c:pt idx="5">
                  <c:v>54000</c:v>
                </c:pt>
                <c:pt idx="6">
                  <c:v>-36000</c:v>
                </c:pt>
                <c:pt idx="7">
                  <c:v>-64800</c:v>
                </c:pt>
                <c:pt idx="8">
                  <c:v>172800</c:v>
                </c:pt>
                <c:pt idx="9">
                  <c:v>266400</c:v>
                </c:pt>
                <c:pt idx="10">
                  <c:v>288000</c:v>
                </c:pt>
                <c:pt idx="11">
                  <c:v>162000</c:v>
                </c:pt>
                <c:pt idx="12">
                  <c:v>162000</c:v>
                </c:pt>
                <c:pt idx="13">
                  <c:v>126000</c:v>
                </c:pt>
                <c:pt idx="14">
                  <c:v>151200</c:v>
                </c:pt>
                <c:pt idx="15">
                  <c:v>208800</c:v>
                </c:pt>
                <c:pt idx="16">
                  <c:v>183600</c:v>
                </c:pt>
                <c:pt idx="17">
                  <c:v>198000</c:v>
                </c:pt>
                <c:pt idx="18">
                  <c:v>223200</c:v>
                </c:pt>
                <c:pt idx="19">
                  <c:v>316800</c:v>
                </c:pt>
                <c:pt idx="20">
                  <c:v>403200</c:v>
                </c:pt>
                <c:pt idx="21">
                  <c:v>406800</c:v>
                </c:pt>
                <c:pt idx="22">
                  <c:v>403368</c:v>
                </c:pt>
                <c:pt idx="23">
                  <c:v>198768</c:v>
                </c:pt>
                <c:pt idx="24">
                  <c:v>268068</c:v>
                </c:pt>
                <c:pt idx="25">
                  <c:v>228468</c:v>
                </c:pt>
                <c:pt idx="26">
                  <c:v>244968</c:v>
                </c:pt>
                <c:pt idx="27">
                  <c:v>139368</c:v>
                </c:pt>
                <c:pt idx="28">
                  <c:v>185568</c:v>
                </c:pt>
                <c:pt idx="29">
                  <c:v>185568</c:v>
                </c:pt>
                <c:pt idx="30">
                  <c:v>241668</c:v>
                </c:pt>
                <c:pt idx="31">
                  <c:v>208668</c:v>
                </c:pt>
                <c:pt idx="32">
                  <c:v>182268</c:v>
                </c:pt>
                <c:pt idx="33">
                  <c:v>162468</c:v>
                </c:pt>
                <c:pt idx="34">
                  <c:v>231768</c:v>
                </c:pt>
                <c:pt idx="35">
                  <c:v>165768</c:v>
                </c:pt>
                <c:pt idx="36">
                  <c:v>231768</c:v>
                </c:pt>
                <c:pt idx="37">
                  <c:v>287868</c:v>
                </c:pt>
                <c:pt idx="38">
                  <c:v>301068</c:v>
                </c:pt>
                <c:pt idx="39">
                  <c:v>373668</c:v>
                </c:pt>
                <c:pt idx="40">
                  <c:v>274668</c:v>
                </c:pt>
                <c:pt idx="41">
                  <c:v>178968</c:v>
                </c:pt>
                <c:pt idx="42">
                  <c:v>274848</c:v>
                </c:pt>
                <c:pt idx="43">
                  <c:v>250848</c:v>
                </c:pt>
                <c:pt idx="44">
                  <c:v>256848</c:v>
                </c:pt>
                <c:pt idx="45">
                  <c:v>241848</c:v>
                </c:pt>
                <c:pt idx="46">
                  <c:v>328848</c:v>
                </c:pt>
                <c:pt idx="47">
                  <c:v>259848</c:v>
                </c:pt>
                <c:pt idx="48">
                  <c:v>292848</c:v>
                </c:pt>
                <c:pt idx="49">
                  <c:v>235848</c:v>
                </c:pt>
                <c:pt idx="50">
                  <c:v>259848</c:v>
                </c:pt>
                <c:pt idx="51">
                  <c:v>358848</c:v>
                </c:pt>
                <c:pt idx="52">
                  <c:v>388848</c:v>
                </c:pt>
                <c:pt idx="53">
                  <c:v>484848</c:v>
                </c:pt>
                <c:pt idx="54">
                  <c:v>460848</c:v>
                </c:pt>
                <c:pt idx="55">
                  <c:v>460848</c:v>
                </c:pt>
                <c:pt idx="56">
                  <c:v>298848</c:v>
                </c:pt>
                <c:pt idx="57">
                  <c:v>241848</c:v>
                </c:pt>
                <c:pt idx="58">
                  <c:v>217848</c:v>
                </c:pt>
                <c:pt idx="59">
                  <c:v>187848</c:v>
                </c:pt>
                <c:pt idx="60">
                  <c:v>238848</c:v>
                </c:pt>
                <c:pt idx="61">
                  <c:v>241848</c:v>
                </c:pt>
                <c:pt idx="62">
                  <c:v>205848</c:v>
                </c:pt>
                <c:pt idx="63">
                  <c:v>409848</c:v>
                </c:pt>
                <c:pt idx="64">
                  <c:v>361248</c:v>
                </c:pt>
                <c:pt idx="65">
                  <c:v>299148</c:v>
                </c:pt>
                <c:pt idx="66">
                  <c:v>274848</c:v>
                </c:pt>
                <c:pt idx="67">
                  <c:v>318048</c:v>
                </c:pt>
                <c:pt idx="68">
                  <c:v>345048</c:v>
                </c:pt>
                <c:pt idx="69">
                  <c:v>396348</c:v>
                </c:pt>
                <c:pt idx="70">
                  <c:v>390948</c:v>
                </c:pt>
                <c:pt idx="71">
                  <c:v>417948</c:v>
                </c:pt>
                <c:pt idx="72">
                  <c:v>463848</c:v>
                </c:pt>
                <c:pt idx="73">
                  <c:v>436848</c:v>
                </c:pt>
                <c:pt idx="74">
                  <c:v>426048</c:v>
                </c:pt>
                <c:pt idx="75">
                  <c:v>401748</c:v>
                </c:pt>
                <c:pt idx="76">
                  <c:v>390948</c:v>
                </c:pt>
                <c:pt idx="77">
                  <c:v>388248</c:v>
                </c:pt>
                <c:pt idx="78">
                  <c:v>450348</c:v>
                </c:pt>
                <c:pt idx="79">
                  <c:v>455748</c:v>
                </c:pt>
                <c:pt idx="80">
                  <c:v>428748</c:v>
                </c:pt>
                <c:pt idx="81">
                  <c:v>547548</c:v>
                </c:pt>
                <c:pt idx="82">
                  <c:v>606948</c:v>
                </c:pt>
                <c:pt idx="83">
                  <c:v>598848</c:v>
                </c:pt>
                <c:pt idx="84">
                  <c:v>582648</c:v>
                </c:pt>
                <c:pt idx="85">
                  <c:v>604248</c:v>
                </c:pt>
                <c:pt idx="86">
                  <c:v>635352</c:v>
                </c:pt>
                <c:pt idx="87">
                  <c:v>628152</c:v>
                </c:pt>
                <c:pt idx="88">
                  <c:v>659352</c:v>
                </c:pt>
                <c:pt idx="89">
                  <c:v>608952</c:v>
                </c:pt>
                <c:pt idx="90">
                  <c:v>642552</c:v>
                </c:pt>
                <c:pt idx="91">
                  <c:v>640152</c:v>
                </c:pt>
                <c:pt idx="92">
                  <c:v>666552</c:v>
                </c:pt>
                <c:pt idx="93">
                  <c:v>630552</c:v>
                </c:pt>
                <c:pt idx="94">
                  <c:v>647352</c:v>
                </c:pt>
                <c:pt idx="95">
                  <c:v>584952</c:v>
                </c:pt>
                <c:pt idx="96">
                  <c:v>613752</c:v>
                </c:pt>
                <c:pt idx="97">
                  <c:v>560952</c:v>
                </c:pt>
                <c:pt idx="98">
                  <c:v>640152</c:v>
                </c:pt>
                <c:pt idx="99">
                  <c:v>659352</c:v>
                </c:pt>
                <c:pt idx="100">
                  <c:v>611352</c:v>
                </c:pt>
                <c:pt idx="101">
                  <c:v>649752</c:v>
                </c:pt>
                <c:pt idx="102">
                  <c:v>656952</c:v>
                </c:pt>
                <c:pt idx="103">
                  <c:v>714552</c:v>
                </c:pt>
                <c:pt idx="104">
                  <c:v>752952</c:v>
                </c:pt>
                <c:pt idx="105">
                  <c:v>716952</c:v>
                </c:pt>
                <c:pt idx="106">
                  <c:v>748152</c:v>
                </c:pt>
                <c:pt idx="107">
                  <c:v>735552</c:v>
                </c:pt>
                <c:pt idx="108">
                  <c:v>674652</c:v>
                </c:pt>
                <c:pt idx="109">
                  <c:v>689352</c:v>
                </c:pt>
                <c:pt idx="110">
                  <c:v>638952</c:v>
                </c:pt>
                <c:pt idx="111">
                  <c:v>666252</c:v>
                </c:pt>
                <c:pt idx="112">
                  <c:v>630552</c:v>
                </c:pt>
                <c:pt idx="113">
                  <c:v>624252</c:v>
                </c:pt>
                <c:pt idx="114">
                  <c:v>674652</c:v>
                </c:pt>
                <c:pt idx="115">
                  <c:v>708252</c:v>
                </c:pt>
                <c:pt idx="116">
                  <c:v>725052</c:v>
                </c:pt>
                <c:pt idx="117">
                  <c:v>771252</c:v>
                </c:pt>
                <c:pt idx="118">
                  <c:v>739752</c:v>
                </c:pt>
                <c:pt idx="119">
                  <c:v>685152</c:v>
                </c:pt>
                <c:pt idx="120">
                  <c:v>676752</c:v>
                </c:pt>
                <c:pt idx="121">
                  <c:v>714552</c:v>
                </c:pt>
                <c:pt idx="122">
                  <c:v>683052</c:v>
                </c:pt>
                <c:pt idx="123">
                  <c:v>611652</c:v>
                </c:pt>
                <c:pt idx="124">
                  <c:v>605352</c:v>
                </c:pt>
                <c:pt idx="125">
                  <c:v>533952</c:v>
                </c:pt>
                <c:pt idx="126">
                  <c:v>439452</c:v>
                </c:pt>
                <c:pt idx="127">
                  <c:v>428952</c:v>
                </c:pt>
                <c:pt idx="128">
                  <c:v>223152</c:v>
                </c:pt>
                <c:pt idx="129">
                  <c:v>239280</c:v>
                </c:pt>
                <c:pt idx="130">
                  <c:v>149280</c:v>
                </c:pt>
                <c:pt idx="131">
                  <c:v>156480</c:v>
                </c:pt>
                <c:pt idx="132">
                  <c:v>165480</c:v>
                </c:pt>
                <c:pt idx="133">
                  <c:v>199680</c:v>
                </c:pt>
                <c:pt idx="134">
                  <c:v>183480</c:v>
                </c:pt>
                <c:pt idx="135">
                  <c:v>131280</c:v>
                </c:pt>
                <c:pt idx="136">
                  <c:v>102480</c:v>
                </c:pt>
                <c:pt idx="137">
                  <c:v>55680</c:v>
                </c:pt>
                <c:pt idx="138">
                  <c:v>125880</c:v>
                </c:pt>
                <c:pt idx="139">
                  <c:v>154680</c:v>
                </c:pt>
                <c:pt idx="140">
                  <c:v>131280</c:v>
                </c:pt>
                <c:pt idx="141">
                  <c:v>208680</c:v>
                </c:pt>
                <c:pt idx="142">
                  <c:v>307680</c:v>
                </c:pt>
                <c:pt idx="143">
                  <c:v>298680</c:v>
                </c:pt>
                <c:pt idx="144">
                  <c:v>336480</c:v>
                </c:pt>
                <c:pt idx="145">
                  <c:v>345480</c:v>
                </c:pt>
                <c:pt idx="146">
                  <c:v>390480</c:v>
                </c:pt>
                <c:pt idx="147">
                  <c:v>518280</c:v>
                </c:pt>
                <c:pt idx="148">
                  <c:v>561480</c:v>
                </c:pt>
                <c:pt idx="149">
                  <c:v>575880</c:v>
                </c:pt>
                <c:pt idx="150">
                  <c:v>561480</c:v>
                </c:pt>
                <c:pt idx="151">
                  <c:v>536280</c:v>
                </c:pt>
                <c:pt idx="152">
                  <c:v>572280</c:v>
                </c:pt>
                <c:pt idx="153">
                  <c:v>581280</c:v>
                </c:pt>
                <c:pt idx="154">
                  <c:v>551280</c:v>
                </c:pt>
                <c:pt idx="155">
                  <c:v>555780</c:v>
                </c:pt>
                <c:pt idx="156">
                  <c:v>546780</c:v>
                </c:pt>
                <c:pt idx="157">
                  <c:v>464280</c:v>
                </c:pt>
                <c:pt idx="158">
                  <c:v>501780</c:v>
                </c:pt>
                <c:pt idx="159">
                  <c:v>639780</c:v>
                </c:pt>
                <c:pt idx="160">
                  <c:v>614280</c:v>
                </c:pt>
                <c:pt idx="161">
                  <c:v>606780</c:v>
                </c:pt>
                <c:pt idx="162">
                  <c:v>600780</c:v>
                </c:pt>
                <c:pt idx="163">
                  <c:v>587280</c:v>
                </c:pt>
                <c:pt idx="164">
                  <c:v>579780</c:v>
                </c:pt>
                <c:pt idx="165">
                  <c:v>560280</c:v>
                </c:pt>
                <c:pt idx="166">
                  <c:v>593280</c:v>
                </c:pt>
                <c:pt idx="167">
                  <c:v>573780</c:v>
                </c:pt>
                <c:pt idx="168">
                  <c:v>596280</c:v>
                </c:pt>
                <c:pt idx="169">
                  <c:v>611280</c:v>
                </c:pt>
                <c:pt idx="170">
                  <c:v>612780</c:v>
                </c:pt>
                <c:pt idx="171">
                  <c:v>600780</c:v>
                </c:pt>
                <c:pt idx="172">
                  <c:v>611280</c:v>
                </c:pt>
                <c:pt idx="173">
                  <c:v>636432</c:v>
                </c:pt>
                <c:pt idx="174">
                  <c:v>652032</c:v>
                </c:pt>
                <c:pt idx="175">
                  <c:v>671232</c:v>
                </c:pt>
                <c:pt idx="176">
                  <c:v>664032</c:v>
                </c:pt>
                <c:pt idx="177">
                  <c:v>666432</c:v>
                </c:pt>
                <c:pt idx="178">
                  <c:v>649632</c:v>
                </c:pt>
                <c:pt idx="179">
                  <c:v>635232</c:v>
                </c:pt>
                <c:pt idx="180">
                  <c:v>611232</c:v>
                </c:pt>
                <c:pt idx="181">
                  <c:v>564432</c:v>
                </c:pt>
                <c:pt idx="182">
                  <c:v>520032</c:v>
                </c:pt>
                <c:pt idx="183">
                  <c:v>529632</c:v>
                </c:pt>
                <c:pt idx="184">
                  <c:v>553632</c:v>
                </c:pt>
                <c:pt idx="185">
                  <c:v>575232</c:v>
                </c:pt>
                <c:pt idx="186">
                  <c:v>592032</c:v>
                </c:pt>
                <c:pt idx="187">
                  <c:v>563232</c:v>
                </c:pt>
                <c:pt idx="188">
                  <c:v>583632</c:v>
                </c:pt>
                <c:pt idx="189">
                  <c:v>571632</c:v>
                </c:pt>
                <c:pt idx="190">
                  <c:v>580032</c:v>
                </c:pt>
                <c:pt idx="191">
                  <c:v>544032</c:v>
                </c:pt>
                <c:pt idx="192">
                  <c:v>553632</c:v>
                </c:pt>
                <c:pt idx="193">
                  <c:v>541632</c:v>
                </c:pt>
                <c:pt idx="194">
                  <c:v>557232</c:v>
                </c:pt>
                <c:pt idx="195">
                  <c:v>540132</c:v>
                </c:pt>
                <c:pt idx="196">
                  <c:v>540132</c:v>
                </c:pt>
                <c:pt idx="197">
                  <c:v>530232</c:v>
                </c:pt>
                <c:pt idx="198">
                  <c:v>513132</c:v>
                </c:pt>
                <c:pt idx="199">
                  <c:v>519432</c:v>
                </c:pt>
                <c:pt idx="200">
                  <c:v>533832</c:v>
                </c:pt>
                <c:pt idx="201">
                  <c:v>557232</c:v>
                </c:pt>
                <c:pt idx="202">
                  <c:v>572532</c:v>
                </c:pt>
                <c:pt idx="203">
                  <c:v>561732</c:v>
                </c:pt>
                <c:pt idx="204">
                  <c:v>579732</c:v>
                </c:pt>
                <c:pt idx="205">
                  <c:v>592332</c:v>
                </c:pt>
                <c:pt idx="206">
                  <c:v>590532</c:v>
                </c:pt>
                <c:pt idx="207">
                  <c:v>599532</c:v>
                </c:pt>
                <c:pt idx="208">
                  <c:v>594132</c:v>
                </c:pt>
                <c:pt idx="209">
                  <c:v>575232</c:v>
                </c:pt>
                <c:pt idx="210">
                  <c:v>579732</c:v>
                </c:pt>
                <c:pt idx="211">
                  <c:v>583332</c:v>
                </c:pt>
                <c:pt idx="212">
                  <c:v>561732</c:v>
                </c:pt>
                <c:pt idx="213">
                  <c:v>571632</c:v>
                </c:pt>
                <c:pt idx="214">
                  <c:v>590532</c:v>
                </c:pt>
                <c:pt idx="215">
                  <c:v>578832</c:v>
                </c:pt>
                <c:pt idx="216">
                  <c:v>568932</c:v>
                </c:pt>
                <c:pt idx="217">
                  <c:v>582132</c:v>
                </c:pt>
                <c:pt idx="218">
                  <c:v>574932</c:v>
                </c:pt>
                <c:pt idx="219">
                  <c:v>565932</c:v>
                </c:pt>
                <c:pt idx="220">
                  <c:v>584532</c:v>
                </c:pt>
                <c:pt idx="221">
                  <c:v>589932</c:v>
                </c:pt>
                <c:pt idx="222">
                  <c:v>600732</c:v>
                </c:pt>
                <c:pt idx="223">
                  <c:v>625932</c:v>
                </c:pt>
                <c:pt idx="224">
                  <c:v>618132</c:v>
                </c:pt>
                <c:pt idx="225">
                  <c:v>618732</c:v>
                </c:pt>
                <c:pt idx="226">
                  <c:v>624132</c:v>
                </c:pt>
                <c:pt idx="227">
                  <c:v>624732</c:v>
                </c:pt>
                <c:pt idx="228">
                  <c:v>621732</c:v>
                </c:pt>
                <c:pt idx="229">
                  <c:v>618132</c:v>
                </c:pt>
                <c:pt idx="230">
                  <c:v>612732</c:v>
                </c:pt>
                <c:pt idx="231">
                  <c:v>613332</c:v>
                </c:pt>
                <c:pt idx="232">
                  <c:v>607332</c:v>
                </c:pt>
                <c:pt idx="233">
                  <c:v>613932</c:v>
                </c:pt>
                <c:pt idx="234">
                  <c:v>609732</c:v>
                </c:pt>
                <c:pt idx="235">
                  <c:v>608532</c:v>
                </c:pt>
                <c:pt idx="236">
                  <c:v>619932</c:v>
                </c:pt>
                <c:pt idx="237">
                  <c:v>609732</c:v>
                </c:pt>
                <c:pt idx="238">
                  <c:v>607620</c:v>
                </c:pt>
                <c:pt idx="239">
                  <c:v>610920</c:v>
                </c:pt>
                <c:pt idx="240">
                  <c:v>603420</c:v>
                </c:pt>
                <c:pt idx="241">
                  <c:v>599220</c:v>
                </c:pt>
                <c:pt idx="242">
                  <c:v>607620</c:v>
                </c:pt>
                <c:pt idx="243">
                  <c:v>607320</c:v>
                </c:pt>
                <c:pt idx="244">
                  <c:v>607920</c:v>
                </c:pt>
                <c:pt idx="245">
                  <c:v>601620</c:v>
                </c:pt>
                <c:pt idx="246">
                  <c:v>605820</c:v>
                </c:pt>
                <c:pt idx="247">
                  <c:v>601620</c:v>
                </c:pt>
                <c:pt idx="248">
                  <c:v>601320</c:v>
                </c:pt>
                <c:pt idx="249">
                  <c:v>611820</c:v>
                </c:pt>
                <c:pt idx="250">
                  <c:v>607920</c:v>
                </c:pt>
                <c:pt idx="251">
                  <c:v>606420</c:v>
                </c:pt>
                <c:pt idx="252">
                  <c:v>610020</c:v>
                </c:pt>
                <c:pt idx="253">
                  <c:v>616020</c:v>
                </c:pt>
                <c:pt idx="254">
                  <c:v>617220</c:v>
                </c:pt>
                <c:pt idx="255">
                  <c:v>618420</c:v>
                </c:pt>
                <c:pt idx="256">
                  <c:v>619620</c:v>
                </c:pt>
                <c:pt idx="257">
                  <c:v>622920</c:v>
                </c:pt>
                <c:pt idx="258">
                  <c:v>621720</c:v>
                </c:pt>
                <c:pt idx="259">
                  <c:v>624720</c:v>
                </c:pt>
                <c:pt idx="260">
                  <c:v>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1-42DB-89DA-EE863FD8F365}"/>
            </c:ext>
          </c:extLst>
        </c:ser>
        <c:ser>
          <c:idx val="3"/>
          <c:order val="3"/>
          <c:tx>
            <c:strRef>
              <c:f>Data!$R$11</c:f>
              <c:strCache>
                <c:ptCount val="1"/>
                <c:pt idx="0">
                  <c:v>Constant DHP + Sell off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[0]!dhpLongFuturesExoRangeSelloffonly1</c:f>
              <c:numCache>
                <c:formatCode>General</c:formatCode>
                <c:ptCount val="261"/>
                <c:pt idx="0">
                  <c:v>0</c:v>
                </c:pt>
                <c:pt idx="1">
                  <c:v>-37850</c:v>
                </c:pt>
                <c:pt idx="2">
                  <c:v>117280</c:v>
                </c:pt>
                <c:pt idx="3">
                  <c:v>102980</c:v>
                </c:pt>
                <c:pt idx="4">
                  <c:v>-48580</c:v>
                </c:pt>
                <c:pt idx="5">
                  <c:v>-84380</c:v>
                </c:pt>
                <c:pt idx="6">
                  <c:v>-3060</c:v>
                </c:pt>
                <c:pt idx="7">
                  <c:v>27105</c:v>
                </c:pt>
                <c:pt idx="8">
                  <c:v>-218510</c:v>
                </c:pt>
                <c:pt idx="9">
                  <c:v>-286140</c:v>
                </c:pt>
                <c:pt idx="10">
                  <c:v>-310820</c:v>
                </c:pt>
                <c:pt idx="11">
                  <c:v>-188250</c:v>
                </c:pt>
                <c:pt idx="12">
                  <c:v>-184330</c:v>
                </c:pt>
                <c:pt idx="13">
                  <c:v>-151725</c:v>
                </c:pt>
                <c:pt idx="14">
                  <c:v>-186445</c:v>
                </c:pt>
                <c:pt idx="15">
                  <c:v>-259375</c:v>
                </c:pt>
                <c:pt idx="16">
                  <c:v>-234630</c:v>
                </c:pt>
                <c:pt idx="17">
                  <c:v>-245110</c:v>
                </c:pt>
                <c:pt idx="18">
                  <c:v>-271185</c:v>
                </c:pt>
                <c:pt idx="19">
                  <c:v>-367200</c:v>
                </c:pt>
                <c:pt idx="20">
                  <c:v>-427735</c:v>
                </c:pt>
                <c:pt idx="21">
                  <c:v>-427835</c:v>
                </c:pt>
                <c:pt idx="22">
                  <c:v>-427028</c:v>
                </c:pt>
                <c:pt idx="23">
                  <c:v>-295753</c:v>
                </c:pt>
                <c:pt idx="24">
                  <c:v>-379053</c:v>
                </c:pt>
                <c:pt idx="25">
                  <c:v>-339453</c:v>
                </c:pt>
                <c:pt idx="26">
                  <c:v>-355953</c:v>
                </c:pt>
                <c:pt idx="27">
                  <c:v>-250353</c:v>
                </c:pt>
                <c:pt idx="28">
                  <c:v>-296553</c:v>
                </c:pt>
                <c:pt idx="29">
                  <c:v>-296553</c:v>
                </c:pt>
                <c:pt idx="30">
                  <c:v>-352653</c:v>
                </c:pt>
                <c:pt idx="31">
                  <c:v>-319653</c:v>
                </c:pt>
                <c:pt idx="32">
                  <c:v>-293253</c:v>
                </c:pt>
                <c:pt idx="33">
                  <c:v>-277828</c:v>
                </c:pt>
                <c:pt idx="34">
                  <c:v>-364978</c:v>
                </c:pt>
                <c:pt idx="35">
                  <c:v>-272553</c:v>
                </c:pt>
                <c:pt idx="36">
                  <c:v>-338553</c:v>
                </c:pt>
                <c:pt idx="37">
                  <c:v>-416633</c:v>
                </c:pt>
                <c:pt idx="38">
                  <c:v>-434838</c:v>
                </c:pt>
                <c:pt idx="39">
                  <c:v>-463128</c:v>
                </c:pt>
                <c:pt idx="40">
                  <c:v>-366753</c:v>
                </c:pt>
                <c:pt idx="41">
                  <c:v>-352918</c:v>
                </c:pt>
                <c:pt idx="42">
                  <c:v>-454048</c:v>
                </c:pt>
                <c:pt idx="43">
                  <c:v>-430048</c:v>
                </c:pt>
                <c:pt idx="44">
                  <c:v>-436048</c:v>
                </c:pt>
                <c:pt idx="45">
                  <c:v>-421048</c:v>
                </c:pt>
                <c:pt idx="46">
                  <c:v>-508048</c:v>
                </c:pt>
                <c:pt idx="47">
                  <c:v>-439048</c:v>
                </c:pt>
                <c:pt idx="48">
                  <c:v>-472048</c:v>
                </c:pt>
                <c:pt idx="49">
                  <c:v>-415048</c:v>
                </c:pt>
                <c:pt idx="50">
                  <c:v>-439048</c:v>
                </c:pt>
                <c:pt idx="51">
                  <c:v>-538048</c:v>
                </c:pt>
                <c:pt idx="52">
                  <c:v>-568048</c:v>
                </c:pt>
                <c:pt idx="53">
                  <c:v>-664048</c:v>
                </c:pt>
                <c:pt idx="54">
                  <c:v>-640048</c:v>
                </c:pt>
                <c:pt idx="55">
                  <c:v>-640048</c:v>
                </c:pt>
                <c:pt idx="56">
                  <c:v>-478048</c:v>
                </c:pt>
                <c:pt idx="57">
                  <c:v>-421048</c:v>
                </c:pt>
                <c:pt idx="58">
                  <c:v>-397048</c:v>
                </c:pt>
                <c:pt idx="59">
                  <c:v>-367048</c:v>
                </c:pt>
                <c:pt idx="60">
                  <c:v>-418048</c:v>
                </c:pt>
                <c:pt idx="61">
                  <c:v>-421048</c:v>
                </c:pt>
                <c:pt idx="62">
                  <c:v>-385048</c:v>
                </c:pt>
                <c:pt idx="63">
                  <c:v>-589048</c:v>
                </c:pt>
                <c:pt idx="64">
                  <c:v>-534673</c:v>
                </c:pt>
                <c:pt idx="65">
                  <c:v>-472573</c:v>
                </c:pt>
                <c:pt idx="66">
                  <c:v>-448273</c:v>
                </c:pt>
                <c:pt idx="67">
                  <c:v>-491473</c:v>
                </c:pt>
                <c:pt idx="68">
                  <c:v>-518473</c:v>
                </c:pt>
                <c:pt idx="69">
                  <c:v>-569773</c:v>
                </c:pt>
                <c:pt idx="70">
                  <c:v>-564373</c:v>
                </c:pt>
                <c:pt idx="71">
                  <c:v>-591373</c:v>
                </c:pt>
                <c:pt idx="72">
                  <c:v>-637273</c:v>
                </c:pt>
                <c:pt idx="73">
                  <c:v>-610273</c:v>
                </c:pt>
                <c:pt idx="74">
                  <c:v>-599473</c:v>
                </c:pt>
                <c:pt idx="75">
                  <c:v>-575173</c:v>
                </c:pt>
                <c:pt idx="76">
                  <c:v>-564373</c:v>
                </c:pt>
                <c:pt idx="77">
                  <c:v>-561673</c:v>
                </c:pt>
                <c:pt idx="78">
                  <c:v>-623773</c:v>
                </c:pt>
                <c:pt idx="79">
                  <c:v>-629173</c:v>
                </c:pt>
                <c:pt idx="80">
                  <c:v>-602173</c:v>
                </c:pt>
                <c:pt idx="81">
                  <c:v>-720973</c:v>
                </c:pt>
                <c:pt idx="82">
                  <c:v>-780373</c:v>
                </c:pt>
                <c:pt idx="83">
                  <c:v>-771818</c:v>
                </c:pt>
                <c:pt idx="84">
                  <c:v>-750788</c:v>
                </c:pt>
                <c:pt idx="85">
                  <c:v>-773263</c:v>
                </c:pt>
                <c:pt idx="86">
                  <c:v>-816617</c:v>
                </c:pt>
                <c:pt idx="87">
                  <c:v>-806372</c:v>
                </c:pt>
                <c:pt idx="88">
                  <c:v>-841912</c:v>
                </c:pt>
                <c:pt idx="89">
                  <c:v>-789762</c:v>
                </c:pt>
                <c:pt idx="90">
                  <c:v>-822942</c:v>
                </c:pt>
                <c:pt idx="91">
                  <c:v>-819667</c:v>
                </c:pt>
                <c:pt idx="92">
                  <c:v>-844317</c:v>
                </c:pt>
                <c:pt idx="93">
                  <c:v>-807442</c:v>
                </c:pt>
                <c:pt idx="94">
                  <c:v>-823367</c:v>
                </c:pt>
                <c:pt idx="95">
                  <c:v>-758342</c:v>
                </c:pt>
                <c:pt idx="96">
                  <c:v>-786722</c:v>
                </c:pt>
                <c:pt idx="97">
                  <c:v>-721637</c:v>
                </c:pt>
                <c:pt idx="98">
                  <c:v>-810462</c:v>
                </c:pt>
                <c:pt idx="99">
                  <c:v>-832287</c:v>
                </c:pt>
                <c:pt idx="100">
                  <c:v>-778162</c:v>
                </c:pt>
                <c:pt idx="101">
                  <c:v>-823142</c:v>
                </c:pt>
                <c:pt idx="102">
                  <c:v>-826842</c:v>
                </c:pt>
                <c:pt idx="103">
                  <c:v>-899212</c:v>
                </c:pt>
                <c:pt idx="104">
                  <c:v>-933692</c:v>
                </c:pt>
                <c:pt idx="105">
                  <c:v>-898042</c:v>
                </c:pt>
                <c:pt idx="106">
                  <c:v>-937117</c:v>
                </c:pt>
                <c:pt idx="107">
                  <c:v>-919722</c:v>
                </c:pt>
                <c:pt idx="108">
                  <c:v>-843912</c:v>
                </c:pt>
                <c:pt idx="109">
                  <c:v>-862532</c:v>
                </c:pt>
                <c:pt idx="110">
                  <c:v>-799217</c:v>
                </c:pt>
                <c:pt idx="111">
                  <c:v>-825607</c:v>
                </c:pt>
                <c:pt idx="112">
                  <c:v>-798622</c:v>
                </c:pt>
                <c:pt idx="113">
                  <c:v>-791902</c:v>
                </c:pt>
                <c:pt idx="114">
                  <c:v>-814722</c:v>
                </c:pt>
                <c:pt idx="115">
                  <c:v>-839152</c:v>
                </c:pt>
                <c:pt idx="116">
                  <c:v>-838032</c:v>
                </c:pt>
                <c:pt idx="117">
                  <c:v>-867992</c:v>
                </c:pt>
                <c:pt idx="118">
                  <c:v>-870162</c:v>
                </c:pt>
                <c:pt idx="119">
                  <c:v>-838242</c:v>
                </c:pt>
                <c:pt idx="120">
                  <c:v>-826622</c:v>
                </c:pt>
                <c:pt idx="121">
                  <c:v>-878422</c:v>
                </c:pt>
                <c:pt idx="122">
                  <c:v>-832502</c:v>
                </c:pt>
                <c:pt idx="123">
                  <c:v>-738212</c:v>
                </c:pt>
                <c:pt idx="124">
                  <c:v>-727012</c:v>
                </c:pt>
                <c:pt idx="125">
                  <c:v>-643852</c:v>
                </c:pt>
                <c:pt idx="126">
                  <c:v>-544242</c:v>
                </c:pt>
                <c:pt idx="127">
                  <c:v>-553797</c:v>
                </c:pt>
                <c:pt idx="128">
                  <c:v>-334942</c:v>
                </c:pt>
                <c:pt idx="129">
                  <c:v>-382500</c:v>
                </c:pt>
                <c:pt idx="130">
                  <c:v>-233000</c:v>
                </c:pt>
                <c:pt idx="131">
                  <c:v>-247200</c:v>
                </c:pt>
                <c:pt idx="132">
                  <c:v>-249200</c:v>
                </c:pt>
                <c:pt idx="133">
                  <c:v>-299990</c:v>
                </c:pt>
                <c:pt idx="134">
                  <c:v>-270665</c:v>
                </c:pt>
                <c:pt idx="135">
                  <c:v>-182170</c:v>
                </c:pt>
                <c:pt idx="136">
                  <c:v>-129640</c:v>
                </c:pt>
                <c:pt idx="137">
                  <c:v>-65760</c:v>
                </c:pt>
                <c:pt idx="138">
                  <c:v>-161720</c:v>
                </c:pt>
                <c:pt idx="139">
                  <c:v>-187440</c:v>
                </c:pt>
                <c:pt idx="140">
                  <c:v>-165370</c:v>
                </c:pt>
                <c:pt idx="141">
                  <c:v>-246165</c:v>
                </c:pt>
                <c:pt idx="142">
                  <c:v>-341210</c:v>
                </c:pt>
                <c:pt idx="143">
                  <c:v>-334835</c:v>
                </c:pt>
                <c:pt idx="144">
                  <c:v>-365180</c:v>
                </c:pt>
                <c:pt idx="145">
                  <c:v>-373760</c:v>
                </c:pt>
                <c:pt idx="146">
                  <c:v>-416975</c:v>
                </c:pt>
                <c:pt idx="147">
                  <c:v>-541730</c:v>
                </c:pt>
                <c:pt idx="148">
                  <c:v>-596305</c:v>
                </c:pt>
                <c:pt idx="149">
                  <c:v>-601045</c:v>
                </c:pt>
                <c:pt idx="150">
                  <c:v>-580940</c:v>
                </c:pt>
                <c:pt idx="151">
                  <c:v>-554865</c:v>
                </c:pt>
                <c:pt idx="152">
                  <c:v>-593490</c:v>
                </c:pt>
                <c:pt idx="153">
                  <c:v>-607740</c:v>
                </c:pt>
                <c:pt idx="154">
                  <c:v>-565910</c:v>
                </c:pt>
                <c:pt idx="155">
                  <c:v>-568240</c:v>
                </c:pt>
                <c:pt idx="156">
                  <c:v>-554865</c:v>
                </c:pt>
                <c:pt idx="157">
                  <c:v>-457910</c:v>
                </c:pt>
                <c:pt idx="158">
                  <c:v>-500240</c:v>
                </c:pt>
                <c:pt idx="159">
                  <c:v>-707330</c:v>
                </c:pt>
                <c:pt idx="160">
                  <c:v>-661110</c:v>
                </c:pt>
                <c:pt idx="161">
                  <c:v>-652280</c:v>
                </c:pt>
                <c:pt idx="162">
                  <c:v>-642360</c:v>
                </c:pt>
                <c:pt idx="163">
                  <c:v>-632360</c:v>
                </c:pt>
                <c:pt idx="164">
                  <c:v>-624790</c:v>
                </c:pt>
                <c:pt idx="165">
                  <c:v>-612045</c:v>
                </c:pt>
                <c:pt idx="166">
                  <c:v>-645500</c:v>
                </c:pt>
                <c:pt idx="167">
                  <c:v>-623830</c:v>
                </c:pt>
                <c:pt idx="168">
                  <c:v>-651090</c:v>
                </c:pt>
                <c:pt idx="169">
                  <c:v>-663010</c:v>
                </c:pt>
                <c:pt idx="170">
                  <c:v>-663180</c:v>
                </c:pt>
                <c:pt idx="171">
                  <c:v>-650760</c:v>
                </c:pt>
                <c:pt idx="172">
                  <c:v>-660385</c:v>
                </c:pt>
                <c:pt idx="173">
                  <c:v>-684662</c:v>
                </c:pt>
                <c:pt idx="174">
                  <c:v>-699387</c:v>
                </c:pt>
                <c:pt idx="175">
                  <c:v>-720302</c:v>
                </c:pt>
                <c:pt idx="176">
                  <c:v>-712122</c:v>
                </c:pt>
                <c:pt idx="177">
                  <c:v>-711897</c:v>
                </c:pt>
                <c:pt idx="178">
                  <c:v>-692472</c:v>
                </c:pt>
                <c:pt idx="179">
                  <c:v>-679402</c:v>
                </c:pt>
                <c:pt idx="180">
                  <c:v>-654352</c:v>
                </c:pt>
                <c:pt idx="181">
                  <c:v>-612802</c:v>
                </c:pt>
                <c:pt idx="182">
                  <c:v>-512752</c:v>
                </c:pt>
                <c:pt idx="183">
                  <c:v>-530227</c:v>
                </c:pt>
                <c:pt idx="184">
                  <c:v>-562102</c:v>
                </c:pt>
                <c:pt idx="185">
                  <c:v>-596792</c:v>
                </c:pt>
                <c:pt idx="186">
                  <c:v>-628327</c:v>
                </c:pt>
                <c:pt idx="187">
                  <c:v>-588152</c:v>
                </c:pt>
                <c:pt idx="188">
                  <c:v>-614677</c:v>
                </c:pt>
                <c:pt idx="189">
                  <c:v>-596517</c:v>
                </c:pt>
                <c:pt idx="190">
                  <c:v>-608872</c:v>
                </c:pt>
                <c:pt idx="191">
                  <c:v>-560132</c:v>
                </c:pt>
                <c:pt idx="192">
                  <c:v>-572357</c:v>
                </c:pt>
                <c:pt idx="193">
                  <c:v>-556857</c:v>
                </c:pt>
                <c:pt idx="194">
                  <c:v>-568957</c:v>
                </c:pt>
                <c:pt idx="195">
                  <c:v>-535652</c:v>
                </c:pt>
                <c:pt idx="196">
                  <c:v>-533412</c:v>
                </c:pt>
                <c:pt idx="197">
                  <c:v>-508182</c:v>
                </c:pt>
                <c:pt idx="198">
                  <c:v>-489682</c:v>
                </c:pt>
                <c:pt idx="199">
                  <c:v>-499482</c:v>
                </c:pt>
                <c:pt idx="200">
                  <c:v>-529527</c:v>
                </c:pt>
                <c:pt idx="201">
                  <c:v>-592547</c:v>
                </c:pt>
                <c:pt idx="202">
                  <c:v>-603332</c:v>
                </c:pt>
                <c:pt idx="203">
                  <c:v>-580282</c:v>
                </c:pt>
                <c:pt idx="204">
                  <c:v>-608992</c:v>
                </c:pt>
                <c:pt idx="205">
                  <c:v>-608887</c:v>
                </c:pt>
                <c:pt idx="206">
                  <c:v>-614542</c:v>
                </c:pt>
                <c:pt idx="207">
                  <c:v>-605167</c:v>
                </c:pt>
                <c:pt idx="208">
                  <c:v>-609392</c:v>
                </c:pt>
                <c:pt idx="209">
                  <c:v>-601272</c:v>
                </c:pt>
                <c:pt idx="210">
                  <c:v>-608782</c:v>
                </c:pt>
                <c:pt idx="211">
                  <c:v>-614552</c:v>
                </c:pt>
                <c:pt idx="212">
                  <c:v>-578952</c:v>
                </c:pt>
                <c:pt idx="213">
                  <c:v>-594942</c:v>
                </c:pt>
                <c:pt idx="214">
                  <c:v>-621262</c:v>
                </c:pt>
                <c:pt idx="215">
                  <c:v>-599937</c:v>
                </c:pt>
                <c:pt idx="216">
                  <c:v>-586852</c:v>
                </c:pt>
                <c:pt idx="217">
                  <c:v>-587382</c:v>
                </c:pt>
                <c:pt idx="218">
                  <c:v>-584102</c:v>
                </c:pt>
                <c:pt idx="219">
                  <c:v>-578567</c:v>
                </c:pt>
                <c:pt idx="220">
                  <c:v>-605707</c:v>
                </c:pt>
                <c:pt idx="221">
                  <c:v>-619157</c:v>
                </c:pt>
                <c:pt idx="222">
                  <c:v>-598422</c:v>
                </c:pt>
                <c:pt idx="223">
                  <c:v>-586347</c:v>
                </c:pt>
                <c:pt idx="224">
                  <c:v>-575047</c:v>
                </c:pt>
                <c:pt idx="225">
                  <c:v>-573512</c:v>
                </c:pt>
                <c:pt idx="226">
                  <c:v>-597287</c:v>
                </c:pt>
                <c:pt idx="227">
                  <c:v>-598762</c:v>
                </c:pt>
                <c:pt idx="228">
                  <c:v>-584842</c:v>
                </c:pt>
                <c:pt idx="229">
                  <c:v>-575047</c:v>
                </c:pt>
                <c:pt idx="230">
                  <c:v>-560022</c:v>
                </c:pt>
                <c:pt idx="231">
                  <c:v>-561427</c:v>
                </c:pt>
                <c:pt idx="232">
                  <c:v>-540412</c:v>
                </c:pt>
                <c:pt idx="233">
                  <c:v>-549182</c:v>
                </c:pt>
                <c:pt idx="234">
                  <c:v>-539452</c:v>
                </c:pt>
                <c:pt idx="235">
                  <c:v>-533982</c:v>
                </c:pt>
                <c:pt idx="236">
                  <c:v>-565052</c:v>
                </c:pt>
                <c:pt idx="237">
                  <c:v>-537702</c:v>
                </c:pt>
                <c:pt idx="238">
                  <c:v>-532230</c:v>
                </c:pt>
                <c:pt idx="239">
                  <c:v>-545155</c:v>
                </c:pt>
                <c:pt idx="240">
                  <c:v>-524495</c:v>
                </c:pt>
                <c:pt idx="241">
                  <c:v>-513540</c:v>
                </c:pt>
                <c:pt idx="242">
                  <c:v>-532440</c:v>
                </c:pt>
                <c:pt idx="243">
                  <c:v>-532140</c:v>
                </c:pt>
                <c:pt idx="244">
                  <c:v>-526615</c:v>
                </c:pt>
                <c:pt idx="245">
                  <c:v>-507470</c:v>
                </c:pt>
                <c:pt idx="246">
                  <c:v>-521750</c:v>
                </c:pt>
                <c:pt idx="247">
                  <c:v>-509570</c:v>
                </c:pt>
                <c:pt idx="248">
                  <c:v>-508955</c:v>
                </c:pt>
                <c:pt idx="249">
                  <c:v>-543430</c:v>
                </c:pt>
                <c:pt idx="250">
                  <c:v>-536030</c:v>
                </c:pt>
                <c:pt idx="251">
                  <c:v>-536280</c:v>
                </c:pt>
                <c:pt idx="252">
                  <c:v>-530255</c:v>
                </c:pt>
                <c:pt idx="253">
                  <c:v>-548330</c:v>
                </c:pt>
                <c:pt idx="254">
                  <c:v>-554080</c:v>
                </c:pt>
                <c:pt idx="255">
                  <c:v>-456370</c:v>
                </c:pt>
                <c:pt idx="256">
                  <c:v>-540695</c:v>
                </c:pt>
                <c:pt idx="257">
                  <c:v>-536015</c:v>
                </c:pt>
                <c:pt idx="258">
                  <c:v>-533940</c:v>
                </c:pt>
                <c:pt idx="259">
                  <c:v>-536520</c:v>
                </c:pt>
                <c:pt idx="260">
                  <c:v>-538295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1-42DB-89DA-EE863FD8F365}"/>
            </c:ext>
          </c:extLst>
        </c:ser>
        <c:ser>
          <c:idx val="4"/>
          <c:order val="4"/>
          <c:tx>
            <c:strRef>
              <c:f>Data!$S$11</c:f>
              <c:strCache>
                <c:ptCount val="1"/>
                <c:pt idx="0">
                  <c:v>Sell off DHP + Sell off Long Futures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[0]!dhpLongFuturesExoRangeSelloffBoth</c:f>
              <c:numCache>
                <c:formatCode>General</c:formatCode>
                <c:ptCount val="261"/>
                <c:pt idx="0">
                  <c:v>0</c:v>
                </c:pt>
                <c:pt idx="1">
                  <c:v>-37850</c:v>
                </c:pt>
                <c:pt idx="2">
                  <c:v>117280</c:v>
                </c:pt>
                <c:pt idx="3">
                  <c:v>102980</c:v>
                </c:pt>
                <c:pt idx="4">
                  <c:v>-48580</c:v>
                </c:pt>
                <c:pt idx="5">
                  <c:v>-84380</c:v>
                </c:pt>
                <c:pt idx="6">
                  <c:v>-3060</c:v>
                </c:pt>
                <c:pt idx="7">
                  <c:v>27105</c:v>
                </c:pt>
                <c:pt idx="8">
                  <c:v>-218510</c:v>
                </c:pt>
                <c:pt idx="9">
                  <c:v>-286140</c:v>
                </c:pt>
                <c:pt idx="10">
                  <c:v>-310820</c:v>
                </c:pt>
                <c:pt idx="11">
                  <c:v>-188250</c:v>
                </c:pt>
                <c:pt idx="12">
                  <c:v>-184330</c:v>
                </c:pt>
                <c:pt idx="13">
                  <c:v>-151725</c:v>
                </c:pt>
                <c:pt idx="14">
                  <c:v>-186445</c:v>
                </c:pt>
                <c:pt idx="15">
                  <c:v>-259375</c:v>
                </c:pt>
                <c:pt idx="16">
                  <c:v>-234630</c:v>
                </c:pt>
                <c:pt idx="17">
                  <c:v>-245110</c:v>
                </c:pt>
                <c:pt idx="18">
                  <c:v>-271185</c:v>
                </c:pt>
                <c:pt idx="19">
                  <c:v>-367200</c:v>
                </c:pt>
                <c:pt idx="20">
                  <c:v>-427735</c:v>
                </c:pt>
                <c:pt idx="21">
                  <c:v>-427835</c:v>
                </c:pt>
                <c:pt idx="22">
                  <c:v>-426809.25</c:v>
                </c:pt>
                <c:pt idx="23">
                  <c:v>-289423.83333333331</c:v>
                </c:pt>
                <c:pt idx="24">
                  <c:v>-371557.16666666663</c:v>
                </c:pt>
                <c:pt idx="25">
                  <c:v>-331957.16666666663</c:v>
                </c:pt>
                <c:pt idx="26">
                  <c:v>-348457.16666666663</c:v>
                </c:pt>
                <c:pt idx="27">
                  <c:v>-242857.16666666666</c:v>
                </c:pt>
                <c:pt idx="28">
                  <c:v>-289057.16666666663</c:v>
                </c:pt>
                <c:pt idx="29">
                  <c:v>-289057.16666666663</c:v>
                </c:pt>
                <c:pt idx="30">
                  <c:v>-345157.16666666663</c:v>
                </c:pt>
                <c:pt idx="31">
                  <c:v>-312157.16666666663</c:v>
                </c:pt>
                <c:pt idx="32">
                  <c:v>-285757.16666666663</c:v>
                </c:pt>
                <c:pt idx="33">
                  <c:v>-269967.58333333331</c:v>
                </c:pt>
                <c:pt idx="34">
                  <c:v>-355630.08333333331</c:v>
                </c:pt>
                <c:pt idx="35">
                  <c:v>-265407.16666666663</c:v>
                </c:pt>
                <c:pt idx="36">
                  <c:v>-331407.16666666663</c:v>
                </c:pt>
                <c:pt idx="37">
                  <c:v>-407655.5</c:v>
                </c:pt>
                <c:pt idx="38">
                  <c:v>-425443.41666666663</c:v>
                </c:pt>
                <c:pt idx="39">
                  <c:v>-457425.91666666663</c:v>
                </c:pt>
                <c:pt idx="40">
                  <c:v>-360832.16666666663</c:v>
                </c:pt>
                <c:pt idx="41">
                  <c:v>-340175.08333333331</c:v>
                </c:pt>
                <c:pt idx="42">
                  <c:v>-440430.08333333331</c:v>
                </c:pt>
                <c:pt idx="43">
                  <c:v>-416430.08333333331</c:v>
                </c:pt>
                <c:pt idx="44">
                  <c:v>-422430.08333333331</c:v>
                </c:pt>
                <c:pt idx="45">
                  <c:v>-407430.08333333331</c:v>
                </c:pt>
                <c:pt idx="46">
                  <c:v>-494430.08333333331</c:v>
                </c:pt>
                <c:pt idx="47">
                  <c:v>-425430.08333333331</c:v>
                </c:pt>
                <c:pt idx="48">
                  <c:v>-458430.08333333331</c:v>
                </c:pt>
                <c:pt idx="49">
                  <c:v>-401430.08333333331</c:v>
                </c:pt>
                <c:pt idx="50">
                  <c:v>-425430.08333333331</c:v>
                </c:pt>
                <c:pt idx="51">
                  <c:v>-524430.08333333326</c:v>
                </c:pt>
                <c:pt idx="52">
                  <c:v>-554430.08333333326</c:v>
                </c:pt>
                <c:pt idx="53">
                  <c:v>-650430.08333333326</c:v>
                </c:pt>
                <c:pt idx="54">
                  <c:v>-626430.08333333326</c:v>
                </c:pt>
                <c:pt idx="55">
                  <c:v>-626430.08333333326</c:v>
                </c:pt>
                <c:pt idx="56">
                  <c:v>-464430.08333333331</c:v>
                </c:pt>
                <c:pt idx="57">
                  <c:v>-407430.08333333331</c:v>
                </c:pt>
                <c:pt idx="58">
                  <c:v>-383430.08333333331</c:v>
                </c:pt>
                <c:pt idx="59">
                  <c:v>-353430.08333333331</c:v>
                </c:pt>
                <c:pt idx="60">
                  <c:v>-404430.08333333331</c:v>
                </c:pt>
                <c:pt idx="61">
                  <c:v>-407430.08333333331</c:v>
                </c:pt>
                <c:pt idx="62">
                  <c:v>-371430.08333333331</c:v>
                </c:pt>
                <c:pt idx="63">
                  <c:v>-575430.08333333326</c:v>
                </c:pt>
                <c:pt idx="64">
                  <c:v>-522498.83333333331</c:v>
                </c:pt>
                <c:pt idx="65">
                  <c:v>-460398.83333333331</c:v>
                </c:pt>
                <c:pt idx="66">
                  <c:v>-436098.83333333331</c:v>
                </c:pt>
                <c:pt idx="67">
                  <c:v>-479298.83333333331</c:v>
                </c:pt>
                <c:pt idx="68">
                  <c:v>-506298.83333333331</c:v>
                </c:pt>
                <c:pt idx="69">
                  <c:v>-557598.83333333326</c:v>
                </c:pt>
                <c:pt idx="70">
                  <c:v>-552198.83333333326</c:v>
                </c:pt>
                <c:pt idx="71">
                  <c:v>-579198.83333333326</c:v>
                </c:pt>
                <c:pt idx="72">
                  <c:v>-625098.83333333326</c:v>
                </c:pt>
                <c:pt idx="73">
                  <c:v>-598098.83333333326</c:v>
                </c:pt>
                <c:pt idx="74">
                  <c:v>-587298.83333333326</c:v>
                </c:pt>
                <c:pt idx="75">
                  <c:v>-562998.83333333326</c:v>
                </c:pt>
                <c:pt idx="76">
                  <c:v>-552198.83333333326</c:v>
                </c:pt>
                <c:pt idx="77">
                  <c:v>-549498.83333333326</c:v>
                </c:pt>
                <c:pt idx="78">
                  <c:v>-611598.83333333326</c:v>
                </c:pt>
                <c:pt idx="79">
                  <c:v>-616998.83333333326</c:v>
                </c:pt>
                <c:pt idx="80">
                  <c:v>-589998.83333333326</c:v>
                </c:pt>
                <c:pt idx="81">
                  <c:v>-708798.83333333326</c:v>
                </c:pt>
                <c:pt idx="82">
                  <c:v>-768198.83333333326</c:v>
                </c:pt>
                <c:pt idx="83">
                  <c:v>-759757.58333333326</c:v>
                </c:pt>
                <c:pt idx="84">
                  <c:v>-739935.08333333326</c:v>
                </c:pt>
                <c:pt idx="85">
                  <c:v>-762191.33333333326</c:v>
                </c:pt>
                <c:pt idx="86">
                  <c:v>-801462</c:v>
                </c:pt>
                <c:pt idx="87">
                  <c:v>-792232</c:v>
                </c:pt>
                <c:pt idx="88">
                  <c:v>-826325.33333333326</c:v>
                </c:pt>
                <c:pt idx="89">
                  <c:v>-774758.66666666663</c:v>
                </c:pt>
                <c:pt idx="90">
                  <c:v>-808078.66666666663</c:v>
                </c:pt>
                <c:pt idx="91">
                  <c:v>-805095.33333333326</c:v>
                </c:pt>
                <c:pt idx="92">
                  <c:v>-830328.66666666663</c:v>
                </c:pt>
                <c:pt idx="93">
                  <c:v>-793745.33333333326</c:v>
                </c:pt>
                <c:pt idx="94">
                  <c:v>-809962</c:v>
                </c:pt>
                <c:pt idx="95">
                  <c:v>-745812</c:v>
                </c:pt>
                <c:pt idx="96">
                  <c:v>-774332</c:v>
                </c:pt>
                <c:pt idx="97">
                  <c:v>-713342</c:v>
                </c:pt>
                <c:pt idx="98">
                  <c:v>-798958.66666666663</c:v>
                </c:pt>
                <c:pt idx="99">
                  <c:v>-819908.66666666663</c:v>
                </c:pt>
                <c:pt idx="100">
                  <c:v>-767825.33333333326</c:v>
                </c:pt>
                <c:pt idx="101">
                  <c:v>-810612</c:v>
                </c:pt>
                <c:pt idx="102">
                  <c:v>-815478.66666666663</c:v>
                </c:pt>
                <c:pt idx="103">
                  <c:v>-882925.33333333326</c:v>
                </c:pt>
                <c:pt idx="104">
                  <c:v>-918711.99999999988</c:v>
                </c:pt>
                <c:pt idx="105">
                  <c:v>-882945.33333333326</c:v>
                </c:pt>
                <c:pt idx="106">
                  <c:v>-919395.33333333326</c:v>
                </c:pt>
                <c:pt idx="107">
                  <c:v>-903998.24999999988</c:v>
                </c:pt>
                <c:pt idx="108">
                  <c:v>-834400.74999999988</c:v>
                </c:pt>
                <c:pt idx="109">
                  <c:v>-851387.41666666651</c:v>
                </c:pt>
                <c:pt idx="110">
                  <c:v>-793453.66666666651</c:v>
                </c:pt>
                <c:pt idx="111">
                  <c:v>-820222.83333333326</c:v>
                </c:pt>
                <c:pt idx="112">
                  <c:v>-789606.58333333326</c:v>
                </c:pt>
                <c:pt idx="113">
                  <c:v>-783061.58333333326</c:v>
                </c:pt>
                <c:pt idx="114">
                  <c:v>-817373.24999999988</c:v>
                </c:pt>
                <c:pt idx="115">
                  <c:v>-845624.08333333326</c:v>
                </c:pt>
                <c:pt idx="116">
                  <c:v>-851970.74999999988</c:v>
                </c:pt>
                <c:pt idx="117">
                  <c:v>-888697.41666666651</c:v>
                </c:pt>
                <c:pt idx="118">
                  <c:v>-876838.24999999988</c:v>
                </c:pt>
                <c:pt idx="119">
                  <c:v>-835468.24999999988</c:v>
                </c:pt>
                <c:pt idx="120">
                  <c:v>-825189.91666666651</c:v>
                </c:pt>
                <c:pt idx="121">
                  <c:v>-871156.58333333326</c:v>
                </c:pt>
                <c:pt idx="122">
                  <c:v>-831244.91666666651</c:v>
                </c:pt>
                <c:pt idx="123">
                  <c:v>-746492.41666666651</c:v>
                </c:pt>
                <c:pt idx="124">
                  <c:v>-737334.08333333326</c:v>
                </c:pt>
                <c:pt idx="125">
                  <c:v>-659074.08333333326</c:v>
                </c:pt>
                <c:pt idx="126">
                  <c:v>-561593.24999999988</c:v>
                </c:pt>
                <c:pt idx="127">
                  <c:v>-562791.99999999988</c:v>
                </c:pt>
                <c:pt idx="128">
                  <c:v>-349376.5833333332</c:v>
                </c:pt>
                <c:pt idx="129">
                  <c:v>-381219.5833333332</c:v>
                </c:pt>
                <c:pt idx="130">
                  <c:v>-261469.5833333332</c:v>
                </c:pt>
                <c:pt idx="131">
                  <c:v>-272169.5833333332</c:v>
                </c:pt>
                <c:pt idx="132">
                  <c:v>-277669.5833333332</c:v>
                </c:pt>
                <c:pt idx="133">
                  <c:v>-320164.5833333332</c:v>
                </c:pt>
                <c:pt idx="134">
                  <c:v>-297402.0833333332</c:v>
                </c:pt>
                <c:pt idx="135">
                  <c:v>-227054.5833333332</c:v>
                </c:pt>
                <c:pt idx="136">
                  <c:v>-186389.5833333332</c:v>
                </c:pt>
                <c:pt idx="137">
                  <c:v>-131049.5833333332</c:v>
                </c:pt>
                <c:pt idx="138">
                  <c:v>-214129.5833333332</c:v>
                </c:pt>
                <c:pt idx="139">
                  <c:v>-241389.5833333332</c:v>
                </c:pt>
                <c:pt idx="140">
                  <c:v>-218654.5833333332</c:v>
                </c:pt>
                <c:pt idx="141">
                  <c:v>-297752.0833333332</c:v>
                </c:pt>
                <c:pt idx="142">
                  <c:v>-394774.5833333332</c:v>
                </c:pt>
                <c:pt idx="143">
                  <c:v>-387087.0833333332</c:v>
                </c:pt>
                <c:pt idx="144">
                  <c:v>-421159.5833333332</c:v>
                </c:pt>
                <c:pt idx="145">
                  <c:v>-429949.5833333332</c:v>
                </c:pt>
                <c:pt idx="146">
                  <c:v>-474057.0833333332</c:v>
                </c:pt>
                <c:pt idx="147">
                  <c:v>-600334.58333333326</c:v>
                </c:pt>
                <c:pt idx="148">
                  <c:v>-649222.08333333326</c:v>
                </c:pt>
                <c:pt idx="149">
                  <c:v>-658792.08333333326</c:v>
                </c:pt>
                <c:pt idx="150">
                  <c:v>-641539.58333333326</c:v>
                </c:pt>
                <c:pt idx="151">
                  <c:v>-615902.08333333326</c:v>
                </c:pt>
                <c:pt idx="152">
                  <c:v>-652995.83333333326</c:v>
                </c:pt>
                <c:pt idx="153">
                  <c:v>-664183.33333333326</c:v>
                </c:pt>
                <c:pt idx="154">
                  <c:v>-629254.16666666651</c:v>
                </c:pt>
                <c:pt idx="155">
                  <c:v>-632849.99999999988</c:v>
                </c:pt>
                <c:pt idx="156">
                  <c:v>-622027.08333333314</c:v>
                </c:pt>
                <c:pt idx="157">
                  <c:v>-533504.16666666651</c:v>
                </c:pt>
                <c:pt idx="158">
                  <c:v>-573016.66666666651</c:v>
                </c:pt>
                <c:pt idx="159">
                  <c:v>-739804.16666666651</c:v>
                </c:pt>
                <c:pt idx="160">
                  <c:v>-705670.83333333314</c:v>
                </c:pt>
                <c:pt idx="161">
                  <c:v>-697616.66666666651</c:v>
                </c:pt>
                <c:pt idx="162">
                  <c:v>-689983.33333333314</c:v>
                </c:pt>
                <c:pt idx="163">
                  <c:v>-677941.66666666651</c:v>
                </c:pt>
                <c:pt idx="164">
                  <c:v>-670412.49999999988</c:v>
                </c:pt>
                <c:pt idx="165">
                  <c:v>-653727.08333333314</c:v>
                </c:pt>
                <c:pt idx="166">
                  <c:v>-686916.66666666651</c:v>
                </c:pt>
                <c:pt idx="167">
                  <c:v>-666512.49999999977</c:v>
                </c:pt>
                <c:pt idx="168">
                  <c:v>-690995.83333333314</c:v>
                </c:pt>
                <c:pt idx="169">
                  <c:v>-704712.49999999977</c:v>
                </c:pt>
                <c:pt idx="170">
                  <c:v>-705658.33333333314</c:v>
                </c:pt>
                <c:pt idx="171">
                  <c:v>-693483.33333333314</c:v>
                </c:pt>
                <c:pt idx="172">
                  <c:v>-703618.74999999977</c:v>
                </c:pt>
                <c:pt idx="173">
                  <c:v>-728479.08333333314</c:v>
                </c:pt>
                <c:pt idx="174">
                  <c:v>-743787.41666666651</c:v>
                </c:pt>
                <c:pt idx="175">
                  <c:v>-763559.08333333314</c:v>
                </c:pt>
                <c:pt idx="176">
                  <c:v>-756032.41666666651</c:v>
                </c:pt>
                <c:pt idx="177">
                  <c:v>-757557.41666666651</c:v>
                </c:pt>
                <c:pt idx="178">
                  <c:v>-739882.41666666651</c:v>
                </c:pt>
                <c:pt idx="179">
                  <c:v>-725925.74999999977</c:v>
                </c:pt>
                <c:pt idx="180">
                  <c:v>-701575.74999999977</c:v>
                </c:pt>
                <c:pt idx="181">
                  <c:v>-656525.74999999977</c:v>
                </c:pt>
                <c:pt idx="182">
                  <c:v>-593575.74999999977</c:v>
                </c:pt>
                <c:pt idx="183">
                  <c:v>-605800.74999999977</c:v>
                </c:pt>
                <c:pt idx="184">
                  <c:v>-632425.74999999977</c:v>
                </c:pt>
                <c:pt idx="185">
                  <c:v>-658389.08333333314</c:v>
                </c:pt>
                <c:pt idx="186">
                  <c:v>-680100.74999999977</c:v>
                </c:pt>
                <c:pt idx="187">
                  <c:v>-647509.08333333314</c:v>
                </c:pt>
                <c:pt idx="188">
                  <c:v>-669950.74999999977</c:v>
                </c:pt>
                <c:pt idx="189">
                  <c:v>-655897.41666666651</c:v>
                </c:pt>
                <c:pt idx="190">
                  <c:v>-665615.74999999977</c:v>
                </c:pt>
                <c:pt idx="191">
                  <c:v>-625369.08333333314</c:v>
                </c:pt>
                <c:pt idx="192">
                  <c:v>-635844.08333333314</c:v>
                </c:pt>
                <c:pt idx="193">
                  <c:v>-622677.41666666651</c:v>
                </c:pt>
                <c:pt idx="194">
                  <c:v>-637110.74999999977</c:v>
                </c:pt>
                <c:pt idx="195">
                  <c:v>-615959.49999999977</c:v>
                </c:pt>
                <c:pt idx="196">
                  <c:v>-615399.49999999977</c:v>
                </c:pt>
                <c:pt idx="197">
                  <c:v>-601666.99999999977</c:v>
                </c:pt>
                <c:pt idx="198">
                  <c:v>-584216.99999999977</c:v>
                </c:pt>
                <c:pt idx="199">
                  <c:v>-591391.99999999977</c:v>
                </c:pt>
                <c:pt idx="200">
                  <c:v>-609703.24999999977</c:v>
                </c:pt>
                <c:pt idx="201">
                  <c:v>-643008.24999999977</c:v>
                </c:pt>
                <c:pt idx="202">
                  <c:v>-657179.49999999977</c:v>
                </c:pt>
                <c:pt idx="203">
                  <c:v>-643316.99999999977</c:v>
                </c:pt>
                <c:pt idx="204">
                  <c:v>-663994.49999999977</c:v>
                </c:pt>
                <c:pt idx="205">
                  <c:v>-673418.24999999977</c:v>
                </c:pt>
                <c:pt idx="206">
                  <c:v>-673481.99999999977</c:v>
                </c:pt>
                <c:pt idx="207">
                  <c:v>-677888.24999999977</c:v>
                </c:pt>
                <c:pt idx="208">
                  <c:v>-674894.49999999977</c:v>
                </c:pt>
                <c:pt idx="209">
                  <c:v>-658689.49999999977</c:v>
                </c:pt>
                <c:pt idx="210">
                  <c:v>-663941.99999999977</c:v>
                </c:pt>
                <c:pt idx="211">
                  <c:v>-668084.49999999977</c:v>
                </c:pt>
                <c:pt idx="212">
                  <c:v>-642984.49999999977</c:v>
                </c:pt>
                <c:pt idx="213">
                  <c:v>-654406.99999999977</c:v>
                </c:pt>
                <c:pt idx="214">
                  <c:v>-675161.99999999977</c:v>
                </c:pt>
                <c:pt idx="215">
                  <c:v>-661055.74999999977</c:v>
                </c:pt>
                <c:pt idx="216">
                  <c:v>-650359.49999999977</c:v>
                </c:pt>
                <c:pt idx="217">
                  <c:v>-661447.83333333314</c:v>
                </c:pt>
                <c:pt idx="218">
                  <c:v>-654901.16666666651</c:v>
                </c:pt>
                <c:pt idx="219">
                  <c:v>-646478.66666666651</c:v>
                </c:pt>
                <c:pt idx="220">
                  <c:v>-666501.99999999977</c:v>
                </c:pt>
                <c:pt idx="221">
                  <c:v>-673243.66666666651</c:v>
                </c:pt>
                <c:pt idx="222">
                  <c:v>-678787.83333333314</c:v>
                </c:pt>
                <c:pt idx="223">
                  <c:v>-697775.33333333314</c:v>
                </c:pt>
                <c:pt idx="224">
                  <c:v>-689391.99999999977</c:v>
                </c:pt>
                <c:pt idx="225">
                  <c:v>-689636.16666666651</c:v>
                </c:pt>
                <c:pt idx="226">
                  <c:v>-698098.66666666651</c:v>
                </c:pt>
                <c:pt idx="227">
                  <c:v>-698844.49999999977</c:v>
                </c:pt>
                <c:pt idx="228">
                  <c:v>-694024.49999999977</c:v>
                </c:pt>
                <c:pt idx="229">
                  <c:v>-689391.99999999977</c:v>
                </c:pt>
                <c:pt idx="230">
                  <c:v>-682387.83333333314</c:v>
                </c:pt>
                <c:pt idx="231">
                  <c:v>-683121.99999999977</c:v>
                </c:pt>
                <c:pt idx="232">
                  <c:v>-674619.49999999977</c:v>
                </c:pt>
                <c:pt idx="233">
                  <c:v>-681581.16666666651</c:v>
                </c:pt>
                <c:pt idx="234">
                  <c:v>-676459.49999999977</c:v>
                </c:pt>
                <c:pt idx="235">
                  <c:v>-674547.83333333314</c:v>
                </c:pt>
                <c:pt idx="236">
                  <c:v>-689226.16666666651</c:v>
                </c:pt>
                <c:pt idx="237">
                  <c:v>-676167.83333333314</c:v>
                </c:pt>
                <c:pt idx="238">
                  <c:v>-673775.83333333314</c:v>
                </c:pt>
                <c:pt idx="239">
                  <c:v>-677877.91666666651</c:v>
                </c:pt>
                <c:pt idx="240">
                  <c:v>-669281.24999999977</c:v>
                </c:pt>
                <c:pt idx="241">
                  <c:v>-664518.33333333314</c:v>
                </c:pt>
                <c:pt idx="242">
                  <c:v>-673793.33333333314</c:v>
                </c:pt>
                <c:pt idx="243">
                  <c:v>-673493.33333333314</c:v>
                </c:pt>
                <c:pt idx="244">
                  <c:v>-673582.9166666664</c:v>
                </c:pt>
                <c:pt idx="245">
                  <c:v>-666212.49999999977</c:v>
                </c:pt>
                <c:pt idx="246">
                  <c:v>-671252.49999999977</c:v>
                </c:pt>
                <c:pt idx="247">
                  <c:v>-666387.49999999977</c:v>
                </c:pt>
                <c:pt idx="248">
                  <c:v>-666061.24999999977</c:v>
                </c:pt>
                <c:pt idx="249">
                  <c:v>-678559.1666666664</c:v>
                </c:pt>
                <c:pt idx="250">
                  <c:v>-674367.49999999977</c:v>
                </c:pt>
                <c:pt idx="251">
                  <c:v>-673013.33333333314</c:v>
                </c:pt>
                <c:pt idx="252">
                  <c:v>-675811.24999999977</c:v>
                </c:pt>
                <c:pt idx="253">
                  <c:v>-682817.49999999977</c:v>
                </c:pt>
                <c:pt idx="254">
                  <c:v>-684396.6666666664</c:v>
                </c:pt>
                <c:pt idx="255">
                  <c:v>-677354.1666666664</c:v>
                </c:pt>
                <c:pt idx="256">
                  <c:v>-685481.24999999977</c:v>
                </c:pt>
                <c:pt idx="257">
                  <c:v>-688116.24999999977</c:v>
                </c:pt>
                <c:pt idx="258">
                  <c:v>-686843.33333333314</c:v>
                </c:pt>
                <c:pt idx="259">
                  <c:v>-689808.33333333314</c:v>
                </c:pt>
                <c:pt idx="260">
                  <c:v>-690781.24999999977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D5-4BC5-A190-B72137781331}"/>
            </c:ext>
          </c:extLst>
        </c:ser>
        <c:ser>
          <c:idx val="5"/>
          <c:order val="5"/>
          <c:tx>
            <c:strRef>
              <c:f>Data!$N$11</c:f>
              <c:strCache>
                <c:ptCount val="1"/>
                <c:pt idx="0">
                  <c:v>Constant Corn DHP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[0]!dhpRange</c:f>
              <c:numCache>
                <c:formatCode>General</c:formatCode>
                <c:ptCount val="261"/>
                <c:pt idx="0">
                  <c:v>0</c:v>
                </c:pt>
                <c:pt idx="1">
                  <c:v>1750</c:v>
                </c:pt>
                <c:pt idx="2">
                  <c:v>12880</c:v>
                </c:pt>
                <c:pt idx="3">
                  <c:v>9380</c:v>
                </c:pt>
                <c:pt idx="4">
                  <c:v>-23380</c:v>
                </c:pt>
                <c:pt idx="5">
                  <c:v>-30380</c:v>
                </c:pt>
                <c:pt idx="6">
                  <c:v>-39060</c:v>
                </c:pt>
                <c:pt idx="7">
                  <c:v>-37695</c:v>
                </c:pt>
                <c:pt idx="8">
                  <c:v>-45710</c:v>
                </c:pt>
                <c:pt idx="9">
                  <c:v>-19740</c:v>
                </c:pt>
                <c:pt idx="10">
                  <c:v>-22820</c:v>
                </c:pt>
                <c:pt idx="11">
                  <c:v>-26250</c:v>
                </c:pt>
                <c:pt idx="12">
                  <c:v>-22330</c:v>
                </c:pt>
                <c:pt idx="13">
                  <c:v>-25725</c:v>
                </c:pt>
                <c:pt idx="14">
                  <c:v>-35245</c:v>
                </c:pt>
                <c:pt idx="15">
                  <c:v>-50575</c:v>
                </c:pt>
                <c:pt idx="16">
                  <c:v>-51030</c:v>
                </c:pt>
                <c:pt idx="17">
                  <c:v>-47110</c:v>
                </c:pt>
                <c:pt idx="18">
                  <c:v>-47985</c:v>
                </c:pt>
                <c:pt idx="19">
                  <c:v>-50400</c:v>
                </c:pt>
                <c:pt idx="20">
                  <c:v>-24535</c:v>
                </c:pt>
                <c:pt idx="21">
                  <c:v>-21035</c:v>
                </c:pt>
                <c:pt idx="22">
                  <c:v>-23660</c:v>
                </c:pt>
                <c:pt idx="23">
                  <c:v>-96985</c:v>
                </c:pt>
                <c:pt idx="24">
                  <c:v>-110985</c:v>
                </c:pt>
                <c:pt idx="25">
                  <c:v>-110985</c:v>
                </c:pt>
                <c:pt idx="26">
                  <c:v>-110985</c:v>
                </c:pt>
                <c:pt idx="27">
                  <c:v>-110985</c:v>
                </c:pt>
                <c:pt idx="28">
                  <c:v>-110985</c:v>
                </c:pt>
                <c:pt idx="29">
                  <c:v>-110985</c:v>
                </c:pt>
                <c:pt idx="30">
                  <c:v>-110985</c:v>
                </c:pt>
                <c:pt idx="31">
                  <c:v>-110985</c:v>
                </c:pt>
                <c:pt idx="32">
                  <c:v>-110985</c:v>
                </c:pt>
                <c:pt idx="33">
                  <c:v>-115360</c:v>
                </c:pt>
                <c:pt idx="34">
                  <c:v>-133210</c:v>
                </c:pt>
                <c:pt idx="35">
                  <c:v>-106785</c:v>
                </c:pt>
                <c:pt idx="36">
                  <c:v>-106785</c:v>
                </c:pt>
                <c:pt idx="37">
                  <c:v>-128765</c:v>
                </c:pt>
                <c:pt idx="38">
                  <c:v>-133770</c:v>
                </c:pt>
                <c:pt idx="39">
                  <c:v>-89460</c:v>
                </c:pt>
                <c:pt idx="40">
                  <c:v>-92085</c:v>
                </c:pt>
                <c:pt idx="41">
                  <c:v>-173950</c:v>
                </c:pt>
                <c:pt idx="42">
                  <c:v>-179200</c:v>
                </c:pt>
                <c:pt idx="43">
                  <c:v>-179200</c:v>
                </c:pt>
                <c:pt idx="44">
                  <c:v>-179200</c:v>
                </c:pt>
                <c:pt idx="45">
                  <c:v>-179200</c:v>
                </c:pt>
                <c:pt idx="46">
                  <c:v>-179200</c:v>
                </c:pt>
                <c:pt idx="47">
                  <c:v>-179200</c:v>
                </c:pt>
                <c:pt idx="48">
                  <c:v>-179200</c:v>
                </c:pt>
                <c:pt idx="49">
                  <c:v>-179200</c:v>
                </c:pt>
                <c:pt idx="50">
                  <c:v>-179200</c:v>
                </c:pt>
                <c:pt idx="51">
                  <c:v>-179200</c:v>
                </c:pt>
                <c:pt idx="52">
                  <c:v>-179200</c:v>
                </c:pt>
                <c:pt idx="53">
                  <c:v>-179200</c:v>
                </c:pt>
                <c:pt idx="54">
                  <c:v>-179200</c:v>
                </c:pt>
                <c:pt idx="55">
                  <c:v>-179200</c:v>
                </c:pt>
                <c:pt idx="56">
                  <c:v>-179200</c:v>
                </c:pt>
                <c:pt idx="57">
                  <c:v>-179200</c:v>
                </c:pt>
                <c:pt idx="58">
                  <c:v>-179200</c:v>
                </c:pt>
                <c:pt idx="59">
                  <c:v>-179200</c:v>
                </c:pt>
                <c:pt idx="60">
                  <c:v>-179200</c:v>
                </c:pt>
                <c:pt idx="61">
                  <c:v>-179200</c:v>
                </c:pt>
                <c:pt idx="62">
                  <c:v>-179200</c:v>
                </c:pt>
                <c:pt idx="63">
                  <c:v>-179200</c:v>
                </c:pt>
                <c:pt idx="64">
                  <c:v>-173425</c:v>
                </c:pt>
                <c:pt idx="65">
                  <c:v>-173425</c:v>
                </c:pt>
                <c:pt idx="66">
                  <c:v>-173425</c:v>
                </c:pt>
                <c:pt idx="67">
                  <c:v>-173425</c:v>
                </c:pt>
                <c:pt idx="68">
                  <c:v>-173425</c:v>
                </c:pt>
                <c:pt idx="69">
                  <c:v>-173425</c:v>
                </c:pt>
                <c:pt idx="70">
                  <c:v>-173425</c:v>
                </c:pt>
                <c:pt idx="71">
                  <c:v>-173425</c:v>
                </c:pt>
                <c:pt idx="72">
                  <c:v>-173425</c:v>
                </c:pt>
                <c:pt idx="73">
                  <c:v>-173425</c:v>
                </c:pt>
                <c:pt idx="74">
                  <c:v>-173425</c:v>
                </c:pt>
                <c:pt idx="75">
                  <c:v>-173425</c:v>
                </c:pt>
                <c:pt idx="76">
                  <c:v>-173425</c:v>
                </c:pt>
                <c:pt idx="77">
                  <c:v>-173425</c:v>
                </c:pt>
                <c:pt idx="78">
                  <c:v>-173425</c:v>
                </c:pt>
                <c:pt idx="79">
                  <c:v>-173425</c:v>
                </c:pt>
                <c:pt idx="80">
                  <c:v>-173425</c:v>
                </c:pt>
                <c:pt idx="81">
                  <c:v>-173425</c:v>
                </c:pt>
                <c:pt idx="82">
                  <c:v>-173425</c:v>
                </c:pt>
                <c:pt idx="83">
                  <c:v>-172970</c:v>
                </c:pt>
                <c:pt idx="84">
                  <c:v>-168140</c:v>
                </c:pt>
                <c:pt idx="85">
                  <c:v>-169015</c:v>
                </c:pt>
                <c:pt idx="86">
                  <c:v>-181265</c:v>
                </c:pt>
                <c:pt idx="87">
                  <c:v>-178220</c:v>
                </c:pt>
                <c:pt idx="88">
                  <c:v>-182560</c:v>
                </c:pt>
                <c:pt idx="89">
                  <c:v>-180810</c:v>
                </c:pt>
                <c:pt idx="90">
                  <c:v>-180390</c:v>
                </c:pt>
                <c:pt idx="91">
                  <c:v>-179515</c:v>
                </c:pt>
                <c:pt idx="92">
                  <c:v>-177765</c:v>
                </c:pt>
                <c:pt idx="93">
                  <c:v>-176890</c:v>
                </c:pt>
                <c:pt idx="94">
                  <c:v>-176015</c:v>
                </c:pt>
                <c:pt idx="95">
                  <c:v>-173390</c:v>
                </c:pt>
                <c:pt idx="96">
                  <c:v>-172970</c:v>
                </c:pt>
                <c:pt idx="97">
                  <c:v>-160685</c:v>
                </c:pt>
                <c:pt idx="98">
                  <c:v>-170310</c:v>
                </c:pt>
                <c:pt idx="99">
                  <c:v>-172935</c:v>
                </c:pt>
                <c:pt idx="100">
                  <c:v>-166810</c:v>
                </c:pt>
                <c:pt idx="101">
                  <c:v>-173390</c:v>
                </c:pt>
                <c:pt idx="102">
                  <c:v>-169890</c:v>
                </c:pt>
                <c:pt idx="103">
                  <c:v>-184660</c:v>
                </c:pt>
                <c:pt idx="104">
                  <c:v>-180740</c:v>
                </c:pt>
                <c:pt idx="105">
                  <c:v>-181090</c:v>
                </c:pt>
                <c:pt idx="106">
                  <c:v>-188965</c:v>
                </c:pt>
                <c:pt idx="107">
                  <c:v>-184170</c:v>
                </c:pt>
                <c:pt idx="108">
                  <c:v>-169260</c:v>
                </c:pt>
                <c:pt idx="109">
                  <c:v>-173180</c:v>
                </c:pt>
                <c:pt idx="110">
                  <c:v>-160265</c:v>
                </c:pt>
                <c:pt idx="111">
                  <c:v>-159355</c:v>
                </c:pt>
                <c:pt idx="112">
                  <c:v>-168070</c:v>
                </c:pt>
                <c:pt idx="113">
                  <c:v>-167650</c:v>
                </c:pt>
                <c:pt idx="114">
                  <c:v>-140070</c:v>
                </c:pt>
                <c:pt idx="115">
                  <c:v>-130900</c:v>
                </c:pt>
                <c:pt idx="116">
                  <c:v>-112980</c:v>
                </c:pt>
                <c:pt idx="117">
                  <c:v>-96740</c:v>
                </c:pt>
                <c:pt idx="118">
                  <c:v>-130410</c:v>
                </c:pt>
                <c:pt idx="119">
                  <c:v>-153090</c:v>
                </c:pt>
                <c:pt idx="120">
                  <c:v>-149870</c:v>
                </c:pt>
                <c:pt idx="121">
                  <c:v>-163870</c:v>
                </c:pt>
                <c:pt idx="122">
                  <c:v>-149450</c:v>
                </c:pt>
                <c:pt idx="123">
                  <c:v>-126560</c:v>
                </c:pt>
                <c:pt idx="124">
                  <c:v>-121660</c:v>
                </c:pt>
                <c:pt idx="125">
                  <c:v>-109900</c:v>
                </c:pt>
                <c:pt idx="126">
                  <c:v>-104790</c:v>
                </c:pt>
                <c:pt idx="127">
                  <c:v>-124845</c:v>
                </c:pt>
                <c:pt idx="128">
                  <c:v>-111790</c:v>
                </c:pt>
                <c:pt idx="129">
                  <c:v>-143220</c:v>
                </c:pt>
                <c:pt idx="130">
                  <c:v>-83720</c:v>
                </c:pt>
                <c:pt idx="131">
                  <c:v>-90720</c:v>
                </c:pt>
                <c:pt idx="132">
                  <c:v>-83720</c:v>
                </c:pt>
                <c:pt idx="133">
                  <c:v>-100310</c:v>
                </c:pt>
                <c:pt idx="134">
                  <c:v>-87185</c:v>
                </c:pt>
                <c:pt idx="135">
                  <c:v>-50890</c:v>
                </c:pt>
                <c:pt idx="136">
                  <c:v>-27160</c:v>
                </c:pt>
                <c:pt idx="137">
                  <c:v>-10080</c:v>
                </c:pt>
                <c:pt idx="138">
                  <c:v>-35840</c:v>
                </c:pt>
                <c:pt idx="139">
                  <c:v>-32760</c:v>
                </c:pt>
                <c:pt idx="140">
                  <c:v>-34090</c:v>
                </c:pt>
                <c:pt idx="141">
                  <c:v>-37485</c:v>
                </c:pt>
                <c:pt idx="142">
                  <c:v>-33530</c:v>
                </c:pt>
                <c:pt idx="143">
                  <c:v>-36155</c:v>
                </c:pt>
                <c:pt idx="144">
                  <c:v>-28700</c:v>
                </c:pt>
                <c:pt idx="145">
                  <c:v>-28280</c:v>
                </c:pt>
                <c:pt idx="146">
                  <c:v>-26495</c:v>
                </c:pt>
                <c:pt idx="147">
                  <c:v>-23450</c:v>
                </c:pt>
                <c:pt idx="148">
                  <c:v>-34825</c:v>
                </c:pt>
                <c:pt idx="149">
                  <c:v>-25165</c:v>
                </c:pt>
                <c:pt idx="150">
                  <c:v>-19460</c:v>
                </c:pt>
                <c:pt idx="151">
                  <c:v>-18585</c:v>
                </c:pt>
                <c:pt idx="152">
                  <c:v>-21210</c:v>
                </c:pt>
                <c:pt idx="153">
                  <c:v>-26460</c:v>
                </c:pt>
                <c:pt idx="154">
                  <c:v>-14630</c:v>
                </c:pt>
                <c:pt idx="155">
                  <c:v>-12460</c:v>
                </c:pt>
                <c:pt idx="156">
                  <c:v>-8085</c:v>
                </c:pt>
                <c:pt idx="157">
                  <c:v>6370</c:v>
                </c:pt>
                <c:pt idx="158">
                  <c:v>1540</c:v>
                </c:pt>
                <c:pt idx="159">
                  <c:v>-67550</c:v>
                </c:pt>
                <c:pt idx="160">
                  <c:v>-46830</c:v>
                </c:pt>
                <c:pt idx="161">
                  <c:v>-45500</c:v>
                </c:pt>
                <c:pt idx="162">
                  <c:v>-41580</c:v>
                </c:pt>
                <c:pt idx="163">
                  <c:v>-45080</c:v>
                </c:pt>
                <c:pt idx="164">
                  <c:v>-45010</c:v>
                </c:pt>
                <c:pt idx="165">
                  <c:v>-51765</c:v>
                </c:pt>
                <c:pt idx="166">
                  <c:v>-52220</c:v>
                </c:pt>
                <c:pt idx="167">
                  <c:v>-50050</c:v>
                </c:pt>
                <c:pt idx="168">
                  <c:v>-54810</c:v>
                </c:pt>
                <c:pt idx="169">
                  <c:v>-51730</c:v>
                </c:pt>
                <c:pt idx="170">
                  <c:v>-50400</c:v>
                </c:pt>
                <c:pt idx="171">
                  <c:v>-49980</c:v>
                </c:pt>
                <c:pt idx="172">
                  <c:v>-49105</c:v>
                </c:pt>
                <c:pt idx="173">
                  <c:v>-48230</c:v>
                </c:pt>
                <c:pt idx="174">
                  <c:v>-47355</c:v>
                </c:pt>
                <c:pt idx="175">
                  <c:v>-49070</c:v>
                </c:pt>
                <c:pt idx="176">
                  <c:v>-48090</c:v>
                </c:pt>
                <c:pt idx="177">
                  <c:v>-45465</c:v>
                </c:pt>
                <c:pt idx="178">
                  <c:v>-42840</c:v>
                </c:pt>
                <c:pt idx="179">
                  <c:v>-44170</c:v>
                </c:pt>
                <c:pt idx="180">
                  <c:v>-43120</c:v>
                </c:pt>
                <c:pt idx="181">
                  <c:v>-48370</c:v>
                </c:pt>
                <c:pt idx="182">
                  <c:v>7280</c:v>
                </c:pt>
                <c:pt idx="183">
                  <c:v>-595</c:v>
                </c:pt>
                <c:pt idx="184">
                  <c:v>-8470</c:v>
                </c:pt>
                <c:pt idx="185">
                  <c:v>-21560</c:v>
                </c:pt>
                <c:pt idx="186">
                  <c:v>-36295</c:v>
                </c:pt>
                <c:pt idx="187">
                  <c:v>-24920</c:v>
                </c:pt>
                <c:pt idx="188">
                  <c:v>-31045</c:v>
                </c:pt>
                <c:pt idx="189">
                  <c:v>-24885</c:v>
                </c:pt>
                <c:pt idx="190">
                  <c:v>-28840</c:v>
                </c:pt>
                <c:pt idx="191">
                  <c:v>-16100</c:v>
                </c:pt>
                <c:pt idx="192">
                  <c:v>-18725</c:v>
                </c:pt>
                <c:pt idx="193">
                  <c:v>-15225</c:v>
                </c:pt>
                <c:pt idx="194">
                  <c:v>-11725</c:v>
                </c:pt>
                <c:pt idx="195">
                  <c:v>4480</c:v>
                </c:pt>
                <c:pt idx="196">
                  <c:v>6720</c:v>
                </c:pt>
                <c:pt idx="197">
                  <c:v>22050</c:v>
                </c:pt>
                <c:pt idx="198">
                  <c:v>23450</c:v>
                </c:pt>
                <c:pt idx="199">
                  <c:v>19950</c:v>
                </c:pt>
                <c:pt idx="200">
                  <c:v>4305</c:v>
                </c:pt>
                <c:pt idx="201">
                  <c:v>-35315</c:v>
                </c:pt>
                <c:pt idx="202">
                  <c:v>-30800</c:v>
                </c:pt>
                <c:pt idx="203">
                  <c:v>-18550</c:v>
                </c:pt>
                <c:pt idx="204">
                  <c:v>-29260</c:v>
                </c:pt>
                <c:pt idx="205">
                  <c:v>-16555</c:v>
                </c:pt>
                <c:pt idx="206">
                  <c:v>-24010</c:v>
                </c:pt>
                <c:pt idx="207">
                  <c:v>-5635</c:v>
                </c:pt>
                <c:pt idx="208">
                  <c:v>-15260</c:v>
                </c:pt>
                <c:pt idx="209">
                  <c:v>-26040</c:v>
                </c:pt>
                <c:pt idx="210">
                  <c:v>-29050</c:v>
                </c:pt>
                <c:pt idx="211">
                  <c:v>-31220</c:v>
                </c:pt>
                <c:pt idx="212">
                  <c:v>-17220</c:v>
                </c:pt>
                <c:pt idx="213">
                  <c:v>-23310</c:v>
                </c:pt>
                <c:pt idx="214">
                  <c:v>-30730</c:v>
                </c:pt>
                <c:pt idx="215">
                  <c:v>-21105</c:v>
                </c:pt>
                <c:pt idx="216">
                  <c:v>-17920</c:v>
                </c:pt>
                <c:pt idx="217">
                  <c:v>-5250</c:v>
                </c:pt>
                <c:pt idx="218">
                  <c:v>-9170</c:v>
                </c:pt>
                <c:pt idx="219">
                  <c:v>-12635</c:v>
                </c:pt>
                <c:pt idx="220">
                  <c:v>-21175</c:v>
                </c:pt>
                <c:pt idx="221">
                  <c:v>-29225</c:v>
                </c:pt>
                <c:pt idx="222">
                  <c:v>2310</c:v>
                </c:pt>
                <c:pt idx="223">
                  <c:v>39585</c:v>
                </c:pt>
                <c:pt idx="224">
                  <c:v>43085</c:v>
                </c:pt>
                <c:pt idx="225">
                  <c:v>45220</c:v>
                </c:pt>
                <c:pt idx="226">
                  <c:v>26845</c:v>
                </c:pt>
                <c:pt idx="227">
                  <c:v>25970</c:v>
                </c:pt>
                <c:pt idx="228">
                  <c:v>36890</c:v>
                </c:pt>
                <c:pt idx="229">
                  <c:v>43085</c:v>
                </c:pt>
                <c:pt idx="230">
                  <c:v>52710</c:v>
                </c:pt>
                <c:pt idx="231">
                  <c:v>51905</c:v>
                </c:pt>
                <c:pt idx="232">
                  <c:v>66920</c:v>
                </c:pt>
                <c:pt idx="233">
                  <c:v>64750</c:v>
                </c:pt>
                <c:pt idx="234">
                  <c:v>70280</c:v>
                </c:pt>
                <c:pt idx="235">
                  <c:v>74550</c:v>
                </c:pt>
                <c:pt idx="236">
                  <c:v>54880</c:v>
                </c:pt>
                <c:pt idx="237">
                  <c:v>72030</c:v>
                </c:pt>
                <c:pt idx="238">
                  <c:v>75390</c:v>
                </c:pt>
                <c:pt idx="239">
                  <c:v>65765</c:v>
                </c:pt>
                <c:pt idx="240">
                  <c:v>78925</c:v>
                </c:pt>
                <c:pt idx="241">
                  <c:v>85680</c:v>
                </c:pt>
                <c:pt idx="242">
                  <c:v>75180</c:v>
                </c:pt>
                <c:pt idx="243">
                  <c:v>75180</c:v>
                </c:pt>
                <c:pt idx="244">
                  <c:v>81305</c:v>
                </c:pt>
                <c:pt idx="245">
                  <c:v>94150</c:v>
                </c:pt>
                <c:pt idx="246">
                  <c:v>84070</c:v>
                </c:pt>
                <c:pt idx="247">
                  <c:v>92050</c:v>
                </c:pt>
                <c:pt idx="248">
                  <c:v>92365</c:v>
                </c:pt>
                <c:pt idx="249">
                  <c:v>68390</c:v>
                </c:pt>
                <c:pt idx="250">
                  <c:v>71890</c:v>
                </c:pt>
                <c:pt idx="251">
                  <c:v>70140</c:v>
                </c:pt>
                <c:pt idx="252">
                  <c:v>79765</c:v>
                </c:pt>
                <c:pt idx="253">
                  <c:v>67690</c:v>
                </c:pt>
                <c:pt idx="254">
                  <c:v>63140</c:v>
                </c:pt>
                <c:pt idx="255">
                  <c:v>162050</c:v>
                </c:pt>
                <c:pt idx="256">
                  <c:v>78925</c:v>
                </c:pt>
                <c:pt idx="257">
                  <c:v>86905</c:v>
                </c:pt>
                <c:pt idx="258">
                  <c:v>87780</c:v>
                </c:pt>
                <c:pt idx="259">
                  <c:v>88200</c:v>
                </c:pt>
                <c:pt idx="260">
                  <c:v>87325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D5-4BC5-A190-B72137781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[0]!dhpRangeSelloff</c:f>
              <c:numCache>
                <c:formatCode>General</c:formatCode>
                <c:ptCount val="261"/>
                <c:pt idx="0">
                  <c:v>0</c:v>
                </c:pt>
                <c:pt idx="1">
                  <c:v>1750</c:v>
                </c:pt>
                <c:pt idx="2">
                  <c:v>12880</c:v>
                </c:pt>
                <c:pt idx="3">
                  <c:v>9380</c:v>
                </c:pt>
                <c:pt idx="4">
                  <c:v>-23380</c:v>
                </c:pt>
                <c:pt idx="5">
                  <c:v>-30380</c:v>
                </c:pt>
                <c:pt idx="6">
                  <c:v>-39060</c:v>
                </c:pt>
                <c:pt idx="7">
                  <c:v>-37695</c:v>
                </c:pt>
                <c:pt idx="8">
                  <c:v>-45710</c:v>
                </c:pt>
                <c:pt idx="9">
                  <c:v>-19740</c:v>
                </c:pt>
                <c:pt idx="10">
                  <c:v>-22820</c:v>
                </c:pt>
                <c:pt idx="11">
                  <c:v>-26250</c:v>
                </c:pt>
                <c:pt idx="12">
                  <c:v>-22330</c:v>
                </c:pt>
                <c:pt idx="13">
                  <c:v>-25725</c:v>
                </c:pt>
                <c:pt idx="14">
                  <c:v>-35245</c:v>
                </c:pt>
                <c:pt idx="15">
                  <c:v>-50575</c:v>
                </c:pt>
                <c:pt idx="16">
                  <c:v>-51030</c:v>
                </c:pt>
                <c:pt idx="17">
                  <c:v>-47110</c:v>
                </c:pt>
                <c:pt idx="18">
                  <c:v>-47985</c:v>
                </c:pt>
                <c:pt idx="19">
                  <c:v>-50400</c:v>
                </c:pt>
                <c:pt idx="20">
                  <c:v>-24535</c:v>
                </c:pt>
                <c:pt idx="21">
                  <c:v>-21035</c:v>
                </c:pt>
                <c:pt idx="22">
                  <c:v>-23441.25</c:v>
                </c:pt>
                <c:pt idx="23">
                  <c:v>-90655.833333333328</c:v>
                </c:pt>
                <c:pt idx="24">
                  <c:v>-103489.16666666666</c:v>
                </c:pt>
                <c:pt idx="25">
                  <c:v>-103489.16666666666</c:v>
                </c:pt>
                <c:pt idx="26">
                  <c:v>-103489.16666666666</c:v>
                </c:pt>
                <c:pt idx="27">
                  <c:v>-103489.16666666666</c:v>
                </c:pt>
                <c:pt idx="28">
                  <c:v>-103489.16666666666</c:v>
                </c:pt>
                <c:pt idx="29">
                  <c:v>-103489.16666666666</c:v>
                </c:pt>
                <c:pt idx="30">
                  <c:v>-103489.16666666666</c:v>
                </c:pt>
                <c:pt idx="31">
                  <c:v>-103489.16666666666</c:v>
                </c:pt>
                <c:pt idx="32">
                  <c:v>-103489.16666666666</c:v>
                </c:pt>
                <c:pt idx="33">
                  <c:v>-107499.58333333333</c:v>
                </c:pt>
                <c:pt idx="34">
                  <c:v>-123862.08333333333</c:v>
                </c:pt>
                <c:pt idx="35">
                  <c:v>-99639.166666666657</c:v>
                </c:pt>
                <c:pt idx="36">
                  <c:v>-99639.166666666657</c:v>
                </c:pt>
                <c:pt idx="37">
                  <c:v>-119787.49999999999</c:v>
                </c:pt>
                <c:pt idx="38">
                  <c:v>-124375.41666666666</c:v>
                </c:pt>
                <c:pt idx="39">
                  <c:v>-83757.916666666657</c:v>
                </c:pt>
                <c:pt idx="40">
                  <c:v>-86164.166666666657</c:v>
                </c:pt>
                <c:pt idx="41">
                  <c:v>-161207.08333333331</c:v>
                </c:pt>
                <c:pt idx="42">
                  <c:v>-165582.08333333331</c:v>
                </c:pt>
                <c:pt idx="43">
                  <c:v>-165582.08333333331</c:v>
                </c:pt>
                <c:pt idx="44">
                  <c:v>-165582.08333333331</c:v>
                </c:pt>
                <c:pt idx="45">
                  <c:v>-165582.08333333331</c:v>
                </c:pt>
                <c:pt idx="46">
                  <c:v>-165582.08333333331</c:v>
                </c:pt>
                <c:pt idx="47">
                  <c:v>-165582.08333333331</c:v>
                </c:pt>
                <c:pt idx="48">
                  <c:v>-165582.08333333331</c:v>
                </c:pt>
                <c:pt idx="49">
                  <c:v>-165582.08333333331</c:v>
                </c:pt>
                <c:pt idx="50">
                  <c:v>-165582.08333333331</c:v>
                </c:pt>
                <c:pt idx="51">
                  <c:v>-165582.08333333331</c:v>
                </c:pt>
                <c:pt idx="52">
                  <c:v>-165582.08333333331</c:v>
                </c:pt>
                <c:pt idx="53">
                  <c:v>-165582.08333333331</c:v>
                </c:pt>
                <c:pt idx="54">
                  <c:v>-165582.08333333331</c:v>
                </c:pt>
                <c:pt idx="55">
                  <c:v>-165582.08333333331</c:v>
                </c:pt>
                <c:pt idx="56">
                  <c:v>-165582.08333333331</c:v>
                </c:pt>
                <c:pt idx="57">
                  <c:v>-165582.08333333331</c:v>
                </c:pt>
                <c:pt idx="58">
                  <c:v>-165582.08333333331</c:v>
                </c:pt>
                <c:pt idx="59">
                  <c:v>-165582.08333333331</c:v>
                </c:pt>
                <c:pt idx="60">
                  <c:v>-165582.08333333331</c:v>
                </c:pt>
                <c:pt idx="61">
                  <c:v>-165582.08333333331</c:v>
                </c:pt>
                <c:pt idx="62">
                  <c:v>-165582.08333333331</c:v>
                </c:pt>
                <c:pt idx="63">
                  <c:v>-165582.08333333331</c:v>
                </c:pt>
                <c:pt idx="64">
                  <c:v>-161250.83333333331</c:v>
                </c:pt>
                <c:pt idx="65">
                  <c:v>-161250.83333333331</c:v>
                </c:pt>
                <c:pt idx="66">
                  <c:v>-161250.83333333331</c:v>
                </c:pt>
                <c:pt idx="67">
                  <c:v>-161250.83333333331</c:v>
                </c:pt>
                <c:pt idx="68">
                  <c:v>-161250.83333333331</c:v>
                </c:pt>
                <c:pt idx="69">
                  <c:v>-161250.83333333331</c:v>
                </c:pt>
                <c:pt idx="70">
                  <c:v>-161250.83333333331</c:v>
                </c:pt>
                <c:pt idx="71">
                  <c:v>-161250.83333333331</c:v>
                </c:pt>
                <c:pt idx="72">
                  <c:v>-161250.83333333331</c:v>
                </c:pt>
                <c:pt idx="73">
                  <c:v>-161250.83333333331</c:v>
                </c:pt>
                <c:pt idx="74">
                  <c:v>-161250.83333333331</c:v>
                </c:pt>
                <c:pt idx="75">
                  <c:v>-161250.83333333331</c:v>
                </c:pt>
                <c:pt idx="76">
                  <c:v>-161250.83333333331</c:v>
                </c:pt>
                <c:pt idx="77">
                  <c:v>-161250.83333333331</c:v>
                </c:pt>
                <c:pt idx="78">
                  <c:v>-161250.83333333331</c:v>
                </c:pt>
                <c:pt idx="79">
                  <c:v>-161250.83333333331</c:v>
                </c:pt>
                <c:pt idx="80">
                  <c:v>-161250.83333333331</c:v>
                </c:pt>
                <c:pt idx="81">
                  <c:v>-161250.83333333331</c:v>
                </c:pt>
                <c:pt idx="82">
                  <c:v>-161250.83333333331</c:v>
                </c:pt>
                <c:pt idx="83">
                  <c:v>-160909.58333333331</c:v>
                </c:pt>
                <c:pt idx="84">
                  <c:v>-157287.08333333331</c:v>
                </c:pt>
                <c:pt idx="85">
                  <c:v>-157943.33333333331</c:v>
                </c:pt>
                <c:pt idx="86">
                  <c:v>-166109.99999999997</c:v>
                </c:pt>
                <c:pt idx="87">
                  <c:v>-164079.99999999997</c:v>
                </c:pt>
                <c:pt idx="88">
                  <c:v>-166973.33333333331</c:v>
                </c:pt>
                <c:pt idx="89">
                  <c:v>-165806.66666666666</c:v>
                </c:pt>
                <c:pt idx="90">
                  <c:v>-165526.66666666666</c:v>
                </c:pt>
                <c:pt idx="91">
                  <c:v>-164943.33333333331</c:v>
                </c:pt>
                <c:pt idx="92">
                  <c:v>-163776.66666666666</c:v>
                </c:pt>
                <c:pt idx="93">
                  <c:v>-163193.33333333331</c:v>
                </c:pt>
                <c:pt idx="94">
                  <c:v>-162609.99999999997</c:v>
                </c:pt>
                <c:pt idx="95">
                  <c:v>-160859.99999999997</c:v>
                </c:pt>
                <c:pt idx="96">
                  <c:v>-160579.99999999997</c:v>
                </c:pt>
                <c:pt idx="97">
                  <c:v>-152389.99999999997</c:v>
                </c:pt>
                <c:pt idx="98">
                  <c:v>-158806.66666666663</c:v>
                </c:pt>
                <c:pt idx="99">
                  <c:v>-160556.66666666663</c:v>
                </c:pt>
                <c:pt idx="100">
                  <c:v>-156473.33333333328</c:v>
                </c:pt>
                <c:pt idx="101">
                  <c:v>-160859.99999999994</c:v>
                </c:pt>
                <c:pt idx="102">
                  <c:v>-158526.6666666666</c:v>
                </c:pt>
                <c:pt idx="103">
                  <c:v>-168373.33333333326</c:v>
                </c:pt>
                <c:pt idx="104">
                  <c:v>-165759.99999999991</c:v>
                </c:pt>
                <c:pt idx="105">
                  <c:v>-165993.33333333326</c:v>
                </c:pt>
                <c:pt idx="106">
                  <c:v>-171243.33333333326</c:v>
                </c:pt>
                <c:pt idx="107">
                  <c:v>-168446.24999999991</c:v>
                </c:pt>
                <c:pt idx="108">
                  <c:v>-159748.74999999991</c:v>
                </c:pt>
                <c:pt idx="109">
                  <c:v>-162035.41666666657</c:v>
                </c:pt>
                <c:pt idx="110">
                  <c:v>-154501.66666666657</c:v>
                </c:pt>
                <c:pt idx="111">
                  <c:v>-153970.83333333323</c:v>
                </c:pt>
                <c:pt idx="112">
                  <c:v>-159054.58333333323</c:v>
                </c:pt>
                <c:pt idx="113">
                  <c:v>-158809.58333333323</c:v>
                </c:pt>
                <c:pt idx="114">
                  <c:v>-142721.24999999988</c:v>
                </c:pt>
                <c:pt idx="115">
                  <c:v>-137372.08333333323</c:v>
                </c:pt>
                <c:pt idx="116">
                  <c:v>-126918.7499999999</c:v>
                </c:pt>
                <c:pt idx="117">
                  <c:v>-117445.41666666657</c:v>
                </c:pt>
                <c:pt idx="118">
                  <c:v>-137086.24999999991</c:v>
                </c:pt>
                <c:pt idx="119">
                  <c:v>-150316.24999999991</c:v>
                </c:pt>
                <c:pt idx="120">
                  <c:v>-148437.91666666657</c:v>
                </c:pt>
                <c:pt idx="121">
                  <c:v>-156604.58333333323</c:v>
                </c:pt>
                <c:pt idx="122">
                  <c:v>-148192.91666666657</c:v>
                </c:pt>
                <c:pt idx="123">
                  <c:v>-134840.41666666657</c:v>
                </c:pt>
                <c:pt idx="124">
                  <c:v>-131982.08333333323</c:v>
                </c:pt>
                <c:pt idx="125">
                  <c:v>-125122.08333333323</c:v>
                </c:pt>
                <c:pt idx="126">
                  <c:v>-122141.2499999999</c:v>
                </c:pt>
                <c:pt idx="127">
                  <c:v>-133839.99999999988</c:v>
                </c:pt>
                <c:pt idx="128">
                  <c:v>-126224.58333333321</c:v>
                </c:pt>
                <c:pt idx="129">
                  <c:v>-141939.5833333332</c:v>
                </c:pt>
                <c:pt idx="130">
                  <c:v>-112189.5833333332</c:v>
                </c:pt>
                <c:pt idx="131">
                  <c:v>-115689.5833333332</c:v>
                </c:pt>
                <c:pt idx="132">
                  <c:v>-112189.5833333332</c:v>
                </c:pt>
                <c:pt idx="133">
                  <c:v>-120484.5833333332</c:v>
                </c:pt>
                <c:pt idx="134">
                  <c:v>-113922.0833333332</c:v>
                </c:pt>
                <c:pt idx="135">
                  <c:v>-95774.583333333198</c:v>
                </c:pt>
                <c:pt idx="136">
                  <c:v>-83909.583333333198</c:v>
                </c:pt>
                <c:pt idx="137">
                  <c:v>-75369.583333333198</c:v>
                </c:pt>
                <c:pt idx="138">
                  <c:v>-88249.583333333198</c:v>
                </c:pt>
                <c:pt idx="139">
                  <c:v>-86709.583333333198</c:v>
                </c:pt>
                <c:pt idx="140">
                  <c:v>-87374.583333333198</c:v>
                </c:pt>
                <c:pt idx="141">
                  <c:v>-89072.083333333198</c:v>
                </c:pt>
                <c:pt idx="142">
                  <c:v>-87094.583333333198</c:v>
                </c:pt>
                <c:pt idx="143">
                  <c:v>-88407.083333333198</c:v>
                </c:pt>
                <c:pt idx="144">
                  <c:v>-84679.583333333198</c:v>
                </c:pt>
                <c:pt idx="145">
                  <c:v>-84469.583333333198</c:v>
                </c:pt>
                <c:pt idx="146">
                  <c:v>-83577.083333333198</c:v>
                </c:pt>
                <c:pt idx="147">
                  <c:v>-82054.583333333198</c:v>
                </c:pt>
                <c:pt idx="148">
                  <c:v>-87742.083333333198</c:v>
                </c:pt>
                <c:pt idx="149">
                  <c:v>-82912.083333333198</c:v>
                </c:pt>
                <c:pt idx="150">
                  <c:v>-80059.583333333198</c:v>
                </c:pt>
                <c:pt idx="151">
                  <c:v>-79622.083333333198</c:v>
                </c:pt>
                <c:pt idx="152">
                  <c:v>-80715.833333333198</c:v>
                </c:pt>
                <c:pt idx="153">
                  <c:v>-82903.333333333198</c:v>
                </c:pt>
                <c:pt idx="154">
                  <c:v>-77974.166666666526</c:v>
                </c:pt>
                <c:pt idx="155">
                  <c:v>-77069.999999999854</c:v>
                </c:pt>
                <c:pt idx="156">
                  <c:v>-75247.083333333183</c:v>
                </c:pt>
                <c:pt idx="157">
                  <c:v>-69224.166666666511</c:v>
                </c:pt>
                <c:pt idx="158">
                  <c:v>-71236.666666666511</c:v>
                </c:pt>
                <c:pt idx="159">
                  <c:v>-100024.16666666651</c:v>
                </c:pt>
                <c:pt idx="160">
                  <c:v>-91390.833333333183</c:v>
                </c:pt>
                <c:pt idx="161">
                  <c:v>-90836.666666666511</c:v>
                </c:pt>
                <c:pt idx="162">
                  <c:v>-89203.333333333183</c:v>
                </c:pt>
                <c:pt idx="163">
                  <c:v>-90661.666666666511</c:v>
                </c:pt>
                <c:pt idx="164">
                  <c:v>-90632.49999999984</c:v>
                </c:pt>
                <c:pt idx="165">
                  <c:v>-93447.083333333168</c:v>
                </c:pt>
                <c:pt idx="166">
                  <c:v>-93636.666666666497</c:v>
                </c:pt>
                <c:pt idx="167">
                  <c:v>-92732.499999999825</c:v>
                </c:pt>
                <c:pt idx="168">
                  <c:v>-94715.833333333154</c:v>
                </c:pt>
                <c:pt idx="169">
                  <c:v>-93432.499999999825</c:v>
                </c:pt>
                <c:pt idx="170">
                  <c:v>-92878.333333333154</c:v>
                </c:pt>
                <c:pt idx="171">
                  <c:v>-92703.333333333154</c:v>
                </c:pt>
                <c:pt idx="172">
                  <c:v>-92338.749999999825</c:v>
                </c:pt>
                <c:pt idx="173">
                  <c:v>-92047.083333333154</c:v>
                </c:pt>
                <c:pt idx="174">
                  <c:v>-91755.416666666482</c:v>
                </c:pt>
                <c:pt idx="175">
                  <c:v>-92327.083333333154</c:v>
                </c:pt>
                <c:pt idx="176">
                  <c:v>-92000.416666666482</c:v>
                </c:pt>
                <c:pt idx="177">
                  <c:v>-91125.416666666482</c:v>
                </c:pt>
                <c:pt idx="178">
                  <c:v>-90250.416666666482</c:v>
                </c:pt>
                <c:pt idx="179">
                  <c:v>-90693.749999999811</c:v>
                </c:pt>
                <c:pt idx="180">
                  <c:v>-90343.749999999811</c:v>
                </c:pt>
                <c:pt idx="181">
                  <c:v>-92093.749999999811</c:v>
                </c:pt>
                <c:pt idx="182">
                  <c:v>-73543.749999999811</c:v>
                </c:pt>
                <c:pt idx="183">
                  <c:v>-76168.749999999811</c:v>
                </c:pt>
                <c:pt idx="184">
                  <c:v>-78793.749999999811</c:v>
                </c:pt>
                <c:pt idx="185">
                  <c:v>-83157.083333333139</c:v>
                </c:pt>
                <c:pt idx="186">
                  <c:v>-88068.749999999811</c:v>
                </c:pt>
                <c:pt idx="187">
                  <c:v>-84277.083333333139</c:v>
                </c:pt>
                <c:pt idx="188">
                  <c:v>-86318.749999999811</c:v>
                </c:pt>
                <c:pt idx="189">
                  <c:v>-84265.416666666482</c:v>
                </c:pt>
                <c:pt idx="190">
                  <c:v>-85583.749999999811</c:v>
                </c:pt>
                <c:pt idx="191">
                  <c:v>-81337.083333333139</c:v>
                </c:pt>
                <c:pt idx="192">
                  <c:v>-82212.083333333139</c:v>
                </c:pt>
                <c:pt idx="193">
                  <c:v>-81045.416666666468</c:v>
                </c:pt>
                <c:pt idx="194">
                  <c:v>-79878.749999999796</c:v>
                </c:pt>
                <c:pt idx="195">
                  <c:v>-75827.499999999796</c:v>
                </c:pt>
                <c:pt idx="196">
                  <c:v>-75267.499999999796</c:v>
                </c:pt>
                <c:pt idx="197">
                  <c:v>-71434.999999999796</c:v>
                </c:pt>
                <c:pt idx="198">
                  <c:v>-71084.999999999796</c:v>
                </c:pt>
                <c:pt idx="199">
                  <c:v>-71959.999999999796</c:v>
                </c:pt>
                <c:pt idx="200">
                  <c:v>-75871.249999999796</c:v>
                </c:pt>
                <c:pt idx="201">
                  <c:v>-85776.249999999796</c:v>
                </c:pt>
                <c:pt idx="202">
                  <c:v>-84647.499999999796</c:v>
                </c:pt>
                <c:pt idx="203">
                  <c:v>-81584.999999999796</c:v>
                </c:pt>
                <c:pt idx="204">
                  <c:v>-84262.499999999796</c:v>
                </c:pt>
                <c:pt idx="205">
                  <c:v>-81086.249999999796</c:v>
                </c:pt>
                <c:pt idx="206">
                  <c:v>-82949.999999999796</c:v>
                </c:pt>
                <c:pt idx="207">
                  <c:v>-78356.249999999796</c:v>
                </c:pt>
                <c:pt idx="208">
                  <c:v>-80762.499999999796</c:v>
                </c:pt>
                <c:pt idx="209">
                  <c:v>-83457.499999999796</c:v>
                </c:pt>
                <c:pt idx="210">
                  <c:v>-84209.999999999796</c:v>
                </c:pt>
                <c:pt idx="211">
                  <c:v>-84752.499999999796</c:v>
                </c:pt>
                <c:pt idx="212">
                  <c:v>-81252.499999999796</c:v>
                </c:pt>
                <c:pt idx="213">
                  <c:v>-82774.999999999796</c:v>
                </c:pt>
                <c:pt idx="214">
                  <c:v>-84629.999999999796</c:v>
                </c:pt>
                <c:pt idx="215">
                  <c:v>-82223.749999999796</c:v>
                </c:pt>
                <c:pt idx="216">
                  <c:v>-81427.499999999796</c:v>
                </c:pt>
                <c:pt idx="217">
                  <c:v>-79315.833333333125</c:v>
                </c:pt>
                <c:pt idx="218">
                  <c:v>-79969.166666666453</c:v>
                </c:pt>
                <c:pt idx="219">
                  <c:v>-80546.666666666453</c:v>
                </c:pt>
                <c:pt idx="220">
                  <c:v>-81969.999999999782</c:v>
                </c:pt>
                <c:pt idx="221">
                  <c:v>-83311.666666666453</c:v>
                </c:pt>
                <c:pt idx="222">
                  <c:v>-78055.833333333125</c:v>
                </c:pt>
                <c:pt idx="223">
                  <c:v>-71843.333333333125</c:v>
                </c:pt>
                <c:pt idx="224">
                  <c:v>-71259.999999999796</c:v>
                </c:pt>
                <c:pt idx="225">
                  <c:v>-70904.166666666468</c:v>
                </c:pt>
                <c:pt idx="226">
                  <c:v>-73966.666666666468</c:v>
                </c:pt>
                <c:pt idx="227">
                  <c:v>-74112.499999999796</c:v>
                </c:pt>
                <c:pt idx="228">
                  <c:v>-72292.499999999796</c:v>
                </c:pt>
                <c:pt idx="229">
                  <c:v>-71259.999999999796</c:v>
                </c:pt>
                <c:pt idx="230">
                  <c:v>-69655.833333333125</c:v>
                </c:pt>
                <c:pt idx="231">
                  <c:v>-69789.999999999796</c:v>
                </c:pt>
                <c:pt idx="232">
                  <c:v>-67287.499999999796</c:v>
                </c:pt>
                <c:pt idx="233">
                  <c:v>-67649.166666666468</c:v>
                </c:pt>
                <c:pt idx="234">
                  <c:v>-66727.499999999796</c:v>
                </c:pt>
                <c:pt idx="235">
                  <c:v>-66015.833333333125</c:v>
                </c:pt>
                <c:pt idx="236">
                  <c:v>-69294.166666666453</c:v>
                </c:pt>
                <c:pt idx="237">
                  <c:v>-66435.833333333125</c:v>
                </c:pt>
                <c:pt idx="238">
                  <c:v>-66155.833333333125</c:v>
                </c:pt>
                <c:pt idx="239">
                  <c:v>-66957.916666666453</c:v>
                </c:pt>
                <c:pt idx="240">
                  <c:v>-65861.249999999782</c:v>
                </c:pt>
                <c:pt idx="241">
                  <c:v>-65298.333333333117</c:v>
                </c:pt>
                <c:pt idx="242">
                  <c:v>-66173.33333333311</c:v>
                </c:pt>
                <c:pt idx="243">
                  <c:v>-66173.33333333311</c:v>
                </c:pt>
                <c:pt idx="244">
                  <c:v>-65662.916666666439</c:v>
                </c:pt>
                <c:pt idx="245">
                  <c:v>-64592.499999999774</c:v>
                </c:pt>
                <c:pt idx="246">
                  <c:v>-65432.499999999774</c:v>
                </c:pt>
                <c:pt idx="247">
                  <c:v>-64767.499999999774</c:v>
                </c:pt>
                <c:pt idx="248">
                  <c:v>-64741.249999999774</c:v>
                </c:pt>
                <c:pt idx="249">
                  <c:v>-66739.166666666439</c:v>
                </c:pt>
                <c:pt idx="250">
                  <c:v>-66447.499999999767</c:v>
                </c:pt>
                <c:pt idx="251">
                  <c:v>-66593.333333333096</c:v>
                </c:pt>
                <c:pt idx="252">
                  <c:v>-65791.249999999767</c:v>
                </c:pt>
                <c:pt idx="253">
                  <c:v>-66797.499999999767</c:v>
                </c:pt>
                <c:pt idx="254">
                  <c:v>-67176.666666666439</c:v>
                </c:pt>
                <c:pt idx="255">
                  <c:v>-58934.166666666439</c:v>
                </c:pt>
                <c:pt idx="256">
                  <c:v>-65861.249999999767</c:v>
                </c:pt>
                <c:pt idx="257">
                  <c:v>-65196.249999999767</c:v>
                </c:pt>
                <c:pt idx="258">
                  <c:v>-65123.333333333103</c:v>
                </c:pt>
                <c:pt idx="259">
                  <c:v>-65088.333333333103</c:v>
                </c:pt>
                <c:pt idx="260">
                  <c:v>-65161.249999999767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2-448A-BD6A-26229808288F}"/>
            </c:ext>
          </c:extLst>
        </c:ser>
        <c:ser>
          <c:idx val="1"/>
          <c:order val="1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[0]!longExoRangeSelloff</c:f>
              <c:numCache>
                <c:formatCode>General</c:formatCode>
                <c:ptCount val="261"/>
                <c:pt idx="0">
                  <c:v>0</c:v>
                </c:pt>
                <c:pt idx="1">
                  <c:v>-39600</c:v>
                </c:pt>
                <c:pt idx="2">
                  <c:v>104400</c:v>
                </c:pt>
                <c:pt idx="3">
                  <c:v>93600</c:v>
                </c:pt>
                <c:pt idx="4">
                  <c:v>-25200</c:v>
                </c:pt>
                <c:pt idx="5">
                  <c:v>-54000</c:v>
                </c:pt>
                <c:pt idx="6">
                  <c:v>36000</c:v>
                </c:pt>
                <c:pt idx="7">
                  <c:v>64800</c:v>
                </c:pt>
                <c:pt idx="8">
                  <c:v>-172800</c:v>
                </c:pt>
                <c:pt idx="9">
                  <c:v>-266400</c:v>
                </c:pt>
                <c:pt idx="10">
                  <c:v>-288000</c:v>
                </c:pt>
                <c:pt idx="11">
                  <c:v>-162000</c:v>
                </c:pt>
                <c:pt idx="12">
                  <c:v>-162000</c:v>
                </c:pt>
                <c:pt idx="13">
                  <c:v>-126000</c:v>
                </c:pt>
                <c:pt idx="14">
                  <c:v>-151200</c:v>
                </c:pt>
                <c:pt idx="15">
                  <c:v>-208800</c:v>
                </c:pt>
                <c:pt idx="16">
                  <c:v>-183600</c:v>
                </c:pt>
                <c:pt idx="17">
                  <c:v>-198000</c:v>
                </c:pt>
                <c:pt idx="18">
                  <c:v>-223200</c:v>
                </c:pt>
                <c:pt idx="19">
                  <c:v>-316800</c:v>
                </c:pt>
                <c:pt idx="20">
                  <c:v>-403200</c:v>
                </c:pt>
                <c:pt idx="21">
                  <c:v>-406800</c:v>
                </c:pt>
                <c:pt idx="22">
                  <c:v>-403368</c:v>
                </c:pt>
                <c:pt idx="23">
                  <c:v>-198768</c:v>
                </c:pt>
                <c:pt idx="24">
                  <c:v>-268068</c:v>
                </c:pt>
                <c:pt idx="25">
                  <c:v>-228468</c:v>
                </c:pt>
                <c:pt idx="26">
                  <c:v>-244968</c:v>
                </c:pt>
                <c:pt idx="27">
                  <c:v>-139368</c:v>
                </c:pt>
                <c:pt idx="28">
                  <c:v>-185568</c:v>
                </c:pt>
                <c:pt idx="29">
                  <c:v>-185568</c:v>
                </c:pt>
                <c:pt idx="30">
                  <c:v>-241668</c:v>
                </c:pt>
                <c:pt idx="31">
                  <c:v>-208668</c:v>
                </c:pt>
                <c:pt idx="32">
                  <c:v>-182268</c:v>
                </c:pt>
                <c:pt idx="33">
                  <c:v>-162468</c:v>
                </c:pt>
                <c:pt idx="34">
                  <c:v>-231768</c:v>
                </c:pt>
                <c:pt idx="35">
                  <c:v>-165768</c:v>
                </c:pt>
                <c:pt idx="36">
                  <c:v>-231768</c:v>
                </c:pt>
                <c:pt idx="37">
                  <c:v>-287868</c:v>
                </c:pt>
                <c:pt idx="38">
                  <c:v>-301068</c:v>
                </c:pt>
                <c:pt idx="39">
                  <c:v>-373668</c:v>
                </c:pt>
                <c:pt idx="40">
                  <c:v>-274668</c:v>
                </c:pt>
                <c:pt idx="41">
                  <c:v>-178968</c:v>
                </c:pt>
                <c:pt idx="42">
                  <c:v>-274848</c:v>
                </c:pt>
                <c:pt idx="43">
                  <c:v>-250848</c:v>
                </c:pt>
                <c:pt idx="44">
                  <c:v>-256848</c:v>
                </c:pt>
                <c:pt idx="45">
                  <c:v>-241848</c:v>
                </c:pt>
                <c:pt idx="46">
                  <c:v>-328848</c:v>
                </c:pt>
                <c:pt idx="47">
                  <c:v>-259848</c:v>
                </c:pt>
                <c:pt idx="48">
                  <c:v>-292848</c:v>
                </c:pt>
                <c:pt idx="49">
                  <c:v>-235848</c:v>
                </c:pt>
                <c:pt idx="50">
                  <c:v>-259848</c:v>
                </c:pt>
                <c:pt idx="51">
                  <c:v>-358848</c:v>
                </c:pt>
                <c:pt idx="52">
                  <c:v>-388848</c:v>
                </c:pt>
                <c:pt idx="53">
                  <c:v>-484848</c:v>
                </c:pt>
                <c:pt idx="54">
                  <c:v>-460848</c:v>
                </c:pt>
                <c:pt idx="55">
                  <c:v>-460848</c:v>
                </c:pt>
                <c:pt idx="56">
                  <c:v>-298848</c:v>
                </c:pt>
                <c:pt idx="57">
                  <c:v>-241848</c:v>
                </c:pt>
                <c:pt idx="58">
                  <c:v>-217848</c:v>
                </c:pt>
                <c:pt idx="59">
                  <c:v>-187848</c:v>
                </c:pt>
                <c:pt idx="60">
                  <c:v>-238848</c:v>
                </c:pt>
                <c:pt idx="61">
                  <c:v>-241848</c:v>
                </c:pt>
                <c:pt idx="62">
                  <c:v>-205848</c:v>
                </c:pt>
                <c:pt idx="63">
                  <c:v>-409848</c:v>
                </c:pt>
                <c:pt idx="64">
                  <c:v>-361248</c:v>
                </c:pt>
                <c:pt idx="65">
                  <c:v>-299148</c:v>
                </c:pt>
                <c:pt idx="66">
                  <c:v>-274848</c:v>
                </c:pt>
                <c:pt idx="67">
                  <c:v>-318048</c:v>
                </c:pt>
                <c:pt idx="68">
                  <c:v>-345048</c:v>
                </c:pt>
                <c:pt idx="69">
                  <c:v>-396348</c:v>
                </c:pt>
                <c:pt idx="70">
                  <c:v>-390948</c:v>
                </c:pt>
                <c:pt idx="71">
                  <c:v>-417948</c:v>
                </c:pt>
                <c:pt idx="72">
                  <c:v>-463848</c:v>
                </c:pt>
                <c:pt idx="73">
                  <c:v>-436848</c:v>
                </c:pt>
                <c:pt idx="74">
                  <c:v>-426048</c:v>
                </c:pt>
                <c:pt idx="75">
                  <c:v>-401748</c:v>
                </c:pt>
                <c:pt idx="76">
                  <c:v>-390948</c:v>
                </c:pt>
                <c:pt idx="77">
                  <c:v>-388248</c:v>
                </c:pt>
                <c:pt idx="78">
                  <c:v>-450348</c:v>
                </c:pt>
                <c:pt idx="79">
                  <c:v>-455748</c:v>
                </c:pt>
                <c:pt idx="80">
                  <c:v>-428748</c:v>
                </c:pt>
                <c:pt idx="81">
                  <c:v>-547548</c:v>
                </c:pt>
                <c:pt idx="82">
                  <c:v>-606948</c:v>
                </c:pt>
                <c:pt idx="83">
                  <c:v>-598848</c:v>
                </c:pt>
                <c:pt idx="84">
                  <c:v>-582648</c:v>
                </c:pt>
                <c:pt idx="85">
                  <c:v>-604248</c:v>
                </c:pt>
                <c:pt idx="86">
                  <c:v>-635352</c:v>
                </c:pt>
                <c:pt idx="87">
                  <c:v>-628152</c:v>
                </c:pt>
                <c:pt idx="88">
                  <c:v>-659352</c:v>
                </c:pt>
                <c:pt idx="89">
                  <c:v>-608952</c:v>
                </c:pt>
                <c:pt idx="90">
                  <c:v>-642552</c:v>
                </c:pt>
                <c:pt idx="91">
                  <c:v>-640152</c:v>
                </c:pt>
                <c:pt idx="92">
                  <c:v>-666552</c:v>
                </c:pt>
                <c:pt idx="93">
                  <c:v>-630552</c:v>
                </c:pt>
                <c:pt idx="94">
                  <c:v>-647352</c:v>
                </c:pt>
                <c:pt idx="95">
                  <c:v>-584952</c:v>
                </c:pt>
                <c:pt idx="96">
                  <c:v>-613752</c:v>
                </c:pt>
                <c:pt idx="97">
                  <c:v>-560952</c:v>
                </c:pt>
                <c:pt idx="98">
                  <c:v>-640152</c:v>
                </c:pt>
                <c:pt idx="99">
                  <c:v>-659352</c:v>
                </c:pt>
                <c:pt idx="100">
                  <c:v>-611352</c:v>
                </c:pt>
                <c:pt idx="101">
                  <c:v>-649752</c:v>
                </c:pt>
                <c:pt idx="102">
                  <c:v>-656952</c:v>
                </c:pt>
                <c:pt idx="103">
                  <c:v>-714552</c:v>
                </c:pt>
                <c:pt idx="104">
                  <c:v>-752952</c:v>
                </c:pt>
                <c:pt idx="105">
                  <c:v>-716952</c:v>
                </c:pt>
                <c:pt idx="106">
                  <c:v>-748152</c:v>
                </c:pt>
                <c:pt idx="107">
                  <c:v>-735552</c:v>
                </c:pt>
                <c:pt idx="108">
                  <c:v>-674652</c:v>
                </c:pt>
                <c:pt idx="109">
                  <c:v>-689352</c:v>
                </c:pt>
                <c:pt idx="110">
                  <c:v>-638952</c:v>
                </c:pt>
                <c:pt idx="111">
                  <c:v>-666252</c:v>
                </c:pt>
                <c:pt idx="112">
                  <c:v>-630552</c:v>
                </c:pt>
                <c:pt idx="113">
                  <c:v>-624252</c:v>
                </c:pt>
                <c:pt idx="114">
                  <c:v>-674652</c:v>
                </c:pt>
                <c:pt idx="115">
                  <c:v>-708252</c:v>
                </c:pt>
                <c:pt idx="116">
                  <c:v>-725052</c:v>
                </c:pt>
                <c:pt idx="117">
                  <c:v>-771252</c:v>
                </c:pt>
                <c:pt idx="118">
                  <c:v>-739752</c:v>
                </c:pt>
                <c:pt idx="119">
                  <c:v>-685152</c:v>
                </c:pt>
                <c:pt idx="120">
                  <c:v>-676752</c:v>
                </c:pt>
                <c:pt idx="121">
                  <c:v>-714552</c:v>
                </c:pt>
                <c:pt idx="122">
                  <c:v>-683052</c:v>
                </c:pt>
                <c:pt idx="123">
                  <c:v>-611652</c:v>
                </c:pt>
                <c:pt idx="124">
                  <c:v>-605352</c:v>
                </c:pt>
                <c:pt idx="125">
                  <c:v>-533952</c:v>
                </c:pt>
                <c:pt idx="126">
                  <c:v>-439452</c:v>
                </c:pt>
                <c:pt idx="127">
                  <c:v>-428952</c:v>
                </c:pt>
                <c:pt idx="128">
                  <c:v>-223152</c:v>
                </c:pt>
                <c:pt idx="129">
                  <c:v>-239280</c:v>
                </c:pt>
                <c:pt idx="130">
                  <c:v>-149280</c:v>
                </c:pt>
                <c:pt idx="131">
                  <c:v>-156480</c:v>
                </c:pt>
                <c:pt idx="132">
                  <c:v>-165480</c:v>
                </c:pt>
                <c:pt idx="133">
                  <c:v>-199680</c:v>
                </c:pt>
                <c:pt idx="134">
                  <c:v>-183480</c:v>
                </c:pt>
                <c:pt idx="135">
                  <c:v>-131280</c:v>
                </c:pt>
                <c:pt idx="136">
                  <c:v>-102480</c:v>
                </c:pt>
                <c:pt idx="137">
                  <c:v>-55680</c:v>
                </c:pt>
                <c:pt idx="138">
                  <c:v>-125880</c:v>
                </c:pt>
                <c:pt idx="139">
                  <c:v>-154680</c:v>
                </c:pt>
                <c:pt idx="140">
                  <c:v>-131280</c:v>
                </c:pt>
                <c:pt idx="141">
                  <c:v>-208680</c:v>
                </c:pt>
                <c:pt idx="142">
                  <c:v>-307680</c:v>
                </c:pt>
                <c:pt idx="143">
                  <c:v>-298680</c:v>
                </c:pt>
                <c:pt idx="144">
                  <c:v>-336480</c:v>
                </c:pt>
                <c:pt idx="145">
                  <c:v>-345480</c:v>
                </c:pt>
                <c:pt idx="146">
                  <c:v>-390480</c:v>
                </c:pt>
                <c:pt idx="147">
                  <c:v>-518280</c:v>
                </c:pt>
                <c:pt idx="148">
                  <c:v>-561480</c:v>
                </c:pt>
                <c:pt idx="149">
                  <c:v>-575880</c:v>
                </c:pt>
                <c:pt idx="150">
                  <c:v>-561480</c:v>
                </c:pt>
                <c:pt idx="151">
                  <c:v>-536280</c:v>
                </c:pt>
                <c:pt idx="152">
                  <c:v>-572280</c:v>
                </c:pt>
                <c:pt idx="153">
                  <c:v>-581280</c:v>
                </c:pt>
                <c:pt idx="154">
                  <c:v>-551280</c:v>
                </c:pt>
                <c:pt idx="155">
                  <c:v>-555780</c:v>
                </c:pt>
                <c:pt idx="156">
                  <c:v>-546780</c:v>
                </c:pt>
                <c:pt idx="157">
                  <c:v>-464280</c:v>
                </c:pt>
                <c:pt idx="158">
                  <c:v>-501780</c:v>
                </c:pt>
                <c:pt idx="159">
                  <c:v>-639780</c:v>
                </c:pt>
                <c:pt idx="160">
                  <c:v>-614280</c:v>
                </c:pt>
                <c:pt idx="161">
                  <c:v>-606780</c:v>
                </c:pt>
                <c:pt idx="162">
                  <c:v>-600780</c:v>
                </c:pt>
                <c:pt idx="163">
                  <c:v>-587280</c:v>
                </c:pt>
                <c:pt idx="164">
                  <c:v>-579780</c:v>
                </c:pt>
                <c:pt idx="165">
                  <c:v>-560280</c:v>
                </c:pt>
                <c:pt idx="166">
                  <c:v>-593280</c:v>
                </c:pt>
                <c:pt idx="167">
                  <c:v>-573780</c:v>
                </c:pt>
                <c:pt idx="168">
                  <c:v>-596280</c:v>
                </c:pt>
                <c:pt idx="169">
                  <c:v>-611280</c:v>
                </c:pt>
                <c:pt idx="170">
                  <c:v>-612780</c:v>
                </c:pt>
                <c:pt idx="171">
                  <c:v>-600780</c:v>
                </c:pt>
                <c:pt idx="172">
                  <c:v>-611280</c:v>
                </c:pt>
                <c:pt idx="173">
                  <c:v>-636432</c:v>
                </c:pt>
                <c:pt idx="174">
                  <c:v>-652032</c:v>
                </c:pt>
                <c:pt idx="175">
                  <c:v>-671232</c:v>
                </c:pt>
                <c:pt idx="176">
                  <c:v>-664032</c:v>
                </c:pt>
                <c:pt idx="177">
                  <c:v>-666432</c:v>
                </c:pt>
                <c:pt idx="178">
                  <c:v>-649632</c:v>
                </c:pt>
                <c:pt idx="179">
                  <c:v>-635232</c:v>
                </c:pt>
                <c:pt idx="180">
                  <c:v>-611232</c:v>
                </c:pt>
                <c:pt idx="181">
                  <c:v>-564432</c:v>
                </c:pt>
                <c:pt idx="182">
                  <c:v>-520032</c:v>
                </c:pt>
                <c:pt idx="183">
                  <c:v>-529632</c:v>
                </c:pt>
                <c:pt idx="184">
                  <c:v>-553632</c:v>
                </c:pt>
                <c:pt idx="185">
                  <c:v>-575232</c:v>
                </c:pt>
                <c:pt idx="186">
                  <c:v>-592032</c:v>
                </c:pt>
                <c:pt idx="187">
                  <c:v>-563232</c:v>
                </c:pt>
                <c:pt idx="188">
                  <c:v>-583632</c:v>
                </c:pt>
                <c:pt idx="189">
                  <c:v>-571632</c:v>
                </c:pt>
                <c:pt idx="190">
                  <c:v>-580032</c:v>
                </c:pt>
                <c:pt idx="191">
                  <c:v>-544032</c:v>
                </c:pt>
                <c:pt idx="192">
                  <c:v>-553632</c:v>
                </c:pt>
                <c:pt idx="193">
                  <c:v>-541632</c:v>
                </c:pt>
                <c:pt idx="194">
                  <c:v>-557232</c:v>
                </c:pt>
                <c:pt idx="195">
                  <c:v>-540132</c:v>
                </c:pt>
                <c:pt idx="196">
                  <c:v>-540132</c:v>
                </c:pt>
                <c:pt idx="197">
                  <c:v>-530232</c:v>
                </c:pt>
                <c:pt idx="198">
                  <c:v>-513132</c:v>
                </c:pt>
                <c:pt idx="199">
                  <c:v>-519432</c:v>
                </c:pt>
                <c:pt idx="200">
                  <c:v>-533832</c:v>
                </c:pt>
                <c:pt idx="201">
                  <c:v>-557232</c:v>
                </c:pt>
                <c:pt idx="202">
                  <c:v>-572532</c:v>
                </c:pt>
                <c:pt idx="203">
                  <c:v>-561732</c:v>
                </c:pt>
                <c:pt idx="204">
                  <c:v>-579732</c:v>
                </c:pt>
                <c:pt idx="205">
                  <c:v>-592332</c:v>
                </c:pt>
                <c:pt idx="206">
                  <c:v>-590532</c:v>
                </c:pt>
                <c:pt idx="207">
                  <c:v>-599532</c:v>
                </c:pt>
                <c:pt idx="208">
                  <c:v>-594132</c:v>
                </c:pt>
                <c:pt idx="209">
                  <c:v>-575232</c:v>
                </c:pt>
                <c:pt idx="210">
                  <c:v>-579732</c:v>
                </c:pt>
                <c:pt idx="211">
                  <c:v>-583332</c:v>
                </c:pt>
                <c:pt idx="212">
                  <c:v>-561732</c:v>
                </c:pt>
                <c:pt idx="213">
                  <c:v>-571632</c:v>
                </c:pt>
                <c:pt idx="214">
                  <c:v>-590532</c:v>
                </c:pt>
                <c:pt idx="215">
                  <c:v>-578832</c:v>
                </c:pt>
                <c:pt idx="216">
                  <c:v>-568932</c:v>
                </c:pt>
                <c:pt idx="217">
                  <c:v>-582132</c:v>
                </c:pt>
                <c:pt idx="218">
                  <c:v>-574932</c:v>
                </c:pt>
                <c:pt idx="219">
                  <c:v>-565932</c:v>
                </c:pt>
                <c:pt idx="220">
                  <c:v>-584532</c:v>
                </c:pt>
                <c:pt idx="221">
                  <c:v>-589932</c:v>
                </c:pt>
                <c:pt idx="222">
                  <c:v>-600732</c:v>
                </c:pt>
                <c:pt idx="223">
                  <c:v>-625932</c:v>
                </c:pt>
                <c:pt idx="224">
                  <c:v>-618132</c:v>
                </c:pt>
                <c:pt idx="225">
                  <c:v>-618732</c:v>
                </c:pt>
                <c:pt idx="226">
                  <c:v>-624132</c:v>
                </c:pt>
                <c:pt idx="227">
                  <c:v>-624732</c:v>
                </c:pt>
                <c:pt idx="228">
                  <c:v>-621732</c:v>
                </c:pt>
                <c:pt idx="229">
                  <c:v>-618132</c:v>
                </c:pt>
                <c:pt idx="230">
                  <c:v>-612732</c:v>
                </c:pt>
                <c:pt idx="231">
                  <c:v>-613332</c:v>
                </c:pt>
                <c:pt idx="232">
                  <c:v>-607332</c:v>
                </c:pt>
                <c:pt idx="233">
                  <c:v>-613932</c:v>
                </c:pt>
                <c:pt idx="234">
                  <c:v>-609732</c:v>
                </c:pt>
                <c:pt idx="235">
                  <c:v>-608532</c:v>
                </c:pt>
                <c:pt idx="236">
                  <c:v>-619932</c:v>
                </c:pt>
                <c:pt idx="237">
                  <c:v>-609732</c:v>
                </c:pt>
                <c:pt idx="238">
                  <c:v>-607620</c:v>
                </c:pt>
                <c:pt idx="239">
                  <c:v>-610920</c:v>
                </c:pt>
                <c:pt idx="240">
                  <c:v>-603420</c:v>
                </c:pt>
                <c:pt idx="241">
                  <c:v>-599220</c:v>
                </c:pt>
                <c:pt idx="242">
                  <c:v>-607620</c:v>
                </c:pt>
                <c:pt idx="243">
                  <c:v>-607320</c:v>
                </c:pt>
                <c:pt idx="244">
                  <c:v>-607920</c:v>
                </c:pt>
                <c:pt idx="245">
                  <c:v>-601620</c:v>
                </c:pt>
                <c:pt idx="246">
                  <c:v>-605820</c:v>
                </c:pt>
                <c:pt idx="247">
                  <c:v>-601620</c:v>
                </c:pt>
                <c:pt idx="248">
                  <c:v>-601320</c:v>
                </c:pt>
                <c:pt idx="249">
                  <c:v>-611820</c:v>
                </c:pt>
                <c:pt idx="250">
                  <c:v>-607920</c:v>
                </c:pt>
                <c:pt idx="251">
                  <c:v>-606420</c:v>
                </c:pt>
                <c:pt idx="252">
                  <c:v>-610020</c:v>
                </c:pt>
                <c:pt idx="253">
                  <c:v>-616020</c:v>
                </c:pt>
                <c:pt idx="254">
                  <c:v>-617220</c:v>
                </c:pt>
                <c:pt idx="255">
                  <c:v>-618420</c:v>
                </c:pt>
                <c:pt idx="256">
                  <c:v>-619620</c:v>
                </c:pt>
                <c:pt idx="257">
                  <c:v>-622920</c:v>
                </c:pt>
                <c:pt idx="258">
                  <c:v>-621720</c:v>
                </c:pt>
                <c:pt idx="259">
                  <c:v>-624720</c:v>
                </c:pt>
                <c:pt idx="260">
                  <c:v>-625620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2-448A-BD6A-26229808288F}"/>
            </c:ext>
          </c:extLst>
        </c:ser>
        <c:ser>
          <c:idx val="2"/>
          <c:order val="2"/>
          <c:tx>
            <c:strRef>
              <c:f>Data!$Q$11</c:f>
              <c:strCache>
                <c:ptCount val="1"/>
                <c:pt idx="0">
                  <c:v>Sell off Short Corn Futures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[0]!shortExoRangeSelloff</c:f>
              <c:numCache>
                <c:formatCode>General</c:formatCode>
                <c:ptCount val="261"/>
                <c:pt idx="0">
                  <c:v>0</c:v>
                </c:pt>
                <c:pt idx="1">
                  <c:v>39600</c:v>
                </c:pt>
                <c:pt idx="2">
                  <c:v>-104400</c:v>
                </c:pt>
                <c:pt idx="3">
                  <c:v>-93600</c:v>
                </c:pt>
                <c:pt idx="4">
                  <c:v>25200</c:v>
                </c:pt>
                <c:pt idx="5">
                  <c:v>54000</c:v>
                </c:pt>
                <c:pt idx="6">
                  <c:v>-36000</c:v>
                </c:pt>
                <c:pt idx="7">
                  <c:v>-64800</c:v>
                </c:pt>
                <c:pt idx="8">
                  <c:v>172800</c:v>
                </c:pt>
                <c:pt idx="9">
                  <c:v>266400</c:v>
                </c:pt>
                <c:pt idx="10">
                  <c:v>288000</c:v>
                </c:pt>
                <c:pt idx="11">
                  <c:v>162000</c:v>
                </c:pt>
                <c:pt idx="12">
                  <c:v>162000</c:v>
                </c:pt>
                <c:pt idx="13">
                  <c:v>126000</c:v>
                </c:pt>
                <c:pt idx="14">
                  <c:v>151200</c:v>
                </c:pt>
                <c:pt idx="15">
                  <c:v>208800</c:v>
                </c:pt>
                <c:pt idx="16">
                  <c:v>183600</c:v>
                </c:pt>
                <c:pt idx="17">
                  <c:v>198000</c:v>
                </c:pt>
                <c:pt idx="18">
                  <c:v>223200</c:v>
                </c:pt>
                <c:pt idx="19">
                  <c:v>316800</c:v>
                </c:pt>
                <c:pt idx="20">
                  <c:v>403200</c:v>
                </c:pt>
                <c:pt idx="21">
                  <c:v>406800</c:v>
                </c:pt>
                <c:pt idx="22">
                  <c:v>403368</c:v>
                </c:pt>
                <c:pt idx="23">
                  <c:v>198768</c:v>
                </c:pt>
                <c:pt idx="24">
                  <c:v>268068</c:v>
                </c:pt>
                <c:pt idx="25">
                  <c:v>228468</c:v>
                </c:pt>
                <c:pt idx="26">
                  <c:v>244968</c:v>
                </c:pt>
                <c:pt idx="27">
                  <c:v>139368</c:v>
                </c:pt>
                <c:pt idx="28">
                  <c:v>185568</c:v>
                </c:pt>
                <c:pt idx="29">
                  <c:v>185568</c:v>
                </c:pt>
                <c:pt idx="30">
                  <c:v>241668</c:v>
                </c:pt>
                <c:pt idx="31">
                  <c:v>208668</c:v>
                </c:pt>
                <c:pt idx="32">
                  <c:v>182268</c:v>
                </c:pt>
                <c:pt idx="33">
                  <c:v>162468</c:v>
                </c:pt>
                <c:pt idx="34">
                  <c:v>231768</c:v>
                </c:pt>
                <c:pt idx="35">
                  <c:v>165768</c:v>
                </c:pt>
                <c:pt idx="36">
                  <c:v>231768</c:v>
                </c:pt>
                <c:pt idx="37">
                  <c:v>287868</c:v>
                </c:pt>
                <c:pt idx="38">
                  <c:v>301068</c:v>
                </c:pt>
                <c:pt idx="39">
                  <c:v>373668</c:v>
                </c:pt>
                <c:pt idx="40">
                  <c:v>274668</c:v>
                </c:pt>
                <c:pt idx="41">
                  <c:v>178968</c:v>
                </c:pt>
                <c:pt idx="42">
                  <c:v>274848</c:v>
                </c:pt>
                <c:pt idx="43">
                  <c:v>250848</c:v>
                </c:pt>
                <c:pt idx="44">
                  <c:v>256848</c:v>
                </c:pt>
                <c:pt idx="45">
                  <c:v>241848</c:v>
                </c:pt>
                <c:pt idx="46">
                  <c:v>328848</c:v>
                </c:pt>
                <c:pt idx="47">
                  <c:v>259848</c:v>
                </c:pt>
                <c:pt idx="48">
                  <c:v>292848</c:v>
                </c:pt>
                <c:pt idx="49">
                  <c:v>235848</c:v>
                </c:pt>
                <c:pt idx="50">
                  <c:v>259848</c:v>
                </c:pt>
                <c:pt idx="51">
                  <c:v>358848</c:v>
                </c:pt>
                <c:pt idx="52">
                  <c:v>388848</c:v>
                </c:pt>
                <c:pt idx="53">
                  <c:v>484848</c:v>
                </c:pt>
                <c:pt idx="54">
                  <c:v>460848</c:v>
                </c:pt>
                <c:pt idx="55">
                  <c:v>460848</c:v>
                </c:pt>
                <c:pt idx="56">
                  <c:v>298848</c:v>
                </c:pt>
                <c:pt idx="57">
                  <c:v>241848</c:v>
                </c:pt>
                <c:pt idx="58">
                  <c:v>217848</c:v>
                </c:pt>
                <c:pt idx="59">
                  <c:v>187848</c:v>
                </c:pt>
                <c:pt idx="60">
                  <c:v>238848</c:v>
                </c:pt>
                <c:pt idx="61">
                  <c:v>241848</c:v>
                </c:pt>
                <c:pt idx="62">
                  <c:v>205848</c:v>
                </c:pt>
                <c:pt idx="63">
                  <c:v>409848</c:v>
                </c:pt>
                <c:pt idx="64">
                  <c:v>361248</c:v>
                </c:pt>
                <c:pt idx="65">
                  <c:v>299148</c:v>
                </c:pt>
                <c:pt idx="66">
                  <c:v>274848</c:v>
                </c:pt>
                <c:pt idx="67">
                  <c:v>318048</c:v>
                </c:pt>
                <c:pt idx="68">
                  <c:v>345048</c:v>
                </c:pt>
                <c:pt idx="69">
                  <c:v>396348</c:v>
                </c:pt>
                <c:pt idx="70">
                  <c:v>390948</c:v>
                </c:pt>
                <c:pt idx="71">
                  <c:v>417948</c:v>
                </c:pt>
                <c:pt idx="72">
                  <c:v>463848</c:v>
                </c:pt>
                <c:pt idx="73">
                  <c:v>436848</c:v>
                </c:pt>
                <c:pt idx="74">
                  <c:v>426048</c:v>
                </c:pt>
                <c:pt idx="75">
                  <c:v>401748</c:v>
                </c:pt>
                <c:pt idx="76">
                  <c:v>390948</c:v>
                </c:pt>
                <c:pt idx="77">
                  <c:v>388248</c:v>
                </c:pt>
                <c:pt idx="78">
                  <c:v>450348</c:v>
                </c:pt>
                <c:pt idx="79">
                  <c:v>455748</c:v>
                </c:pt>
                <c:pt idx="80">
                  <c:v>428748</c:v>
                </c:pt>
                <c:pt idx="81">
                  <c:v>547548</c:v>
                </c:pt>
                <c:pt idx="82">
                  <c:v>606948</c:v>
                </c:pt>
                <c:pt idx="83">
                  <c:v>598848</c:v>
                </c:pt>
                <c:pt idx="84">
                  <c:v>582648</c:v>
                </c:pt>
                <c:pt idx="85">
                  <c:v>604248</c:v>
                </c:pt>
                <c:pt idx="86">
                  <c:v>635352</c:v>
                </c:pt>
                <c:pt idx="87">
                  <c:v>628152</c:v>
                </c:pt>
                <c:pt idx="88">
                  <c:v>659352</c:v>
                </c:pt>
                <c:pt idx="89">
                  <c:v>608952</c:v>
                </c:pt>
                <c:pt idx="90">
                  <c:v>642552</c:v>
                </c:pt>
                <c:pt idx="91">
                  <c:v>640152</c:v>
                </c:pt>
                <c:pt idx="92">
                  <c:v>666552</c:v>
                </c:pt>
                <c:pt idx="93">
                  <c:v>630552</c:v>
                </c:pt>
                <c:pt idx="94">
                  <c:v>647352</c:v>
                </c:pt>
                <c:pt idx="95">
                  <c:v>584952</c:v>
                </c:pt>
                <c:pt idx="96">
                  <c:v>613752</c:v>
                </c:pt>
                <c:pt idx="97">
                  <c:v>560952</c:v>
                </c:pt>
                <c:pt idx="98">
                  <c:v>640152</c:v>
                </c:pt>
                <c:pt idx="99">
                  <c:v>659352</c:v>
                </c:pt>
                <c:pt idx="100">
                  <c:v>611352</c:v>
                </c:pt>
                <c:pt idx="101">
                  <c:v>649752</c:v>
                </c:pt>
                <c:pt idx="102">
                  <c:v>656952</c:v>
                </c:pt>
                <c:pt idx="103">
                  <c:v>714552</c:v>
                </c:pt>
                <c:pt idx="104">
                  <c:v>752952</c:v>
                </c:pt>
                <c:pt idx="105">
                  <c:v>716952</c:v>
                </c:pt>
                <c:pt idx="106">
                  <c:v>748152</c:v>
                </c:pt>
                <c:pt idx="107">
                  <c:v>735552</c:v>
                </c:pt>
                <c:pt idx="108">
                  <c:v>674652</c:v>
                </c:pt>
                <c:pt idx="109">
                  <c:v>689352</c:v>
                </c:pt>
                <c:pt idx="110">
                  <c:v>638952</c:v>
                </c:pt>
                <c:pt idx="111">
                  <c:v>666252</c:v>
                </c:pt>
                <c:pt idx="112">
                  <c:v>630552</c:v>
                </c:pt>
                <c:pt idx="113">
                  <c:v>624252</c:v>
                </c:pt>
                <c:pt idx="114">
                  <c:v>674652</c:v>
                </c:pt>
                <c:pt idx="115">
                  <c:v>708252</c:v>
                </c:pt>
                <c:pt idx="116">
                  <c:v>725052</c:v>
                </c:pt>
                <c:pt idx="117">
                  <c:v>771252</c:v>
                </c:pt>
                <c:pt idx="118">
                  <c:v>739752</c:v>
                </c:pt>
                <c:pt idx="119">
                  <c:v>685152</c:v>
                </c:pt>
                <c:pt idx="120">
                  <c:v>676752</c:v>
                </c:pt>
                <c:pt idx="121">
                  <c:v>714552</c:v>
                </c:pt>
                <c:pt idx="122">
                  <c:v>683052</c:v>
                </c:pt>
                <c:pt idx="123">
                  <c:v>611652</c:v>
                </c:pt>
                <c:pt idx="124">
                  <c:v>605352</c:v>
                </c:pt>
                <c:pt idx="125">
                  <c:v>533952</c:v>
                </c:pt>
                <c:pt idx="126">
                  <c:v>439452</c:v>
                </c:pt>
                <c:pt idx="127">
                  <c:v>428952</c:v>
                </c:pt>
                <c:pt idx="128">
                  <c:v>223152</c:v>
                </c:pt>
                <c:pt idx="129">
                  <c:v>239280</c:v>
                </c:pt>
                <c:pt idx="130">
                  <c:v>149280</c:v>
                </c:pt>
                <c:pt idx="131">
                  <c:v>156480</c:v>
                </c:pt>
                <c:pt idx="132">
                  <c:v>165480</c:v>
                </c:pt>
                <c:pt idx="133">
                  <c:v>199680</c:v>
                </c:pt>
                <c:pt idx="134">
                  <c:v>183480</c:v>
                </c:pt>
                <c:pt idx="135">
                  <c:v>131280</c:v>
                </c:pt>
                <c:pt idx="136">
                  <c:v>102480</c:v>
                </c:pt>
                <c:pt idx="137">
                  <c:v>55680</c:v>
                </c:pt>
                <c:pt idx="138">
                  <c:v>125880</c:v>
                </c:pt>
                <c:pt idx="139">
                  <c:v>154680</c:v>
                </c:pt>
                <c:pt idx="140">
                  <c:v>131280</c:v>
                </c:pt>
                <c:pt idx="141">
                  <c:v>208680</c:v>
                </c:pt>
                <c:pt idx="142">
                  <c:v>307680</c:v>
                </c:pt>
                <c:pt idx="143">
                  <c:v>298680</c:v>
                </c:pt>
                <c:pt idx="144">
                  <c:v>336480</c:v>
                </c:pt>
                <c:pt idx="145">
                  <c:v>345480</c:v>
                </c:pt>
                <c:pt idx="146">
                  <c:v>390480</c:v>
                </c:pt>
                <c:pt idx="147">
                  <c:v>518280</c:v>
                </c:pt>
                <c:pt idx="148">
                  <c:v>561480</c:v>
                </c:pt>
                <c:pt idx="149">
                  <c:v>575880</c:v>
                </c:pt>
                <c:pt idx="150">
                  <c:v>561480</c:v>
                </c:pt>
                <c:pt idx="151">
                  <c:v>536280</c:v>
                </c:pt>
                <c:pt idx="152">
                  <c:v>572280</c:v>
                </c:pt>
                <c:pt idx="153">
                  <c:v>581280</c:v>
                </c:pt>
                <c:pt idx="154">
                  <c:v>551280</c:v>
                </c:pt>
                <c:pt idx="155">
                  <c:v>555780</c:v>
                </c:pt>
                <c:pt idx="156">
                  <c:v>546780</c:v>
                </c:pt>
                <c:pt idx="157">
                  <c:v>464280</c:v>
                </c:pt>
                <c:pt idx="158">
                  <c:v>501780</c:v>
                </c:pt>
                <c:pt idx="159">
                  <c:v>639780</c:v>
                </c:pt>
                <c:pt idx="160">
                  <c:v>614280</c:v>
                </c:pt>
                <c:pt idx="161">
                  <c:v>606780</c:v>
                </c:pt>
                <c:pt idx="162">
                  <c:v>600780</c:v>
                </c:pt>
                <c:pt idx="163">
                  <c:v>587280</c:v>
                </c:pt>
                <c:pt idx="164">
                  <c:v>579780</c:v>
                </c:pt>
                <c:pt idx="165">
                  <c:v>560280</c:v>
                </c:pt>
                <c:pt idx="166">
                  <c:v>593280</c:v>
                </c:pt>
                <c:pt idx="167">
                  <c:v>573780</c:v>
                </c:pt>
                <c:pt idx="168">
                  <c:v>596280</c:v>
                </c:pt>
                <c:pt idx="169">
                  <c:v>611280</c:v>
                </c:pt>
                <c:pt idx="170">
                  <c:v>612780</c:v>
                </c:pt>
                <c:pt idx="171">
                  <c:v>600780</c:v>
                </c:pt>
                <c:pt idx="172">
                  <c:v>611280</c:v>
                </c:pt>
                <c:pt idx="173">
                  <c:v>636432</c:v>
                </c:pt>
                <c:pt idx="174">
                  <c:v>652032</c:v>
                </c:pt>
                <c:pt idx="175">
                  <c:v>671232</c:v>
                </c:pt>
                <c:pt idx="176">
                  <c:v>664032</c:v>
                </c:pt>
                <c:pt idx="177">
                  <c:v>666432</c:v>
                </c:pt>
                <c:pt idx="178">
                  <c:v>649632</c:v>
                </c:pt>
                <c:pt idx="179">
                  <c:v>635232</c:v>
                </c:pt>
                <c:pt idx="180">
                  <c:v>611232</c:v>
                </c:pt>
                <c:pt idx="181">
                  <c:v>564432</c:v>
                </c:pt>
                <c:pt idx="182">
                  <c:v>520032</c:v>
                </c:pt>
                <c:pt idx="183">
                  <c:v>529632</c:v>
                </c:pt>
                <c:pt idx="184">
                  <c:v>553632</c:v>
                </c:pt>
                <c:pt idx="185">
                  <c:v>575232</c:v>
                </c:pt>
                <c:pt idx="186">
                  <c:v>592032</c:v>
                </c:pt>
                <c:pt idx="187">
                  <c:v>563232</c:v>
                </c:pt>
                <c:pt idx="188">
                  <c:v>583632</c:v>
                </c:pt>
                <c:pt idx="189">
                  <c:v>571632</c:v>
                </c:pt>
                <c:pt idx="190">
                  <c:v>580032</c:v>
                </c:pt>
                <c:pt idx="191">
                  <c:v>544032</c:v>
                </c:pt>
                <c:pt idx="192">
                  <c:v>553632</c:v>
                </c:pt>
                <c:pt idx="193">
                  <c:v>541632</c:v>
                </c:pt>
                <c:pt idx="194">
                  <c:v>557232</c:v>
                </c:pt>
                <c:pt idx="195">
                  <c:v>540132</c:v>
                </c:pt>
                <c:pt idx="196">
                  <c:v>540132</c:v>
                </c:pt>
                <c:pt idx="197">
                  <c:v>530232</c:v>
                </c:pt>
                <c:pt idx="198">
                  <c:v>513132</c:v>
                </c:pt>
                <c:pt idx="199">
                  <c:v>519432</c:v>
                </c:pt>
                <c:pt idx="200">
                  <c:v>533832</c:v>
                </c:pt>
                <c:pt idx="201">
                  <c:v>557232</c:v>
                </c:pt>
                <c:pt idx="202">
                  <c:v>572532</c:v>
                </c:pt>
                <c:pt idx="203">
                  <c:v>561732</c:v>
                </c:pt>
                <c:pt idx="204">
                  <c:v>579732</c:v>
                </c:pt>
                <c:pt idx="205">
                  <c:v>592332</c:v>
                </c:pt>
                <c:pt idx="206">
                  <c:v>590532</c:v>
                </c:pt>
                <c:pt idx="207">
                  <c:v>599532</c:v>
                </c:pt>
                <c:pt idx="208">
                  <c:v>594132</c:v>
                </c:pt>
                <c:pt idx="209">
                  <c:v>575232</c:v>
                </c:pt>
                <c:pt idx="210">
                  <c:v>579732</c:v>
                </c:pt>
                <c:pt idx="211">
                  <c:v>583332</c:v>
                </c:pt>
                <c:pt idx="212">
                  <c:v>561732</c:v>
                </c:pt>
                <c:pt idx="213">
                  <c:v>571632</c:v>
                </c:pt>
                <c:pt idx="214">
                  <c:v>590532</c:v>
                </c:pt>
                <c:pt idx="215">
                  <c:v>578832</c:v>
                </c:pt>
                <c:pt idx="216">
                  <c:v>568932</c:v>
                </c:pt>
                <c:pt idx="217">
                  <c:v>582132</c:v>
                </c:pt>
                <c:pt idx="218">
                  <c:v>574932</c:v>
                </c:pt>
                <c:pt idx="219">
                  <c:v>565932</c:v>
                </c:pt>
                <c:pt idx="220">
                  <c:v>584532</c:v>
                </c:pt>
                <c:pt idx="221">
                  <c:v>589932</c:v>
                </c:pt>
                <c:pt idx="222">
                  <c:v>600732</c:v>
                </c:pt>
                <c:pt idx="223">
                  <c:v>625932</c:v>
                </c:pt>
                <c:pt idx="224">
                  <c:v>618132</c:v>
                </c:pt>
                <c:pt idx="225">
                  <c:v>618732</c:v>
                </c:pt>
                <c:pt idx="226">
                  <c:v>624132</c:v>
                </c:pt>
                <c:pt idx="227">
                  <c:v>624732</c:v>
                </c:pt>
                <c:pt idx="228">
                  <c:v>621732</c:v>
                </c:pt>
                <c:pt idx="229">
                  <c:v>618132</c:v>
                </c:pt>
                <c:pt idx="230">
                  <c:v>612732</c:v>
                </c:pt>
                <c:pt idx="231">
                  <c:v>613332</c:v>
                </c:pt>
                <c:pt idx="232">
                  <c:v>607332</c:v>
                </c:pt>
                <c:pt idx="233">
                  <c:v>613932</c:v>
                </c:pt>
                <c:pt idx="234">
                  <c:v>609732</c:v>
                </c:pt>
                <c:pt idx="235">
                  <c:v>608532</c:v>
                </c:pt>
                <c:pt idx="236">
                  <c:v>619932</c:v>
                </c:pt>
                <c:pt idx="237">
                  <c:v>609732</c:v>
                </c:pt>
                <c:pt idx="238">
                  <c:v>607620</c:v>
                </c:pt>
                <c:pt idx="239">
                  <c:v>610920</c:v>
                </c:pt>
                <c:pt idx="240">
                  <c:v>603420</c:v>
                </c:pt>
                <c:pt idx="241">
                  <c:v>599220</c:v>
                </c:pt>
                <c:pt idx="242">
                  <c:v>607620</c:v>
                </c:pt>
                <c:pt idx="243">
                  <c:v>607320</c:v>
                </c:pt>
                <c:pt idx="244">
                  <c:v>607920</c:v>
                </c:pt>
                <c:pt idx="245">
                  <c:v>601620</c:v>
                </c:pt>
                <c:pt idx="246">
                  <c:v>605820</c:v>
                </c:pt>
                <c:pt idx="247">
                  <c:v>601620</c:v>
                </c:pt>
                <c:pt idx="248">
                  <c:v>601320</c:v>
                </c:pt>
                <c:pt idx="249">
                  <c:v>611820</c:v>
                </c:pt>
                <c:pt idx="250">
                  <c:v>607920</c:v>
                </c:pt>
                <c:pt idx="251">
                  <c:v>606420</c:v>
                </c:pt>
                <c:pt idx="252">
                  <c:v>610020</c:v>
                </c:pt>
                <c:pt idx="253">
                  <c:v>616020</c:v>
                </c:pt>
                <c:pt idx="254">
                  <c:v>617220</c:v>
                </c:pt>
                <c:pt idx="255">
                  <c:v>618420</c:v>
                </c:pt>
                <c:pt idx="256">
                  <c:v>619620</c:v>
                </c:pt>
                <c:pt idx="257">
                  <c:v>622920</c:v>
                </c:pt>
                <c:pt idx="258">
                  <c:v>621720</c:v>
                </c:pt>
                <c:pt idx="259">
                  <c:v>624720</c:v>
                </c:pt>
                <c:pt idx="260">
                  <c:v>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02-448A-BD6A-26229808288F}"/>
            </c:ext>
          </c:extLst>
        </c:ser>
        <c:ser>
          <c:idx val="3"/>
          <c:order val="3"/>
          <c:tx>
            <c:strRef>
              <c:f>Data!$R$11</c:f>
              <c:strCache>
                <c:ptCount val="1"/>
                <c:pt idx="0">
                  <c:v>Constant DHP + Sell off Long Futures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[0]!dhpLongFuturesExoRangeSelloffonly1</c:f>
              <c:numCache>
                <c:formatCode>General</c:formatCode>
                <c:ptCount val="261"/>
                <c:pt idx="0">
                  <c:v>0</c:v>
                </c:pt>
                <c:pt idx="1">
                  <c:v>-37850</c:v>
                </c:pt>
                <c:pt idx="2">
                  <c:v>117280</c:v>
                </c:pt>
                <c:pt idx="3">
                  <c:v>102980</c:v>
                </c:pt>
                <c:pt idx="4">
                  <c:v>-48580</c:v>
                </c:pt>
                <c:pt idx="5">
                  <c:v>-84380</c:v>
                </c:pt>
                <c:pt idx="6">
                  <c:v>-3060</c:v>
                </c:pt>
                <c:pt idx="7">
                  <c:v>27105</c:v>
                </c:pt>
                <c:pt idx="8">
                  <c:v>-218510</c:v>
                </c:pt>
                <c:pt idx="9">
                  <c:v>-286140</c:v>
                </c:pt>
                <c:pt idx="10">
                  <c:v>-310820</c:v>
                </c:pt>
                <c:pt idx="11">
                  <c:v>-188250</c:v>
                </c:pt>
                <c:pt idx="12">
                  <c:v>-184330</c:v>
                </c:pt>
                <c:pt idx="13">
                  <c:v>-151725</c:v>
                </c:pt>
                <c:pt idx="14">
                  <c:v>-186445</c:v>
                </c:pt>
                <c:pt idx="15">
                  <c:v>-259375</c:v>
                </c:pt>
                <c:pt idx="16">
                  <c:v>-234630</c:v>
                </c:pt>
                <c:pt idx="17">
                  <c:v>-245110</c:v>
                </c:pt>
                <c:pt idx="18">
                  <c:v>-271185</c:v>
                </c:pt>
                <c:pt idx="19">
                  <c:v>-367200</c:v>
                </c:pt>
                <c:pt idx="20">
                  <c:v>-427735</c:v>
                </c:pt>
                <c:pt idx="21">
                  <c:v>-427835</c:v>
                </c:pt>
                <c:pt idx="22">
                  <c:v>-427028</c:v>
                </c:pt>
                <c:pt idx="23">
                  <c:v>-295753</c:v>
                </c:pt>
                <c:pt idx="24">
                  <c:v>-379053</c:v>
                </c:pt>
                <c:pt idx="25">
                  <c:v>-339453</c:v>
                </c:pt>
                <c:pt idx="26">
                  <c:v>-355953</c:v>
                </c:pt>
                <c:pt idx="27">
                  <c:v>-250353</c:v>
                </c:pt>
                <c:pt idx="28">
                  <c:v>-296553</c:v>
                </c:pt>
                <c:pt idx="29">
                  <c:v>-296553</c:v>
                </c:pt>
                <c:pt idx="30">
                  <c:v>-352653</c:v>
                </c:pt>
                <c:pt idx="31">
                  <c:v>-319653</c:v>
                </c:pt>
                <c:pt idx="32">
                  <c:v>-293253</c:v>
                </c:pt>
                <c:pt idx="33">
                  <c:v>-277828</c:v>
                </c:pt>
                <c:pt idx="34">
                  <c:v>-364978</c:v>
                </c:pt>
                <c:pt idx="35">
                  <c:v>-272553</c:v>
                </c:pt>
                <c:pt idx="36">
                  <c:v>-338553</c:v>
                </c:pt>
                <c:pt idx="37">
                  <c:v>-416633</c:v>
                </c:pt>
                <c:pt idx="38">
                  <c:v>-434838</c:v>
                </c:pt>
                <c:pt idx="39">
                  <c:v>-463128</c:v>
                </c:pt>
                <c:pt idx="40">
                  <c:v>-366753</c:v>
                </c:pt>
                <c:pt idx="41">
                  <c:v>-352918</c:v>
                </c:pt>
                <c:pt idx="42">
                  <c:v>-454048</c:v>
                </c:pt>
                <c:pt idx="43">
                  <c:v>-430048</c:v>
                </c:pt>
                <c:pt idx="44">
                  <c:v>-436048</c:v>
                </c:pt>
                <c:pt idx="45">
                  <c:v>-421048</c:v>
                </c:pt>
                <c:pt idx="46">
                  <c:v>-508048</c:v>
                </c:pt>
                <c:pt idx="47">
                  <c:v>-439048</c:v>
                </c:pt>
                <c:pt idx="48">
                  <c:v>-472048</c:v>
                </c:pt>
                <c:pt idx="49">
                  <c:v>-415048</c:v>
                </c:pt>
                <c:pt idx="50">
                  <c:v>-439048</c:v>
                </c:pt>
                <c:pt idx="51">
                  <c:v>-538048</c:v>
                </c:pt>
                <c:pt idx="52">
                  <c:v>-568048</c:v>
                </c:pt>
                <c:pt idx="53">
                  <c:v>-664048</c:v>
                </c:pt>
                <c:pt idx="54">
                  <c:v>-640048</c:v>
                </c:pt>
                <c:pt idx="55">
                  <c:v>-640048</c:v>
                </c:pt>
                <c:pt idx="56">
                  <c:v>-478048</c:v>
                </c:pt>
                <c:pt idx="57">
                  <c:v>-421048</c:v>
                </c:pt>
                <c:pt idx="58">
                  <c:v>-397048</c:v>
                </c:pt>
                <c:pt idx="59">
                  <c:v>-367048</c:v>
                </c:pt>
                <c:pt idx="60">
                  <c:v>-418048</c:v>
                </c:pt>
                <c:pt idx="61">
                  <c:v>-421048</c:v>
                </c:pt>
                <c:pt idx="62">
                  <c:v>-385048</c:v>
                </c:pt>
                <c:pt idx="63">
                  <c:v>-589048</c:v>
                </c:pt>
                <c:pt idx="64">
                  <c:v>-534673</c:v>
                </c:pt>
                <c:pt idx="65">
                  <c:v>-472573</c:v>
                </c:pt>
                <c:pt idx="66">
                  <c:v>-448273</c:v>
                </c:pt>
                <c:pt idx="67">
                  <c:v>-491473</c:v>
                </c:pt>
                <c:pt idx="68">
                  <c:v>-518473</c:v>
                </c:pt>
                <c:pt idx="69">
                  <c:v>-569773</c:v>
                </c:pt>
                <c:pt idx="70">
                  <c:v>-564373</c:v>
                </c:pt>
                <c:pt idx="71">
                  <c:v>-591373</c:v>
                </c:pt>
                <c:pt idx="72">
                  <c:v>-637273</c:v>
                </c:pt>
                <c:pt idx="73">
                  <c:v>-610273</c:v>
                </c:pt>
                <c:pt idx="74">
                  <c:v>-599473</c:v>
                </c:pt>
                <c:pt idx="75">
                  <c:v>-575173</c:v>
                </c:pt>
                <c:pt idx="76">
                  <c:v>-564373</c:v>
                </c:pt>
                <c:pt idx="77">
                  <c:v>-561673</c:v>
                </c:pt>
                <c:pt idx="78">
                  <c:v>-623773</c:v>
                </c:pt>
                <c:pt idx="79">
                  <c:v>-629173</c:v>
                </c:pt>
                <c:pt idx="80">
                  <c:v>-602173</c:v>
                </c:pt>
                <c:pt idx="81">
                  <c:v>-720973</c:v>
                </c:pt>
                <c:pt idx="82">
                  <c:v>-780373</c:v>
                </c:pt>
                <c:pt idx="83">
                  <c:v>-771818</c:v>
                </c:pt>
                <c:pt idx="84">
                  <c:v>-750788</c:v>
                </c:pt>
                <c:pt idx="85">
                  <c:v>-773263</c:v>
                </c:pt>
                <c:pt idx="86">
                  <c:v>-816617</c:v>
                </c:pt>
                <c:pt idx="87">
                  <c:v>-806372</c:v>
                </c:pt>
                <c:pt idx="88">
                  <c:v>-841912</c:v>
                </c:pt>
                <c:pt idx="89">
                  <c:v>-789762</c:v>
                </c:pt>
                <c:pt idx="90">
                  <c:v>-822942</c:v>
                </c:pt>
                <c:pt idx="91">
                  <c:v>-819667</c:v>
                </c:pt>
                <c:pt idx="92">
                  <c:v>-844317</c:v>
                </c:pt>
                <c:pt idx="93">
                  <c:v>-807442</c:v>
                </c:pt>
                <c:pt idx="94">
                  <c:v>-823367</c:v>
                </c:pt>
                <c:pt idx="95">
                  <c:v>-758342</c:v>
                </c:pt>
                <c:pt idx="96">
                  <c:v>-786722</c:v>
                </c:pt>
                <c:pt idx="97">
                  <c:v>-721637</c:v>
                </c:pt>
                <c:pt idx="98">
                  <c:v>-810462</c:v>
                </c:pt>
                <c:pt idx="99">
                  <c:v>-832287</c:v>
                </c:pt>
                <c:pt idx="100">
                  <c:v>-778162</c:v>
                </c:pt>
                <c:pt idx="101">
                  <c:v>-823142</c:v>
                </c:pt>
                <c:pt idx="102">
                  <c:v>-826842</c:v>
                </c:pt>
                <c:pt idx="103">
                  <c:v>-899212</c:v>
                </c:pt>
                <c:pt idx="104">
                  <c:v>-933692</c:v>
                </c:pt>
                <c:pt idx="105">
                  <c:v>-898042</c:v>
                </c:pt>
                <c:pt idx="106">
                  <c:v>-937117</c:v>
                </c:pt>
                <c:pt idx="107">
                  <c:v>-919722</c:v>
                </c:pt>
                <c:pt idx="108">
                  <c:v>-843912</c:v>
                </c:pt>
                <c:pt idx="109">
                  <c:v>-862532</c:v>
                </c:pt>
                <c:pt idx="110">
                  <c:v>-799217</c:v>
                </c:pt>
                <c:pt idx="111">
                  <c:v>-825607</c:v>
                </c:pt>
                <c:pt idx="112">
                  <c:v>-798622</c:v>
                </c:pt>
                <c:pt idx="113">
                  <c:v>-791902</c:v>
                </c:pt>
                <c:pt idx="114">
                  <c:v>-814722</c:v>
                </c:pt>
                <c:pt idx="115">
                  <c:v>-839152</c:v>
                </c:pt>
                <c:pt idx="116">
                  <c:v>-838032</c:v>
                </c:pt>
                <c:pt idx="117">
                  <c:v>-867992</c:v>
                </c:pt>
                <c:pt idx="118">
                  <c:v>-870162</c:v>
                </c:pt>
                <c:pt idx="119">
                  <c:v>-838242</c:v>
                </c:pt>
                <c:pt idx="120">
                  <c:v>-826622</c:v>
                </c:pt>
                <c:pt idx="121">
                  <c:v>-878422</c:v>
                </c:pt>
                <c:pt idx="122">
                  <c:v>-832502</c:v>
                </c:pt>
                <c:pt idx="123">
                  <c:v>-738212</c:v>
                </c:pt>
                <c:pt idx="124">
                  <c:v>-727012</c:v>
                </c:pt>
                <c:pt idx="125">
                  <c:v>-643852</c:v>
                </c:pt>
                <c:pt idx="126">
                  <c:v>-544242</c:v>
                </c:pt>
                <c:pt idx="127">
                  <c:v>-553797</c:v>
                </c:pt>
                <c:pt idx="128">
                  <c:v>-334942</c:v>
                </c:pt>
                <c:pt idx="129">
                  <c:v>-382500</c:v>
                </c:pt>
                <c:pt idx="130">
                  <c:v>-233000</c:v>
                </c:pt>
                <c:pt idx="131">
                  <c:v>-247200</c:v>
                </c:pt>
                <c:pt idx="132">
                  <c:v>-249200</c:v>
                </c:pt>
                <c:pt idx="133">
                  <c:v>-299990</c:v>
                </c:pt>
                <c:pt idx="134">
                  <c:v>-270665</c:v>
                </c:pt>
                <c:pt idx="135">
                  <c:v>-182170</c:v>
                </c:pt>
                <c:pt idx="136">
                  <c:v>-129640</c:v>
                </c:pt>
                <c:pt idx="137">
                  <c:v>-65760</c:v>
                </c:pt>
                <c:pt idx="138">
                  <c:v>-161720</c:v>
                </c:pt>
                <c:pt idx="139">
                  <c:v>-187440</c:v>
                </c:pt>
                <c:pt idx="140">
                  <c:v>-165370</c:v>
                </c:pt>
                <c:pt idx="141">
                  <c:v>-246165</c:v>
                </c:pt>
                <c:pt idx="142">
                  <c:v>-341210</c:v>
                </c:pt>
                <c:pt idx="143">
                  <c:v>-334835</c:v>
                </c:pt>
                <c:pt idx="144">
                  <c:v>-365180</c:v>
                </c:pt>
                <c:pt idx="145">
                  <c:v>-373760</c:v>
                </c:pt>
                <c:pt idx="146">
                  <c:v>-416975</c:v>
                </c:pt>
                <c:pt idx="147">
                  <c:v>-541730</c:v>
                </c:pt>
                <c:pt idx="148">
                  <c:v>-596305</c:v>
                </c:pt>
                <c:pt idx="149">
                  <c:v>-601045</c:v>
                </c:pt>
                <c:pt idx="150">
                  <c:v>-580940</c:v>
                </c:pt>
                <c:pt idx="151">
                  <c:v>-554865</c:v>
                </c:pt>
                <c:pt idx="152">
                  <c:v>-593490</c:v>
                </c:pt>
                <c:pt idx="153">
                  <c:v>-607740</c:v>
                </c:pt>
                <c:pt idx="154">
                  <c:v>-565910</c:v>
                </c:pt>
                <c:pt idx="155">
                  <c:v>-568240</c:v>
                </c:pt>
                <c:pt idx="156">
                  <c:v>-554865</c:v>
                </c:pt>
                <c:pt idx="157">
                  <c:v>-457910</c:v>
                </c:pt>
                <c:pt idx="158">
                  <c:v>-500240</c:v>
                </c:pt>
                <c:pt idx="159">
                  <c:v>-707330</c:v>
                </c:pt>
                <c:pt idx="160">
                  <c:v>-661110</c:v>
                </c:pt>
                <c:pt idx="161">
                  <c:v>-652280</c:v>
                </c:pt>
                <c:pt idx="162">
                  <c:v>-642360</c:v>
                </c:pt>
                <c:pt idx="163">
                  <c:v>-632360</c:v>
                </c:pt>
                <c:pt idx="164">
                  <c:v>-624790</c:v>
                </c:pt>
                <c:pt idx="165">
                  <c:v>-612045</c:v>
                </c:pt>
                <c:pt idx="166">
                  <c:v>-645500</c:v>
                </c:pt>
                <c:pt idx="167">
                  <c:v>-623830</c:v>
                </c:pt>
                <c:pt idx="168">
                  <c:v>-651090</c:v>
                </c:pt>
                <c:pt idx="169">
                  <c:v>-663010</c:v>
                </c:pt>
                <c:pt idx="170">
                  <c:v>-663180</c:v>
                </c:pt>
                <c:pt idx="171">
                  <c:v>-650760</c:v>
                </c:pt>
                <c:pt idx="172">
                  <c:v>-660385</c:v>
                </c:pt>
                <c:pt idx="173">
                  <c:v>-684662</c:v>
                </c:pt>
                <c:pt idx="174">
                  <c:v>-699387</c:v>
                </c:pt>
                <c:pt idx="175">
                  <c:v>-720302</c:v>
                </c:pt>
                <c:pt idx="176">
                  <c:v>-712122</c:v>
                </c:pt>
                <c:pt idx="177">
                  <c:v>-711897</c:v>
                </c:pt>
                <c:pt idx="178">
                  <c:v>-692472</c:v>
                </c:pt>
                <c:pt idx="179">
                  <c:v>-679402</c:v>
                </c:pt>
                <c:pt idx="180">
                  <c:v>-654352</c:v>
                </c:pt>
                <c:pt idx="181">
                  <c:v>-612802</c:v>
                </c:pt>
                <c:pt idx="182">
                  <c:v>-512752</c:v>
                </c:pt>
                <c:pt idx="183">
                  <c:v>-530227</c:v>
                </c:pt>
                <c:pt idx="184">
                  <c:v>-562102</c:v>
                </c:pt>
                <c:pt idx="185">
                  <c:v>-596792</c:v>
                </c:pt>
                <c:pt idx="186">
                  <c:v>-628327</c:v>
                </c:pt>
                <c:pt idx="187">
                  <c:v>-588152</c:v>
                </c:pt>
                <c:pt idx="188">
                  <c:v>-614677</c:v>
                </c:pt>
                <c:pt idx="189">
                  <c:v>-596517</c:v>
                </c:pt>
                <c:pt idx="190">
                  <c:v>-608872</c:v>
                </c:pt>
                <c:pt idx="191">
                  <c:v>-560132</c:v>
                </c:pt>
                <c:pt idx="192">
                  <c:v>-572357</c:v>
                </c:pt>
                <c:pt idx="193">
                  <c:v>-556857</c:v>
                </c:pt>
                <c:pt idx="194">
                  <c:v>-568957</c:v>
                </c:pt>
                <c:pt idx="195">
                  <c:v>-535652</c:v>
                </c:pt>
                <c:pt idx="196">
                  <c:v>-533412</c:v>
                </c:pt>
                <c:pt idx="197">
                  <c:v>-508182</c:v>
                </c:pt>
                <c:pt idx="198">
                  <c:v>-489682</c:v>
                </c:pt>
                <c:pt idx="199">
                  <c:v>-499482</c:v>
                </c:pt>
                <c:pt idx="200">
                  <c:v>-529527</c:v>
                </c:pt>
                <c:pt idx="201">
                  <c:v>-592547</c:v>
                </c:pt>
                <c:pt idx="202">
                  <c:v>-603332</c:v>
                </c:pt>
                <c:pt idx="203">
                  <c:v>-580282</c:v>
                </c:pt>
                <c:pt idx="204">
                  <c:v>-608992</c:v>
                </c:pt>
                <c:pt idx="205">
                  <c:v>-608887</c:v>
                </c:pt>
                <c:pt idx="206">
                  <c:v>-614542</c:v>
                </c:pt>
                <c:pt idx="207">
                  <c:v>-605167</c:v>
                </c:pt>
                <c:pt idx="208">
                  <c:v>-609392</c:v>
                </c:pt>
                <c:pt idx="209">
                  <c:v>-601272</c:v>
                </c:pt>
                <c:pt idx="210">
                  <c:v>-608782</c:v>
                </c:pt>
                <c:pt idx="211">
                  <c:v>-614552</c:v>
                </c:pt>
                <c:pt idx="212">
                  <c:v>-578952</c:v>
                </c:pt>
                <c:pt idx="213">
                  <c:v>-594942</c:v>
                </c:pt>
                <c:pt idx="214">
                  <c:v>-621262</c:v>
                </c:pt>
                <c:pt idx="215">
                  <c:v>-599937</c:v>
                </c:pt>
                <c:pt idx="216">
                  <c:v>-586852</c:v>
                </c:pt>
                <c:pt idx="217">
                  <c:v>-587382</c:v>
                </c:pt>
                <c:pt idx="218">
                  <c:v>-584102</c:v>
                </c:pt>
                <c:pt idx="219">
                  <c:v>-578567</c:v>
                </c:pt>
                <c:pt idx="220">
                  <c:v>-605707</c:v>
                </c:pt>
                <c:pt idx="221">
                  <c:v>-619157</c:v>
                </c:pt>
                <c:pt idx="222">
                  <c:v>-598422</c:v>
                </c:pt>
                <c:pt idx="223">
                  <c:v>-586347</c:v>
                </c:pt>
                <c:pt idx="224">
                  <c:v>-575047</c:v>
                </c:pt>
                <c:pt idx="225">
                  <c:v>-573512</c:v>
                </c:pt>
                <c:pt idx="226">
                  <c:v>-597287</c:v>
                </c:pt>
                <c:pt idx="227">
                  <c:v>-598762</c:v>
                </c:pt>
                <c:pt idx="228">
                  <c:v>-584842</c:v>
                </c:pt>
                <c:pt idx="229">
                  <c:v>-575047</c:v>
                </c:pt>
                <c:pt idx="230">
                  <c:v>-560022</c:v>
                </c:pt>
                <c:pt idx="231">
                  <c:v>-561427</c:v>
                </c:pt>
                <c:pt idx="232">
                  <c:v>-540412</c:v>
                </c:pt>
                <c:pt idx="233">
                  <c:v>-549182</c:v>
                </c:pt>
                <c:pt idx="234">
                  <c:v>-539452</c:v>
                </c:pt>
                <c:pt idx="235">
                  <c:v>-533982</c:v>
                </c:pt>
                <c:pt idx="236">
                  <c:v>-565052</c:v>
                </c:pt>
                <c:pt idx="237">
                  <c:v>-537702</c:v>
                </c:pt>
                <c:pt idx="238">
                  <c:v>-532230</c:v>
                </c:pt>
                <c:pt idx="239">
                  <c:v>-545155</c:v>
                </c:pt>
                <c:pt idx="240">
                  <c:v>-524495</c:v>
                </c:pt>
                <c:pt idx="241">
                  <c:v>-513540</c:v>
                </c:pt>
                <c:pt idx="242">
                  <c:v>-532440</c:v>
                </c:pt>
                <c:pt idx="243">
                  <c:v>-532140</c:v>
                </c:pt>
                <c:pt idx="244">
                  <c:v>-526615</c:v>
                </c:pt>
                <c:pt idx="245">
                  <c:v>-507470</c:v>
                </c:pt>
                <c:pt idx="246">
                  <c:v>-521750</c:v>
                </c:pt>
                <c:pt idx="247">
                  <c:v>-509570</c:v>
                </c:pt>
                <c:pt idx="248">
                  <c:v>-508955</c:v>
                </c:pt>
                <c:pt idx="249">
                  <c:v>-543430</c:v>
                </c:pt>
                <c:pt idx="250">
                  <c:v>-536030</c:v>
                </c:pt>
                <c:pt idx="251">
                  <c:v>-536280</c:v>
                </c:pt>
                <c:pt idx="252">
                  <c:v>-530255</c:v>
                </c:pt>
                <c:pt idx="253">
                  <c:v>-548330</c:v>
                </c:pt>
                <c:pt idx="254">
                  <c:v>-554080</c:v>
                </c:pt>
                <c:pt idx="255">
                  <c:v>-456370</c:v>
                </c:pt>
                <c:pt idx="256">
                  <c:v>-540695</c:v>
                </c:pt>
                <c:pt idx="257">
                  <c:v>-536015</c:v>
                </c:pt>
                <c:pt idx="258">
                  <c:v>-533940</c:v>
                </c:pt>
                <c:pt idx="259">
                  <c:v>-536520</c:v>
                </c:pt>
                <c:pt idx="260">
                  <c:v>-538295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02-448A-BD6A-26229808288F}"/>
            </c:ext>
          </c:extLst>
        </c:ser>
        <c:ser>
          <c:idx val="4"/>
          <c:order val="4"/>
          <c:tx>
            <c:strRef>
              <c:f>Data!$S$11</c:f>
              <c:strCache>
                <c:ptCount val="1"/>
                <c:pt idx="0">
                  <c:v>Sell off DHP + Sell off Long Futures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[0]!dhpLongFuturesExoRangeSelloffBoth</c:f>
              <c:numCache>
                <c:formatCode>General</c:formatCode>
                <c:ptCount val="261"/>
                <c:pt idx="0">
                  <c:v>0</c:v>
                </c:pt>
                <c:pt idx="1">
                  <c:v>-37850</c:v>
                </c:pt>
                <c:pt idx="2">
                  <c:v>117280</c:v>
                </c:pt>
                <c:pt idx="3">
                  <c:v>102980</c:v>
                </c:pt>
                <c:pt idx="4">
                  <c:v>-48580</c:v>
                </c:pt>
                <c:pt idx="5">
                  <c:v>-84380</c:v>
                </c:pt>
                <c:pt idx="6">
                  <c:v>-3060</c:v>
                </c:pt>
                <c:pt idx="7">
                  <c:v>27105</c:v>
                </c:pt>
                <c:pt idx="8">
                  <c:v>-218510</c:v>
                </c:pt>
                <c:pt idx="9">
                  <c:v>-286140</c:v>
                </c:pt>
                <c:pt idx="10">
                  <c:v>-310820</c:v>
                </c:pt>
                <c:pt idx="11">
                  <c:v>-188250</c:v>
                </c:pt>
                <c:pt idx="12">
                  <c:v>-184330</c:v>
                </c:pt>
                <c:pt idx="13">
                  <c:v>-151725</c:v>
                </c:pt>
                <c:pt idx="14">
                  <c:v>-186445</c:v>
                </c:pt>
                <c:pt idx="15">
                  <c:v>-259375</c:v>
                </c:pt>
                <c:pt idx="16">
                  <c:v>-234630</c:v>
                </c:pt>
                <c:pt idx="17">
                  <c:v>-245110</c:v>
                </c:pt>
                <c:pt idx="18">
                  <c:v>-271185</c:v>
                </c:pt>
                <c:pt idx="19">
                  <c:v>-367200</c:v>
                </c:pt>
                <c:pt idx="20">
                  <c:v>-427735</c:v>
                </c:pt>
                <c:pt idx="21">
                  <c:v>-427835</c:v>
                </c:pt>
                <c:pt idx="22">
                  <c:v>-426809.25</c:v>
                </c:pt>
                <c:pt idx="23">
                  <c:v>-289423.83333333331</c:v>
                </c:pt>
                <c:pt idx="24">
                  <c:v>-371557.16666666663</c:v>
                </c:pt>
                <c:pt idx="25">
                  <c:v>-331957.16666666663</c:v>
                </c:pt>
                <c:pt idx="26">
                  <c:v>-348457.16666666663</c:v>
                </c:pt>
                <c:pt idx="27">
                  <c:v>-242857.16666666666</c:v>
                </c:pt>
                <c:pt idx="28">
                  <c:v>-289057.16666666663</c:v>
                </c:pt>
                <c:pt idx="29">
                  <c:v>-289057.16666666663</c:v>
                </c:pt>
                <c:pt idx="30">
                  <c:v>-345157.16666666663</c:v>
                </c:pt>
                <c:pt idx="31">
                  <c:v>-312157.16666666663</c:v>
                </c:pt>
                <c:pt idx="32">
                  <c:v>-285757.16666666663</c:v>
                </c:pt>
                <c:pt idx="33">
                  <c:v>-269967.58333333331</c:v>
                </c:pt>
                <c:pt idx="34">
                  <c:v>-355630.08333333331</c:v>
                </c:pt>
                <c:pt idx="35">
                  <c:v>-265407.16666666663</c:v>
                </c:pt>
                <c:pt idx="36">
                  <c:v>-331407.16666666663</c:v>
                </c:pt>
                <c:pt idx="37">
                  <c:v>-407655.5</c:v>
                </c:pt>
                <c:pt idx="38">
                  <c:v>-425443.41666666663</c:v>
                </c:pt>
                <c:pt idx="39">
                  <c:v>-457425.91666666663</c:v>
                </c:pt>
                <c:pt idx="40">
                  <c:v>-360832.16666666663</c:v>
                </c:pt>
                <c:pt idx="41">
                  <c:v>-340175.08333333331</c:v>
                </c:pt>
                <c:pt idx="42">
                  <c:v>-440430.08333333331</c:v>
                </c:pt>
                <c:pt idx="43">
                  <c:v>-416430.08333333331</c:v>
                </c:pt>
                <c:pt idx="44">
                  <c:v>-422430.08333333331</c:v>
                </c:pt>
                <c:pt idx="45">
                  <c:v>-407430.08333333331</c:v>
                </c:pt>
                <c:pt idx="46">
                  <c:v>-494430.08333333331</c:v>
                </c:pt>
                <c:pt idx="47">
                  <c:v>-425430.08333333331</c:v>
                </c:pt>
                <c:pt idx="48">
                  <c:v>-458430.08333333331</c:v>
                </c:pt>
                <c:pt idx="49">
                  <c:v>-401430.08333333331</c:v>
                </c:pt>
                <c:pt idx="50">
                  <c:v>-425430.08333333331</c:v>
                </c:pt>
                <c:pt idx="51">
                  <c:v>-524430.08333333326</c:v>
                </c:pt>
                <c:pt idx="52">
                  <c:v>-554430.08333333326</c:v>
                </c:pt>
                <c:pt idx="53">
                  <c:v>-650430.08333333326</c:v>
                </c:pt>
                <c:pt idx="54">
                  <c:v>-626430.08333333326</c:v>
                </c:pt>
                <c:pt idx="55">
                  <c:v>-626430.08333333326</c:v>
                </c:pt>
                <c:pt idx="56">
                  <c:v>-464430.08333333331</c:v>
                </c:pt>
                <c:pt idx="57">
                  <c:v>-407430.08333333331</c:v>
                </c:pt>
                <c:pt idx="58">
                  <c:v>-383430.08333333331</c:v>
                </c:pt>
                <c:pt idx="59">
                  <c:v>-353430.08333333331</c:v>
                </c:pt>
                <c:pt idx="60">
                  <c:v>-404430.08333333331</c:v>
                </c:pt>
                <c:pt idx="61">
                  <c:v>-407430.08333333331</c:v>
                </c:pt>
                <c:pt idx="62">
                  <c:v>-371430.08333333331</c:v>
                </c:pt>
                <c:pt idx="63">
                  <c:v>-575430.08333333326</c:v>
                </c:pt>
                <c:pt idx="64">
                  <c:v>-522498.83333333331</c:v>
                </c:pt>
                <c:pt idx="65">
                  <c:v>-460398.83333333331</c:v>
                </c:pt>
                <c:pt idx="66">
                  <c:v>-436098.83333333331</c:v>
                </c:pt>
                <c:pt idx="67">
                  <c:v>-479298.83333333331</c:v>
                </c:pt>
                <c:pt idx="68">
                  <c:v>-506298.83333333331</c:v>
                </c:pt>
                <c:pt idx="69">
                  <c:v>-557598.83333333326</c:v>
                </c:pt>
                <c:pt idx="70">
                  <c:v>-552198.83333333326</c:v>
                </c:pt>
                <c:pt idx="71">
                  <c:v>-579198.83333333326</c:v>
                </c:pt>
                <c:pt idx="72">
                  <c:v>-625098.83333333326</c:v>
                </c:pt>
                <c:pt idx="73">
                  <c:v>-598098.83333333326</c:v>
                </c:pt>
                <c:pt idx="74">
                  <c:v>-587298.83333333326</c:v>
                </c:pt>
                <c:pt idx="75">
                  <c:v>-562998.83333333326</c:v>
                </c:pt>
                <c:pt idx="76">
                  <c:v>-552198.83333333326</c:v>
                </c:pt>
                <c:pt idx="77">
                  <c:v>-549498.83333333326</c:v>
                </c:pt>
                <c:pt idx="78">
                  <c:v>-611598.83333333326</c:v>
                </c:pt>
                <c:pt idx="79">
                  <c:v>-616998.83333333326</c:v>
                </c:pt>
                <c:pt idx="80">
                  <c:v>-589998.83333333326</c:v>
                </c:pt>
                <c:pt idx="81">
                  <c:v>-708798.83333333326</c:v>
                </c:pt>
                <c:pt idx="82">
                  <c:v>-768198.83333333326</c:v>
                </c:pt>
                <c:pt idx="83">
                  <c:v>-759757.58333333326</c:v>
                </c:pt>
                <c:pt idx="84">
                  <c:v>-739935.08333333326</c:v>
                </c:pt>
                <c:pt idx="85">
                  <c:v>-762191.33333333326</c:v>
                </c:pt>
                <c:pt idx="86">
                  <c:v>-801462</c:v>
                </c:pt>
                <c:pt idx="87">
                  <c:v>-792232</c:v>
                </c:pt>
                <c:pt idx="88">
                  <c:v>-826325.33333333326</c:v>
                </c:pt>
                <c:pt idx="89">
                  <c:v>-774758.66666666663</c:v>
                </c:pt>
                <c:pt idx="90">
                  <c:v>-808078.66666666663</c:v>
                </c:pt>
                <c:pt idx="91">
                  <c:v>-805095.33333333326</c:v>
                </c:pt>
                <c:pt idx="92">
                  <c:v>-830328.66666666663</c:v>
                </c:pt>
                <c:pt idx="93">
                  <c:v>-793745.33333333326</c:v>
                </c:pt>
                <c:pt idx="94">
                  <c:v>-809962</c:v>
                </c:pt>
                <c:pt idx="95">
                  <c:v>-745812</c:v>
                </c:pt>
                <c:pt idx="96">
                  <c:v>-774332</c:v>
                </c:pt>
                <c:pt idx="97">
                  <c:v>-713342</c:v>
                </c:pt>
                <c:pt idx="98">
                  <c:v>-798958.66666666663</c:v>
                </c:pt>
                <c:pt idx="99">
                  <c:v>-819908.66666666663</c:v>
                </c:pt>
                <c:pt idx="100">
                  <c:v>-767825.33333333326</c:v>
                </c:pt>
                <c:pt idx="101">
                  <c:v>-810612</c:v>
                </c:pt>
                <c:pt idx="102">
                  <c:v>-815478.66666666663</c:v>
                </c:pt>
                <c:pt idx="103">
                  <c:v>-882925.33333333326</c:v>
                </c:pt>
                <c:pt idx="104">
                  <c:v>-918711.99999999988</c:v>
                </c:pt>
                <c:pt idx="105">
                  <c:v>-882945.33333333326</c:v>
                </c:pt>
                <c:pt idx="106">
                  <c:v>-919395.33333333326</c:v>
                </c:pt>
                <c:pt idx="107">
                  <c:v>-903998.24999999988</c:v>
                </c:pt>
                <c:pt idx="108">
                  <c:v>-834400.74999999988</c:v>
                </c:pt>
                <c:pt idx="109">
                  <c:v>-851387.41666666651</c:v>
                </c:pt>
                <c:pt idx="110">
                  <c:v>-793453.66666666651</c:v>
                </c:pt>
                <c:pt idx="111">
                  <c:v>-820222.83333333326</c:v>
                </c:pt>
                <c:pt idx="112">
                  <c:v>-789606.58333333326</c:v>
                </c:pt>
                <c:pt idx="113">
                  <c:v>-783061.58333333326</c:v>
                </c:pt>
                <c:pt idx="114">
                  <c:v>-817373.24999999988</c:v>
                </c:pt>
                <c:pt idx="115">
                  <c:v>-845624.08333333326</c:v>
                </c:pt>
                <c:pt idx="116">
                  <c:v>-851970.74999999988</c:v>
                </c:pt>
                <c:pt idx="117">
                  <c:v>-888697.41666666651</c:v>
                </c:pt>
                <c:pt idx="118">
                  <c:v>-876838.24999999988</c:v>
                </c:pt>
                <c:pt idx="119">
                  <c:v>-835468.24999999988</c:v>
                </c:pt>
                <c:pt idx="120">
                  <c:v>-825189.91666666651</c:v>
                </c:pt>
                <c:pt idx="121">
                  <c:v>-871156.58333333326</c:v>
                </c:pt>
                <c:pt idx="122">
                  <c:v>-831244.91666666651</c:v>
                </c:pt>
                <c:pt idx="123">
                  <c:v>-746492.41666666651</c:v>
                </c:pt>
                <c:pt idx="124">
                  <c:v>-737334.08333333326</c:v>
                </c:pt>
                <c:pt idx="125">
                  <c:v>-659074.08333333326</c:v>
                </c:pt>
                <c:pt idx="126">
                  <c:v>-561593.24999999988</c:v>
                </c:pt>
                <c:pt idx="127">
                  <c:v>-562791.99999999988</c:v>
                </c:pt>
                <c:pt idx="128">
                  <c:v>-349376.5833333332</c:v>
                </c:pt>
                <c:pt idx="129">
                  <c:v>-381219.5833333332</c:v>
                </c:pt>
                <c:pt idx="130">
                  <c:v>-261469.5833333332</c:v>
                </c:pt>
                <c:pt idx="131">
                  <c:v>-272169.5833333332</c:v>
                </c:pt>
                <c:pt idx="132">
                  <c:v>-277669.5833333332</c:v>
                </c:pt>
                <c:pt idx="133">
                  <c:v>-320164.5833333332</c:v>
                </c:pt>
                <c:pt idx="134">
                  <c:v>-297402.0833333332</c:v>
                </c:pt>
                <c:pt idx="135">
                  <c:v>-227054.5833333332</c:v>
                </c:pt>
                <c:pt idx="136">
                  <c:v>-186389.5833333332</c:v>
                </c:pt>
                <c:pt idx="137">
                  <c:v>-131049.5833333332</c:v>
                </c:pt>
                <c:pt idx="138">
                  <c:v>-214129.5833333332</c:v>
                </c:pt>
                <c:pt idx="139">
                  <c:v>-241389.5833333332</c:v>
                </c:pt>
                <c:pt idx="140">
                  <c:v>-218654.5833333332</c:v>
                </c:pt>
                <c:pt idx="141">
                  <c:v>-297752.0833333332</c:v>
                </c:pt>
                <c:pt idx="142">
                  <c:v>-394774.5833333332</c:v>
                </c:pt>
                <c:pt idx="143">
                  <c:v>-387087.0833333332</c:v>
                </c:pt>
                <c:pt idx="144">
                  <c:v>-421159.5833333332</c:v>
                </c:pt>
                <c:pt idx="145">
                  <c:v>-429949.5833333332</c:v>
                </c:pt>
                <c:pt idx="146">
                  <c:v>-474057.0833333332</c:v>
                </c:pt>
                <c:pt idx="147">
                  <c:v>-600334.58333333326</c:v>
                </c:pt>
                <c:pt idx="148">
                  <c:v>-649222.08333333326</c:v>
                </c:pt>
                <c:pt idx="149">
                  <c:v>-658792.08333333326</c:v>
                </c:pt>
                <c:pt idx="150">
                  <c:v>-641539.58333333326</c:v>
                </c:pt>
                <c:pt idx="151">
                  <c:v>-615902.08333333326</c:v>
                </c:pt>
                <c:pt idx="152">
                  <c:v>-652995.83333333326</c:v>
                </c:pt>
                <c:pt idx="153">
                  <c:v>-664183.33333333326</c:v>
                </c:pt>
                <c:pt idx="154">
                  <c:v>-629254.16666666651</c:v>
                </c:pt>
                <c:pt idx="155">
                  <c:v>-632849.99999999988</c:v>
                </c:pt>
                <c:pt idx="156">
                  <c:v>-622027.08333333314</c:v>
                </c:pt>
                <c:pt idx="157">
                  <c:v>-533504.16666666651</c:v>
                </c:pt>
                <c:pt idx="158">
                  <c:v>-573016.66666666651</c:v>
                </c:pt>
                <c:pt idx="159">
                  <c:v>-739804.16666666651</c:v>
                </c:pt>
                <c:pt idx="160">
                  <c:v>-705670.83333333314</c:v>
                </c:pt>
                <c:pt idx="161">
                  <c:v>-697616.66666666651</c:v>
                </c:pt>
                <c:pt idx="162">
                  <c:v>-689983.33333333314</c:v>
                </c:pt>
                <c:pt idx="163">
                  <c:v>-677941.66666666651</c:v>
                </c:pt>
                <c:pt idx="164">
                  <c:v>-670412.49999999988</c:v>
                </c:pt>
                <c:pt idx="165">
                  <c:v>-653727.08333333314</c:v>
                </c:pt>
                <c:pt idx="166">
                  <c:v>-686916.66666666651</c:v>
                </c:pt>
                <c:pt idx="167">
                  <c:v>-666512.49999999977</c:v>
                </c:pt>
                <c:pt idx="168">
                  <c:v>-690995.83333333314</c:v>
                </c:pt>
                <c:pt idx="169">
                  <c:v>-704712.49999999977</c:v>
                </c:pt>
                <c:pt idx="170">
                  <c:v>-705658.33333333314</c:v>
                </c:pt>
                <c:pt idx="171">
                  <c:v>-693483.33333333314</c:v>
                </c:pt>
                <c:pt idx="172">
                  <c:v>-703618.74999999977</c:v>
                </c:pt>
                <c:pt idx="173">
                  <c:v>-728479.08333333314</c:v>
                </c:pt>
                <c:pt idx="174">
                  <c:v>-743787.41666666651</c:v>
                </c:pt>
                <c:pt idx="175">
                  <c:v>-763559.08333333314</c:v>
                </c:pt>
                <c:pt idx="176">
                  <c:v>-756032.41666666651</c:v>
                </c:pt>
                <c:pt idx="177">
                  <c:v>-757557.41666666651</c:v>
                </c:pt>
                <c:pt idx="178">
                  <c:v>-739882.41666666651</c:v>
                </c:pt>
                <c:pt idx="179">
                  <c:v>-725925.74999999977</c:v>
                </c:pt>
                <c:pt idx="180">
                  <c:v>-701575.74999999977</c:v>
                </c:pt>
                <c:pt idx="181">
                  <c:v>-656525.74999999977</c:v>
                </c:pt>
                <c:pt idx="182">
                  <c:v>-593575.74999999977</c:v>
                </c:pt>
                <c:pt idx="183">
                  <c:v>-605800.74999999977</c:v>
                </c:pt>
                <c:pt idx="184">
                  <c:v>-632425.74999999977</c:v>
                </c:pt>
                <c:pt idx="185">
                  <c:v>-658389.08333333314</c:v>
                </c:pt>
                <c:pt idx="186">
                  <c:v>-680100.74999999977</c:v>
                </c:pt>
                <c:pt idx="187">
                  <c:v>-647509.08333333314</c:v>
                </c:pt>
                <c:pt idx="188">
                  <c:v>-669950.74999999977</c:v>
                </c:pt>
                <c:pt idx="189">
                  <c:v>-655897.41666666651</c:v>
                </c:pt>
                <c:pt idx="190">
                  <c:v>-665615.74999999977</c:v>
                </c:pt>
                <c:pt idx="191">
                  <c:v>-625369.08333333314</c:v>
                </c:pt>
                <c:pt idx="192">
                  <c:v>-635844.08333333314</c:v>
                </c:pt>
                <c:pt idx="193">
                  <c:v>-622677.41666666651</c:v>
                </c:pt>
                <c:pt idx="194">
                  <c:v>-637110.74999999977</c:v>
                </c:pt>
                <c:pt idx="195">
                  <c:v>-615959.49999999977</c:v>
                </c:pt>
                <c:pt idx="196">
                  <c:v>-615399.49999999977</c:v>
                </c:pt>
                <c:pt idx="197">
                  <c:v>-601666.99999999977</c:v>
                </c:pt>
                <c:pt idx="198">
                  <c:v>-584216.99999999977</c:v>
                </c:pt>
                <c:pt idx="199">
                  <c:v>-591391.99999999977</c:v>
                </c:pt>
                <c:pt idx="200">
                  <c:v>-609703.24999999977</c:v>
                </c:pt>
                <c:pt idx="201">
                  <c:v>-643008.24999999977</c:v>
                </c:pt>
                <c:pt idx="202">
                  <c:v>-657179.49999999977</c:v>
                </c:pt>
                <c:pt idx="203">
                  <c:v>-643316.99999999977</c:v>
                </c:pt>
                <c:pt idx="204">
                  <c:v>-663994.49999999977</c:v>
                </c:pt>
                <c:pt idx="205">
                  <c:v>-673418.24999999977</c:v>
                </c:pt>
                <c:pt idx="206">
                  <c:v>-673481.99999999977</c:v>
                </c:pt>
                <c:pt idx="207">
                  <c:v>-677888.24999999977</c:v>
                </c:pt>
                <c:pt idx="208">
                  <c:v>-674894.49999999977</c:v>
                </c:pt>
                <c:pt idx="209">
                  <c:v>-658689.49999999977</c:v>
                </c:pt>
                <c:pt idx="210">
                  <c:v>-663941.99999999977</c:v>
                </c:pt>
                <c:pt idx="211">
                  <c:v>-668084.49999999977</c:v>
                </c:pt>
                <c:pt idx="212">
                  <c:v>-642984.49999999977</c:v>
                </c:pt>
                <c:pt idx="213">
                  <c:v>-654406.99999999977</c:v>
                </c:pt>
                <c:pt idx="214">
                  <c:v>-675161.99999999977</c:v>
                </c:pt>
                <c:pt idx="215">
                  <c:v>-661055.74999999977</c:v>
                </c:pt>
                <c:pt idx="216">
                  <c:v>-650359.49999999977</c:v>
                </c:pt>
                <c:pt idx="217">
                  <c:v>-661447.83333333314</c:v>
                </c:pt>
                <c:pt idx="218">
                  <c:v>-654901.16666666651</c:v>
                </c:pt>
                <c:pt idx="219">
                  <c:v>-646478.66666666651</c:v>
                </c:pt>
                <c:pt idx="220">
                  <c:v>-666501.99999999977</c:v>
                </c:pt>
                <c:pt idx="221">
                  <c:v>-673243.66666666651</c:v>
                </c:pt>
                <c:pt idx="222">
                  <c:v>-678787.83333333314</c:v>
                </c:pt>
                <c:pt idx="223">
                  <c:v>-697775.33333333314</c:v>
                </c:pt>
                <c:pt idx="224">
                  <c:v>-689391.99999999977</c:v>
                </c:pt>
                <c:pt idx="225">
                  <c:v>-689636.16666666651</c:v>
                </c:pt>
                <c:pt idx="226">
                  <c:v>-698098.66666666651</c:v>
                </c:pt>
                <c:pt idx="227">
                  <c:v>-698844.49999999977</c:v>
                </c:pt>
                <c:pt idx="228">
                  <c:v>-694024.49999999977</c:v>
                </c:pt>
                <c:pt idx="229">
                  <c:v>-689391.99999999977</c:v>
                </c:pt>
                <c:pt idx="230">
                  <c:v>-682387.83333333314</c:v>
                </c:pt>
                <c:pt idx="231">
                  <c:v>-683121.99999999977</c:v>
                </c:pt>
                <c:pt idx="232">
                  <c:v>-674619.49999999977</c:v>
                </c:pt>
                <c:pt idx="233">
                  <c:v>-681581.16666666651</c:v>
                </c:pt>
                <c:pt idx="234">
                  <c:v>-676459.49999999977</c:v>
                </c:pt>
                <c:pt idx="235">
                  <c:v>-674547.83333333314</c:v>
                </c:pt>
                <c:pt idx="236">
                  <c:v>-689226.16666666651</c:v>
                </c:pt>
                <c:pt idx="237">
                  <c:v>-676167.83333333314</c:v>
                </c:pt>
                <c:pt idx="238">
                  <c:v>-673775.83333333314</c:v>
                </c:pt>
                <c:pt idx="239">
                  <c:v>-677877.91666666651</c:v>
                </c:pt>
                <c:pt idx="240">
                  <c:v>-669281.24999999977</c:v>
                </c:pt>
                <c:pt idx="241">
                  <c:v>-664518.33333333314</c:v>
                </c:pt>
                <c:pt idx="242">
                  <c:v>-673793.33333333314</c:v>
                </c:pt>
                <c:pt idx="243">
                  <c:v>-673493.33333333314</c:v>
                </c:pt>
                <c:pt idx="244">
                  <c:v>-673582.9166666664</c:v>
                </c:pt>
                <c:pt idx="245">
                  <c:v>-666212.49999999977</c:v>
                </c:pt>
                <c:pt idx="246">
                  <c:v>-671252.49999999977</c:v>
                </c:pt>
                <c:pt idx="247">
                  <c:v>-666387.49999999977</c:v>
                </c:pt>
                <c:pt idx="248">
                  <c:v>-666061.24999999977</c:v>
                </c:pt>
                <c:pt idx="249">
                  <c:v>-678559.1666666664</c:v>
                </c:pt>
                <c:pt idx="250">
                  <c:v>-674367.49999999977</c:v>
                </c:pt>
                <c:pt idx="251">
                  <c:v>-673013.33333333314</c:v>
                </c:pt>
                <c:pt idx="252">
                  <c:v>-675811.24999999977</c:v>
                </c:pt>
                <c:pt idx="253">
                  <c:v>-682817.49999999977</c:v>
                </c:pt>
                <c:pt idx="254">
                  <c:v>-684396.6666666664</c:v>
                </c:pt>
                <c:pt idx="255">
                  <c:v>-677354.1666666664</c:v>
                </c:pt>
                <c:pt idx="256">
                  <c:v>-685481.24999999977</c:v>
                </c:pt>
                <c:pt idx="257">
                  <c:v>-688116.24999999977</c:v>
                </c:pt>
                <c:pt idx="258">
                  <c:v>-686843.33333333314</c:v>
                </c:pt>
                <c:pt idx="259">
                  <c:v>-689808.33333333314</c:v>
                </c:pt>
                <c:pt idx="260">
                  <c:v>-690781.24999999977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02-448A-BD6A-26229808288F}"/>
            </c:ext>
          </c:extLst>
        </c:ser>
        <c:ser>
          <c:idx val="5"/>
          <c:order val="5"/>
          <c:tx>
            <c:strRef>
              <c:f>Data!$N$11</c:f>
              <c:strCache>
                <c:ptCount val="1"/>
                <c:pt idx="0">
                  <c:v>Constant Corn DHP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61"/>
                <c:pt idx="0">
                  <c:v>42005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42054</c:v>
                </c:pt>
                <c:pt idx="36">
                  <c:v>42055</c:v>
                </c:pt>
                <c:pt idx="37">
                  <c:v>42058</c:v>
                </c:pt>
                <c:pt idx="38">
                  <c:v>42059</c:v>
                </c:pt>
                <c:pt idx="39">
                  <c:v>42060</c:v>
                </c:pt>
                <c:pt idx="40">
                  <c:v>42061</c:v>
                </c:pt>
                <c:pt idx="41">
                  <c:v>42062</c:v>
                </c:pt>
                <c:pt idx="42">
                  <c:v>42065</c:v>
                </c:pt>
                <c:pt idx="43">
                  <c:v>42066</c:v>
                </c:pt>
                <c:pt idx="44">
                  <c:v>42067</c:v>
                </c:pt>
                <c:pt idx="45">
                  <c:v>42068</c:v>
                </c:pt>
                <c:pt idx="46">
                  <c:v>42069</c:v>
                </c:pt>
                <c:pt idx="47">
                  <c:v>42072</c:v>
                </c:pt>
                <c:pt idx="48">
                  <c:v>42073</c:v>
                </c:pt>
                <c:pt idx="49">
                  <c:v>42074</c:v>
                </c:pt>
                <c:pt idx="50">
                  <c:v>42075</c:v>
                </c:pt>
                <c:pt idx="51">
                  <c:v>42076</c:v>
                </c:pt>
                <c:pt idx="52">
                  <c:v>42079</c:v>
                </c:pt>
                <c:pt idx="53">
                  <c:v>42080</c:v>
                </c:pt>
                <c:pt idx="54">
                  <c:v>42081</c:v>
                </c:pt>
                <c:pt idx="55">
                  <c:v>42082</c:v>
                </c:pt>
                <c:pt idx="56">
                  <c:v>42083</c:v>
                </c:pt>
                <c:pt idx="57">
                  <c:v>42086</c:v>
                </c:pt>
                <c:pt idx="58">
                  <c:v>42087</c:v>
                </c:pt>
                <c:pt idx="59">
                  <c:v>42088</c:v>
                </c:pt>
                <c:pt idx="60">
                  <c:v>42089</c:v>
                </c:pt>
                <c:pt idx="61">
                  <c:v>42090</c:v>
                </c:pt>
                <c:pt idx="62">
                  <c:v>42093</c:v>
                </c:pt>
                <c:pt idx="63">
                  <c:v>42094</c:v>
                </c:pt>
                <c:pt idx="64">
                  <c:v>42095</c:v>
                </c:pt>
                <c:pt idx="65">
                  <c:v>42096</c:v>
                </c:pt>
                <c:pt idx="66">
                  <c:v>42097</c:v>
                </c:pt>
                <c:pt idx="67">
                  <c:v>42100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42125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42138</c:v>
                </c:pt>
                <c:pt idx="96">
                  <c:v>42139</c:v>
                </c:pt>
                <c:pt idx="97">
                  <c:v>42142</c:v>
                </c:pt>
                <c:pt idx="98">
                  <c:v>42143</c:v>
                </c:pt>
                <c:pt idx="99">
                  <c:v>42144</c:v>
                </c:pt>
                <c:pt idx="100">
                  <c:v>42145</c:v>
                </c:pt>
                <c:pt idx="101">
                  <c:v>42146</c:v>
                </c:pt>
                <c:pt idx="102">
                  <c:v>42149</c:v>
                </c:pt>
                <c:pt idx="103">
                  <c:v>42150</c:v>
                </c:pt>
                <c:pt idx="104">
                  <c:v>42151</c:v>
                </c:pt>
                <c:pt idx="105">
                  <c:v>42152</c:v>
                </c:pt>
                <c:pt idx="106">
                  <c:v>42153</c:v>
                </c:pt>
                <c:pt idx="107">
                  <c:v>42156</c:v>
                </c:pt>
                <c:pt idx="108">
                  <c:v>42157</c:v>
                </c:pt>
                <c:pt idx="109">
                  <c:v>42158</c:v>
                </c:pt>
                <c:pt idx="110">
                  <c:v>42159</c:v>
                </c:pt>
                <c:pt idx="111">
                  <c:v>42160</c:v>
                </c:pt>
                <c:pt idx="112">
                  <c:v>42163</c:v>
                </c:pt>
                <c:pt idx="113">
                  <c:v>42164</c:v>
                </c:pt>
                <c:pt idx="114">
                  <c:v>42165</c:v>
                </c:pt>
                <c:pt idx="115">
                  <c:v>42166</c:v>
                </c:pt>
                <c:pt idx="116">
                  <c:v>42167</c:v>
                </c:pt>
                <c:pt idx="117">
                  <c:v>42170</c:v>
                </c:pt>
                <c:pt idx="118">
                  <c:v>42171</c:v>
                </c:pt>
                <c:pt idx="119">
                  <c:v>42172</c:v>
                </c:pt>
                <c:pt idx="120">
                  <c:v>42173</c:v>
                </c:pt>
                <c:pt idx="121">
                  <c:v>42174</c:v>
                </c:pt>
                <c:pt idx="122">
                  <c:v>42177</c:v>
                </c:pt>
                <c:pt idx="123">
                  <c:v>42178</c:v>
                </c:pt>
                <c:pt idx="124">
                  <c:v>42179</c:v>
                </c:pt>
                <c:pt idx="125">
                  <c:v>42180</c:v>
                </c:pt>
                <c:pt idx="126">
                  <c:v>42181</c:v>
                </c:pt>
                <c:pt idx="127">
                  <c:v>42184</c:v>
                </c:pt>
                <c:pt idx="128">
                  <c:v>42185</c:v>
                </c:pt>
                <c:pt idx="129">
                  <c:v>42186</c:v>
                </c:pt>
                <c:pt idx="130">
                  <c:v>42187</c:v>
                </c:pt>
                <c:pt idx="131">
                  <c:v>42188</c:v>
                </c:pt>
                <c:pt idx="132">
                  <c:v>42191</c:v>
                </c:pt>
                <c:pt idx="133">
                  <c:v>42192</c:v>
                </c:pt>
                <c:pt idx="134">
                  <c:v>42193</c:v>
                </c:pt>
                <c:pt idx="135">
                  <c:v>42194</c:v>
                </c:pt>
                <c:pt idx="136">
                  <c:v>42195</c:v>
                </c:pt>
                <c:pt idx="137">
                  <c:v>42198</c:v>
                </c:pt>
                <c:pt idx="138">
                  <c:v>42199</c:v>
                </c:pt>
                <c:pt idx="139">
                  <c:v>42200</c:v>
                </c:pt>
                <c:pt idx="140">
                  <c:v>42201</c:v>
                </c:pt>
                <c:pt idx="141">
                  <c:v>42202</c:v>
                </c:pt>
                <c:pt idx="142">
                  <c:v>42205</c:v>
                </c:pt>
                <c:pt idx="143">
                  <c:v>42206</c:v>
                </c:pt>
                <c:pt idx="144">
                  <c:v>42207</c:v>
                </c:pt>
                <c:pt idx="145">
                  <c:v>42208</c:v>
                </c:pt>
                <c:pt idx="146">
                  <c:v>42209</c:v>
                </c:pt>
                <c:pt idx="147">
                  <c:v>42212</c:v>
                </c:pt>
                <c:pt idx="148">
                  <c:v>42213</c:v>
                </c:pt>
                <c:pt idx="149">
                  <c:v>42214</c:v>
                </c:pt>
                <c:pt idx="150">
                  <c:v>42215</c:v>
                </c:pt>
                <c:pt idx="151">
                  <c:v>42216</c:v>
                </c:pt>
                <c:pt idx="152">
                  <c:v>42219</c:v>
                </c:pt>
                <c:pt idx="153">
                  <c:v>42220</c:v>
                </c:pt>
                <c:pt idx="154">
                  <c:v>42221</c:v>
                </c:pt>
                <c:pt idx="155">
                  <c:v>42222</c:v>
                </c:pt>
                <c:pt idx="156">
                  <c:v>42223</c:v>
                </c:pt>
                <c:pt idx="157">
                  <c:v>42226</c:v>
                </c:pt>
                <c:pt idx="158">
                  <c:v>42227</c:v>
                </c:pt>
                <c:pt idx="159">
                  <c:v>42228</c:v>
                </c:pt>
                <c:pt idx="160">
                  <c:v>42229</c:v>
                </c:pt>
                <c:pt idx="161">
                  <c:v>42230</c:v>
                </c:pt>
                <c:pt idx="162">
                  <c:v>42233</c:v>
                </c:pt>
                <c:pt idx="163">
                  <c:v>42234</c:v>
                </c:pt>
                <c:pt idx="164">
                  <c:v>42235</c:v>
                </c:pt>
                <c:pt idx="165">
                  <c:v>42236</c:v>
                </c:pt>
                <c:pt idx="166">
                  <c:v>42237</c:v>
                </c:pt>
                <c:pt idx="167">
                  <c:v>42240</c:v>
                </c:pt>
                <c:pt idx="168">
                  <c:v>42241</c:v>
                </c:pt>
                <c:pt idx="169">
                  <c:v>42242</c:v>
                </c:pt>
                <c:pt idx="170">
                  <c:v>42243</c:v>
                </c:pt>
                <c:pt idx="171">
                  <c:v>42244</c:v>
                </c:pt>
                <c:pt idx="172">
                  <c:v>42247</c:v>
                </c:pt>
                <c:pt idx="173">
                  <c:v>42248</c:v>
                </c:pt>
                <c:pt idx="174">
                  <c:v>42249</c:v>
                </c:pt>
                <c:pt idx="175">
                  <c:v>42250</c:v>
                </c:pt>
                <c:pt idx="176">
                  <c:v>42251</c:v>
                </c:pt>
                <c:pt idx="177">
                  <c:v>42254</c:v>
                </c:pt>
                <c:pt idx="178">
                  <c:v>42255</c:v>
                </c:pt>
                <c:pt idx="179">
                  <c:v>42256</c:v>
                </c:pt>
                <c:pt idx="180">
                  <c:v>42257</c:v>
                </c:pt>
                <c:pt idx="181">
                  <c:v>42258</c:v>
                </c:pt>
                <c:pt idx="182">
                  <c:v>42261</c:v>
                </c:pt>
                <c:pt idx="183">
                  <c:v>42262</c:v>
                </c:pt>
                <c:pt idx="184">
                  <c:v>42263</c:v>
                </c:pt>
                <c:pt idx="185">
                  <c:v>42264</c:v>
                </c:pt>
                <c:pt idx="186">
                  <c:v>42265</c:v>
                </c:pt>
                <c:pt idx="187">
                  <c:v>42268</c:v>
                </c:pt>
                <c:pt idx="188">
                  <c:v>42269</c:v>
                </c:pt>
                <c:pt idx="189">
                  <c:v>42270</c:v>
                </c:pt>
                <c:pt idx="190">
                  <c:v>42271</c:v>
                </c:pt>
                <c:pt idx="191">
                  <c:v>42272</c:v>
                </c:pt>
                <c:pt idx="192">
                  <c:v>42275</c:v>
                </c:pt>
                <c:pt idx="193">
                  <c:v>42276</c:v>
                </c:pt>
                <c:pt idx="194">
                  <c:v>42277</c:v>
                </c:pt>
                <c:pt idx="195">
                  <c:v>42278</c:v>
                </c:pt>
                <c:pt idx="196">
                  <c:v>42279</c:v>
                </c:pt>
                <c:pt idx="197">
                  <c:v>42282</c:v>
                </c:pt>
                <c:pt idx="198">
                  <c:v>42283</c:v>
                </c:pt>
                <c:pt idx="199">
                  <c:v>42284</c:v>
                </c:pt>
                <c:pt idx="200">
                  <c:v>42285</c:v>
                </c:pt>
                <c:pt idx="201">
                  <c:v>42286</c:v>
                </c:pt>
                <c:pt idx="202">
                  <c:v>42289</c:v>
                </c:pt>
                <c:pt idx="203">
                  <c:v>42290</c:v>
                </c:pt>
                <c:pt idx="204">
                  <c:v>42291</c:v>
                </c:pt>
                <c:pt idx="205">
                  <c:v>42292</c:v>
                </c:pt>
                <c:pt idx="206">
                  <c:v>42293</c:v>
                </c:pt>
                <c:pt idx="207">
                  <c:v>42296</c:v>
                </c:pt>
                <c:pt idx="208">
                  <c:v>42297</c:v>
                </c:pt>
                <c:pt idx="209">
                  <c:v>42298</c:v>
                </c:pt>
                <c:pt idx="210">
                  <c:v>42299</c:v>
                </c:pt>
                <c:pt idx="211">
                  <c:v>42300</c:v>
                </c:pt>
                <c:pt idx="212">
                  <c:v>42303</c:v>
                </c:pt>
                <c:pt idx="213">
                  <c:v>42304</c:v>
                </c:pt>
                <c:pt idx="214">
                  <c:v>42305</c:v>
                </c:pt>
                <c:pt idx="215">
                  <c:v>42306</c:v>
                </c:pt>
                <c:pt idx="216">
                  <c:v>42307</c:v>
                </c:pt>
                <c:pt idx="217">
                  <c:v>42310</c:v>
                </c:pt>
                <c:pt idx="218">
                  <c:v>42311</c:v>
                </c:pt>
                <c:pt idx="219">
                  <c:v>42312</c:v>
                </c:pt>
                <c:pt idx="220">
                  <c:v>42313</c:v>
                </c:pt>
                <c:pt idx="221">
                  <c:v>42314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42324</c:v>
                </c:pt>
                <c:pt idx="228">
                  <c:v>42325</c:v>
                </c:pt>
                <c:pt idx="229">
                  <c:v>42326</c:v>
                </c:pt>
                <c:pt idx="230">
                  <c:v>42327</c:v>
                </c:pt>
                <c:pt idx="231">
                  <c:v>42328</c:v>
                </c:pt>
                <c:pt idx="232">
                  <c:v>42331</c:v>
                </c:pt>
                <c:pt idx="233">
                  <c:v>42332</c:v>
                </c:pt>
                <c:pt idx="234">
                  <c:v>42333</c:v>
                </c:pt>
                <c:pt idx="235">
                  <c:v>42334</c:v>
                </c:pt>
                <c:pt idx="236">
                  <c:v>42335</c:v>
                </c:pt>
                <c:pt idx="237">
                  <c:v>42338</c:v>
                </c:pt>
                <c:pt idx="238">
                  <c:v>42339</c:v>
                </c:pt>
                <c:pt idx="239">
                  <c:v>42340</c:v>
                </c:pt>
                <c:pt idx="240">
                  <c:v>42341</c:v>
                </c:pt>
                <c:pt idx="241">
                  <c:v>42342</c:v>
                </c:pt>
                <c:pt idx="242">
                  <c:v>42345</c:v>
                </c:pt>
                <c:pt idx="243">
                  <c:v>42346</c:v>
                </c:pt>
                <c:pt idx="244">
                  <c:v>42347</c:v>
                </c:pt>
                <c:pt idx="245">
                  <c:v>42348</c:v>
                </c:pt>
                <c:pt idx="246">
                  <c:v>42349</c:v>
                </c:pt>
                <c:pt idx="247">
                  <c:v>42352</c:v>
                </c:pt>
                <c:pt idx="248">
                  <c:v>42353</c:v>
                </c:pt>
                <c:pt idx="249">
                  <c:v>42354</c:v>
                </c:pt>
                <c:pt idx="250">
                  <c:v>42355</c:v>
                </c:pt>
                <c:pt idx="251">
                  <c:v>42356</c:v>
                </c:pt>
                <c:pt idx="252">
                  <c:v>42359</c:v>
                </c:pt>
                <c:pt idx="253">
                  <c:v>42360</c:v>
                </c:pt>
                <c:pt idx="254">
                  <c:v>42361</c:v>
                </c:pt>
                <c:pt idx="255">
                  <c:v>42362</c:v>
                </c:pt>
                <c:pt idx="256">
                  <c:v>42363</c:v>
                </c:pt>
                <c:pt idx="257">
                  <c:v>42366</c:v>
                </c:pt>
                <c:pt idx="258">
                  <c:v>42367</c:v>
                </c:pt>
                <c:pt idx="259">
                  <c:v>42368</c:v>
                </c:pt>
                <c:pt idx="260">
                  <c:v>42369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61"/>
                <c:pt idx="0">
                  <c:v>0</c:v>
                </c:pt>
                <c:pt idx="1">
                  <c:v>1750</c:v>
                </c:pt>
                <c:pt idx="2">
                  <c:v>12880</c:v>
                </c:pt>
                <c:pt idx="3">
                  <c:v>9380</c:v>
                </c:pt>
                <c:pt idx="4">
                  <c:v>-23380</c:v>
                </c:pt>
                <c:pt idx="5">
                  <c:v>-30380</c:v>
                </c:pt>
                <c:pt idx="6">
                  <c:v>-39060</c:v>
                </c:pt>
                <c:pt idx="7">
                  <c:v>-37695</c:v>
                </c:pt>
                <c:pt idx="8">
                  <c:v>-45710</c:v>
                </c:pt>
                <c:pt idx="9">
                  <c:v>-19740</c:v>
                </c:pt>
                <c:pt idx="10">
                  <c:v>-22820</c:v>
                </c:pt>
                <c:pt idx="11">
                  <c:v>-26250</c:v>
                </c:pt>
                <c:pt idx="12">
                  <c:v>-22330</c:v>
                </c:pt>
                <c:pt idx="13">
                  <c:v>-25725</c:v>
                </c:pt>
                <c:pt idx="14">
                  <c:v>-35245</c:v>
                </c:pt>
                <c:pt idx="15">
                  <c:v>-50575</c:v>
                </c:pt>
                <c:pt idx="16">
                  <c:v>-51030</c:v>
                </c:pt>
                <c:pt idx="17">
                  <c:v>-47110</c:v>
                </c:pt>
                <c:pt idx="18">
                  <c:v>-47985</c:v>
                </c:pt>
                <c:pt idx="19">
                  <c:v>-50400</c:v>
                </c:pt>
                <c:pt idx="20">
                  <c:v>-24535</c:v>
                </c:pt>
                <c:pt idx="21">
                  <c:v>-21035</c:v>
                </c:pt>
                <c:pt idx="22">
                  <c:v>-23660</c:v>
                </c:pt>
                <c:pt idx="23">
                  <c:v>-96985</c:v>
                </c:pt>
                <c:pt idx="24">
                  <c:v>-110985</c:v>
                </c:pt>
                <c:pt idx="25">
                  <c:v>-110985</c:v>
                </c:pt>
                <c:pt idx="26">
                  <c:v>-110985</c:v>
                </c:pt>
                <c:pt idx="27">
                  <c:v>-110985</c:v>
                </c:pt>
                <c:pt idx="28">
                  <c:v>-110985</c:v>
                </c:pt>
                <c:pt idx="29">
                  <c:v>-110985</c:v>
                </c:pt>
                <c:pt idx="30">
                  <c:v>-110985</c:v>
                </c:pt>
                <c:pt idx="31">
                  <c:v>-110985</c:v>
                </c:pt>
                <c:pt idx="32">
                  <c:v>-110985</c:v>
                </c:pt>
                <c:pt idx="33">
                  <c:v>-115360</c:v>
                </c:pt>
                <c:pt idx="34">
                  <c:v>-133210</c:v>
                </c:pt>
                <c:pt idx="35">
                  <c:v>-106785</c:v>
                </c:pt>
                <c:pt idx="36">
                  <c:v>-106785</c:v>
                </c:pt>
                <c:pt idx="37">
                  <c:v>-128765</c:v>
                </c:pt>
                <c:pt idx="38">
                  <c:v>-133770</c:v>
                </c:pt>
                <c:pt idx="39">
                  <c:v>-89460</c:v>
                </c:pt>
                <c:pt idx="40">
                  <c:v>-92085</c:v>
                </c:pt>
                <c:pt idx="41">
                  <c:v>-173950</c:v>
                </c:pt>
                <c:pt idx="42">
                  <c:v>-179200</c:v>
                </c:pt>
                <c:pt idx="43">
                  <c:v>-179200</c:v>
                </c:pt>
                <c:pt idx="44">
                  <c:v>-179200</c:v>
                </c:pt>
                <c:pt idx="45">
                  <c:v>-179200</c:v>
                </c:pt>
                <c:pt idx="46">
                  <c:v>-179200</c:v>
                </c:pt>
                <c:pt idx="47">
                  <c:v>-179200</c:v>
                </c:pt>
                <c:pt idx="48">
                  <c:v>-179200</c:v>
                </c:pt>
                <c:pt idx="49">
                  <c:v>-179200</c:v>
                </c:pt>
                <c:pt idx="50">
                  <c:v>-179200</c:v>
                </c:pt>
                <c:pt idx="51">
                  <c:v>-179200</c:v>
                </c:pt>
                <c:pt idx="52">
                  <c:v>-179200</c:v>
                </c:pt>
                <c:pt idx="53">
                  <c:v>-179200</c:v>
                </c:pt>
                <c:pt idx="54">
                  <c:v>-179200</c:v>
                </c:pt>
                <c:pt idx="55">
                  <c:v>-179200</c:v>
                </c:pt>
                <c:pt idx="56">
                  <c:v>-179200</c:v>
                </c:pt>
                <c:pt idx="57">
                  <c:v>-179200</c:v>
                </c:pt>
                <c:pt idx="58">
                  <c:v>-179200</c:v>
                </c:pt>
                <c:pt idx="59">
                  <c:v>-179200</c:v>
                </c:pt>
                <c:pt idx="60">
                  <c:v>-179200</c:v>
                </c:pt>
                <c:pt idx="61">
                  <c:v>-179200</c:v>
                </c:pt>
                <c:pt idx="62">
                  <c:v>-179200</c:v>
                </c:pt>
                <c:pt idx="63">
                  <c:v>-179200</c:v>
                </c:pt>
                <c:pt idx="64">
                  <c:v>-173425</c:v>
                </c:pt>
                <c:pt idx="65">
                  <c:v>-173425</c:v>
                </c:pt>
                <c:pt idx="66">
                  <c:v>-173425</c:v>
                </c:pt>
                <c:pt idx="67">
                  <c:v>-173425</c:v>
                </c:pt>
                <c:pt idx="68">
                  <c:v>-173425</c:v>
                </c:pt>
                <c:pt idx="69">
                  <c:v>-173425</c:v>
                </c:pt>
                <c:pt idx="70">
                  <c:v>-173425</c:v>
                </c:pt>
                <c:pt idx="71">
                  <c:v>-173425</c:v>
                </c:pt>
                <c:pt idx="72">
                  <c:v>-173425</c:v>
                </c:pt>
                <c:pt idx="73">
                  <c:v>-173425</c:v>
                </c:pt>
                <c:pt idx="74">
                  <c:v>-173425</c:v>
                </c:pt>
                <c:pt idx="75">
                  <c:v>-173425</c:v>
                </c:pt>
                <c:pt idx="76">
                  <c:v>-173425</c:v>
                </c:pt>
                <c:pt idx="77">
                  <c:v>-173425</c:v>
                </c:pt>
                <c:pt idx="78">
                  <c:v>-173425</c:v>
                </c:pt>
                <c:pt idx="79">
                  <c:v>-173425</c:v>
                </c:pt>
                <c:pt idx="80">
                  <c:v>-173425</c:v>
                </c:pt>
                <c:pt idx="81">
                  <c:v>-173425</c:v>
                </c:pt>
                <c:pt idx="82">
                  <c:v>-173425</c:v>
                </c:pt>
                <c:pt idx="83">
                  <c:v>-172970</c:v>
                </c:pt>
                <c:pt idx="84">
                  <c:v>-168140</c:v>
                </c:pt>
                <c:pt idx="85">
                  <c:v>-169015</c:v>
                </c:pt>
                <c:pt idx="86">
                  <c:v>-181265</c:v>
                </c:pt>
                <c:pt idx="87">
                  <c:v>-178220</c:v>
                </c:pt>
                <c:pt idx="88">
                  <c:v>-182560</c:v>
                </c:pt>
                <c:pt idx="89">
                  <c:v>-180810</c:v>
                </c:pt>
                <c:pt idx="90">
                  <c:v>-180390</c:v>
                </c:pt>
                <c:pt idx="91">
                  <c:v>-179515</c:v>
                </c:pt>
                <c:pt idx="92">
                  <c:v>-177765</c:v>
                </c:pt>
                <c:pt idx="93">
                  <c:v>-176890</c:v>
                </c:pt>
                <c:pt idx="94">
                  <c:v>-176015</c:v>
                </c:pt>
                <c:pt idx="95">
                  <c:v>-173390</c:v>
                </c:pt>
                <c:pt idx="96">
                  <c:v>-172970</c:v>
                </c:pt>
                <c:pt idx="97">
                  <c:v>-160685</c:v>
                </c:pt>
                <c:pt idx="98">
                  <c:v>-170310</c:v>
                </c:pt>
                <c:pt idx="99">
                  <c:v>-172935</c:v>
                </c:pt>
                <c:pt idx="100">
                  <c:v>-166810</c:v>
                </c:pt>
                <c:pt idx="101">
                  <c:v>-173390</c:v>
                </c:pt>
                <c:pt idx="102">
                  <c:v>-169890</c:v>
                </c:pt>
                <c:pt idx="103">
                  <c:v>-184660</c:v>
                </c:pt>
                <c:pt idx="104">
                  <c:v>-180740</c:v>
                </c:pt>
                <c:pt idx="105">
                  <c:v>-181090</c:v>
                </c:pt>
                <c:pt idx="106">
                  <c:v>-188965</c:v>
                </c:pt>
                <c:pt idx="107">
                  <c:v>-184170</c:v>
                </c:pt>
                <c:pt idx="108">
                  <c:v>-169260</c:v>
                </c:pt>
                <c:pt idx="109">
                  <c:v>-173180</c:v>
                </c:pt>
                <c:pt idx="110">
                  <c:v>-160265</c:v>
                </c:pt>
                <c:pt idx="111">
                  <c:v>-159355</c:v>
                </c:pt>
                <c:pt idx="112">
                  <c:v>-168070</c:v>
                </c:pt>
                <c:pt idx="113">
                  <c:v>-167650</c:v>
                </c:pt>
                <c:pt idx="114">
                  <c:v>-140070</c:v>
                </c:pt>
                <c:pt idx="115">
                  <c:v>-130900</c:v>
                </c:pt>
                <c:pt idx="116">
                  <c:v>-112980</c:v>
                </c:pt>
                <c:pt idx="117">
                  <c:v>-96740</c:v>
                </c:pt>
                <c:pt idx="118">
                  <c:v>-130410</c:v>
                </c:pt>
                <c:pt idx="119">
                  <c:v>-153090</c:v>
                </c:pt>
                <c:pt idx="120">
                  <c:v>-149870</c:v>
                </c:pt>
                <c:pt idx="121">
                  <c:v>-163870</c:v>
                </c:pt>
                <c:pt idx="122">
                  <c:v>-149450</c:v>
                </c:pt>
                <c:pt idx="123">
                  <c:v>-126560</c:v>
                </c:pt>
                <c:pt idx="124">
                  <c:v>-121660</c:v>
                </c:pt>
                <c:pt idx="125">
                  <c:v>-109900</c:v>
                </c:pt>
                <c:pt idx="126">
                  <c:v>-104790</c:v>
                </c:pt>
                <c:pt idx="127">
                  <c:v>-124845</c:v>
                </c:pt>
                <c:pt idx="128">
                  <c:v>-111790</c:v>
                </c:pt>
                <c:pt idx="129">
                  <c:v>-143220</c:v>
                </c:pt>
                <c:pt idx="130">
                  <c:v>-83720</c:v>
                </c:pt>
                <c:pt idx="131">
                  <c:v>-90720</c:v>
                </c:pt>
                <c:pt idx="132">
                  <c:v>-83720</c:v>
                </c:pt>
                <c:pt idx="133">
                  <c:v>-100310</c:v>
                </c:pt>
                <c:pt idx="134">
                  <c:v>-87185</c:v>
                </c:pt>
                <c:pt idx="135">
                  <c:v>-50890</c:v>
                </c:pt>
                <c:pt idx="136">
                  <c:v>-27160</c:v>
                </c:pt>
                <c:pt idx="137">
                  <c:v>-10080</c:v>
                </c:pt>
                <c:pt idx="138">
                  <c:v>-35840</c:v>
                </c:pt>
                <c:pt idx="139">
                  <c:v>-32760</c:v>
                </c:pt>
                <c:pt idx="140">
                  <c:v>-34090</c:v>
                </c:pt>
                <c:pt idx="141">
                  <c:v>-37485</c:v>
                </c:pt>
                <c:pt idx="142">
                  <c:v>-33530</c:v>
                </c:pt>
                <c:pt idx="143">
                  <c:v>-36155</c:v>
                </c:pt>
                <c:pt idx="144">
                  <c:v>-28700</c:v>
                </c:pt>
                <c:pt idx="145">
                  <c:v>-28280</c:v>
                </c:pt>
                <c:pt idx="146">
                  <c:v>-26495</c:v>
                </c:pt>
                <c:pt idx="147">
                  <c:v>-23450</c:v>
                </c:pt>
                <c:pt idx="148">
                  <c:v>-34825</c:v>
                </c:pt>
                <c:pt idx="149">
                  <c:v>-25165</c:v>
                </c:pt>
                <c:pt idx="150">
                  <c:v>-19460</c:v>
                </c:pt>
                <c:pt idx="151">
                  <c:v>-18585</c:v>
                </c:pt>
                <c:pt idx="152">
                  <c:v>-21210</c:v>
                </c:pt>
                <c:pt idx="153">
                  <c:v>-26460</c:v>
                </c:pt>
                <c:pt idx="154">
                  <c:v>-14630</c:v>
                </c:pt>
                <c:pt idx="155">
                  <c:v>-12460</c:v>
                </c:pt>
                <c:pt idx="156">
                  <c:v>-8085</c:v>
                </c:pt>
                <c:pt idx="157">
                  <c:v>6370</c:v>
                </c:pt>
                <c:pt idx="158">
                  <c:v>1540</c:v>
                </c:pt>
                <c:pt idx="159">
                  <c:v>-67550</c:v>
                </c:pt>
                <c:pt idx="160">
                  <c:v>-46830</c:v>
                </c:pt>
                <c:pt idx="161">
                  <c:v>-45500</c:v>
                </c:pt>
                <c:pt idx="162">
                  <c:v>-41580</c:v>
                </c:pt>
                <c:pt idx="163">
                  <c:v>-45080</c:v>
                </c:pt>
                <c:pt idx="164">
                  <c:v>-45010</c:v>
                </c:pt>
                <c:pt idx="165">
                  <c:v>-51765</c:v>
                </c:pt>
                <c:pt idx="166">
                  <c:v>-52220</c:v>
                </c:pt>
                <c:pt idx="167">
                  <c:v>-50050</c:v>
                </c:pt>
                <c:pt idx="168">
                  <c:v>-54810</c:v>
                </c:pt>
                <c:pt idx="169">
                  <c:v>-51730</c:v>
                </c:pt>
                <c:pt idx="170">
                  <c:v>-50400</c:v>
                </c:pt>
                <c:pt idx="171">
                  <c:v>-49980</c:v>
                </c:pt>
                <c:pt idx="172">
                  <c:v>-49105</c:v>
                </c:pt>
                <c:pt idx="173">
                  <c:v>-48230</c:v>
                </c:pt>
                <c:pt idx="174">
                  <c:v>-47355</c:v>
                </c:pt>
                <c:pt idx="175">
                  <c:v>-49070</c:v>
                </c:pt>
                <c:pt idx="176">
                  <c:v>-48090</c:v>
                </c:pt>
                <c:pt idx="177">
                  <c:v>-45465</c:v>
                </c:pt>
                <c:pt idx="178">
                  <c:v>-42840</c:v>
                </c:pt>
                <c:pt idx="179">
                  <c:v>-44170</c:v>
                </c:pt>
                <c:pt idx="180">
                  <c:v>-43120</c:v>
                </c:pt>
                <c:pt idx="181">
                  <c:v>-48370</c:v>
                </c:pt>
                <c:pt idx="182">
                  <c:v>7280</c:v>
                </c:pt>
                <c:pt idx="183">
                  <c:v>-595</c:v>
                </c:pt>
                <c:pt idx="184">
                  <c:v>-8470</c:v>
                </c:pt>
                <c:pt idx="185">
                  <c:v>-21560</c:v>
                </c:pt>
                <c:pt idx="186">
                  <c:v>-36295</c:v>
                </c:pt>
                <c:pt idx="187">
                  <c:v>-24920</c:v>
                </c:pt>
                <c:pt idx="188">
                  <c:v>-31045</c:v>
                </c:pt>
                <c:pt idx="189">
                  <c:v>-24885</c:v>
                </c:pt>
                <c:pt idx="190">
                  <c:v>-28840</c:v>
                </c:pt>
                <c:pt idx="191">
                  <c:v>-16100</c:v>
                </c:pt>
                <c:pt idx="192">
                  <c:v>-18725</c:v>
                </c:pt>
                <c:pt idx="193">
                  <c:v>-15225</c:v>
                </c:pt>
                <c:pt idx="194">
                  <c:v>-11725</c:v>
                </c:pt>
                <c:pt idx="195">
                  <c:v>4480</c:v>
                </c:pt>
                <c:pt idx="196">
                  <c:v>6720</c:v>
                </c:pt>
                <c:pt idx="197">
                  <c:v>22050</c:v>
                </c:pt>
                <c:pt idx="198">
                  <c:v>23450</c:v>
                </c:pt>
                <c:pt idx="199">
                  <c:v>19950</c:v>
                </c:pt>
                <c:pt idx="200">
                  <c:v>4305</c:v>
                </c:pt>
                <c:pt idx="201">
                  <c:v>-35315</c:v>
                </c:pt>
                <c:pt idx="202">
                  <c:v>-30800</c:v>
                </c:pt>
                <c:pt idx="203">
                  <c:v>-18550</c:v>
                </c:pt>
                <c:pt idx="204">
                  <c:v>-29260</c:v>
                </c:pt>
                <c:pt idx="205">
                  <c:v>-16555</c:v>
                </c:pt>
                <c:pt idx="206">
                  <c:v>-24010</c:v>
                </c:pt>
                <c:pt idx="207">
                  <c:v>-5635</c:v>
                </c:pt>
                <c:pt idx="208">
                  <c:v>-15260</c:v>
                </c:pt>
                <c:pt idx="209">
                  <c:v>-26040</c:v>
                </c:pt>
                <c:pt idx="210">
                  <c:v>-29050</c:v>
                </c:pt>
                <c:pt idx="211">
                  <c:v>-31220</c:v>
                </c:pt>
                <c:pt idx="212">
                  <c:v>-17220</c:v>
                </c:pt>
                <c:pt idx="213">
                  <c:v>-23310</c:v>
                </c:pt>
                <c:pt idx="214">
                  <c:v>-30730</c:v>
                </c:pt>
                <c:pt idx="215">
                  <c:v>-21105</c:v>
                </c:pt>
                <c:pt idx="216">
                  <c:v>-17920</c:v>
                </c:pt>
                <c:pt idx="217">
                  <c:v>-5250</c:v>
                </c:pt>
                <c:pt idx="218">
                  <c:v>-9170</c:v>
                </c:pt>
                <c:pt idx="219">
                  <c:v>-12635</c:v>
                </c:pt>
                <c:pt idx="220">
                  <c:v>-21175</c:v>
                </c:pt>
                <c:pt idx="221">
                  <c:v>-29225</c:v>
                </c:pt>
                <c:pt idx="222">
                  <c:v>2310</c:v>
                </c:pt>
                <c:pt idx="223">
                  <c:v>39585</c:v>
                </c:pt>
                <c:pt idx="224">
                  <c:v>43085</c:v>
                </c:pt>
                <c:pt idx="225">
                  <c:v>45220</c:v>
                </c:pt>
                <c:pt idx="226">
                  <c:v>26845</c:v>
                </c:pt>
                <c:pt idx="227">
                  <c:v>25970</c:v>
                </c:pt>
                <c:pt idx="228">
                  <c:v>36890</c:v>
                </c:pt>
                <c:pt idx="229">
                  <c:v>43085</c:v>
                </c:pt>
                <c:pt idx="230">
                  <c:v>52710</c:v>
                </c:pt>
                <c:pt idx="231">
                  <c:v>51905</c:v>
                </c:pt>
                <c:pt idx="232">
                  <c:v>66920</c:v>
                </c:pt>
                <c:pt idx="233">
                  <c:v>64750</c:v>
                </c:pt>
                <c:pt idx="234">
                  <c:v>70280</c:v>
                </c:pt>
                <c:pt idx="235">
                  <c:v>74550</c:v>
                </c:pt>
                <c:pt idx="236">
                  <c:v>54880</c:v>
                </c:pt>
                <c:pt idx="237">
                  <c:v>72030</c:v>
                </c:pt>
                <c:pt idx="238">
                  <c:v>75390</c:v>
                </c:pt>
                <c:pt idx="239">
                  <c:v>65765</c:v>
                </c:pt>
                <c:pt idx="240">
                  <c:v>78925</c:v>
                </c:pt>
                <c:pt idx="241">
                  <c:v>85680</c:v>
                </c:pt>
                <c:pt idx="242">
                  <c:v>75180</c:v>
                </c:pt>
                <c:pt idx="243">
                  <c:v>75180</c:v>
                </c:pt>
                <c:pt idx="244">
                  <c:v>81305</c:v>
                </c:pt>
                <c:pt idx="245">
                  <c:v>94150</c:v>
                </c:pt>
                <c:pt idx="246">
                  <c:v>84070</c:v>
                </c:pt>
                <c:pt idx="247">
                  <c:v>92050</c:v>
                </c:pt>
                <c:pt idx="248">
                  <c:v>92365</c:v>
                </c:pt>
                <c:pt idx="249">
                  <c:v>68390</c:v>
                </c:pt>
                <c:pt idx="250">
                  <c:v>71890</c:v>
                </c:pt>
                <c:pt idx="251">
                  <c:v>70140</c:v>
                </c:pt>
                <c:pt idx="252">
                  <c:v>79765</c:v>
                </c:pt>
                <c:pt idx="253">
                  <c:v>67690</c:v>
                </c:pt>
                <c:pt idx="254">
                  <c:v>63140</c:v>
                </c:pt>
                <c:pt idx="255">
                  <c:v>162050</c:v>
                </c:pt>
                <c:pt idx="256">
                  <c:v>78925</c:v>
                </c:pt>
                <c:pt idx="257">
                  <c:v>86905</c:v>
                </c:pt>
                <c:pt idx="258">
                  <c:v>87780</c:v>
                </c:pt>
                <c:pt idx="259">
                  <c:v>88200</c:v>
                </c:pt>
                <c:pt idx="260">
                  <c:v>87325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02-448A-BD6A-262298082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32992"/>
        <c:axId val="530234952"/>
      </c:lineChart>
      <c:lineChart>
        <c:grouping val="standard"/>
        <c:varyColors val="0"/>
        <c:ser>
          <c:idx val="6"/>
          <c:order val="6"/>
          <c:tx>
            <c:strRef>
              <c:f>'Current Hedge'!$P$1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-11450</c:v>
                </c:pt>
                <c:pt idx="3">
                  <c:v>-40140</c:v>
                </c:pt>
                <c:pt idx="4">
                  <c:v>-95132</c:v>
                </c:pt>
                <c:pt idx="5">
                  <c:v>-166994</c:v>
                </c:pt>
                <c:pt idx="6">
                  <c:v>-267346</c:v>
                </c:pt>
                <c:pt idx="7">
                  <c:v>-365464</c:v>
                </c:pt>
                <c:pt idx="8">
                  <c:v>-459922</c:v>
                </c:pt>
                <c:pt idx="9">
                  <c:v>-543271</c:v>
                </c:pt>
                <c:pt idx="10">
                  <c:v>-624838</c:v>
                </c:pt>
                <c:pt idx="11">
                  <c:v>-695076</c:v>
                </c:pt>
                <c:pt idx="12">
                  <c:v>-773174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02-448A-BD6A-26229808288F}"/>
            </c:ext>
          </c:extLst>
        </c:ser>
        <c:ser>
          <c:idx val="7"/>
          <c:order val="7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Hedge'!$K$2:$K$14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-11450</c:v>
                </c:pt>
                <c:pt idx="3">
                  <c:v>-40140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D02-448A-BD6A-26229808288F}"/>
            </c:ext>
          </c:extLst>
        </c:ser>
        <c:ser>
          <c:idx val="8"/>
          <c:order val="8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-54992</c:v>
                </c:pt>
                <c:pt idx="5">
                  <c:v>-126854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02-448A-BD6A-26229808288F}"/>
            </c:ext>
          </c:extLst>
        </c:ser>
        <c:ser>
          <c:idx val="9"/>
          <c:order val="9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-100352</c:v>
                </c:pt>
                <c:pt idx="7">
                  <c:v>-198470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02-448A-BD6A-26229808288F}"/>
            </c:ext>
          </c:extLst>
        </c:ser>
        <c:ser>
          <c:idx val="10"/>
          <c:order val="10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-94458</c:v>
                </c:pt>
                <c:pt idx="9">
                  <c:v>-177807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84-4095-A17D-E0CAA6C0E9C6}"/>
            </c:ext>
          </c:extLst>
        </c:ser>
        <c:ser>
          <c:idx val="11"/>
          <c:order val="11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-81567</c:v>
                </c:pt>
                <c:pt idx="11">
                  <c:v>-151805</c:v>
                </c:pt>
                <c:pt idx="12">
                  <c:v>-229903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84-4095-A17D-E0CAA6C0E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21296"/>
        <c:axId val="532816376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0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valAx>
        <c:axId val="5328163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32821296"/>
        <c:crosses val="max"/>
        <c:crossBetween val="between"/>
      </c:valAx>
      <c:dateAx>
        <c:axId val="532821296"/>
        <c:scaling>
          <c:orientation val="minMax"/>
        </c:scaling>
        <c:delete val="0"/>
        <c:axPos val="t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16376"/>
        <c:crosses val="max"/>
        <c:auto val="0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Data!$R$535:$R$794</c:f>
              <c:numCache>
                <c:formatCode>General</c:formatCode>
                <c:ptCount val="260"/>
                <c:pt idx="0">
                  <c:v>-37850</c:v>
                </c:pt>
                <c:pt idx="1">
                  <c:v>117280</c:v>
                </c:pt>
                <c:pt idx="2">
                  <c:v>102980</c:v>
                </c:pt>
                <c:pt idx="3">
                  <c:v>-48580</c:v>
                </c:pt>
                <c:pt idx="4">
                  <c:v>-84380</c:v>
                </c:pt>
                <c:pt idx="5">
                  <c:v>-3060</c:v>
                </c:pt>
                <c:pt idx="6">
                  <c:v>27105</c:v>
                </c:pt>
                <c:pt idx="7">
                  <c:v>-218510</c:v>
                </c:pt>
                <c:pt idx="8">
                  <c:v>-286140</c:v>
                </c:pt>
                <c:pt idx="9">
                  <c:v>-310820</c:v>
                </c:pt>
                <c:pt idx="10">
                  <c:v>-188250</c:v>
                </c:pt>
                <c:pt idx="11">
                  <c:v>-184330</c:v>
                </c:pt>
                <c:pt idx="12">
                  <c:v>-151725</c:v>
                </c:pt>
                <c:pt idx="13">
                  <c:v>-186445</c:v>
                </c:pt>
                <c:pt idx="14">
                  <c:v>-259375</c:v>
                </c:pt>
                <c:pt idx="15">
                  <c:v>-234630</c:v>
                </c:pt>
                <c:pt idx="16">
                  <c:v>-245110</c:v>
                </c:pt>
                <c:pt idx="17">
                  <c:v>-271185</c:v>
                </c:pt>
                <c:pt idx="18">
                  <c:v>-367200</c:v>
                </c:pt>
                <c:pt idx="19">
                  <c:v>-427735</c:v>
                </c:pt>
                <c:pt idx="20">
                  <c:v>-427835</c:v>
                </c:pt>
                <c:pt idx="21">
                  <c:v>-427028</c:v>
                </c:pt>
                <c:pt idx="22">
                  <c:v>-295753</c:v>
                </c:pt>
                <c:pt idx="23">
                  <c:v>-379053</c:v>
                </c:pt>
                <c:pt idx="24">
                  <c:v>-339453</c:v>
                </c:pt>
                <c:pt idx="25">
                  <c:v>-355953</c:v>
                </c:pt>
                <c:pt idx="26">
                  <c:v>-250353</c:v>
                </c:pt>
                <c:pt idx="27">
                  <c:v>-296553</c:v>
                </c:pt>
                <c:pt idx="28">
                  <c:v>-296553</c:v>
                </c:pt>
                <c:pt idx="29">
                  <c:v>-352653</c:v>
                </c:pt>
                <c:pt idx="30">
                  <c:v>-319653</c:v>
                </c:pt>
                <c:pt idx="31">
                  <c:v>-293253</c:v>
                </c:pt>
                <c:pt idx="32">
                  <c:v>-277828</c:v>
                </c:pt>
                <c:pt idx="33">
                  <c:v>-364978</c:v>
                </c:pt>
                <c:pt idx="34">
                  <c:v>-272553</c:v>
                </c:pt>
                <c:pt idx="35">
                  <c:v>-338553</c:v>
                </c:pt>
                <c:pt idx="36">
                  <c:v>-416633</c:v>
                </c:pt>
                <c:pt idx="37">
                  <c:v>-434838</c:v>
                </c:pt>
                <c:pt idx="38">
                  <c:v>-463128</c:v>
                </c:pt>
                <c:pt idx="39">
                  <c:v>-366753</c:v>
                </c:pt>
                <c:pt idx="40">
                  <c:v>-352918</c:v>
                </c:pt>
                <c:pt idx="41">
                  <c:v>-454048</c:v>
                </c:pt>
                <c:pt idx="42">
                  <c:v>-430048</c:v>
                </c:pt>
                <c:pt idx="43">
                  <c:v>-436048</c:v>
                </c:pt>
                <c:pt idx="44">
                  <c:v>-421048</c:v>
                </c:pt>
                <c:pt idx="45">
                  <c:v>-508048</c:v>
                </c:pt>
                <c:pt idx="46">
                  <c:v>-439048</c:v>
                </c:pt>
                <c:pt idx="47">
                  <c:v>-472048</c:v>
                </c:pt>
                <c:pt idx="48">
                  <c:v>-415048</c:v>
                </c:pt>
                <c:pt idx="49">
                  <c:v>-439048</c:v>
                </c:pt>
                <c:pt idx="50">
                  <c:v>-538048</c:v>
                </c:pt>
                <c:pt idx="51">
                  <c:v>-568048</c:v>
                </c:pt>
                <c:pt idx="52">
                  <c:v>-664048</c:v>
                </c:pt>
                <c:pt idx="53">
                  <c:v>-640048</c:v>
                </c:pt>
                <c:pt idx="54">
                  <c:v>-640048</c:v>
                </c:pt>
                <c:pt idx="55">
                  <c:v>-478048</c:v>
                </c:pt>
                <c:pt idx="56">
                  <c:v>-421048</c:v>
                </c:pt>
                <c:pt idx="57">
                  <c:v>-397048</c:v>
                </c:pt>
                <c:pt idx="58">
                  <c:v>-367048</c:v>
                </c:pt>
                <c:pt idx="59">
                  <c:v>-418048</c:v>
                </c:pt>
                <c:pt idx="60">
                  <c:v>-421048</c:v>
                </c:pt>
                <c:pt idx="61">
                  <c:v>-385048</c:v>
                </c:pt>
                <c:pt idx="62">
                  <c:v>-589048</c:v>
                </c:pt>
                <c:pt idx="63">
                  <c:v>-534673</c:v>
                </c:pt>
                <c:pt idx="64">
                  <c:v>-472573</c:v>
                </c:pt>
                <c:pt idx="65">
                  <c:v>-448273</c:v>
                </c:pt>
                <c:pt idx="66">
                  <c:v>-491473</c:v>
                </c:pt>
                <c:pt idx="67">
                  <c:v>-518473</c:v>
                </c:pt>
                <c:pt idx="68">
                  <c:v>-569773</c:v>
                </c:pt>
                <c:pt idx="69">
                  <c:v>-564373</c:v>
                </c:pt>
                <c:pt idx="70">
                  <c:v>-591373</c:v>
                </c:pt>
                <c:pt idx="71">
                  <c:v>-637273</c:v>
                </c:pt>
                <c:pt idx="72">
                  <c:v>-610273</c:v>
                </c:pt>
                <c:pt idx="73">
                  <c:v>-599473</c:v>
                </c:pt>
                <c:pt idx="74">
                  <c:v>-575173</c:v>
                </c:pt>
                <c:pt idx="75">
                  <c:v>-564373</c:v>
                </c:pt>
                <c:pt idx="76">
                  <c:v>-561673</c:v>
                </c:pt>
                <c:pt idx="77">
                  <c:v>-623773</c:v>
                </c:pt>
                <c:pt idx="78">
                  <c:v>-629173</c:v>
                </c:pt>
                <c:pt idx="79">
                  <c:v>-602173</c:v>
                </c:pt>
                <c:pt idx="80">
                  <c:v>-720973</c:v>
                </c:pt>
                <c:pt idx="81">
                  <c:v>-780373</c:v>
                </c:pt>
                <c:pt idx="82">
                  <c:v>-771818</c:v>
                </c:pt>
                <c:pt idx="83">
                  <c:v>-750788</c:v>
                </c:pt>
                <c:pt idx="84">
                  <c:v>-773263</c:v>
                </c:pt>
                <c:pt idx="85">
                  <c:v>-816617</c:v>
                </c:pt>
                <c:pt idx="86">
                  <c:v>-806372</c:v>
                </c:pt>
                <c:pt idx="87">
                  <c:v>-841912</c:v>
                </c:pt>
                <c:pt idx="88">
                  <c:v>-789762</c:v>
                </c:pt>
                <c:pt idx="89">
                  <c:v>-822942</c:v>
                </c:pt>
                <c:pt idx="90">
                  <c:v>-819667</c:v>
                </c:pt>
                <c:pt idx="91">
                  <c:v>-844317</c:v>
                </c:pt>
                <c:pt idx="92">
                  <c:v>-807442</c:v>
                </c:pt>
                <c:pt idx="93">
                  <c:v>-823367</c:v>
                </c:pt>
                <c:pt idx="94">
                  <c:v>-758342</c:v>
                </c:pt>
                <c:pt idx="95">
                  <c:v>-786722</c:v>
                </c:pt>
                <c:pt idx="96">
                  <c:v>-721637</c:v>
                </c:pt>
                <c:pt idx="97">
                  <c:v>-810462</c:v>
                </c:pt>
                <c:pt idx="98">
                  <c:v>-832287</c:v>
                </c:pt>
                <c:pt idx="99">
                  <c:v>-778162</c:v>
                </c:pt>
                <c:pt idx="100">
                  <c:v>-823142</c:v>
                </c:pt>
                <c:pt idx="101">
                  <c:v>-826842</c:v>
                </c:pt>
                <c:pt idx="102">
                  <c:v>-899212</c:v>
                </c:pt>
                <c:pt idx="103">
                  <c:v>-933692</c:v>
                </c:pt>
                <c:pt idx="104">
                  <c:v>-898042</c:v>
                </c:pt>
                <c:pt idx="105">
                  <c:v>-937117</c:v>
                </c:pt>
                <c:pt idx="106">
                  <c:v>-919722</c:v>
                </c:pt>
                <c:pt idx="107">
                  <c:v>-843912</c:v>
                </c:pt>
                <c:pt idx="108">
                  <c:v>-862532</c:v>
                </c:pt>
                <c:pt idx="109">
                  <c:v>-799217</c:v>
                </c:pt>
                <c:pt idx="110">
                  <c:v>-825607</c:v>
                </c:pt>
                <c:pt idx="111">
                  <c:v>-798622</c:v>
                </c:pt>
                <c:pt idx="112">
                  <c:v>-791902</c:v>
                </c:pt>
                <c:pt idx="113">
                  <c:v>-814722</c:v>
                </c:pt>
                <c:pt idx="114">
                  <c:v>-839152</c:v>
                </c:pt>
                <c:pt idx="115">
                  <c:v>-838032</c:v>
                </c:pt>
                <c:pt idx="116">
                  <c:v>-867992</c:v>
                </c:pt>
                <c:pt idx="117">
                  <c:v>-870162</c:v>
                </c:pt>
                <c:pt idx="118">
                  <c:v>-838242</c:v>
                </c:pt>
                <c:pt idx="119">
                  <c:v>-826622</c:v>
                </c:pt>
                <c:pt idx="120">
                  <c:v>-878422</c:v>
                </c:pt>
                <c:pt idx="121">
                  <c:v>-832502</c:v>
                </c:pt>
                <c:pt idx="122">
                  <c:v>-738212</c:v>
                </c:pt>
                <c:pt idx="123">
                  <c:v>-727012</c:v>
                </c:pt>
                <c:pt idx="124">
                  <c:v>-643852</c:v>
                </c:pt>
                <c:pt idx="125">
                  <c:v>-544242</c:v>
                </c:pt>
                <c:pt idx="126">
                  <c:v>-553797</c:v>
                </c:pt>
                <c:pt idx="127">
                  <c:v>-334942</c:v>
                </c:pt>
                <c:pt idx="128">
                  <c:v>-382500</c:v>
                </c:pt>
                <c:pt idx="129">
                  <c:v>-233000</c:v>
                </c:pt>
                <c:pt idx="130">
                  <c:v>-247200</c:v>
                </c:pt>
                <c:pt idx="131">
                  <c:v>-249200</c:v>
                </c:pt>
                <c:pt idx="132">
                  <c:v>-299990</c:v>
                </c:pt>
                <c:pt idx="133">
                  <c:v>-270665</c:v>
                </c:pt>
                <c:pt idx="134">
                  <c:v>-182170</c:v>
                </c:pt>
                <c:pt idx="135">
                  <c:v>-129640</c:v>
                </c:pt>
                <c:pt idx="136">
                  <c:v>-65760</c:v>
                </c:pt>
                <c:pt idx="137">
                  <c:v>-161720</c:v>
                </c:pt>
                <c:pt idx="138">
                  <c:v>-187440</c:v>
                </c:pt>
                <c:pt idx="139">
                  <c:v>-165370</c:v>
                </c:pt>
                <c:pt idx="140">
                  <c:v>-246165</c:v>
                </c:pt>
                <c:pt idx="141">
                  <c:v>-341210</c:v>
                </c:pt>
                <c:pt idx="142">
                  <c:v>-334835</c:v>
                </c:pt>
                <c:pt idx="143">
                  <c:v>-365180</c:v>
                </c:pt>
                <c:pt idx="144">
                  <c:v>-373760</c:v>
                </c:pt>
                <c:pt idx="145">
                  <c:v>-416975</c:v>
                </c:pt>
                <c:pt idx="146">
                  <c:v>-541730</c:v>
                </c:pt>
                <c:pt idx="147">
                  <c:v>-596305</c:v>
                </c:pt>
                <c:pt idx="148">
                  <c:v>-601045</c:v>
                </c:pt>
                <c:pt idx="149">
                  <c:v>-580940</c:v>
                </c:pt>
                <c:pt idx="150">
                  <c:v>-554865</c:v>
                </c:pt>
                <c:pt idx="151">
                  <c:v>-593490</c:v>
                </c:pt>
                <c:pt idx="152">
                  <c:v>-607740</c:v>
                </c:pt>
                <c:pt idx="153">
                  <c:v>-565910</c:v>
                </c:pt>
                <c:pt idx="154">
                  <c:v>-568240</c:v>
                </c:pt>
                <c:pt idx="155">
                  <c:v>-554865</c:v>
                </c:pt>
                <c:pt idx="156">
                  <c:v>-457910</c:v>
                </c:pt>
                <c:pt idx="157">
                  <c:v>-500240</c:v>
                </c:pt>
                <c:pt idx="158">
                  <c:v>-707330</c:v>
                </c:pt>
                <c:pt idx="159">
                  <c:v>-661110</c:v>
                </c:pt>
                <c:pt idx="160">
                  <c:v>-652280</c:v>
                </c:pt>
                <c:pt idx="161">
                  <c:v>-642360</c:v>
                </c:pt>
                <c:pt idx="162">
                  <c:v>-632360</c:v>
                </c:pt>
                <c:pt idx="163">
                  <c:v>-624790</c:v>
                </c:pt>
                <c:pt idx="164">
                  <c:v>-612045</c:v>
                </c:pt>
                <c:pt idx="165">
                  <c:v>-645500</c:v>
                </c:pt>
                <c:pt idx="166">
                  <c:v>-623830</c:v>
                </c:pt>
                <c:pt idx="167">
                  <c:v>-651090</c:v>
                </c:pt>
                <c:pt idx="168">
                  <c:v>-663010</c:v>
                </c:pt>
                <c:pt idx="169">
                  <c:v>-663180</c:v>
                </c:pt>
                <c:pt idx="170">
                  <c:v>-650760</c:v>
                </c:pt>
                <c:pt idx="171">
                  <c:v>-660385</c:v>
                </c:pt>
                <c:pt idx="172">
                  <c:v>-684662</c:v>
                </c:pt>
                <c:pt idx="173">
                  <c:v>-699387</c:v>
                </c:pt>
                <c:pt idx="174">
                  <c:v>-720302</c:v>
                </c:pt>
                <c:pt idx="175">
                  <c:v>-712122</c:v>
                </c:pt>
                <c:pt idx="176">
                  <c:v>-711897</c:v>
                </c:pt>
                <c:pt idx="177">
                  <c:v>-692472</c:v>
                </c:pt>
                <c:pt idx="178">
                  <c:v>-679402</c:v>
                </c:pt>
                <c:pt idx="179">
                  <c:v>-654352</c:v>
                </c:pt>
                <c:pt idx="180">
                  <c:v>-612802</c:v>
                </c:pt>
                <c:pt idx="181">
                  <c:v>-512752</c:v>
                </c:pt>
                <c:pt idx="182">
                  <c:v>-530227</c:v>
                </c:pt>
                <c:pt idx="183">
                  <c:v>-562102</c:v>
                </c:pt>
                <c:pt idx="184">
                  <c:v>-596792</c:v>
                </c:pt>
                <c:pt idx="185">
                  <c:v>-628327</c:v>
                </c:pt>
                <c:pt idx="186">
                  <c:v>-588152</c:v>
                </c:pt>
                <c:pt idx="187">
                  <c:v>-614677</c:v>
                </c:pt>
                <c:pt idx="188">
                  <c:v>-596517</c:v>
                </c:pt>
                <c:pt idx="189">
                  <c:v>-608872</c:v>
                </c:pt>
                <c:pt idx="190">
                  <c:v>-560132</c:v>
                </c:pt>
                <c:pt idx="191">
                  <c:v>-572357</c:v>
                </c:pt>
                <c:pt idx="192">
                  <c:v>-556857</c:v>
                </c:pt>
                <c:pt idx="193">
                  <c:v>-568957</c:v>
                </c:pt>
                <c:pt idx="194">
                  <c:v>-535652</c:v>
                </c:pt>
                <c:pt idx="195">
                  <c:v>-533412</c:v>
                </c:pt>
                <c:pt idx="196">
                  <c:v>-508182</c:v>
                </c:pt>
                <c:pt idx="197">
                  <c:v>-489682</c:v>
                </c:pt>
                <c:pt idx="198">
                  <c:v>-499482</c:v>
                </c:pt>
                <c:pt idx="199">
                  <c:v>-529527</c:v>
                </c:pt>
                <c:pt idx="200">
                  <c:v>-592547</c:v>
                </c:pt>
                <c:pt idx="201">
                  <c:v>-603332</c:v>
                </c:pt>
                <c:pt idx="202">
                  <c:v>-580282</c:v>
                </c:pt>
                <c:pt idx="203">
                  <c:v>-608992</c:v>
                </c:pt>
                <c:pt idx="204">
                  <c:v>-608887</c:v>
                </c:pt>
                <c:pt idx="205">
                  <c:v>-614542</c:v>
                </c:pt>
                <c:pt idx="206">
                  <c:v>-605167</c:v>
                </c:pt>
                <c:pt idx="207">
                  <c:v>-609392</c:v>
                </c:pt>
                <c:pt idx="208">
                  <c:v>-601272</c:v>
                </c:pt>
                <c:pt idx="209">
                  <c:v>-608782</c:v>
                </c:pt>
                <c:pt idx="210">
                  <c:v>-614552</c:v>
                </c:pt>
                <c:pt idx="211">
                  <c:v>-578952</c:v>
                </c:pt>
                <c:pt idx="212">
                  <c:v>-594942</c:v>
                </c:pt>
                <c:pt idx="213">
                  <c:v>-621262</c:v>
                </c:pt>
                <c:pt idx="214">
                  <c:v>-599937</c:v>
                </c:pt>
                <c:pt idx="215">
                  <c:v>-586852</c:v>
                </c:pt>
                <c:pt idx="216">
                  <c:v>-587382</c:v>
                </c:pt>
                <c:pt idx="217">
                  <c:v>-584102</c:v>
                </c:pt>
                <c:pt idx="218">
                  <c:v>-578567</c:v>
                </c:pt>
                <c:pt idx="219">
                  <c:v>-605707</c:v>
                </c:pt>
                <c:pt idx="220">
                  <c:v>-619157</c:v>
                </c:pt>
                <c:pt idx="221">
                  <c:v>-598422</c:v>
                </c:pt>
                <c:pt idx="222">
                  <c:v>-586347</c:v>
                </c:pt>
                <c:pt idx="223">
                  <c:v>-575047</c:v>
                </c:pt>
                <c:pt idx="224">
                  <c:v>-573512</c:v>
                </c:pt>
                <c:pt idx="225">
                  <c:v>-597287</c:v>
                </c:pt>
                <c:pt idx="226">
                  <c:v>-598762</c:v>
                </c:pt>
                <c:pt idx="227">
                  <c:v>-584842</c:v>
                </c:pt>
                <c:pt idx="228">
                  <c:v>-575047</c:v>
                </c:pt>
                <c:pt idx="229">
                  <c:v>-560022</c:v>
                </c:pt>
                <c:pt idx="230">
                  <c:v>-561427</c:v>
                </c:pt>
                <c:pt idx="231">
                  <c:v>-540412</c:v>
                </c:pt>
                <c:pt idx="232">
                  <c:v>-549182</c:v>
                </c:pt>
                <c:pt idx="233">
                  <c:v>-539452</c:v>
                </c:pt>
                <c:pt idx="234">
                  <c:v>-533982</c:v>
                </c:pt>
                <c:pt idx="235">
                  <c:v>-565052</c:v>
                </c:pt>
                <c:pt idx="236">
                  <c:v>-537702</c:v>
                </c:pt>
                <c:pt idx="237">
                  <c:v>-532230</c:v>
                </c:pt>
                <c:pt idx="238">
                  <c:v>-545155</c:v>
                </c:pt>
                <c:pt idx="239">
                  <c:v>-524495</c:v>
                </c:pt>
                <c:pt idx="240">
                  <c:v>-513540</c:v>
                </c:pt>
                <c:pt idx="241">
                  <c:v>-532440</c:v>
                </c:pt>
                <c:pt idx="242">
                  <c:v>-532140</c:v>
                </c:pt>
                <c:pt idx="243">
                  <c:v>-526615</c:v>
                </c:pt>
                <c:pt idx="244">
                  <c:v>-507470</c:v>
                </c:pt>
                <c:pt idx="245">
                  <c:v>-521750</c:v>
                </c:pt>
                <c:pt idx="246">
                  <c:v>-509570</c:v>
                </c:pt>
                <c:pt idx="247">
                  <c:v>-508955</c:v>
                </c:pt>
                <c:pt idx="248">
                  <c:v>-543430</c:v>
                </c:pt>
                <c:pt idx="249">
                  <c:v>-536030</c:v>
                </c:pt>
                <c:pt idx="250">
                  <c:v>-536280</c:v>
                </c:pt>
                <c:pt idx="251">
                  <c:v>-530255</c:v>
                </c:pt>
                <c:pt idx="252">
                  <c:v>-548330</c:v>
                </c:pt>
                <c:pt idx="253">
                  <c:v>-554080</c:v>
                </c:pt>
                <c:pt idx="254">
                  <c:v>-456370</c:v>
                </c:pt>
                <c:pt idx="255">
                  <c:v>-540695</c:v>
                </c:pt>
                <c:pt idx="256">
                  <c:v>-536015</c:v>
                </c:pt>
                <c:pt idx="257">
                  <c:v>-533940</c:v>
                </c:pt>
                <c:pt idx="258">
                  <c:v>-536520</c:v>
                </c:pt>
                <c:pt idx="259">
                  <c:v>-538295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F-4C55-B6DA-308207651A1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Data!$S$535:$S$794</c:f>
              <c:numCache>
                <c:formatCode>General</c:formatCode>
                <c:ptCount val="260"/>
                <c:pt idx="0">
                  <c:v>-37850</c:v>
                </c:pt>
                <c:pt idx="1">
                  <c:v>117280</c:v>
                </c:pt>
                <c:pt idx="2">
                  <c:v>102980</c:v>
                </c:pt>
                <c:pt idx="3">
                  <c:v>-48580</c:v>
                </c:pt>
                <c:pt idx="4">
                  <c:v>-84380</c:v>
                </c:pt>
                <c:pt idx="5">
                  <c:v>-3060</c:v>
                </c:pt>
                <c:pt idx="6">
                  <c:v>27105</c:v>
                </c:pt>
                <c:pt idx="7">
                  <c:v>-218510</c:v>
                </c:pt>
                <c:pt idx="8">
                  <c:v>-286140</c:v>
                </c:pt>
                <c:pt idx="9">
                  <c:v>-310820</c:v>
                </c:pt>
                <c:pt idx="10">
                  <c:v>-188250</c:v>
                </c:pt>
                <c:pt idx="11">
                  <c:v>-184330</c:v>
                </c:pt>
                <c:pt idx="12">
                  <c:v>-151725</c:v>
                </c:pt>
                <c:pt idx="13">
                  <c:v>-186445</c:v>
                </c:pt>
                <c:pt idx="14">
                  <c:v>-259375</c:v>
                </c:pt>
                <c:pt idx="15">
                  <c:v>-234630</c:v>
                </c:pt>
                <c:pt idx="16">
                  <c:v>-245110</c:v>
                </c:pt>
                <c:pt idx="17">
                  <c:v>-271185</c:v>
                </c:pt>
                <c:pt idx="18">
                  <c:v>-367200</c:v>
                </c:pt>
                <c:pt idx="19">
                  <c:v>-427735</c:v>
                </c:pt>
                <c:pt idx="20">
                  <c:v>-427835</c:v>
                </c:pt>
                <c:pt idx="21">
                  <c:v>-426809.25</c:v>
                </c:pt>
                <c:pt idx="22">
                  <c:v>-289423.83333333331</c:v>
                </c:pt>
                <c:pt idx="23">
                  <c:v>-371557.16666666663</c:v>
                </c:pt>
                <c:pt idx="24">
                  <c:v>-331957.16666666663</c:v>
                </c:pt>
                <c:pt idx="25">
                  <c:v>-348457.16666666663</c:v>
                </c:pt>
                <c:pt idx="26">
                  <c:v>-242857.16666666666</c:v>
                </c:pt>
                <c:pt idx="27">
                  <c:v>-289057.16666666663</c:v>
                </c:pt>
                <c:pt idx="28">
                  <c:v>-289057.16666666663</c:v>
                </c:pt>
                <c:pt idx="29">
                  <c:v>-345157.16666666663</c:v>
                </c:pt>
                <c:pt idx="30">
                  <c:v>-312157.16666666663</c:v>
                </c:pt>
                <c:pt idx="31">
                  <c:v>-285757.16666666663</c:v>
                </c:pt>
                <c:pt idx="32">
                  <c:v>-269967.58333333331</c:v>
                </c:pt>
                <c:pt idx="33">
                  <c:v>-355630.08333333331</c:v>
                </c:pt>
                <c:pt idx="34">
                  <c:v>-265407.16666666663</c:v>
                </c:pt>
                <c:pt idx="35">
                  <c:v>-331407.16666666663</c:v>
                </c:pt>
                <c:pt idx="36">
                  <c:v>-407655.5</c:v>
                </c:pt>
                <c:pt idx="37">
                  <c:v>-425443.41666666663</c:v>
                </c:pt>
                <c:pt idx="38">
                  <c:v>-457425.91666666663</c:v>
                </c:pt>
                <c:pt idx="39">
                  <c:v>-360832.16666666663</c:v>
                </c:pt>
                <c:pt idx="40">
                  <c:v>-340175.08333333331</c:v>
                </c:pt>
                <c:pt idx="41">
                  <c:v>-440430.08333333331</c:v>
                </c:pt>
                <c:pt idx="42">
                  <c:v>-416430.08333333331</c:v>
                </c:pt>
                <c:pt idx="43">
                  <c:v>-422430.08333333331</c:v>
                </c:pt>
                <c:pt idx="44">
                  <c:v>-407430.08333333331</c:v>
                </c:pt>
                <c:pt idx="45">
                  <c:v>-494430.08333333331</c:v>
                </c:pt>
                <c:pt idx="46">
                  <c:v>-425430.08333333331</c:v>
                </c:pt>
                <c:pt idx="47">
                  <c:v>-458430.08333333331</c:v>
                </c:pt>
                <c:pt idx="48">
                  <c:v>-401430.08333333331</c:v>
                </c:pt>
                <c:pt idx="49">
                  <c:v>-425430.08333333331</c:v>
                </c:pt>
                <c:pt idx="50">
                  <c:v>-524430.08333333326</c:v>
                </c:pt>
                <c:pt idx="51">
                  <c:v>-554430.08333333326</c:v>
                </c:pt>
                <c:pt idx="52">
                  <c:v>-650430.08333333326</c:v>
                </c:pt>
                <c:pt idx="53">
                  <c:v>-626430.08333333326</c:v>
                </c:pt>
                <c:pt idx="54">
                  <c:v>-626430.08333333326</c:v>
                </c:pt>
                <c:pt idx="55">
                  <c:v>-464430.08333333331</c:v>
                </c:pt>
                <c:pt idx="56">
                  <c:v>-407430.08333333331</c:v>
                </c:pt>
                <c:pt idx="57">
                  <c:v>-383430.08333333331</c:v>
                </c:pt>
                <c:pt idx="58">
                  <c:v>-353430.08333333331</c:v>
                </c:pt>
                <c:pt idx="59">
                  <c:v>-404430.08333333331</c:v>
                </c:pt>
                <c:pt idx="60">
                  <c:v>-407430.08333333331</c:v>
                </c:pt>
                <c:pt idx="61">
                  <c:v>-371430.08333333331</c:v>
                </c:pt>
                <c:pt idx="62">
                  <c:v>-575430.08333333326</c:v>
                </c:pt>
                <c:pt idx="63">
                  <c:v>-522498.83333333331</c:v>
                </c:pt>
                <c:pt idx="64">
                  <c:v>-460398.83333333331</c:v>
                </c:pt>
                <c:pt idx="65">
                  <c:v>-436098.83333333331</c:v>
                </c:pt>
                <c:pt idx="66">
                  <c:v>-479298.83333333331</c:v>
                </c:pt>
                <c:pt idx="67">
                  <c:v>-506298.83333333331</c:v>
                </c:pt>
                <c:pt idx="68">
                  <c:v>-557598.83333333326</c:v>
                </c:pt>
                <c:pt idx="69">
                  <c:v>-552198.83333333326</c:v>
                </c:pt>
                <c:pt idx="70">
                  <c:v>-579198.83333333326</c:v>
                </c:pt>
                <c:pt idx="71">
                  <c:v>-625098.83333333326</c:v>
                </c:pt>
                <c:pt idx="72">
                  <c:v>-598098.83333333326</c:v>
                </c:pt>
                <c:pt idx="73">
                  <c:v>-587298.83333333326</c:v>
                </c:pt>
                <c:pt idx="74">
                  <c:v>-562998.83333333326</c:v>
                </c:pt>
                <c:pt idx="75">
                  <c:v>-552198.83333333326</c:v>
                </c:pt>
                <c:pt idx="76">
                  <c:v>-549498.83333333326</c:v>
                </c:pt>
                <c:pt idx="77">
                  <c:v>-611598.83333333326</c:v>
                </c:pt>
                <c:pt idx="78">
                  <c:v>-616998.83333333326</c:v>
                </c:pt>
                <c:pt idx="79">
                  <c:v>-589998.83333333326</c:v>
                </c:pt>
                <c:pt idx="80">
                  <c:v>-708798.83333333326</c:v>
                </c:pt>
                <c:pt idx="81">
                  <c:v>-768198.83333333326</c:v>
                </c:pt>
                <c:pt idx="82">
                  <c:v>-759757.58333333326</c:v>
                </c:pt>
                <c:pt idx="83">
                  <c:v>-739935.08333333326</c:v>
                </c:pt>
                <c:pt idx="84">
                  <c:v>-762191.33333333326</c:v>
                </c:pt>
                <c:pt idx="85">
                  <c:v>-801462</c:v>
                </c:pt>
                <c:pt idx="86">
                  <c:v>-792232</c:v>
                </c:pt>
                <c:pt idx="87">
                  <c:v>-826325.33333333326</c:v>
                </c:pt>
                <c:pt idx="88">
                  <c:v>-774758.66666666663</c:v>
                </c:pt>
                <c:pt idx="89">
                  <c:v>-808078.66666666663</c:v>
                </c:pt>
                <c:pt idx="90">
                  <c:v>-805095.33333333326</c:v>
                </c:pt>
                <c:pt idx="91">
                  <c:v>-830328.66666666663</c:v>
                </c:pt>
                <c:pt idx="92">
                  <c:v>-793745.33333333326</c:v>
                </c:pt>
                <c:pt idx="93">
                  <c:v>-809962</c:v>
                </c:pt>
                <c:pt idx="94">
                  <c:v>-745812</c:v>
                </c:pt>
                <c:pt idx="95">
                  <c:v>-774332</c:v>
                </c:pt>
                <c:pt idx="96">
                  <c:v>-713342</c:v>
                </c:pt>
                <c:pt idx="97">
                  <c:v>-798958.66666666663</c:v>
                </c:pt>
                <c:pt idx="98">
                  <c:v>-819908.66666666663</c:v>
                </c:pt>
                <c:pt idx="99">
                  <c:v>-767825.33333333326</c:v>
                </c:pt>
                <c:pt idx="100">
                  <c:v>-810612</c:v>
                </c:pt>
                <c:pt idx="101">
                  <c:v>-815478.66666666663</c:v>
                </c:pt>
                <c:pt idx="102">
                  <c:v>-882925.33333333326</c:v>
                </c:pt>
                <c:pt idx="103">
                  <c:v>-918711.99999999988</c:v>
                </c:pt>
                <c:pt idx="104">
                  <c:v>-882945.33333333326</c:v>
                </c:pt>
                <c:pt idx="105">
                  <c:v>-919395.33333333326</c:v>
                </c:pt>
                <c:pt idx="106">
                  <c:v>-903998.24999999988</c:v>
                </c:pt>
                <c:pt idx="107">
                  <c:v>-834400.74999999988</c:v>
                </c:pt>
                <c:pt idx="108">
                  <c:v>-851387.41666666651</c:v>
                </c:pt>
                <c:pt idx="109">
                  <c:v>-793453.66666666651</c:v>
                </c:pt>
                <c:pt idx="110">
                  <c:v>-820222.83333333326</c:v>
                </c:pt>
                <c:pt idx="111">
                  <c:v>-789606.58333333326</c:v>
                </c:pt>
                <c:pt idx="112">
                  <c:v>-783061.58333333326</c:v>
                </c:pt>
                <c:pt idx="113">
                  <c:v>-817373.24999999988</c:v>
                </c:pt>
                <c:pt idx="114">
                  <c:v>-845624.08333333326</c:v>
                </c:pt>
                <c:pt idx="115">
                  <c:v>-851970.74999999988</c:v>
                </c:pt>
                <c:pt idx="116">
                  <c:v>-888697.41666666651</c:v>
                </c:pt>
                <c:pt idx="117">
                  <c:v>-876838.24999999988</c:v>
                </c:pt>
                <c:pt idx="118">
                  <c:v>-835468.24999999988</c:v>
                </c:pt>
                <c:pt idx="119">
                  <c:v>-825189.91666666651</c:v>
                </c:pt>
                <c:pt idx="120">
                  <c:v>-871156.58333333326</c:v>
                </c:pt>
                <c:pt idx="121">
                  <c:v>-831244.91666666651</c:v>
                </c:pt>
                <c:pt idx="122">
                  <c:v>-746492.41666666651</c:v>
                </c:pt>
                <c:pt idx="123">
                  <c:v>-737334.08333333326</c:v>
                </c:pt>
                <c:pt idx="124">
                  <c:v>-659074.08333333326</c:v>
                </c:pt>
                <c:pt idx="125">
                  <c:v>-561593.24999999988</c:v>
                </c:pt>
                <c:pt idx="126">
                  <c:v>-562791.99999999988</c:v>
                </c:pt>
                <c:pt idx="127">
                  <c:v>-349376.5833333332</c:v>
                </c:pt>
                <c:pt idx="128">
                  <c:v>-381219.5833333332</c:v>
                </c:pt>
                <c:pt idx="129">
                  <c:v>-261469.5833333332</c:v>
                </c:pt>
                <c:pt idx="130">
                  <c:v>-272169.5833333332</c:v>
                </c:pt>
                <c:pt idx="131">
                  <c:v>-277669.5833333332</c:v>
                </c:pt>
                <c:pt idx="132">
                  <c:v>-320164.5833333332</c:v>
                </c:pt>
                <c:pt idx="133">
                  <c:v>-297402.0833333332</c:v>
                </c:pt>
                <c:pt idx="134">
                  <c:v>-227054.5833333332</c:v>
                </c:pt>
                <c:pt idx="135">
                  <c:v>-186389.5833333332</c:v>
                </c:pt>
                <c:pt idx="136">
                  <c:v>-131049.5833333332</c:v>
                </c:pt>
                <c:pt idx="137">
                  <c:v>-214129.5833333332</c:v>
                </c:pt>
                <c:pt idx="138">
                  <c:v>-241389.5833333332</c:v>
                </c:pt>
                <c:pt idx="139">
                  <c:v>-218654.5833333332</c:v>
                </c:pt>
                <c:pt idx="140">
                  <c:v>-297752.0833333332</c:v>
                </c:pt>
                <c:pt idx="141">
                  <c:v>-394774.5833333332</c:v>
                </c:pt>
                <c:pt idx="142">
                  <c:v>-387087.0833333332</c:v>
                </c:pt>
                <c:pt idx="143">
                  <c:v>-421159.5833333332</c:v>
                </c:pt>
                <c:pt idx="144">
                  <c:v>-429949.5833333332</c:v>
                </c:pt>
                <c:pt idx="145">
                  <c:v>-474057.0833333332</c:v>
                </c:pt>
                <c:pt idx="146">
                  <c:v>-600334.58333333326</c:v>
                </c:pt>
                <c:pt idx="147">
                  <c:v>-649222.08333333326</c:v>
                </c:pt>
                <c:pt idx="148">
                  <c:v>-658792.08333333326</c:v>
                </c:pt>
                <c:pt idx="149">
                  <c:v>-641539.58333333326</c:v>
                </c:pt>
                <c:pt idx="150">
                  <c:v>-615902.08333333326</c:v>
                </c:pt>
                <c:pt idx="151">
                  <c:v>-652995.83333333326</c:v>
                </c:pt>
                <c:pt idx="152">
                  <c:v>-664183.33333333326</c:v>
                </c:pt>
                <c:pt idx="153">
                  <c:v>-629254.16666666651</c:v>
                </c:pt>
                <c:pt idx="154">
                  <c:v>-632849.99999999988</c:v>
                </c:pt>
                <c:pt idx="155">
                  <c:v>-622027.08333333314</c:v>
                </c:pt>
                <c:pt idx="156">
                  <c:v>-533504.16666666651</c:v>
                </c:pt>
                <c:pt idx="157">
                  <c:v>-573016.66666666651</c:v>
                </c:pt>
                <c:pt idx="158">
                  <c:v>-739804.16666666651</c:v>
                </c:pt>
                <c:pt idx="159">
                  <c:v>-705670.83333333314</c:v>
                </c:pt>
                <c:pt idx="160">
                  <c:v>-697616.66666666651</c:v>
                </c:pt>
                <c:pt idx="161">
                  <c:v>-689983.33333333314</c:v>
                </c:pt>
                <c:pt idx="162">
                  <c:v>-677941.66666666651</c:v>
                </c:pt>
                <c:pt idx="163">
                  <c:v>-670412.49999999988</c:v>
                </c:pt>
                <c:pt idx="164">
                  <c:v>-653727.08333333314</c:v>
                </c:pt>
                <c:pt idx="165">
                  <c:v>-686916.66666666651</c:v>
                </c:pt>
                <c:pt idx="166">
                  <c:v>-666512.49999999977</c:v>
                </c:pt>
                <c:pt idx="167">
                  <c:v>-690995.83333333314</c:v>
                </c:pt>
                <c:pt idx="168">
                  <c:v>-704712.49999999977</c:v>
                </c:pt>
                <c:pt idx="169">
                  <c:v>-705658.33333333314</c:v>
                </c:pt>
                <c:pt idx="170">
                  <c:v>-693483.33333333314</c:v>
                </c:pt>
                <c:pt idx="171">
                  <c:v>-703618.74999999977</c:v>
                </c:pt>
                <c:pt idx="172">
                  <c:v>-728479.08333333314</c:v>
                </c:pt>
                <c:pt idx="173">
                  <c:v>-743787.41666666651</c:v>
                </c:pt>
                <c:pt idx="174">
                  <c:v>-763559.08333333314</c:v>
                </c:pt>
                <c:pt idx="175">
                  <c:v>-756032.41666666651</c:v>
                </c:pt>
                <c:pt idx="176">
                  <c:v>-757557.41666666651</c:v>
                </c:pt>
                <c:pt idx="177">
                  <c:v>-739882.41666666651</c:v>
                </c:pt>
                <c:pt idx="178">
                  <c:v>-725925.74999999977</c:v>
                </c:pt>
                <c:pt idx="179">
                  <c:v>-701575.74999999977</c:v>
                </c:pt>
                <c:pt idx="180">
                  <c:v>-656525.74999999977</c:v>
                </c:pt>
                <c:pt idx="181">
                  <c:v>-593575.74999999977</c:v>
                </c:pt>
                <c:pt idx="182">
                  <c:v>-605800.74999999977</c:v>
                </c:pt>
                <c:pt idx="183">
                  <c:v>-632425.74999999977</c:v>
                </c:pt>
                <c:pt idx="184">
                  <c:v>-658389.08333333314</c:v>
                </c:pt>
                <c:pt idx="185">
                  <c:v>-680100.74999999977</c:v>
                </c:pt>
                <c:pt idx="186">
                  <c:v>-647509.08333333314</c:v>
                </c:pt>
                <c:pt idx="187">
                  <c:v>-669950.74999999977</c:v>
                </c:pt>
                <c:pt idx="188">
                  <c:v>-655897.41666666651</c:v>
                </c:pt>
                <c:pt idx="189">
                  <c:v>-665615.74999999977</c:v>
                </c:pt>
                <c:pt idx="190">
                  <c:v>-625369.08333333314</c:v>
                </c:pt>
                <c:pt idx="191">
                  <c:v>-635844.08333333314</c:v>
                </c:pt>
                <c:pt idx="192">
                  <c:v>-622677.41666666651</c:v>
                </c:pt>
                <c:pt idx="193">
                  <c:v>-637110.74999999977</c:v>
                </c:pt>
                <c:pt idx="194">
                  <c:v>-615959.49999999977</c:v>
                </c:pt>
                <c:pt idx="195">
                  <c:v>-615399.49999999977</c:v>
                </c:pt>
                <c:pt idx="196">
                  <c:v>-601666.99999999977</c:v>
                </c:pt>
                <c:pt idx="197">
                  <c:v>-584216.99999999977</c:v>
                </c:pt>
                <c:pt idx="198">
                  <c:v>-591391.99999999977</c:v>
                </c:pt>
                <c:pt idx="199">
                  <c:v>-609703.24999999977</c:v>
                </c:pt>
                <c:pt idx="200">
                  <c:v>-643008.24999999977</c:v>
                </c:pt>
                <c:pt idx="201">
                  <c:v>-657179.49999999977</c:v>
                </c:pt>
                <c:pt idx="202">
                  <c:v>-643316.99999999977</c:v>
                </c:pt>
                <c:pt idx="203">
                  <c:v>-663994.49999999977</c:v>
                </c:pt>
                <c:pt idx="204">
                  <c:v>-673418.24999999977</c:v>
                </c:pt>
                <c:pt idx="205">
                  <c:v>-673481.99999999977</c:v>
                </c:pt>
                <c:pt idx="206">
                  <c:v>-677888.24999999977</c:v>
                </c:pt>
                <c:pt idx="207">
                  <c:v>-674894.49999999977</c:v>
                </c:pt>
                <c:pt idx="208">
                  <c:v>-658689.49999999977</c:v>
                </c:pt>
                <c:pt idx="209">
                  <c:v>-663941.99999999977</c:v>
                </c:pt>
                <c:pt idx="210">
                  <c:v>-668084.49999999977</c:v>
                </c:pt>
                <c:pt idx="211">
                  <c:v>-642984.49999999977</c:v>
                </c:pt>
                <c:pt idx="212">
                  <c:v>-654406.99999999977</c:v>
                </c:pt>
                <c:pt idx="213">
                  <c:v>-675161.99999999977</c:v>
                </c:pt>
                <c:pt idx="214">
                  <c:v>-661055.74999999977</c:v>
                </c:pt>
                <c:pt idx="215">
                  <c:v>-650359.49999999977</c:v>
                </c:pt>
                <c:pt idx="216">
                  <c:v>-661447.83333333314</c:v>
                </c:pt>
                <c:pt idx="217">
                  <c:v>-654901.16666666651</c:v>
                </c:pt>
                <c:pt idx="218">
                  <c:v>-646478.66666666651</c:v>
                </c:pt>
                <c:pt idx="219">
                  <c:v>-666501.99999999977</c:v>
                </c:pt>
                <c:pt idx="220">
                  <c:v>-673243.66666666651</c:v>
                </c:pt>
                <c:pt idx="221">
                  <c:v>-678787.83333333314</c:v>
                </c:pt>
                <c:pt idx="222">
                  <c:v>-697775.33333333314</c:v>
                </c:pt>
                <c:pt idx="223">
                  <c:v>-689391.99999999977</c:v>
                </c:pt>
                <c:pt idx="224">
                  <c:v>-689636.16666666651</c:v>
                </c:pt>
                <c:pt idx="225">
                  <c:v>-698098.66666666651</c:v>
                </c:pt>
                <c:pt idx="226">
                  <c:v>-698844.49999999977</c:v>
                </c:pt>
                <c:pt idx="227">
                  <c:v>-694024.49999999977</c:v>
                </c:pt>
                <c:pt idx="228">
                  <c:v>-689391.99999999977</c:v>
                </c:pt>
                <c:pt idx="229">
                  <c:v>-682387.83333333314</c:v>
                </c:pt>
                <c:pt idx="230">
                  <c:v>-683121.99999999977</c:v>
                </c:pt>
                <c:pt idx="231">
                  <c:v>-674619.49999999977</c:v>
                </c:pt>
                <c:pt idx="232">
                  <c:v>-681581.16666666651</c:v>
                </c:pt>
                <c:pt idx="233">
                  <c:v>-676459.49999999977</c:v>
                </c:pt>
                <c:pt idx="234">
                  <c:v>-674547.83333333314</c:v>
                </c:pt>
                <c:pt idx="235">
                  <c:v>-689226.16666666651</c:v>
                </c:pt>
                <c:pt idx="236">
                  <c:v>-676167.83333333314</c:v>
                </c:pt>
                <c:pt idx="237">
                  <c:v>-673775.83333333314</c:v>
                </c:pt>
                <c:pt idx="238">
                  <c:v>-677877.91666666651</c:v>
                </c:pt>
                <c:pt idx="239">
                  <c:v>-669281.24999999977</c:v>
                </c:pt>
                <c:pt idx="240">
                  <c:v>-664518.33333333314</c:v>
                </c:pt>
                <c:pt idx="241">
                  <c:v>-673793.33333333314</c:v>
                </c:pt>
                <c:pt idx="242">
                  <c:v>-673493.33333333314</c:v>
                </c:pt>
                <c:pt idx="243">
                  <c:v>-673582.9166666664</c:v>
                </c:pt>
                <c:pt idx="244">
                  <c:v>-666212.49999999977</c:v>
                </c:pt>
                <c:pt idx="245">
                  <c:v>-671252.49999999977</c:v>
                </c:pt>
                <c:pt idx="246">
                  <c:v>-666387.49999999977</c:v>
                </c:pt>
                <c:pt idx="247">
                  <c:v>-666061.24999999977</c:v>
                </c:pt>
                <c:pt idx="248">
                  <c:v>-678559.1666666664</c:v>
                </c:pt>
                <c:pt idx="249">
                  <c:v>-674367.49999999977</c:v>
                </c:pt>
                <c:pt idx="250">
                  <c:v>-673013.33333333314</c:v>
                </c:pt>
                <c:pt idx="251">
                  <c:v>-675811.24999999977</c:v>
                </c:pt>
                <c:pt idx="252">
                  <c:v>-682817.49999999977</c:v>
                </c:pt>
                <c:pt idx="253">
                  <c:v>-684396.6666666664</c:v>
                </c:pt>
                <c:pt idx="254">
                  <c:v>-677354.1666666664</c:v>
                </c:pt>
                <c:pt idx="255">
                  <c:v>-685481.24999999977</c:v>
                </c:pt>
                <c:pt idx="256">
                  <c:v>-688116.24999999977</c:v>
                </c:pt>
                <c:pt idx="257">
                  <c:v>-686843.33333333314</c:v>
                </c:pt>
                <c:pt idx="258">
                  <c:v>-689808.33333333314</c:v>
                </c:pt>
                <c:pt idx="259">
                  <c:v>-690781.24999999977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6F-4C55-B6DA-30820765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0144536"/>
        <c:axId val="680142240"/>
      </c:lineChart>
      <c:catAx>
        <c:axId val="680144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42240"/>
        <c:crosses val="autoZero"/>
        <c:auto val="1"/>
        <c:lblAlgn val="ctr"/>
        <c:lblOffset val="100"/>
        <c:noMultiLvlLbl val="0"/>
      </c:catAx>
      <c:valAx>
        <c:axId val="68014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44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Hedge'!$K$2:$K$14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-11450</c:v>
                </c:pt>
                <c:pt idx="3">
                  <c:v>-40140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A-453C-9790-639FE210094E}"/>
            </c:ext>
          </c:extLst>
        </c:ser>
        <c:ser>
          <c:idx val="1"/>
          <c:order val="1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-54992</c:v>
                </c:pt>
                <c:pt idx="5">
                  <c:v>-126854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A-453C-9790-639FE210094E}"/>
            </c:ext>
          </c:extLst>
        </c:ser>
        <c:ser>
          <c:idx val="2"/>
          <c:order val="2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-100352</c:v>
                </c:pt>
                <c:pt idx="7">
                  <c:v>-198470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A-453C-9790-639FE210094E}"/>
            </c:ext>
          </c:extLst>
        </c:ser>
        <c:ser>
          <c:idx val="3"/>
          <c:order val="3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-94458</c:v>
                </c:pt>
                <c:pt idx="9">
                  <c:v>-177807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0A-453C-9790-639FE210094E}"/>
            </c:ext>
          </c:extLst>
        </c:ser>
        <c:ser>
          <c:idx val="4"/>
          <c:order val="4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-81567</c:v>
                </c:pt>
                <c:pt idx="11">
                  <c:v>-151805</c:v>
                </c:pt>
                <c:pt idx="12">
                  <c:v>-229903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0A-453C-9790-639FE210094E}"/>
            </c:ext>
          </c:extLst>
        </c:ser>
        <c:ser>
          <c:idx val="5"/>
          <c:order val="5"/>
          <c:tx>
            <c:strRef>
              <c:f>'Current Hedge'!$P$1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-11450</c:v>
                </c:pt>
                <c:pt idx="3">
                  <c:v>-40140</c:v>
                </c:pt>
                <c:pt idx="4">
                  <c:v>-95132</c:v>
                </c:pt>
                <c:pt idx="5">
                  <c:v>-166994</c:v>
                </c:pt>
                <c:pt idx="6">
                  <c:v>-267346</c:v>
                </c:pt>
                <c:pt idx="7">
                  <c:v>-365464</c:v>
                </c:pt>
                <c:pt idx="8">
                  <c:v>-459922</c:v>
                </c:pt>
                <c:pt idx="9">
                  <c:v>-543271</c:v>
                </c:pt>
                <c:pt idx="10">
                  <c:v>-624838</c:v>
                </c:pt>
                <c:pt idx="11">
                  <c:v>-695076</c:v>
                </c:pt>
                <c:pt idx="12">
                  <c:v>-773174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0A-453C-9790-639FE2100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Hedge'!$K$31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Hedge'!$K$32:$K$44</c:f>
              <c:numCache>
                <c:formatCode>General</c:formatCode>
                <c:ptCount val="13"/>
                <c:pt idx="0">
                  <c:v>0</c:v>
                </c:pt>
                <c:pt idx="1">
                  <c:v>35697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40-41D6-B0CF-56E1E5FF561F}"/>
            </c:ext>
          </c:extLst>
        </c:ser>
        <c:ser>
          <c:idx val="1"/>
          <c:order val="1"/>
          <c:tx>
            <c:strRef>
              <c:f>'Current Hedge'!$L$31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Hedge'!$L$32:$L$44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59024</c:v>
                </c:pt>
                <c:pt idx="3">
                  <c:v>143856</c:v>
                </c:pt>
                <c:pt idx="4">
                  <c:v>181707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40-41D6-B0CF-56E1E5FF561F}"/>
            </c:ext>
          </c:extLst>
        </c:ser>
        <c:ser>
          <c:idx val="2"/>
          <c:order val="2"/>
          <c:tx>
            <c:strRef>
              <c:f>'Current Hedge'!$M$31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Hedge'!$M$32:$M$44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30489</c:v>
                </c:pt>
                <c:pt idx="6">
                  <c:v>62698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40-41D6-B0CF-56E1E5FF561F}"/>
            </c:ext>
          </c:extLst>
        </c:ser>
        <c:ser>
          <c:idx val="3"/>
          <c:order val="3"/>
          <c:tx>
            <c:strRef>
              <c:f>'Current Hedge'!$N$31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Hedge'!$N$32:$N$44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-5955</c:v>
                </c:pt>
                <c:pt idx="8">
                  <c:v>-20463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40-41D6-B0CF-56E1E5FF561F}"/>
            </c:ext>
          </c:extLst>
        </c:ser>
        <c:ser>
          <c:idx val="4"/>
          <c:order val="4"/>
          <c:tx>
            <c:strRef>
              <c:f>'Current Hedge'!$O$31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Hedge'!$O$32:$O$44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-12230</c:v>
                </c:pt>
                <c:pt idx="10">
                  <c:v>-15035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40-41D6-B0CF-56E1E5FF561F}"/>
            </c:ext>
          </c:extLst>
        </c:ser>
        <c:ser>
          <c:idx val="5"/>
          <c:order val="5"/>
          <c:tx>
            <c:strRef>
              <c:f>'Current Hedge'!$P$31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Hedge'!$P$32:$P$44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-20057</c:v>
                </c:pt>
                <c:pt idx="12">
                  <c:v>-24032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740-41D6-B0CF-56E1E5FF561F}"/>
            </c:ext>
          </c:extLst>
        </c:ser>
        <c:ser>
          <c:idx val="6"/>
          <c:order val="6"/>
          <c:tx>
            <c:strRef>
              <c:f>'Current Hedge'!$Q$31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Hedge'!$Q$32:$Q$44</c:f>
              <c:numCache>
                <c:formatCode>General</c:formatCode>
                <c:ptCount val="13"/>
                <c:pt idx="0">
                  <c:v>0</c:v>
                </c:pt>
                <c:pt idx="1">
                  <c:v>35697</c:v>
                </c:pt>
                <c:pt idx="2">
                  <c:v>94721</c:v>
                </c:pt>
                <c:pt idx="3">
                  <c:v>179553</c:v>
                </c:pt>
                <c:pt idx="4">
                  <c:v>217404</c:v>
                </c:pt>
                <c:pt idx="5">
                  <c:v>247893</c:v>
                </c:pt>
                <c:pt idx="6">
                  <c:v>280102</c:v>
                </c:pt>
                <c:pt idx="7">
                  <c:v>274147</c:v>
                </c:pt>
                <c:pt idx="8">
                  <c:v>259639</c:v>
                </c:pt>
                <c:pt idx="9">
                  <c:v>247409</c:v>
                </c:pt>
                <c:pt idx="10">
                  <c:v>244604</c:v>
                </c:pt>
                <c:pt idx="11">
                  <c:v>224547</c:v>
                </c:pt>
                <c:pt idx="12">
                  <c:v>220572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740-41D6-B0CF-56E1E5FF5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Hedge'!$K$17:$K$29</c:f>
              <c:numCache>
                <c:formatCode>General</c:formatCode>
                <c:ptCount val="13"/>
                <c:pt idx="0">
                  <c:v>0</c:v>
                </c:pt>
                <c:pt idx="1">
                  <c:v>9005</c:v>
                </c:pt>
                <c:pt idx="2">
                  <c:v>25725</c:v>
                </c:pt>
                <c:pt idx="3">
                  <c:v>34321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14-4066-9305-379B97DA28C9}"/>
            </c:ext>
          </c:extLst>
        </c:ser>
        <c:ser>
          <c:idx val="1"/>
          <c:order val="1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Hedge'!$L$17:$L$29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4872</c:v>
                </c:pt>
                <c:pt idx="5">
                  <c:v>5526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14-4066-9305-379B97DA28C9}"/>
            </c:ext>
          </c:extLst>
        </c:ser>
        <c:ser>
          <c:idx val="2"/>
          <c:order val="2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Hedge'!$M$17:$M$29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-7812</c:v>
                </c:pt>
                <c:pt idx="7">
                  <c:v>-14997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14-4066-9305-379B97DA28C9}"/>
            </c:ext>
          </c:extLst>
        </c:ser>
        <c:ser>
          <c:idx val="3"/>
          <c:order val="3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Hedge'!$N$17:$N$29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-7182</c:v>
                </c:pt>
                <c:pt idx="9">
                  <c:v>-12359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14-4066-9305-379B97DA28C9}"/>
            </c:ext>
          </c:extLst>
        </c:ser>
        <c:ser>
          <c:idx val="4"/>
          <c:order val="4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Hedge'!$O$17:$O$29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-5555</c:v>
                </c:pt>
                <c:pt idx="11">
                  <c:v>-7803</c:v>
                </c:pt>
                <c:pt idx="12">
                  <c:v>-12458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14-4066-9305-379B97DA28C9}"/>
            </c:ext>
          </c:extLst>
        </c:ser>
        <c:ser>
          <c:idx val="5"/>
          <c:order val="5"/>
          <c:tx>
            <c:strRef>
              <c:f>'Current Hedge'!$P$1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Hedge'!$P$17:$P$29</c:f>
              <c:numCache>
                <c:formatCode>General</c:formatCode>
                <c:ptCount val="13"/>
                <c:pt idx="0">
                  <c:v>0</c:v>
                </c:pt>
                <c:pt idx="1">
                  <c:v>9005</c:v>
                </c:pt>
                <c:pt idx="2">
                  <c:v>25725</c:v>
                </c:pt>
                <c:pt idx="3">
                  <c:v>34321</c:v>
                </c:pt>
                <c:pt idx="4">
                  <c:v>39193</c:v>
                </c:pt>
                <c:pt idx="5">
                  <c:v>39847</c:v>
                </c:pt>
                <c:pt idx="6">
                  <c:v>32035</c:v>
                </c:pt>
                <c:pt idx="7">
                  <c:v>24850</c:v>
                </c:pt>
                <c:pt idx="8">
                  <c:v>17668</c:v>
                </c:pt>
                <c:pt idx="9">
                  <c:v>12491</c:v>
                </c:pt>
                <c:pt idx="10">
                  <c:v>6936</c:v>
                </c:pt>
                <c:pt idx="11">
                  <c:v>4688</c:v>
                </c:pt>
                <c:pt idx="12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14-4066-9305-379B97DA2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Hedge'!$K$47:$K$59</c:f>
              <c:numCache>
                <c:formatCode>General</c:formatCode>
                <c:ptCount val="13"/>
                <c:pt idx="0">
                  <c:v>0</c:v>
                </c:pt>
                <c:pt idx="1">
                  <c:v>-970</c:v>
                </c:pt>
                <c:pt idx="2">
                  <c:v>6385</c:v>
                </c:pt>
                <c:pt idx="3">
                  <c:v>-1415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FB-492C-835E-782D2AF65803}"/>
            </c:ext>
          </c:extLst>
        </c:ser>
        <c:ser>
          <c:idx val="1"/>
          <c:order val="1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Hedge'!$L$47:$L$59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-9925</c:v>
                </c:pt>
                <c:pt idx="5">
                  <c:v>-19410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FB-492C-835E-782D2AF65803}"/>
            </c:ext>
          </c:extLst>
        </c:ser>
        <c:ser>
          <c:idx val="2"/>
          <c:order val="2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Hedge'!$M$47:$M$59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-21910</c:v>
                </c:pt>
                <c:pt idx="7">
                  <c:v>-46325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FB-492C-835E-782D2AF65803}"/>
            </c:ext>
          </c:extLst>
        </c:ser>
        <c:ser>
          <c:idx val="3"/>
          <c:order val="3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Hedge'!$N$47:$N$59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-22630</c:v>
                </c:pt>
                <c:pt idx="9">
                  <c:v>-42365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FB-492C-835E-782D2AF65803}"/>
            </c:ext>
          </c:extLst>
        </c:ser>
        <c:ser>
          <c:idx val="4"/>
          <c:order val="4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Hedge'!$O$47:$O$59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-24170</c:v>
                </c:pt>
                <c:pt idx="11">
                  <c:v>-43295</c:v>
                </c:pt>
                <c:pt idx="12">
                  <c:v>-67255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FB-492C-835E-782D2AF65803}"/>
            </c:ext>
          </c:extLst>
        </c:ser>
        <c:ser>
          <c:idx val="5"/>
          <c:order val="5"/>
          <c:tx>
            <c:strRef>
              <c:f>'Current Hedge'!$P$1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Hedge'!$P$47:$P$59</c:f>
              <c:numCache>
                <c:formatCode>General</c:formatCode>
                <c:ptCount val="13"/>
                <c:pt idx="0">
                  <c:v>0</c:v>
                </c:pt>
                <c:pt idx="1">
                  <c:v>-970</c:v>
                </c:pt>
                <c:pt idx="2">
                  <c:v>6385</c:v>
                </c:pt>
                <c:pt idx="3">
                  <c:v>-1415</c:v>
                </c:pt>
                <c:pt idx="4">
                  <c:v>-11340</c:v>
                </c:pt>
                <c:pt idx="5">
                  <c:v>-20825</c:v>
                </c:pt>
                <c:pt idx="6">
                  <c:v>-42735</c:v>
                </c:pt>
                <c:pt idx="7">
                  <c:v>-67150</c:v>
                </c:pt>
                <c:pt idx="8">
                  <c:v>-89780</c:v>
                </c:pt>
                <c:pt idx="9">
                  <c:v>-109515</c:v>
                </c:pt>
                <c:pt idx="10">
                  <c:v>-133685</c:v>
                </c:pt>
                <c:pt idx="11">
                  <c:v>-152810</c:v>
                </c:pt>
                <c:pt idx="12">
                  <c:v>-176770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FB-492C-835E-782D2AF65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Hedge'!$K$63:$K$74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-2653</c:v>
                </c:pt>
                <c:pt idx="3">
                  <c:v>-26523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10-4E2A-A4CF-BA4249A30E31}"/>
            </c:ext>
          </c:extLst>
        </c:ser>
        <c:ser>
          <c:idx val="1"/>
          <c:order val="1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Hedge'!$L$63:$L$74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-27195</c:v>
                </c:pt>
                <c:pt idx="5">
                  <c:v>-53774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10-4E2A-A4CF-BA4249A30E31}"/>
            </c:ext>
          </c:extLst>
        </c:ser>
        <c:ser>
          <c:idx val="2"/>
          <c:order val="2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Hedge'!$M$63:$M$74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-43449</c:v>
                </c:pt>
                <c:pt idx="7">
                  <c:v>-90405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10-4E2A-A4CF-BA4249A30E31}"/>
            </c:ext>
          </c:extLst>
        </c:ser>
        <c:ser>
          <c:idx val="3"/>
          <c:order val="3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Hedge'!$N$63:$N$74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-41657</c:v>
                </c:pt>
                <c:pt idx="9">
                  <c:v>-79261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10-4E2A-A4CF-BA4249A30E31}"/>
            </c:ext>
          </c:extLst>
        </c:ser>
        <c:ser>
          <c:idx val="4"/>
          <c:order val="4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Hedge'!$O$63:$O$74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-44163</c:v>
                </c:pt>
                <c:pt idx="11">
                  <c:v>-81263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10-4E2A-A4CF-BA4249A30E31}"/>
            </c:ext>
          </c:extLst>
        </c:ser>
        <c:ser>
          <c:idx val="5"/>
          <c:order val="5"/>
          <c:tx>
            <c:strRef>
              <c:f>'Current Hedge'!$P$1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Hedge'!$P$63:$P$74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-2653</c:v>
                </c:pt>
                <c:pt idx="3">
                  <c:v>-26523</c:v>
                </c:pt>
                <c:pt idx="4">
                  <c:v>-53718</c:v>
                </c:pt>
                <c:pt idx="5">
                  <c:v>-80297</c:v>
                </c:pt>
                <c:pt idx="6">
                  <c:v>-123746</c:v>
                </c:pt>
                <c:pt idx="7">
                  <c:v>-170702</c:v>
                </c:pt>
                <c:pt idx="8">
                  <c:v>-212359</c:v>
                </c:pt>
                <c:pt idx="9">
                  <c:v>-249963</c:v>
                </c:pt>
                <c:pt idx="10">
                  <c:v>-294126</c:v>
                </c:pt>
                <c:pt idx="11">
                  <c:v>-331226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10-4E2A-A4CF-BA4249A30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 (2)'!$K$1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(2)'!$K$2:$K$14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-8014.9999999999991</c:v>
                </c:pt>
                <c:pt idx="3">
                  <c:v>-28098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A-42F7-818A-6931745C46E3}"/>
            </c:ext>
          </c:extLst>
        </c:ser>
        <c:ser>
          <c:idx val="1"/>
          <c:order val="1"/>
          <c:tx>
            <c:strRef>
              <c:f>'Current Hedge (2)'!$L$1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(2)'!$L$2:$L$14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-38494.399999999994</c:v>
                </c:pt>
                <c:pt idx="5">
                  <c:v>-88797.799999999988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A-42F7-818A-6931745C46E3}"/>
            </c:ext>
          </c:extLst>
        </c:ser>
        <c:ser>
          <c:idx val="2"/>
          <c:order val="2"/>
          <c:tx>
            <c:strRef>
              <c:f>'Current Hedge (2)'!$M$1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-70246.399999999994</c:v>
                </c:pt>
                <c:pt idx="7">
                  <c:v>-138929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DA-42F7-818A-6931745C46E3}"/>
            </c:ext>
          </c:extLst>
        </c:ser>
        <c:ser>
          <c:idx val="3"/>
          <c:order val="3"/>
          <c:tx>
            <c:strRef>
              <c:f>'Current Hedge (2)'!$N$1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-66120.599999999991</c:v>
                </c:pt>
                <c:pt idx="9">
                  <c:v>-124464.9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DA-42F7-818A-6931745C46E3}"/>
            </c:ext>
          </c:extLst>
        </c:ser>
        <c:ser>
          <c:idx val="4"/>
          <c:order val="4"/>
          <c:tx>
            <c:strRef>
              <c:f>'Current Hedge (2)'!$O$1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-57096.899999999994</c:v>
                </c:pt>
                <c:pt idx="11">
                  <c:v>-106263.5</c:v>
                </c:pt>
                <c:pt idx="12">
                  <c:v>-160932.1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DA-42F7-818A-6931745C46E3}"/>
            </c:ext>
          </c:extLst>
        </c:ser>
        <c:ser>
          <c:idx val="5"/>
          <c:order val="5"/>
          <c:tx>
            <c:strRef>
              <c:f>'Current Hedge (2)'!$P$1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(2)'!$B$2:$B$14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-8014.9999999999991</c:v>
                </c:pt>
                <c:pt idx="3">
                  <c:v>-28098</c:v>
                </c:pt>
                <c:pt idx="4">
                  <c:v>-66592.399999999994</c:v>
                </c:pt>
                <c:pt idx="5">
                  <c:v>-116895.79999999999</c:v>
                </c:pt>
                <c:pt idx="6">
                  <c:v>-187142.19999999998</c:v>
                </c:pt>
                <c:pt idx="7">
                  <c:v>-255824.8</c:v>
                </c:pt>
                <c:pt idx="8">
                  <c:v>-321945.39999999997</c:v>
                </c:pt>
                <c:pt idx="9">
                  <c:v>-380289.69999999995</c:v>
                </c:pt>
                <c:pt idx="10">
                  <c:v>-437386.6</c:v>
                </c:pt>
                <c:pt idx="11">
                  <c:v>-486553.19999999995</c:v>
                </c:pt>
                <c:pt idx="12">
                  <c:v>-541221.79999999993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DA-42F7-818A-6931745C4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 (2)'!$K$31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(2)'!$K$32:$K$44</c:f>
              <c:numCache>
                <c:formatCode>General</c:formatCode>
                <c:ptCount val="13"/>
                <c:pt idx="0">
                  <c:v>0</c:v>
                </c:pt>
                <c:pt idx="1">
                  <c:v>24987.899999999998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F2-47E5-B8FC-456D87F83076}"/>
            </c:ext>
          </c:extLst>
        </c:ser>
        <c:ser>
          <c:idx val="1"/>
          <c:order val="1"/>
          <c:tx>
            <c:strRef>
              <c:f>'Current Hedge (2)'!$L$31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(2)'!$L$32:$L$44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41316.799999999996</c:v>
                </c:pt>
                <c:pt idx="3">
                  <c:v>100699.19999999998</c:v>
                </c:pt>
                <c:pt idx="4">
                  <c:v>127194.89999999998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F2-47E5-B8FC-456D87F83076}"/>
            </c:ext>
          </c:extLst>
        </c:ser>
        <c:ser>
          <c:idx val="2"/>
          <c:order val="2"/>
          <c:tx>
            <c:strRef>
              <c:f>'Current Hedge (2)'!$M$31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(2)'!$M$32:$M$44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21342.3</c:v>
                </c:pt>
                <c:pt idx="6">
                  <c:v>43888.6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F2-47E5-B8FC-456D87F83076}"/>
            </c:ext>
          </c:extLst>
        </c:ser>
        <c:ser>
          <c:idx val="3"/>
          <c:order val="3"/>
          <c:tx>
            <c:strRef>
              <c:f>'Current Hedge (2)'!$N$31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(2)'!$N$32:$N$44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-4168.5</c:v>
                </c:pt>
                <c:pt idx="8">
                  <c:v>-14324.099999999999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F2-47E5-B8FC-456D87F83076}"/>
            </c:ext>
          </c:extLst>
        </c:ser>
        <c:ser>
          <c:idx val="4"/>
          <c:order val="4"/>
          <c:tx>
            <c:strRef>
              <c:f>'Current Hedge (2)'!$O$31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(2)'!$O$32:$O$44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-8561</c:v>
                </c:pt>
                <c:pt idx="10">
                  <c:v>-10524.5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F2-47E5-B8FC-456D87F83076}"/>
            </c:ext>
          </c:extLst>
        </c:ser>
        <c:ser>
          <c:idx val="5"/>
          <c:order val="5"/>
          <c:tx>
            <c:strRef>
              <c:f>'Current Hedge (2)'!$P$31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(2)'!$P$32:$P$44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-14039.9</c:v>
                </c:pt>
                <c:pt idx="12">
                  <c:v>-16822.400000000001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FF2-47E5-B8FC-456D87F83076}"/>
            </c:ext>
          </c:extLst>
        </c:ser>
        <c:ser>
          <c:idx val="6"/>
          <c:order val="6"/>
          <c:tx>
            <c:strRef>
              <c:f>'Current Hedge (2)'!$Q$31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(2)'!$B$32:$B$44</c:f>
              <c:numCache>
                <c:formatCode>m/d/yyyy</c:formatCode>
                <c:ptCount val="13"/>
                <c:pt idx="0">
                  <c:v>41943</c:v>
                </c:pt>
                <c:pt idx="1">
                  <c:v>42004</c:v>
                </c:pt>
                <c:pt idx="2">
                  <c:v>42035</c:v>
                </c:pt>
                <c:pt idx="3">
                  <c:v>42063</c:v>
                </c:pt>
                <c:pt idx="4">
                  <c:v>42094</c:v>
                </c:pt>
                <c:pt idx="5">
                  <c:v>42124</c:v>
                </c:pt>
                <c:pt idx="6">
                  <c:v>42155</c:v>
                </c:pt>
                <c:pt idx="7">
                  <c:v>42185</c:v>
                </c:pt>
                <c:pt idx="8">
                  <c:v>42216</c:v>
                </c:pt>
                <c:pt idx="9">
                  <c:v>42247</c:v>
                </c:pt>
                <c:pt idx="10">
                  <c:v>42277</c:v>
                </c:pt>
                <c:pt idx="11">
                  <c:v>42308</c:v>
                </c:pt>
                <c:pt idx="12">
                  <c:v>42338</c:v>
                </c:pt>
              </c:numCache>
            </c:numRef>
          </c:cat>
          <c:val>
            <c:numRef>
              <c:f>'Current Hedge (2)'!$Q$32:$Q$44</c:f>
              <c:numCache>
                <c:formatCode>General</c:formatCode>
                <c:ptCount val="13"/>
                <c:pt idx="0">
                  <c:v>0</c:v>
                </c:pt>
                <c:pt idx="1">
                  <c:v>24987.899999999998</c:v>
                </c:pt>
                <c:pt idx="2">
                  <c:v>66304.7</c:v>
                </c:pt>
                <c:pt idx="3">
                  <c:v>125687.09999999999</c:v>
                </c:pt>
                <c:pt idx="4">
                  <c:v>152182.79999999999</c:v>
                </c:pt>
                <c:pt idx="5">
                  <c:v>173525.09999999998</c:v>
                </c:pt>
                <c:pt idx="6">
                  <c:v>196071.39999999997</c:v>
                </c:pt>
                <c:pt idx="7">
                  <c:v>191902.89999999997</c:v>
                </c:pt>
                <c:pt idx="8">
                  <c:v>181747.29999999996</c:v>
                </c:pt>
                <c:pt idx="9">
                  <c:v>173186.29999999996</c:v>
                </c:pt>
                <c:pt idx="10">
                  <c:v>171222.79999999996</c:v>
                </c:pt>
                <c:pt idx="11">
                  <c:v>157182.89999999997</c:v>
                </c:pt>
                <c:pt idx="12">
                  <c:v>154400.39999999997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FF2-47E5-B8FC-456D87F83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 (2)'!$K$1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(2)'!$K$17:$K$29</c:f>
              <c:numCache>
                <c:formatCode>General</c:formatCode>
                <c:ptCount val="13"/>
                <c:pt idx="0">
                  <c:v>0</c:v>
                </c:pt>
                <c:pt idx="1">
                  <c:v>6303.5</c:v>
                </c:pt>
                <c:pt idx="2">
                  <c:v>18007.5</c:v>
                </c:pt>
                <c:pt idx="3">
                  <c:v>24024.7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E-4D76-9108-475637EC6044}"/>
            </c:ext>
          </c:extLst>
        </c:ser>
        <c:ser>
          <c:idx val="1"/>
          <c:order val="1"/>
          <c:tx>
            <c:strRef>
              <c:f>'Current Hedge (2)'!$L$1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(2)'!$L$17:$L$29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3410.3999999999996</c:v>
                </c:pt>
                <c:pt idx="5">
                  <c:v>3868.2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8E-4D76-9108-475637EC6044}"/>
            </c:ext>
          </c:extLst>
        </c:ser>
        <c:ser>
          <c:idx val="2"/>
          <c:order val="2"/>
          <c:tx>
            <c:strRef>
              <c:f>'Current Hedge (2)'!$M$1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(2)'!$M$17:$M$29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-5468.4</c:v>
                </c:pt>
                <c:pt idx="7">
                  <c:v>-10497.9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8E-4D76-9108-475637EC6044}"/>
            </c:ext>
          </c:extLst>
        </c:ser>
        <c:ser>
          <c:idx val="3"/>
          <c:order val="3"/>
          <c:tx>
            <c:strRef>
              <c:f>'Current Hedge (2)'!$N$1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(2)'!$N$17:$N$29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-5027.3999999999996</c:v>
                </c:pt>
                <c:pt idx="9">
                  <c:v>-8651.2999999999993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8E-4D76-9108-475637EC6044}"/>
            </c:ext>
          </c:extLst>
        </c:ser>
        <c:ser>
          <c:idx val="4"/>
          <c:order val="4"/>
          <c:tx>
            <c:strRef>
              <c:f>'Current Hedge (2)'!$O$1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(2)'!$O$17:$O$29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-3888.4999999999995</c:v>
                </c:pt>
                <c:pt idx="11">
                  <c:v>-5462.0999999999995</c:v>
                </c:pt>
                <c:pt idx="12">
                  <c:v>-8720.5999999999985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8E-4D76-9108-475637EC6044}"/>
            </c:ext>
          </c:extLst>
        </c:ser>
        <c:ser>
          <c:idx val="5"/>
          <c:order val="5"/>
          <c:tx>
            <c:strRef>
              <c:f>'Current Hedge (2)'!$P$1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(2)'!$B$17:$B$29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42369</c:v>
                </c:pt>
              </c:numCache>
            </c:numRef>
          </c:cat>
          <c:val>
            <c:numRef>
              <c:f>'Current Hedge (2)'!$P$17:$P$29</c:f>
              <c:numCache>
                <c:formatCode>General</c:formatCode>
                <c:ptCount val="13"/>
                <c:pt idx="0">
                  <c:v>0</c:v>
                </c:pt>
                <c:pt idx="1">
                  <c:v>6303.5</c:v>
                </c:pt>
                <c:pt idx="2">
                  <c:v>18007.5</c:v>
                </c:pt>
                <c:pt idx="3">
                  <c:v>24024.7</c:v>
                </c:pt>
                <c:pt idx="4">
                  <c:v>27435.1</c:v>
                </c:pt>
                <c:pt idx="5">
                  <c:v>27892.899999999998</c:v>
                </c:pt>
                <c:pt idx="6">
                  <c:v>22424.5</c:v>
                </c:pt>
                <c:pt idx="7">
                  <c:v>17395</c:v>
                </c:pt>
                <c:pt idx="8">
                  <c:v>12367.6</c:v>
                </c:pt>
                <c:pt idx="9">
                  <c:v>8743.7000000000007</c:v>
                </c:pt>
                <c:pt idx="10">
                  <c:v>4855.2000000000007</c:v>
                </c:pt>
                <c:pt idx="11">
                  <c:v>3281.6000000000008</c:v>
                </c:pt>
                <c:pt idx="12">
                  <c:v>23.100000000000819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8E-4D76-9108-475637EC6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 (2)'!$K$1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 (2)'!$K$47:$K$59</c:f>
              <c:numCache>
                <c:formatCode>General</c:formatCode>
                <c:ptCount val="13"/>
                <c:pt idx="0">
                  <c:v>0</c:v>
                </c:pt>
                <c:pt idx="1">
                  <c:v>-679</c:v>
                </c:pt>
                <c:pt idx="2">
                  <c:v>4469.5</c:v>
                </c:pt>
                <c:pt idx="3">
                  <c:v>-990.5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0-4072-B7DC-3EDEAFBB8E64}"/>
            </c:ext>
          </c:extLst>
        </c:ser>
        <c:ser>
          <c:idx val="1"/>
          <c:order val="1"/>
          <c:tx>
            <c:strRef>
              <c:f>'Current Hedge (2)'!$L$1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 (2)'!$L$47:$L$59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-6947.5</c:v>
                </c:pt>
                <c:pt idx="5">
                  <c:v>-13587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A0-4072-B7DC-3EDEAFBB8E64}"/>
            </c:ext>
          </c:extLst>
        </c:ser>
        <c:ser>
          <c:idx val="2"/>
          <c:order val="2"/>
          <c:tx>
            <c:strRef>
              <c:f>'Current Hedge (2)'!$M$1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 (2)'!$M$47:$M$59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-15336.999999999998</c:v>
                </c:pt>
                <c:pt idx="7">
                  <c:v>-32427.5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A0-4072-B7DC-3EDEAFBB8E64}"/>
            </c:ext>
          </c:extLst>
        </c:ser>
        <c:ser>
          <c:idx val="3"/>
          <c:order val="3"/>
          <c:tx>
            <c:strRef>
              <c:f>'Current Hedge (2)'!$N$1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 (2)'!$N$47:$N$59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-15840.999999999998</c:v>
                </c:pt>
                <c:pt idx="9">
                  <c:v>-29655.5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A0-4072-B7DC-3EDEAFBB8E64}"/>
            </c:ext>
          </c:extLst>
        </c:ser>
        <c:ser>
          <c:idx val="4"/>
          <c:order val="4"/>
          <c:tx>
            <c:strRef>
              <c:f>'Current Hedge (2)'!$O$1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 (2)'!$O$47:$O$59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-16919</c:v>
                </c:pt>
                <c:pt idx="11">
                  <c:v>-30306.5</c:v>
                </c:pt>
                <c:pt idx="12">
                  <c:v>-47078.5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A0-4072-B7DC-3EDEAFBB8E64}"/>
            </c:ext>
          </c:extLst>
        </c:ser>
        <c:ser>
          <c:idx val="5"/>
          <c:order val="5"/>
          <c:tx>
            <c:strRef>
              <c:f>'Current Hedge (2)'!$P$1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(2)'!$B$47:$B$59</c:f>
              <c:numCache>
                <c:formatCode>m/d/yyyy</c:formatCode>
                <c:ptCount val="13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  <c:pt idx="12">
                  <c:v>42339</c:v>
                </c:pt>
              </c:numCache>
            </c:numRef>
          </c:cat>
          <c:val>
            <c:numRef>
              <c:f>'Current Hedge (2)'!$P$47:$P$59</c:f>
              <c:numCache>
                <c:formatCode>General</c:formatCode>
                <c:ptCount val="13"/>
                <c:pt idx="0">
                  <c:v>0</c:v>
                </c:pt>
                <c:pt idx="1">
                  <c:v>-679</c:v>
                </c:pt>
                <c:pt idx="2">
                  <c:v>4469.5</c:v>
                </c:pt>
                <c:pt idx="3">
                  <c:v>-990.5</c:v>
                </c:pt>
                <c:pt idx="4">
                  <c:v>-7938</c:v>
                </c:pt>
                <c:pt idx="5">
                  <c:v>-14577.5</c:v>
                </c:pt>
                <c:pt idx="6">
                  <c:v>-29914.5</c:v>
                </c:pt>
                <c:pt idx="7">
                  <c:v>-47005</c:v>
                </c:pt>
                <c:pt idx="8">
                  <c:v>-62846</c:v>
                </c:pt>
                <c:pt idx="9">
                  <c:v>-76660.5</c:v>
                </c:pt>
                <c:pt idx="10">
                  <c:v>-93579.5</c:v>
                </c:pt>
                <c:pt idx="11">
                  <c:v>-106967</c:v>
                </c:pt>
                <c:pt idx="12">
                  <c:v>-123739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A0-4072-B7DC-3EDEAFBB8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 (2)'!$K$1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 (2)'!$K$63:$K$74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-1857.1</c:v>
                </c:pt>
                <c:pt idx="3">
                  <c:v>-18566.099999999999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3-46FE-BF5C-3748C130CA2F}"/>
            </c:ext>
          </c:extLst>
        </c:ser>
        <c:ser>
          <c:idx val="1"/>
          <c:order val="1"/>
          <c:tx>
            <c:strRef>
              <c:f>'Current Hedge (2)'!$L$1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 (2)'!$L$63:$L$74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-19036.5</c:v>
                </c:pt>
                <c:pt idx="5">
                  <c:v>-37641.800000000003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3-46FE-BF5C-3748C130CA2F}"/>
            </c:ext>
          </c:extLst>
        </c:ser>
        <c:ser>
          <c:idx val="2"/>
          <c:order val="2"/>
          <c:tx>
            <c:strRef>
              <c:f>'Current Hedge (2)'!$M$1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 (2)'!$M$63:$M$74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-30414.3</c:v>
                </c:pt>
                <c:pt idx="7">
                  <c:v>-63283.5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93-46FE-BF5C-3748C130CA2F}"/>
            </c:ext>
          </c:extLst>
        </c:ser>
        <c:ser>
          <c:idx val="3"/>
          <c:order val="3"/>
          <c:tx>
            <c:strRef>
              <c:f>'Current Hedge (2)'!$N$1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 (2)'!$N$63:$N$74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-29159.899999999998</c:v>
                </c:pt>
                <c:pt idx="9">
                  <c:v>-55482.7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93-46FE-BF5C-3748C130CA2F}"/>
            </c:ext>
          </c:extLst>
        </c:ser>
        <c:ser>
          <c:idx val="4"/>
          <c:order val="4"/>
          <c:tx>
            <c:strRef>
              <c:f>'Current Hedge (2)'!$O$1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 (2)'!$O$63:$O$74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-30914.1</c:v>
                </c:pt>
                <c:pt idx="11">
                  <c:v>-56884.1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93-46FE-BF5C-3748C130CA2F}"/>
            </c:ext>
          </c:extLst>
        </c:ser>
        <c:ser>
          <c:idx val="5"/>
          <c:order val="5"/>
          <c:tx>
            <c:strRef>
              <c:f>'Current Hedge (2)'!$P$1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 (2)'!$B$63:$B$74</c:f>
              <c:numCache>
                <c:formatCode>m/d/yyyy</c:formatCode>
                <c:ptCount val="12"/>
                <c:pt idx="0">
                  <c:v>41943</c:v>
                </c:pt>
                <c:pt idx="1">
                  <c:v>42035</c:v>
                </c:pt>
                <c:pt idx="2">
                  <c:v>42063</c:v>
                </c:pt>
                <c:pt idx="3">
                  <c:v>42094</c:v>
                </c:pt>
                <c:pt idx="4">
                  <c:v>42124</c:v>
                </c:pt>
                <c:pt idx="5">
                  <c:v>42155</c:v>
                </c:pt>
                <c:pt idx="6">
                  <c:v>42185</c:v>
                </c:pt>
                <c:pt idx="7">
                  <c:v>42216</c:v>
                </c:pt>
                <c:pt idx="8">
                  <c:v>42247</c:v>
                </c:pt>
                <c:pt idx="9">
                  <c:v>42277</c:v>
                </c:pt>
                <c:pt idx="10">
                  <c:v>42308</c:v>
                </c:pt>
                <c:pt idx="11">
                  <c:v>42338</c:v>
                </c:pt>
              </c:numCache>
            </c:numRef>
          </c:cat>
          <c:val>
            <c:numRef>
              <c:f>'Current Hedge (2)'!$P$63:$P$74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-1857.1</c:v>
                </c:pt>
                <c:pt idx="3">
                  <c:v>-18566.099999999999</c:v>
                </c:pt>
                <c:pt idx="4">
                  <c:v>-37602.6</c:v>
                </c:pt>
                <c:pt idx="5">
                  <c:v>-56207.899999999994</c:v>
                </c:pt>
                <c:pt idx="6">
                  <c:v>-86622.2</c:v>
                </c:pt>
                <c:pt idx="7">
                  <c:v>-119491.4</c:v>
                </c:pt>
                <c:pt idx="8">
                  <c:v>-148651.29999999999</c:v>
                </c:pt>
                <c:pt idx="9">
                  <c:v>-174974.09999999998</c:v>
                </c:pt>
                <c:pt idx="10">
                  <c:v>-205888.19999999998</c:v>
                </c:pt>
                <c:pt idx="11">
                  <c:v>-231858.19999999998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93-46FE-BF5C-3748C130C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7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10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109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8"/>
  <sheetViews>
    <sheetView zoomScale="109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9"/>
  <sheetViews>
    <sheetView tabSelected="1" zoomScale="10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7362" cy="630048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7362" cy="630048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7362" cy="630048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766762</xdr:colOff>
      <xdr:row>770</xdr:row>
      <xdr:rowOff>9525</xdr:rowOff>
    </xdr:from>
    <xdr:to>
      <xdr:col>16</xdr:col>
      <xdr:colOff>147637</xdr:colOff>
      <xdr:row>784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171451</xdr:rowOff>
    </xdr:from>
    <xdr:to>
      <xdr:col>9</xdr:col>
      <xdr:colOff>142875</xdr:colOff>
      <xdr:row>13</xdr:row>
      <xdr:rowOff>57151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423583</xdr:colOff>
      <xdr:row>30</xdr:row>
      <xdr:rowOff>155202</xdr:rowOff>
    </xdr:from>
    <xdr:to>
      <xdr:col>8</xdr:col>
      <xdr:colOff>566458</xdr:colOff>
      <xdr:row>42</xdr:row>
      <xdr:rowOff>40902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537884</xdr:colOff>
      <xdr:row>16</xdr:row>
      <xdr:rowOff>88628</xdr:rowOff>
    </xdr:from>
    <xdr:to>
      <xdr:col>9</xdr:col>
      <xdr:colOff>71159</xdr:colOff>
      <xdr:row>27</xdr:row>
      <xdr:rowOff>164828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536863</xdr:colOff>
      <xdr:row>46</xdr:row>
      <xdr:rowOff>103909</xdr:rowOff>
    </xdr:from>
    <xdr:to>
      <xdr:col>9</xdr:col>
      <xdr:colOff>70138</xdr:colOff>
      <xdr:row>57</xdr:row>
      <xdr:rowOff>180109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554181</xdr:colOff>
      <xdr:row>61</xdr:row>
      <xdr:rowOff>138545</xdr:rowOff>
    </xdr:from>
    <xdr:to>
      <xdr:col>9</xdr:col>
      <xdr:colOff>87456</xdr:colOff>
      <xdr:row>73</xdr:row>
      <xdr:rowOff>24245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</xdr:row>
      <xdr:rowOff>19051</xdr:rowOff>
    </xdr:from>
    <xdr:to>
      <xdr:col>9</xdr:col>
      <xdr:colOff>76200</xdr:colOff>
      <xdr:row>12</xdr:row>
      <xdr:rowOff>95251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423583</xdr:colOff>
      <xdr:row>30</xdr:row>
      <xdr:rowOff>155202</xdr:rowOff>
    </xdr:from>
    <xdr:to>
      <xdr:col>8</xdr:col>
      <xdr:colOff>566458</xdr:colOff>
      <xdr:row>42</xdr:row>
      <xdr:rowOff>40902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537884</xdr:colOff>
      <xdr:row>16</xdr:row>
      <xdr:rowOff>88628</xdr:rowOff>
    </xdr:from>
    <xdr:to>
      <xdr:col>9</xdr:col>
      <xdr:colOff>71159</xdr:colOff>
      <xdr:row>27</xdr:row>
      <xdr:rowOff>164828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536863</xdr:colOff>
      <xdr:row>46</xdr:row>
      <xdr:rowOff>103909</xdr:rowOff>
    </xdr:from>
    <xdr:to>
      <xdr:col>9</xdr:col>
      <xdr:colOff>70138</xdr:colOff>
      <xdr:row>57</xdr:row>
      <xdr:rowOff>180109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554181</xdr:colOff>
      <xdr:row>61</xdr:row>
      <xdr:rowOff>138545</xdr:rowOff>
    </xdr:from>
    <xdr:to>
      <xdr:col>9</xdr:col>
      <xdr:colOff>87456</xdr:colOff>
      <xdr:row>73</xdr:row>
      <xdr:rowOff>24245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S988"/>
  <sheetViews>
    <sheetView workbookViewId="0">
      <selection activeCell="B10" sqref="B10"/>
    </sheetView>
  </sheetViews>
  <sheetFormatPr defaultRowHeight="15" x14ac:dyDescent="0.25"/>
  <cols>
    <col min="1" max="1" width="18" bestFit="1" customWidth="1"/>
    <col min="2" max="2" width="15.75" bestFit="1" customWidth="1"/>
    <col min="3" max="4" width="10.75" bestFit="1" customWidth="1"/>
    <col min="5" max="5" width="14.125" style="10" bestFit="1" customWidth="1"/>
    <col min="6" max="6" width="10.75" bestFit="1" customWidth="1"/>
    <col min="8" max="8" width="10.75" bestFit="1" customWidth="1"/>
    <col min="9" max="9" width="13" bestFit="1" customWidth="1"/>
    <col min="10" max="10" width="19.25" bestFit="1" customWidth="1"/>
    <col min="11" max="11" width="12.875" style="9" customWidth="1"/>
  </cols>
  <sheetData>
    <row r="1" spans="1:19" ht="30" customHeight="1" x14ac:dyDescent="0.25">
      <c r="B1" s="4" t="s">
        <v>28</v>
      </c>
    </row>
    <row r="2" spans="1:19" x14ac:dyDescent="0.25">
      <c r="A2" t="s">
        <v>7</v>
      </c>
      <c r="B2" t="s">
        <v>17</v>
      </c>
      <c r="D2" s="1"/>
      <c r="E2" s="10" t="s">
        <v>61</v>
      </c>
      <c r="F2" s="10">
        <v>12</v>
      </c>
    </row>
    <row r="3" spans="1:19" ht="15.75" thickBot="1" x14ac:dyDescent="0.3">
      <c r="A3" t="s">
        <v>23</v>
      </c>
      <c r="B3" t="s">
        <v>31</v>
      </c>
      <c r="C3" s="1"/>
      <c r="D3" s="1"/>
      <c r="F3" s="1"/>
    </row>
    <row r="4" spans="1:19" x14ac:dyDescent="0.25">
      <c r="A4" s="1" t="s">
        <v>0</v>
      </c>
      <c r="B4" s="2">
        <f>VLOOKUP(B3,DHP,2,FALSE)</f>
        <v>185</v>
      </c>
      <c r="C4" s="1" t="s">
        <v>28</v>
      </c>
      <c r="D4" s="1"/>
      <c r="F4" s="1"/>
    </row>
    <row r="5" spans="1:19" ht="15.75" thickBot="1" x14ac:dyDescent="0.3">
      <c r="A5" t="s">
        <v>1</v>
      </c>
      <c r="B5" s="3">
        <f>VLOOKUP(B2,Outright,2,FALSE)</f>
        <v>444</v>
      </c>
      <c r="C5" s="1" t="s">
        <v>28</v>
      </c>
      <c r="D5" s="1"/>
      <c r="F5" s="1"/>
    </row>
    <row r="6" spans="1:19" x14ac:dyDescent="0.25">
      <c r="A6" t="s">
        <v>2</v>
      </c>
      <c r="C6" s="1"/>
      <c r="D6" s="1"/>
      <c r="F6" s="1"/>
    </row>
    <row r="7" spans="1:19" ht="15.75" thickBot="1" x14ac:dyDescent="0.3">
      <c r="A7" s="1" t="s">
        <v>4</v>
      </c>
      <c r="B7">
        <v>0</v>
      </c>
      <c r="C7" s="1"/>
      <c r="D7" s="1"/>
      <c r="F7" s="1"/>
    </row>
    <row r="8" spans="1:19" x14ac:dyDescent="0.25">
      <c r="A8" s="1" t="s">
        <v>3</v>
      </c>
      <c r="B8" s="2">
        <v>35</v>
      </c>
      <c r="C8" s="1" t="s">
        <v>28</v>
      </c>
      <c r="D8" s="1"/>
      <c r="F8" s="1"/>
    </row>
    <row r="9" spans="1:19" ht="15.75" thickBot="1" x14ac:dyDescent="0.3">
      <c r="A9" s="1" t="s">
        <v>27</v>
      </c>
      <c r="B9" s="3">
        <v>288</v>
      </c>
      <c r="C9" s="1" t="s">
        <v>28</v>
      </c>
      <c r="D9" s="1"/>
      <c r="F9" s="1"/>
    </row>
    <row r="10" spans="1:19" x14ac:dyDescent="0.25">
      <c r="A10" s="1" t="s">
        <v>8</v>
      </c>
      <c r="B10">
        <v>0.3</v>
      </c>
      <c r="C10" s="1" t="s">
        <v>42</v>
      </c>
      <c r="D10" s="1"/>
      <c r="F10" s="1"/>
    </row>
    <row r="11" spans="1:19" s="16" customFormat="1" ht="60" x14ac:dyDescent="0.25">
      <c r="A11" s="15"/>
      <c r="C11" s="15"/>
      <c r="D11" s="15"/>
      <c r="E11" s="17"/>
      <c r="F11" s="15"/>
      <c r="G11" s="16">
        <v>976</v>
      </c>
      <c r="H11" s="16" t="s">
        <v>6</v>
      </c>
      <c r="I11" s="16" t="str">
        <f xml:space="preserve"> dhpName</f>
        <v>Corn DHP</v>
      </c>
      <c r="J11" s="16" t="str">
        <f xml:space="preserve"> CONCATENATE("Long ", underlyingName," Futures")</f>
        <v>Long Corn Futures</v>
      </c>
      <c r="K11" s="18" t="str">
        <f xml:space="preserve"> CONCATENATE("Short ", underlyingName," Futures")</f>
        <v>Short Corn Futures</v>
      </c>
      <c r="L11" s="16" t="s">
        <v>5</v>
      </c>
      <c r="N11" s="16" t="str">
        <f>CONCATENATE("Constant ",dhpName)</f>
        <v>Constant Corn DHP</v>
      </c>
      <c r="O11" s="16" t="str">
        <f>CONCATENATE("Sell off ",dhpName)</f>
        <v>Sell off Corn DHP</v>
      </c>
      <c r="P11" s="16" t="str">
        <f xml:space="preserve"> CONCATENATE("Sell off Long ", underlyingName," Futures")</f>
        <v>Sell off Long Corn Futures</v>
      </c>
      <c r="Q11" s="18" t="str">
        <f xml:space="preserve"> CONCATENATE("Sell off Short ", underlyingName," Futures")</f>
        <v>Sell off Short Corn Futures</v>
      </c>
      <c r="R11" s="16" t="s">
        <v>62</v>
      </c>
      <c r="S11" s="16" t="s">
        <v>63</v>
      </c>
    </row>
    <row r="12" spans="1:19" hidden="1" x14ac:dyDescent="0.25">
      <c r="A12" s="1"/>
      <c r="C12" s="1"/>
      <c r="D12" s="1">
        <v>41275</v>
      </c>
      <c r="E12" s="10">
        <v>0</v>
      </c>
      <c r="F12" s="1">
        <v>41275</v>
      </c>
      <c r="G12">
        <v>4638.5</v>
      </c>
      <c r="H12" s="1">
        <f>D12</f>
        <v>41275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  <c r="M12">
        <v>0</v>
      </c>
    </row>
    <row r="13" spans="1:19" hidden="1" x14ac:dyDescent="0.25">
      <c r="A13" s="1"/>
      <c r="C13" s="1"/>
      <c r="D13" s="1">
        <v>41276</v>
      </c>
      <c r="E13" s="10">
        <v>744</v>
      </c>
      <c r="F13" s="1">
        <v>41276</v>
      </c>
      <c r="G13">
        <v>3788.5</v>
      </c>
      <c r="H13" s="1">
        <f t="shared" ref="H13:H76" si="0">D13</f>
        <v>41276</v>
      </c>
      <c r="I13">
        <f>IF(AND(MyRowHidden(ROW())=FALSE,MyRowHidden(ROW()-1)=TRUE),0,(E13-E12)*unitsOfDHp+I12)</f>
        <v>26040</v>
      </c>
      <c r="J13">
        <f>IF(AND(MyRowHidden(ROW())=FALSE,MyRowHidden(ROW()-1)=TRUE),0,(G13-G12)*unitsOfExo+J12)</f>
        <v>-244800</v>
      </c>
      <c r="K13" s="9">
        <f t="shared" ref="K13:K76" si="1">-(J13-J12)+K12</f>
        <v>244800</v>
      </c>
      <c r="L13">
        <f t="shared" ref="L13:L76" si="2">I13+J13</f>
        <v>-218760</v>
      </c>
      <c r="M13">
        <f t="shared" ref="M13:M76" si="3">IF(MONTH(H13)&lt;&gt;MONTH(H12),M12+1,M12)</f>
        <v>0</v>
      </c>
      <c r="N13">
        <f t="shared" ref="N13:N76" si="4">IF(M13&lt;totalMonths,(totalMonths-M13)/totalMonths *(I13-I12)+N12,0)</f>
        <v>26040</v>
      </c>
      <c r="P13">
        <f t="shared" ref="P13:P76" si="5">IF(M13&lt;totalMonths,(totalMonths-M13)/totalMonths *(J13-J12)+P12,0)</f>
        <v>-244800</v>
      </c>
      <c r="Q13">
        <f t="shared" ref="Q13:Q76" si="6">IF(M13&lt;totalMonths,(totalMonths-M13)/totalMonths *(K13-K12)+Q12,0)</f>
        <v>244800</v>
      </c>
      <c r="R13">
        <f t="shared" ref="R13:R76" si="7">IF(M13&lt;totalMonths,(totalMonths-M13)/totalMonths *(L13-L12)+R12,0)</f>
        <v>-218760</v>
      </c>
    </row>
    <row r="14" spans="1:19" hidden="1" x14ac:dyDescent="0.25">
      <c r="A14" s="1"/>
      <c r="C14" s="1"/>
      <c r="D14" s="1">
        <v>41277</v>
      </c>
      <c r="E14" s="10">
        <v>980</v>
      </c>
      <c r="F14" s="1">
        <v>41277</v>
      </c>
      <c r="G14">
        <v>3838.5</v>
      </c>
      <c r="H14" s="1">
        <f t="shared" si="0"/>
        <v>41277</v>
      </c>
      <c r="I14">
        <f>IF(AND(MyRowHidden(ROW())=FALSE,MyRowHidden(ROW()-1)=TRUE),0,(E14-E13)*unitsOfDHp+I13)</f>
        <v>34300</v>
      </c>
      <c r="J14">
        <f>IF(AND(MyRowHidden(ROW())=FALSE,MyRowHidden(ROW()-1)=TRUE),0,(G14-G13)*unitsOfExo+J13)</f>
        <v>-230400</v>
      </c>
      <c r="K14" s="9">
        <f t="shared" si="1"/>
        <v>230400</v>
      </c>
      <c r="L14">
        <f t="shared" si="2"/>
        <v>-196100</v>
      </c>
      <c r="M14">
        <f t="shared" si="3"/>
        <v>0</v>
      </c>
      <c r="N14">
        <f t="shared" si="4"/>
        <v>34300</v>
      </c>
      <c r="P14">
        <f t="shared" si="5"/>
        <v>-230400</v>
      </c>
      <c r="Q14">
        <f t="shared" si="6"/>
        <v>230400</v>
      </c>
      <c r="R14">
        <f t="shared" si="7"/>
        <v>-196100</v>
      </c>
    </row>
    <row r="15" spans="1:19" hidden="1" x14ac:dyDescent="0.25">
      <c r="A15" s="6">
        <f>unitsOfDHp*B15</f>
        <v>770000</v>
      </c>
      <c r="B15" s="5">
        <v>22000</v>
      </c>
      <c r="C15" s="1"/>
      <c r="D15" s="1">
        <v>41278</v>
      </c>
      <c r="E15" s="10">
        <v>1382</v>
      </c>
      <c r="F15" s="1">
        <v>41278</v>
      </c>
      <c r="G15">
        <v>3463.5</v>
      </c>
      <c r="H15" s="1">
        <f t="shared" si="0"/>
        <v>41278</v>
      </c>
      <c r="I15">
        <f>IF(AND(MyRowHidden(ROW())=FALSE,MyRowHidden(ROW()-1)=TRUE),0,(E15-E14)*unitsOfDHp+I14)</f>
        <v>48370</v>
      </c>
      <c r="J15">
        <f>IF(AND(MyRowHidden(ROW())=FALSE,MyRowHidden(ROW()-1)=TRUE),0,(G15-G14)*unitsOfExo+J14)</f>
        <v>-338400</v>
      </c>
      <c r="K15" s="9">
        <f t="shared" si="1"/>
        <v>338400</v>
      </c>
      <c r="L15">
        <f t="shared" si="2"/>
        <v>-290030</v>
      </c>
      <c r="M15">
        <f t="shared" si="3"/>
        <v>0</v>
      </c>
      <c r="N15">
        <f t="shared" si="4"/>
        <v>48370</v>
      </c>
      <c r="P15">
        <f t="shared" si="5"/>
        <v>-338400</v>
      </c>
      <c r="Q15">
        <f t="shared" si="6"/>
        <v>338400</v>
      </c>
      <c r="R15">
        <f t="shared" si="7"/>
        <v>-290030</v>
      </c>
    </row>
    <row r="16" spans="1:19" hidden="1" x14ac:dyDescent="0.25">
      <c r="A16" s="1"/>
      <c r="C16" s="1"/>
      <c r="D16" s="1">
        <v>41281</v>
      </c>
      <c r="E16" s="10">
        <v>1470</v>
      </c>
      <c r="F16" s="1">
        <v>41281</v>
      </c>
      <c r="G16">
        <v>3551</v>
      </c>
      <c r="H16" s="1">
        <f t="shared" si="0"/>
        <v>41281</v>
      </c>
      <c r="I16">
        <f>IF(AND(MyRowHidden(ROW())=FALSE,MyRowHidden(ROW()-1)=TRUE),0,(E16-E15)*unitsOfDHp+I15)</f>
        <v>51450</v>
      </c>
      <c r="J16">
        <f>IF(AND(MyRowHidden(ROW())=FALSE,MyRowHidden(ROW()-1)=TRUE),0,(G16-G15)*unitsOfExo+J15)</f>
        <v>-313200</v>
      </c>
      <c r="K16" s="9">
        <f t="shared" si="1"/>
        <v>313200</v>
      </c>
      <c r="L16">
        <f t="shared" si="2"/>
        <v>-261750</v>
      </c>
      <c r="M16">
        <f t="shared" si="3"/>
        <v>0</v>
      </c>
      <c r="N16">
        <f t="shared" si="4"/>
        <v>51450</v>
      </c>
      <c r="P16">
        <f t="shared" si="5"/>
        <v>-313200</v>
      </c>
      <c r="Q16">
        <f t="shared" si="6"/>
        <v>313200</v>
      </c>
      <c r="R16">
        <f t="shared" si="7"/>
        <v>-261750</v>
      </c>
    </row>
    <row r="17" spans="1:18" hidden="1" x14ac:dyDescent="0.25">
      <c r="A17" s="6">
        <f>unitsOfExo*B17</f>
        <v>950400</v>
      </c>
      <c r="B17">
        <f>825*4</f>
        <v>3300</v>
      </c>
      <c r="C17" s="1"/>
      <c r="D17" s="1">
        <v>41282</v>
      </c>
      <c r="E17" s="10">
        <v>845</v>
      </c>
      <c r="F17" s="1">
        <v>41282</v>
      </c>
      <c r="G17">
        <v>3888.5</v>
      </c>
      <c r="H17" s="1">
        <f t="shared" si="0"/>
        <v>41282</v>
      </c>
      <c r="I17">
        <f>IF(AND(MyRowHidden(ROW())=FALSE,MyRowHidden(ROW()-1)=TRUE),0,(E17-E16)*unitsOfDHp+I16)</f>
        <v>29575</v>
      </c>
      <c r="J17">
        <f>IF(AND(MyRowHidden(ROW())=FALSE,MyRowHidden(ROW()-1)=TRUE),0,(G17-G16)*unitsOfExo+J16)</f>
        <v>-216000</v>
      </c>
      <c r="K17" s="9">
        <f t="shared" si="1"/>
        <v>216000</v>
      </c>
      <c r="L17">
        <f t="shared" si="2"/>
        <v>-186425</v>
      </c>
      <c r="M17">
        <f t="shared" si="3"/>
        <v>0</v>
      </c>
      <c r="N17">
        <f t="shared" si="4"/>
        <v>29575</v>
      </c>
      <c r="P17">
        <f t="shared" si="5"/>
        <v>-216000</v>
      </c>
      <c r="Q17">
        <f t="shared" si="6"/>
        <v>216000</v>
      </c>
      <c r="R17">
        <f t="shared" si="7"/>
        <v>-186425</v>
      </c>
    </row>
    <row r="18" spans="1:18" hidden="1" x14ac:dyDescent="0.25">
      <c r="A18" s="6">
        <f>100*B18</f>
        <v>75000</v>
      </c>
      <c r="B18">
        <v>750</v>
      </c>
      <c r="C18" s="1"/>
      <c r="D18" s="1">
        <v>41283</v>
      </c>
      <c r="E18" s="10">
        <v>632</v>
      </c>
      <c r="F18" s="1">
        <v>41283</v>
      </c>
      <c r="G18">
        <v>4013.5</v>
      </c>
      <c r="H18" s="1">
        <f t="shared" si="0"/>
        <v>41283</v>
      </c>
      <c r="I18">
        <f>IF(AND(MyRowHidden(ROW())=FALSE,MyRowHidden(ROW()-1)=TRUE),0,(E18-E17)*unitsOfDHp+I17)</f>
        <v>22120</v>
      </c>
      <c r="J18">
        <f>IF(AND(MyRowHidden(ROW())=FALSE,MyRowHidden(ROW()-1)=TRUE),0,(G18-G17)*unitsOfExo+J17)</f>
        <v>-180000</v>
      </c>
      <c r="K18" s="9">
        <f t="shared" si="1"/>
        <v>180000</v>
      </c>
      <c r="L18">
        <f t="shared" si="2"/>
        <v>-157880</v>
      </c>
      <c r="M18">
        <f t="shared" si="3"/>
        <v>0</v>
      </c>
      <c r="N18">
        <f t="shared" si="4"/>
        <v>22120</v>
      </c>
      <c r="P18">
        <f t="shared" si="5"/>
        <v>-180000</v>
      </c>
      <c r="Q18">
        <f t="shared" si="6"/>
        <v>180000</v>
      </c>
      <c r="R18">
        <f t="shared" si="7"/>
        <v>-157880</v>
      </c>
    </row>
    <row r="19" spans="1:18" hidden="1" x14ac:dyDescent="0.25">
      <c r="A19" s="7">
        <f>A17-A18</f>
        <v>875400</v>
      </c>
      <c r="C19" s="1"/>
      <c r="D19" s="1">
        <v>41284</v>
      </c>
      <c r="E19" s="10">
        <v>160</v>
      </c>
      <c r="F19" s="1">
        <v>41284</v>
      </c>
      <c r="G19">
        <v>4201</v>
      </c>
      <c r="H19" s="1">
        <f t="shared" si="0"/>
        <v>41284</v>
      </c>
      <c r="I19">
        <f>IF(AND(MyRowHidden(ROW())=FALSE,MyRowHidden(ROW()-1)=TRUE),0,(E19-E18)*unitsOfDHp+I18)</f>
        <v>5600</v>
      </c>
      <c r="J19">
        <f>IF(AND(MyRowHidden(ROW())=FALSE,MyRowHidden(ROW()-1)=TRUE),0,(G19-G18)*unitsOfExo+J18)</f>
        <v>-126000</v>
      </c>
      <c r="K19" s="9">
        <f t="shared" si="1"/>
        <v>126000</v>
      </c>
      <c r="L19">
        <f t="shared" si="2"/>
        <v>-120400</v>
      </c>
      <c r="M19">
        <f t="shared" si="3"/>
        <v>0</v>
      </c>
      <c r="N19">
        <f t="shared" si="4"/>
        <v>5600</v>
      </c>
      <c r="P19">
        <f t="shared" si="5"/>
        <v>-126000</v>
      </c>
      <c r="Q19">
        <f t="shared" si="6"/>
        <v>126000</v>
      </c>
      <c r="R19">
        <f t="shared" si="7"/>
        <v>-120400</v>
      </c>
    </row>
    <row r="20" spans="1:18" hidden="1" x14ac:dyDescent="0.25">
      <c r="A20" s="1"/>
      <c r="C20" s="1"/>
      <c r="D20" s="1">
        <v>41285</v>
      </c>
      <c r="E20" s="10">
        <v>-736</v>
      </c>
      <c r="F20" s="1">
        <v>41285</v>
      </c>
      <c r="G20">
        <v>5051</v>
      </c>
      <c r="H20" s="1">
        <f t="shared" si="0"/>
        <v>41285</v>
      </c>
      <c r="I20">
        <f>IF(AND(MyRowHidden(ROW())=FALSE,MyRowHidden(ROW()-1)=TRUE),0,(E20-E19)*unitsOfDHp+I19)</f>
        <v>-25760</v>
      </c>
      <c r="J20">
        <f>IF(AND(MyRowHidden(ROW())=FALSE,MyRowHidden(ROW()-1)=TRUE),0,(G20-G19)*unitsOfExo+J19)</f>
        <v>118800</v>
      </c>
      <c r="K20" s="9">
        <f t="shared" si="1"/>
        <v>-118800</v>
      </c>
      <c r="L20">
        <f t="shared" si="2"/>
        <v>93040</v>
      </c>
      <c r="M20">
        <f t="shared" si="3"/>
        <v>0</v>
      </c>
      <c r="N20">
        <f t="shared" si="4"/>
        <v>-25760</v>
      </c>
      <c r="P20">
        <f t="shared" si="5"/>
        <v>118800</v>
      </c>
      <c r="Q20">
        <f t="shared" si="6"/>
        <v>-118800</v>
      </c>
      <c r="R20">
        <f t="shared" si="7"/>
        <v>93040</v>
      </c>
    </row>
    <row r="21" spans="1:18" hidden="1" x14ac:dyDescent="0.25">
      <c r="A21" s="1"/>
      <c r="C21" s="1"/>
      <c r="D21" s="1">
        <v>41288</v>
      </c>
      <c r="E21" s="10">
        <v>952</v>
      </c>
      <c r="F21" s="1">
        <v>41288</v>
      </c>
      <c r="G21">
        <v>5438.5</v>
      </c>
      <c r="H21" s="1">
        <f t="shared" si="0"/>
        <v>41288</v>
      </c>
      <c r="I21">
        <f>IF(AND(MyRowHidden(ROW())=FALSE,MyRowHidden(ROW()-1)=TRUE),0,(E21-E20)*unitsOfDHp+I20)</f>
        <v>33320</v>
      </c>
      <c r="J21">
        <f>IF(AND(MyRowHidden(ROW())=FALSE,MyRowHidden(ROW()-1)=TRUE),0,(G21-G20)*unitsOfExo+J20)</f>
        <v>230400</v>
      </c>
      <c r="K21" s="9">
        <f t="shared" si="1"/>
        <v>-230400</v>
      </c>
      <c r="L21">
        <f t="shared" si="2"/>
        <v>263720</v>
      </c>
      <c r="M21">
        <f t="shared" si="3"/>
        <v>0</v>
      </c>
      <c r="N21">
        <f t="shared" si="4"/>
        <v>33320</v>
      </c>
      <c r="P21">
        <f t="shared" si="5"/>
        <v>230400</v>
      </c>
      <c r="Q21">
        <f t="shared" si="6"/>
        <v>-230400</v>
      </c>
      <c r="R21">
        <f t="shared" si="7"/>
        <v>263720</v>
      </c>
    </row>
    <row r="22" spans="1:18" hidden="1" x14ac:dyDescent="0.25">
      <c r="A22" s="8">
        <f>1500000/A19</f>
        <v>1.7135023989033584</v>
      </c>
      <c r="C22" s="1"/>
      <c r="D22" s="1">
        <v>41289</v>
      </c>
      <c r="E22" s="10">
        <v>664</v>
      </c>
      <c r="F22" s="1">
        <v>41289</v>
      </c>
      <c r="G22">
        <v>5888.5</v>
      </c>
      <c r="H22" s="1">
        <f t="shared" si="0"/>
        <v>41289</v>
      </c>
      <c r="I22">
        <f>IF(AND(MyRowHidden(ROW())=FALSE,MyRowHidden(ROW()-1)=TRUE),0,(E22-E21)*unitsOfDHp+I21)</f>
        <v>23240</v>
      </c>
      <c r="J22">
        <f>IF(AND(MyRowHidden(ROW())=FALSE,MyRowHidden(ROW()-1)=TRUE),0,(G22-G21)*unitsOfExo+J21)</f>
        <v>360000</v>
      </c>
      <c r="K22" s="9">
        <f t="shared" si="1"/>
        <v>-360000</v>
      </c>
      <c r="L22">
        <f t="shared" si="2"/>
        <v>383240</v>
      </c>
      <c r="M22">
        <f t="shared" si="3"/>
        <v>0</v>
      </c>
      <c r="N22">
        <f t="shared" si="4"/>
        <v>23240</v>
      </c>
      <c r="P22">
        <f t="shared" si="5"/>
        <v>360000</v>
      </c>
      <c r="Q22">
        <f t="shared" si="6"/>
        <v>-360000</v>
      </c>
      <c r="R22">
        <f t="shared" si="7"/>
        <v>383240</v>
      </c>
    </row>
    <row r="23" spans="1:18" hidden="1" x14ac:dyDescent="0.25">
      <c r="A23" s="8">
        <f>A19*A22</f>
        <v>1500000</v>
      </c>
      <c r="C23" s="1"/>
      <c r="D23" s="1">
        <v>41290</v>
      </c>
      <c r="E23" s="10">
        <v>914</v>
      </c>
      <c r="F23" s="1">
        <v>41290</v>
      </c>
      <c r="G23">
        <v>5763.5</v>
      </c>
      <c r="H23" s="1">
        <f t="shared" si="0"/>
        <v>41290</v>
      </c>
      <c r="I23">
        <f>IF(AND(MyRowHidden(ROW())=FALSE,MyRowHidden(ROW()-1)=TRUE),0,(E23-E22)*unitsOfDHp+I22)</f>
        <v>31990</v>
      </c>
      <c r="J23">
        <f>IF(AND(MyRowHidden(ROW())=FALSE,MyRowHidden(ROW()-1)=TRUE),0,(G23-G22)*unitsOfExo+J22)</f>
        <v>324000</v>
      </c>
      <c r="K23" s="9">
        <f t="shared" si="1"/>
        <v>-324000</v>
      </c>
      <c r="L23">
        <f t="shared" si="2"/>
        <v>355990</v>
      </c>
      <c r="M23">
        <f t="shared" si="3"/>
        <v>0</v>
      </c>
      <c r="N23">
        <f t="shared" si="4"/>
        <v>31990</v>
      </c>
      <c r="P23">
        <f t="shared" si="5"/>
        <v>324000</v>
      </c>
      <c r="Q23">
        <f t="shared" si="6"/>
        <v>-324000</v>
      </c>
      <c r="R23">
        <f t="shared" si="7"/>
        <v>355990</v>
      </c>
    </row>
    <row r="24" spans="1:18" hidden="1" x14ac:dyDescent="0.25">
      <c r="A24" s="1"/>
      <c r="C24" s="1"/>
      <c r="D24" s="1">
        <v>41291</v>
      </c>
      <c r="E24" s="10">
        <v>1089</v>
      </c>
      <c r="F24" s="1">
        <v>41291</v>
      </c>
      <c r="G24">
        <v>5676</v>
      </c>
      <c r="H24" s="1">
        <f t="shared" si="0"/>
        <v>41291</v>
      </c>
      <c r="I24">
        <f>IF(AND(MyRowHidden(ROW())=FALSE,MyRowHidden(ROW()-1)=TRUE),0,(E24-E23)*unitsOfDHp+I23)</f>
        <v>38115</v>
      </c>
      <c r="J24">
        <f>IF(AND(MyRowHidden(ROW())=FALSE,MyRowHidden(ROW()-1)=TRUE),0,(G24-G23)*unitsOfExo+J23)</f>
        <v>298800</v>
      </c>
      <c r="K24" s="9">
        <f t="shared" si="1"/>
        <v>-298800</v>
      </c>
      <c r="L24">
        <f t="shared" si="2"/>
        <v>336915</v>
      </c>
      <c r="M24">
        <f t="shared" si="3"/>
        <v>0</v>
      </c>
      <c r="N24">
        <f t="shared" si="4"/>
        <v>38115</v>
      </c>
      <c r="P24">
        <f t="shared" si="5"/>
        <v>298800</v>
      </c>
      <c r="Q24">
        <f t="shared" si="6"/>
        <v>-298800</v>
      </c>
      <c r="R24">
        <f t="shared" si="7"/>
        <v>336915</v>
      </c>
    </row>
    <row r="25" spans="1:18" hidden="1" x14ac:dyDescent="0.25">
      <c r="A25" s="1"/>
      <c r="C25" s="1"/>
      <c r="D25" s="1">
        <v>41292</v>
      </c>
      <c r="E25" s="10">
        <v>1152</v>
      </c>
      <c r="F25" s="1">
        <v>41292</v>
      </c>
      <c r="G25">
        <v>5726</v>
      </c>
      <c r="H25" s="1">
        <f t="shared" si="0"/>
        <v>41292</v>
      </c>
      <c r="I25">
        <f>IF(AND(MyRowHidden(ROW())=FALSE,MyRowHidden(ROW()-1)=TRUE),0,(E25-E24)*unitsOfDHp+I24)</f>
        <v>40320</v>
      </c>
      <c r="J25">
        <f>IF(AND(MyRowHidden(ROW())=FALSE,MyRowHidden(ROW()-1)=TRUE),0,(G25-G24)*unitsOfExo+J24)</f>
        <v>313200</v>
      </c>
      <c r="K25" s="9">
        <f t="shared" si="1"/>
        <v>-313200</v>
      </c>
      <c r="L25">
        <f t="shared" si="2"/>
        <v>353520</v>
      </c>
      <c r="M25">
        <f t="shared" si="3"/>
        <v>0</v>
      </c>
      <c r="N25">
        <f t="shared" si="4"/>
        <v>40320</v>
      </c>
      <c r="P25">
        <f t="shared" si="5"/>
        <v>313200</v>
      </c>
      <c r="Q25">
        <f t="shared" si="6"/>
        <v>-313200</v>
      </c>
      <c r="R25">
        <f t="shared" si="7"/>
        <v>353520</v>
      </c>
    </row>
    <row r="26" spans="1:18" hidden="1" x14ac:dyDescent="0.25">
      <c r="A26" s="1"/>
      <c r="C26" s="1"/>
      <c r="D26" s="1">
        <v>41295</v>
      </c>
      <c r="E26" s="10">
        <v>1377</v>
      </c>
      <c r="F26" s="1">
        <v>41295</v>
      </c>
      <c r="G26">
        <v>5701</v>
      </c>
      <c r="H26" s="1">
        <f t="shared" si="0"/>
        <v>41295</v>
      </c>
      <c r="I26">
        <f>IF(AND(MyRowHidden(ROW())=FALSE,MyRowHidden(ROW()-1)=TRUE),0,(E26-E25)*unitsOfDHp+I25)</f>
        <v>48195</v>
      </c>
      <c r="J26">
        <f>IF(AND(MyRowHidden(ROW())=FALSE,MyRowHidden(ROW()-1)=TRUE),0,(G26-G25)*unitsOfExo+J25)</f>
        <v>306000</v>
      </c>
      <c r="K26" s="9">
        <f t="shared" si="1"/>
        <v>-306000</v>
      </c>
      <c r="L26">
        <f t="shared" si="2"/>
        <v>354195</v>
      </c>
      <c r="M26">
        <f t="shared" si="3"/>
        <v>0</v>
      </c>
      <c r="N26">
        <f t="shared" si="4"/>
        <v>48195</v>
      </c>
      <c r="P26">
        <f t="shared" si="5"/>
        <v>306000</v>
      </c>
      <c r="Q26">
        <f t="shared" si="6"/>
        <v>-306000</v>
      </c>
      <c r="R26">
        <f t="shared" si="7"/>
        <v>354195</v>
      </c>
    </row>
    <row r="27" spans="1:18" hidden="1" x14ac:dyDescent="0.25">
      <c r="A27" s="1"/>
      <c r="C27" s="1"/>
      <c r="D27" s="1">
        <v>41296</v>
      </c>
      <c r="E27" s="10">
        <v>1227</v>
      </c>
      <c r="F27" s="1">
        <v>41296</v>
      </c>
      <c r="G27">
        <v>5826</v>
      </c>
      <c r="H27" s="1">
        <f t="shared" si="0"/>
        <v>41296</v>
      </c>
      <c r="I27">
        <f>IF(AND(MyRowHidden(ROW())=FALSE,MyRowHidden(ROW()-1)=TRUE),0,(E27-E26)*unitsOfDHp+I26)</f>
        <v>42945</v>
      </c>
      <c r="J27">
        <f>IF(AND(MyRowHidden(ROW())=FALSE,MyRowHidden(ROW()-1)=TRUE),0,(G27-G26)*unitsOfExo+J26)</f>
        <v>342000</v>
      </c>
      <c r="K27" s="9">
        <f t="shared" si="1"/>
        <v>-342000</v>
      </c>
      <c r="L27">
        <f t="shared" si="2"/>
        <v>384945</v>
      </c>
      <c r="M27">
        <f t="shared" si="3"/>
        <v>0</v>
      </c>
      <c r="N27">
        <f t="shared" si="4"/>
        <v>42945</v>
      </c>
      <c r="P27">
        <f t="shared" si="5"/>
        <v>342000</v>
      </c>
      <c r="Q27">
        <f t="shared" si="6"/>
        <v>-342000</v>
      </c>
      <c r="R27">
        <f t="shared" si="7"/>
        <v>384945</v>
      </c>
    </row>
    <row r="28" spans="1:18" hidden="1" x14ac:dyDescent="0.25">
      <c r="A28" s="1"/>
      <c r="C28" s="1"/>
      <c r="D28" s="1">
        <v>41297</v>
      </c>
      <c r="E28" s="10">
        <v>1579</v>
      </c>
      <c r="F28" s="1">
        <v>41297</v>
      </c>
      <c r="G28">
        <v>5476</v>
      </c>
      <c r="H28" s="1">
        <f t="shared" si="0"/>
        <v>41297</v>
      </c>
      <c r="I28">
        <f>IF(AND(MyRowHidden(ROW())=FALSE,MyRowHidden(ROW()-1)=TRUE),0,(E28-E27)*unitsOfDHp+I27)</f>
        <v>55265</v>
      </c>
      <c r="J28">
        <f>IF(AND(MyRowHidden(ROW())=FALSE,MyRowHidden(ROW()-1)=TRUE),0,(G28-G27)*unitsOfExo+J27)</f>
        <v>241200</v>
      </c>
      <c r="K28" s="9">
        <f t="shared" si="1"/>
        <v>-241200</v>
      </c>
      <c r="L28">
        <f t="shared" si="2"/>
        <v>296465</v>
      </c>
      <c r="M28">
        <f t="shared" si="3"/>
        <v>0</v>
      </c>
      <c r="N28">
        <f t="shared" si="4"/>
        <v>55265</v>
      </c>
      <c r="P28">
        <f t="shared" si="5"/>
        <v>241200</v>
      </c>
      <c r="Q28">
        <f t="shared" si="6"/>
        <v>-241200</v>
      </c>
      <c r="R28">
        <f t="shared" si="7"/>
        <v>296465</v>
      </c>
    </row>
    <row r="29" spans="1:18" hidden="1" x14ac:dyDescent="0.25">
      <c r="A29" s="1"/>
      <c r="C29" s="1"/>
      <c r="D29" s="1">
        <v>41298</v>
      </c>
      <c r="E29" s="10">
        <v>1757</v>
      </c>
      <c r="F29" s="1">
        <v>41298</v>
      </c>
      <c r="G29">
        <v>5376</v>
      </c>
      <c r="H29" s="1">
        <f t="shared" si="0"/>
        <v>41298</v>
      </c>
      <c r="I29">
        <f>IF(AND(MyRowHidden(ROW())=FALSE,MyRowHidden(ROW()-1)=TRUE),0,(E29-E28)*unitsOfDHp+I28)</f>
        <v>61495</v>
      </c>
      <c r="J29">
        <f>IF(AND(MyRowHidden(ROW())=FALSE,MyRowHidden(ROW()-1)=TRUE),0,(G29-G28)*unitsOfExo+J28)</f>
        <v>212400</v>
      </c>
      <c r="K29" s="9">
        <f t="shared" si="1"/>
        <v>-212400</v>
      </c>
      <c r="L29">
        <f t="shared" si="2"/>
        <v>273895</v>
      </c>
      <c r="M29">
        <f t="shared" si="3"/>
        <v>0</v>
      </c>
      <c r="N29">
        <f t="shared" si="4"/>
        <v>61495</v>
      </c>
      <c r="P29">
        <f t="shared" si="5"/>
        <v>212400</v>
      </c>
      <c r="Q29">
        <f t="shared" si="6"/>
        <v>-212400</v>
      </c>
      <c r="R29">
        <f t="shared" si="7"/>
        <v>273895</v>
      </c>
    </row>
    <row r="30" spans="1:18" hidden="1" x14ac:dyDescent="0.25">
      <c r="A30" s="1"/>
      <c r="C30" s="1"/>
      <c r="D30" s="1">
        <v>41299</v>
      </c>
      <c r="E30" s="10">
        <v>1420</v>
      </c>
      <c r="F30" s="1">
        <v>41299</v>
      </c>
      <c r="G30">
        <v>5338.5</v>
      </c>
      <c r="H30" s="1">
        <f t="shared" si="0"/>
        <v>41299</v>
      </c>
      <c r="I30">
        <f>IF(AND(MyRowHidden(ROW())=FALSE,MyRowHidden(ROW()-1)=TRUE),0,(E30-E29)*unitsOfDHp+I29)</f>
        <v>49700</v>
      </c>
      <c r="J30">
        <f>IF(AND(MyRowHidden(ROW())=FALSE,MyRowHidden(ROW()-1)=TRUE),0,(G30-G29)*unitsOfExo+J29)</f>
        <v>201600</v>
      </c>
      <c r="K30" s="9">
        <f t="shared" si="1"/>
        <v>-201600</v>
      </c>
      <c r="L30">
        <f t="shared" si="2"/>
        <v>251300</v>
      </c>
      <c r="M30">
        <f t="shared" si="3"/>
        <v>0</v>
      </c>
      <c r="N30">
        <f t="shared" si="4"/>
        <v>49700</v>
      </c>
      <c r="P30">
        <f t="shared" si="5"/>
        <v>201600</v>
      </c>
      <c r="Q30">
        <f t="shared" si="6"/>
        <v>-201600</v>
      </c>
      <c r="R30">
        <f t="shared" si="7"/>
        <v>251300</v>
      </c>
    </row>
    <row r="31" spans="1:18" hidden="1" x14ac:dyDescent="0.25">
      <c r="A31" s="1"/>
      <c r="C31" s="1"/>
      <c r="D31" s="1">
        <v>41302</v>
      </c>
      <c r="E31" s="10">
        <v>1718</v>
      </c>
      <c r="F31" s="1">
        <v>41302</v>
      </c>
      <c r="G31">
        <v>5488.5</v>
      </c>
      <c r="H31" s="1">
        <f t="shared" si="0"/>
        <v>41302</v>
      </c>
      <c r="I31">
        <f>IF(AND(MyRowHidden(ROW())=FALSE,MyRowHidden(ROW()-1)=TRUE),0,(E31-E30)*unitsOfDHp+I30)</f>
        <v>60130</v>
      </c>
      <c r="J31">
        <f>IF(AND(MyRowHidden(ROW())=FALSE,MyRowHidden(ROW()-1)=TRUE),0,(G31-G30)*unitsOfExo+J30)</f>
        <v>244800</v>
      </c>
      <c r="K31" s="9">
        <f t="shared" si="1"/>
        <v>-244800</v>
      </c>
      <c r="L31">
        <f t="shared" si="2"/>
        <v>304930</v>
      </c>
      <c r="M31">
        <f t="shared" si="3"/>
        <v>0</v>
      </c>
      <c r="N31">
        <f t="shared" si="4"/>
        <v>60130</v>
      </c>
      <c r="P31">
        <f t="shared" si="5"/>
        <v>244800</v>
      </c>
      <c r="Q31">
        <f t="shared" si="6"/>
        <v>-244800</v>
      </c>
      <c r="R31">
        <f t="shared" si="7"/>
        <v>304930</v>
      </c>
    </row>
    <row r="32" spans="1:18" hidden="1" x14ac:dyDescent="0.25">
      <c r="A32" s="1"/>
      <c r="C32" s="1"/>
      <c r="D32" s="1">
        <v>41303</v>
      </c>
      <c r="E32" s="10">
        <v>1753</v>
      </c>
      <c r="F32" s="1">
        <v>41303</v>
      </c>
      <c r="G32">
        <v>5851</v>
      </c>
      <c r="H32" s="1">
        <f t="shared" si="0"/>
        <v>41303</v>
      </c>
      <c r="I32">
        <f>IF(AND(MyRowHidden(ROW())=FALSE,MyRowHidden(ROW()-1)=TRUE),0,(E32-E31)*unitsOfDHp+I31)</f>
        <v>61355</v>
      </c>
      <c r="J32">
        <f>IF(AND(MyRowHidden(ROW())=FALSE,MyRowHidden(ROW()-1)=TRUE),0,(G32-G31)*unitsOfExo+J31)</f>
        <v>349200</v>
      </c>
      <c r="K32" s="9">
        <f t="shared" si="1"/>
        <v>-349200</v>
      </c>
      <c r="L32">
        <f t="shared" si="2"/>
        <v>410555</v>
      </c>
      <c r="M32">
        <f t="shared" si="3"/>
        <v>0</v>
      </c>
      <c r="N32">
        <f t="shared" si="4"/>
        <v>61355</v>
      </c>
      <c r="P32">
        <f t="shared" si="5"/>
        <v>349200</v>
      </c>
      <c r="Q32">
        <f t="shared" si="6"/>
        <v>-349200</v>
      </c>
      <c r="R32">
        <f t="shared" si="7"/>
        <v>410555</v>
      </c>
    </row>
    <row r="33" spans="1:18" hidden="1" x14ac:dyDescent="0.25">
      <c r="A33" s="1"/>
      <c r="C33" s="1"/>
      <c r="D33" s="1">
        <v>41304</v>
      </c>
      <c r="E33" s="10">
        <v>1797</v>
      </c>
      <c r="F33" s="1">
        <v>41304</v>
      </c>
      <c r="G33">
        <v>6326</v>
      </c>
      <c r="H33" s="1">
        <f t="shared" si="0"/>
        <v>41304</v>
      </c>
      <c r="I33">
        <f>IF(AND(MyRowHidden(ROW())=FALSE,MyRowHidden(ROW()-1)=TRUE),0,(E33-E32)*unitsOfDHp+I32)</f>
        <v>62895</v>
      </c>
      <c r="J33">
        <f>IF(AND(MyRowHidden(ROW())=FALSE,MyRowHidden(ROW()-1)=TRUE),0,(G33-G32)*unitsOfExo+J32)</f>
        <v>486000</v>
      </c>
      <c r="K33" s="9">
        <f t="shared" si="1"/>
        <v>-486000</v>
      </c>
      <c r="L33">
        <f t="shared" si="2"/>
        <v>548895</v>
      </c>
      <c r="M33">
        <f t="shared" si="3"/>
        <v>0</v>
      </c>
      <c r="N33">
        <f t="shared" si="4"/>
        <v>62895</v>
      </c>
      <c r="P33">
        <f t="shared" si="5"/>
        <v>486000</v>
      </c>
      <c r="Q33">
        <f t="shared" si="6"/>
        <v>-486000</v>
      </c>
      <c r="R33">
        <f t="shared" si="7"/>
        <v>548895</v>
      </c>
    </row>
    <row r="34" spans="1:18" hidden="1" x14ac:dyDescent="0.25">
      <c r="A34" s="1"/>
      <c r="C34" s="1"/>
      <c r="D34" s="1">
        <v>41305</v>
      </c>
      <c r="E34" s="10">
        <v>1784</v>
      </c>
      <c r="F34" s="1">
        <v>41305</v>
      </c>
      <c r="G34">
        <v>6288.5</v>
      </c>
      <c r="H34" s="1">
        <f t="shared" si="0"/>
        <v>41305</v>
      </c>
      <c r="I34">
        <f>IF(AND(MyRowHidden(ROW())=FALSE,MyRowHidden(ROW()-1)=TRUE),0,(E34-E33)*unitsOfDHp+I33)</f>
        <v>62440</v>
      </c>
      <c r="J34">
        <f>IF(AND(MyRowHidden(ROW())=FALSE,MyRowHidden(ROW()-1)=TRUE),0,(G34-G33)*unitsOfExo+J33)</f>
        <v>475200</v>
      </c>
      <c r="K34" s="9">
        <f t="shared" si="1"/>
        <v>-475200</v>
      </c>
      <c r="L34">
        <f t="shared" si="2"/>
        <v>537640</v>
      </c>
      <c r="M34">
        <f t="shared" si="3"/>
        <v>0</v>
      </c>
      <c r="N34">
        <f t="shared" si="4"/>
        <v>62440</v>
      </c>
      <c r="P34">
        <f t="shared" si="5"/>
        <v>475200</v>
      </c>
      <c r="Q34">
        <f t="shared" si="6"/>
        <v>-475200</v>
      </c>
      <c r="R34">
        <f t="shared" si="7"/>
        <v>537640</v>
      </c>
    </row>
    <row r="35" spans="1:18" hidden="1" x14ac:dyDescent="0.25">
      <c r="A35" s="1"/>
      <c r="C35" s="1"/>
      <c r="D35" s="1">
        <v>41306</v>
      </c>
      <c r="E35" s="10">
        <v>1924</v>
      </c>
      <c r="F35" s="1">
        <v>41306</v>
      </c>
      <c r="G35">
        <v>6201.5</v>
      </c>
      <c r="H35" s="1">
        <f t="shared" si="0"/>
        <v>41306</v>
      </c>
      <c r="I35">
        <f>IF(AND(MyRowHidden(ROW())=FALSE,MyRowHidden(ROW()-1)=TRUE),0,(E35-E34)*unitsOfDHp+I34)</f>
        <v>67340</v>
      </c>
      <c r="J35">
        <f>IF(AND(MyRowHidden(ROW())=FALSE,MyRowHidden(ROW()-1)=TRUE),0,(G35-G34)*unitsOfExo+J34)</f>
        <v>450144</v>
      </c>
      <c r="K35" s="9">
        <f t="shared" si="1"/>
        <v>-450144</v>
      </c>
      <c r="L35">
        <f t="shared" si="2"/>
        <v>517484</v>
      </c>
      <c r="M35">
        <f t="shared" si="3"/>
        <v>1</v>
      </c>
      <c r="N35">
        <f t="shared" si="4"/>
        <v>66931.666666666672</v>
      </c>
      <c r="P35">
        <f t="shared" si="5"/>
        <v>452232</v>
      </c>
      <c r="Q35">
        <f t="shared" si="6"/>
        <v>-452232</v>
      </c>
      <c r="R35">
        <f t="shared" si="7"/>
        <v>519163.66666666669</v>
      </c>
    </row>
    <row r="36" spans="1:18" hidden="1" x14ac:dyDescent="0.25">
      <c r="A36" s="1"/>
      <c r="C36" s="1"/>
      <c r="D36" s="1">
        <v>41309</v>
      </c>
      <c r="E36" s="10">
        <v>2143</v>
      </c>
      <c r="F36" s="1">
        <v>41309</v>
      </c>
      <c r="G36">
        <v>5964</v>
      </c>
      <c r="H36" s="1">
        <f t="shared" si="0"/>
        <v>41309</v>
      </c>
      <c r="I36">
        <f>IF(AND(MyRowHidden(ROW())=FALSE,MyRowHidden(ROW()-1)=TRUE),0,(E36-E35)*unitsOfDHp+I35)</f>
        <v>75005</v>
      </c>
      <c r="J36">
        <f>IF(AND(MyRowHidden(ROW())=FALSE,MyRowHidden(ROW()-1)=TRUE),0,(G36-G35)*unitsOfExo+J35)</f>
        <v>381744</v>
      </c>
      <c r="K36" s="9">
        <f t="shared" si="1"/>
        <v>-381744</v>
      </c>
      <c r="L36">
        <f t="shared" si="2"/>
        <v>456749</v>
      </c>
      <c r="M36">
        <f t="shared" si="3"/>
        <v>1</v>
      </c>
      <c r="N36">
        <f t="shared" si="4"/>
        <v>73957.916666666672</v>
      </c>
      <c r="P36">
        <f t="shared" si="5"/>
        <v>389532</v>
      </c>
      <c r="Q36">
        <f t="shared" si="6"/>
        <v>-389532</v>
      </c>
      <c r="R36">
        <f t="shared" si="7"/>
        <v>463489.91666666669</v>
      </c>
    </row>
    <row r="37" spans="1:18" hidden="1" x14ac:dyDescent="0.25">
      <c r="A37" s="1"/>
      <c r="C37" s="1"/>
      <c r="D37" s="1">
        <v>41310</v>
      </c>
      <c r="E37" s="10">
        <v>2213</v>
      </c>
      <c r="F37" s="1">
        <v>41310</v>
      </c>
      <c r="G37">
        <v>5651.5</v>
      </c>
      <c r="H37" s="1">
        <f t="shared" si="0"/>
        <v>41310</v>
      </c>
      <c r="I37">
        <f>IF(AND(MyRowHidden(ROW())=FALSE,MyRowHidden(ROW()-1)=TRUE),0,(E37-E36)*unitsOfDHp+I36)</f>
        <v>77455</v>
      </c>
      <c r="J37">
        <f>IF(AND(MyRowHidden(ROW())=FALSE,MyRowHidden(ROW()-1)=TRUE),0,(G37-G36)*unitsOfExo+J36)</f>
        <v>291744</v>
      </c>
      <c r="K37" s="9">
        <f t="shared" si="1"/>
        <v>-291744</v>
      </c>
      <c r="L37">
        <f t="shared" si="2"/>
        <v>369199</v>
      </c>
      <c r="M37">
        <f t="shared" si="3"/>
        <v>1</v>
      </c>
      <c r="N37">
        <f t="shared" si="4"/>
        <v>76203.75</v>
      </c>
      <c r="P37">
        <f t="shared" si="5"/>
        <v>307032</v>
      </c>
      <c r="Q37">
        <f t="shared" si="6"/>
        <v>-307032</v>
      </c>
      <c r="R37">
        <f t="shared" si="7"/>
        <v>383235.75</v>
      </c>
    </row>
    <row r="38" spans="1:18" hidden="1" x14ac:dyDescent="0.25">
      <c r="A38" s="1"/>
      <c r="C38" s="1"/>
      <c r="D38" s="1">
        <v>41311</v>
      </c>
      <c r="E38" s="10">
        <v>2240</v>
      </c>
      <c r="F38" s="1">
        <v>41311</v>
      </c>
      <c r="G38">
        <v>5464</v>
      </c>
      <c r="H38" s="1">
        <f t="shared" si="0"/>
        <v>41311</v>
      </c>
      <c r="I38">
        <f>IF(AND(MyRowHidden(ROW())=FALSE,MyRowHidden(ROW()-1)=TRUE),0,(E38-E37)*unitsOfDHp+I37)</f>
        <v>78400</v>
      </c>
      <c r="J38">
        <f>IF(AND(MyRowHidden(ROW())=FALSE,MyRowHidden(ROW()-1)=TRUE),0,(G38-G37)*unitsOfExo+J37)</f>
        <v>237744</v>
      </c>
      <c r="K38" s="9">
        <f t="shared" si="1"/>
        <v>-237744</v>
      </c>
      <c r="L38">
        <f t="shared" si="2"/>
        <v>316144</v>
      </c>
      <c r="M38">
        <f t="shared" si="3"/>
        <v>1</v>
      </c>
      <c r="N38">
        <f t="shared" si="4"/>
        <v>77070</v>
      </c>
      <c r="P38">
        <f t="shared" si="5"/>
        <v>257532</v>
      </c>
      <c r="Q38">
        <f t="shared" si="6"/>
        <v>-257532</v>
      </c>
      <c r="R38">
        <f t="shared" si="7"/>
        <v>334602</v>
      </c>
    </row>
    <row r="39" spans="1:18" hidden="1" x14ac:dyDescent="0.25">
      <c r="A39" s="1"/>
      <c r="C39" s="1"/>
      <c r="D39" s="1">
        <v>41312</v>
      </c>
      <c r="E39" s="10">
        <v>1734</v>
      </c>
      <c r="F39" s="1">
        <v>41312</v>
      </c>
      <c r="G39">
        <v>5014</v>
      </c>
      <c r="H39" s="1">
        <f t="shared" si="0"/>
        <v>41312</v>
      </c>
      <c r="I39">
        <f>IF(AND(MyRowHidden(ROW())=FALSE,MyRowHidden(ROW()-1)=TRUE),0,(E39-E38)*unitsOfDHp+I38)</f>
        <v>60690</v>
      </c>
      <c r="J39">
        <f>IF(AND(MyRowHidden(ROW())=FALSE,MyRowHidden(ROW()-1)=TRUE),0,(G39-G38)*unitsOfExo+J38)</f>
        <v>108144</v>
      </c>
      <c r="K39" s="9">
        <f t="shared" si="1"/>
        <v>-108144</v>
      </c>
      <c r="L39">
        <f t="shared" si="2"/>
        <v>168834</v>
      </c>
      <c r="M39">
        <f t="shared" si="3"/>
        <v>1</v>
      </c>
      <c r="N39">
        <f t="shared" si="4"/>
        <v>60835.833333333336</v>
      </c>
      <c r="P39">
        <f t="shared" si="5"/>
        <v>138732</v>
      </c>
      <c r="Q39">
        <f t="shared" si="6"/>
        <v>-138732</v>
      </c>
      <c r="R39">
        <f t="shared" si="7"/>
        <v>199567.83333333334</v>
      </c>
    </row>
    <row r="40" spans="1:18" hidden="1" x14ac:dyDescent="0.25">
      <c r="A40" s="1"/>
      <c r="C40" s="1"/>
      <c r="D40" s="1">
        <v>41313</v>
      </c>
      <c r="E40" s="10">
        <v>1834</v>
      </c>
      <c r="F40" s="1">
        <v>41313</v>
      </c>
      <c r="G40">
        <v>4914</v>
      </c>
      <c r="H40" s="1">
        <f t="shared" si="0"/>
        <v>41313</v>
      </c>
      <c r="I40">
        <f>IF(AND(MyRowHidden(ROW())=FALSE,MyRowHidden(ROW()-1)=TRUE),0,(E40-E39)*unitsOfDHp+I39)</f>
        <v>64190</v>
      </c>
      <c r="J40">
        <f>IF(AND(MyRowHidden(ROW())=FALSE,MyRowHidden(ROW()-1)=TRUE),0,(G40-G39)*unitsOfExo+J39)</f>
        <v>79344</v>
      </c>
      <c r="K40" s="9">
        <f t="shared" si="1"/>
        <v>-79344</v>
      </c>
      <c r="L40">
        <f t="shared" si="2"/>
        <v>143534</v>
      </c>
      <c r="M40">
        <f t="shared" si="3"/>
        <v>1</v>
      </c>
      <c r="N40">
        <f t="shared" si="4"/>
        <v>64044.166666666672</v>
      </c>
      <c r="P40">
        <f t="shared" si="5"/>
        <v>112332</v>
      </c>
      <c r="Q40">
        <f t="shared" si="6"/>
        <v>-112332</v>
      </c>
      <c r="R40">
        <f t="shared" si="7"/>
        <v>176376.16666666669</v>
      </c>
    </row>
    <row r="41" spans="1:18" hidden="1" x14ac:dyDescent="0.25">
      <c r="A41" s="1"/>
      <c r="C41" s="1"/>
      <c r="D41" s="1">
        <v>41316</v>
      </c>
      <c r="E41" s="10">
        <v>2061</v>
      </c>
      <c r="F41" s="1">
        <v>41316</v>
      </c>
      <c r="G41">
        <v>4389</v>
      </c>
      <c r="H41" s="1">
        <f t="shared" si="0"/>
        <v>41316</v>
      </c>
      <c r="I41">
        <f>IF(AND(MyRowHidden(ROW())=FALSE,MyRowHidden(ROW()-1)=TRUE),0,(E41-E40)*unitsOfDHp+I40)</f>
        <v>72135</v>
      </c>
      <c r="J41">
        <f>IF(AND(MyRowHidden(ROW())=FALSE,MyRowHidden(ROW()-1)=TRUE),0,(G41-G40)*unitsOfExo+J40)</f>
        <v>-71856</v>
      </c>
      <c r="K41" s="9">
        <f t="shared" si="1"/>
        <v>71856</v>
      </c>
      <c r="L41">
        <f t="shared" si="2"/>
        <v>279</v>
      </c>
      <c r="M41">
        <f t="shared" si="3"/>
        <v>1</v>
      </c>
      <c r="N41">
        <f t="shared" si="4"/>
        <v>71327.083333333343</v>
      </c>
      <c r="P41">
        <f t="shared" si="5"/>
        <v>-26268</v>
      </c>
      <c r="Q41">
        <f t="shared" si="6"/>
        <v>26268</v>
      </c>
      <c r="R41">
        <f t="shared" si="7"/>
        <v>45059.083333333372</v>
      </c>
    </row>
    <row r="42" spans="1:18" hidden="1" x14ac:dyDescent="0.25">
      <c r="A42" s="1"/>
      <c r="C42" s="1"/>
      <c r="D42" s="1">
        <v>41317</v>
      </c>
      <c r="E42" s="10">
        <v>2394</v>
      </c>
      <c r="F42" s="1">
        <v>41317</v>
      </c>
      <c r="G42">
        <v>3989</v>
      </c>
      <c r="H42" s="1">
        <f t="shared" si="0"/>
        <v>41317</v>
      </c>
      <c r="I42">
        <f>IF(AND(MyRowHidden(ROW())=FALSE,MyRowHidden(ROW()-1)=TRUE),0,(E42-E41)*unitsOfDHp+I41)</f>
        <v>83790</v>
      </c>
      <c r="J42">
        <f>IF(AND(MyRowHidden(ROW())=FALSE,MyRowHidden(ROW()-1)=TRUE),0,(G42-G41)*unitsOfExo+J41)</f>
        <v>-187056</v>
      </c>
      <c r="K42" s="9">
        <f t="shared" si="1"/>
        <v>187056</v>
      </c>
      <c r="L42">
        <f t="shared" si="2"/>
        <v>-103266</v>
      </c>
      <c r="M42">
        <f t="shared" si="3"/>
        <v>1</v>
      </c>
      <c r="N42">
        <f t="shared" si="4"/>
        <v>82010.833333333343</v>
      </c>
      <c r="P42">
        <f t="shared" si="5"/>
        <v>-131868</v>
      </c>
      <c r="Q42">
        <f t="shared" si="6"/>
        <v>131868</v>
      </c>
      <c r="R42">
        <f t="shared" si="7"/>
        <v>-49857.166666666628</v>
      </c>
    </row>
    <row r="43" spans="1:18" hidden="1" x14ac:dyDescent="0.25">
      <c r="A43" s="1"/>
      <c r="C43" s="1"/>
      <c r="D43" s="1">
        <v>41318</v>
      </c>
      <c r="E43" s="10">
        <v>2356</v>
      </c>
      <c r="F43" s="1">
        <v>41318</v>
      </c>
      <c r="G43">
        <v>3939</v>
      </c>
      <c r="H43" s="1">
        <f t="shared" si="0"/>
        <v>41318</v>
      </c>
      <c r="I43">
        <f>IF(AND(MyRowHidden(ROW())=FALSE,MyRowHidden(ROW()-1)=TRUE),0,(E43-E42)*unitsOfDHp+I42)</f>
        <v>82460</v>
      </c>
      <c r="J43">
        <f>IF(AND(MyRowHidden(ROW())=FALSE,MyRowHidden(ROW()-1)=TRUE),0,(G43-G42)*unitsOfExo+J42)</f>
        <v>-201456</v>
      </c>
      <c r="K43" s="9">
        <f t="shared" si="1"/>
        <v>201456</v>
      </c>
      <c r="L43">
        <f t="shared" si="2"/>
        <v>-118996</v>
      </c>
      <c r="M43">
        <f t="shared" si="3"/>
        <v>1</v>
      </c>
      <c r="N43">
        <f t="shared" si="4"/>
        <v>80791.666666666672</v>
      </c>
      <c r="P43">
        <f t="shared" si="5"/>
        <v>-145068</v>
      </c>
      <c r="Q43">
        <f t="shared" si="6"/>
        <v>145068</v>
      </c>
      <c r="R43">
        <f t="shared" si="7"/>
        <v>-64276.333333333292</v>
      </c>
    </row>
    <row r="44" spans="1:18" hidden="1" x14ac:dyDescent="0.25">
      <c r="A44" s="1"/>
      <c r="C44" s="1"/>
      <c r="D44" s="1">
        <v>41319</v>
      </c>
      <c r="E44" s="10">
        <v>2332</v>
      </c>
      <c r="F44" s="1">
        <v>41319</v>
      </c>
      <c r="G44">
        <v>3839</v>
      </c>
      <c r="H44" s="1">
        <f t="shared" si="0"/>
        <v>41319</v>
      </c>
      <c r="I44">
        <f>IF(AND(MyRowHidden(ROW())=FALSE,MyRowHidden(ROW()-1)=TRUE),0,(E44-E43)*unitsOfDHp+I43)</f>
        <v>81620</v>
      </c>
      <c r="J44">
        <f>IF(AND(MyRowHidden(ROW())=FALSE,MyRowHidden(ROW()-1)=TRUE),0,(G44-G43)*unitsOfExo+J43)</f>
        <v>-230256</v>
      </c>
      <c r="K44" s="9">
        <f t="shared" si="1"/>
        <v>230256</v>
      </c>
      <c r="L44">
        <f t="shared" si="2"/>
        <v>-148636</v>
      </c>
      <c r="M44">
        <f t="shared" si="3"/>
        <v>1</v>
      </c>
      <c r="N44">
        <f t="shared" si="4"/>
        <v>80021.666666666672</v>
      </c>
      <c r="P44">
        <f t="shared" si="5"/>
        <v>-171468</v>
      </c>
      <c r="Q44">
        <f t="shared" si="6"/>
        <v>171468</v>
      </c>
      <c r="R44">
        <f t="shared" si="7"/>
        <v>-91446.333333333285</v>
      </c>
    </row>
    <row r="45" spans="1:18" hidden="1" x14ac:dyDescent="0.25">
      <c r="A45" s="1"/>
      <c r="C45" s="1"/>
      <c r="D45" s="1">
        <v>41320</v>
      </c>
      <c r="E45" s="10">
        <v>2144</v>
      </c>
      <c r="F45" s="1">
        <v>41320</v>
      </c>
      <c r="G45">
        <v>4164</v>
      </c>
      <c r="H45" s="1">
        <f t="shared" si="0"/>
        <v>41320</v>
      </c>
      <c r="I45">
        <f>IF(AND(MyRowHidden(ROW())=FALSE,MyRowHidden(ROW()-1)=TRUE),0,(E45-E44)*unitsOfDHp+I44)</f>
        <v>75040</v>
      </c>
      <c r="J45">
        <f>IF(AND(MyRowHidden(ROW())=FALSE,MyRowHidden(ROW()-1)=TRUE),0,(G45-G44)*unitsOfExo+J44)</f>
        <v>-136656</v>
      </c>
      <c r="K45" s="9">
        <f t="shared" si="1"/>
        <v>136656</v>
      </c>
      <c r="L45">
        <f t="shared" si="2"/>
        <v>-61616</v>
      </c>
      <c r="M45">
        <f t="shared" si="3"/>
        <v>1</v>
      </c>
      <c r="N45">
        <f t="shared" si="4"/>
        <v>73990</v>
      </c>
      <c r="P45">
        <f t="shared" si="5"/>
        <v>-85668</v>
      </c>
      <c r="Q45">
        <f t="shared" si="6"/>
        <v>85668</v>
      </c>
      <c r="R45">
        <f t="shared" si="7"/>
        <v>-11677.999999999956</v>
      </c>
    </row>
    <row r="46" spans="1:18" hidden="1" x14ac:dyDescent="0.25">
      <c r="A46" s="1"/>
      <c r="C46" s="1"/>
      <c r="D46" s="1">
        <v>41323</v>
      </c>
      <c r="E46" s="10">
        <v>2344</v>
      </c>
      <c r="F46" s="1">
        <v>41323</v>
      </c>
      <c r="G46">
        <v>4251.5</v>
      </c>
      <c r="H46" s="1">
        <f t="shared" si="0"/>
        <v>41323</v>
      </c>
      <c r="I46">
        <f>IF(AND(MyRowHidden(ROW())=FALSE,MyRowHidden(ROW()-1)=TRUE),0,(E46-E45)*unitsOfDHp+I45)</f>
        <v>82040</v>
      </c>
      <c r="J46">
        <f>IF(AND(MyRowHidden(ROW())=FALSE,MyRowHidden(ROW()-1)=TRUE),0,(G46-G45)*unitsOfExo+J45)</f>
        <v>-111456</v>
      </c>
      <c r="K46" s="9">
        <f t="shared" si="1"/>
        <v>111456</v>
      </c>
      <c r="L46">
        <f t="shared" si="2"/>
        <v>-29416</v>
      </c>
      <c r="M46">
        <f t="shared" si="3"/>
        <v>1</v>
      </c>
      <c r="N46">
        <f t="shared" si="4"/>
        <v>80406.666666666672</v>
      </c>
      <c r="P46">
        <f t="shared" si="5"/>
        <v>-62568</v>
      </c>
      <c r="Q46">
        <f t="shared" si="6"/>
        <v>62568</v>
      </c>
      <c r="R46">
        <f t="shared" si="7"/>
        <v>17838.666666666708</v>
      </c>
    </row>
    <row r="47" spans="1:18" hidden="1" x14ac:dyDescent="0.25">
      <c r="A47" s="1"/>
      <c r="C47" s="1"/>
      <c r="D47" s="1">
        <v>41324</v>
      </c>
      <c r="E47" s="10">
        <v>2642</v>
      </c>
      <c r="F47" s="1">
        <v>41324</v>
      </c>
      <c r="G47">
        <v>3964</v>
      </c>
      <c r="H47" s="1">
        <f t="shared" si="0"/>
        <v>41324</v>
      </c>
      <c r="I47">
        <f>IF(AND(MyRowHidden(ROW())=FALSE,MyRowHidden(ROW()-1)=TRUE),0,(E47-E46)*unitsOfDHp+I46)</f>
        <v>92470</v>
      </c>
      <c r="J47">
        <f>IF(AND(MyRowHidden(ROW())=FALSE,MyRowHidden(ROW()-1)=TRUE),0,(G47-G46)*unitsOfExo+J46)</f>
        <v>-194256</v>
      </c>
      <c r="K47" s="9">
        <f t="shared" si="1"/>
        <v>194256</v>
      </c>
      <c r="L47">
        <f t="shared" si="2"/>
        <v>-101786</v>
      </c>
      <c r="M47">
        <f t="shared" si="3"/>
        <v>1</v>
      </c>
      <c r="N47">
        <f t="shared" si="4"/>
        <v>89967.5</v>
      </c>
      <c r="P47">
        <f t="shared" si="5"/>
        <v>-138468</v>
      </c>
      <c r="Q47">
        <f t="shared" si="6"/>
        <v>138468</v>
      </c>
      <c r="R47">
        <f t="shared" si="7"/>
        <v>-48500.499999999949</v>
      </c>
    </row>
    <row r="48" spans="1:18" hidden="1" x14ac:dyDescent="0.25">
      <c r="A48" s="1"/>
      <c r="C48" s="1"/>
      <c r="D48" s="1">
        <v>41325</v>
      </c>
      <c r="E48" s="10">
        <v>2332</v>
      </c>
      <c r="F48" s="1">
        <v>41325</v>
      </c>
      <c r="G48">
        <v>4251.5</v>
      </c>
      <c r="H48" s="1">
        <f t="shared" si="0"/>
        <v>41325</v>
      </c>
      <c r="I48">
        <f>IF(AND(MyRowHidden(ROW())=FALSE,MyRowHidden(ROW()-1)=TRUE),0,(E48-E47)*unitsOfDHp+I47)</f>
        <v>81620</v>
      </c>
      <c r="J48">
        <f>IF(AND(MyRowHidden(ROW())=FALSE,MyRowHidden(ROW()-1)=TRUE),0,(G48-G47)*unitsOfExo+J47)</f>
        <v>-111456</v>
      </c>
      <c r="K48" s="9">
        <f t="shared" si="1"/>
        <v>111456</v>
      </c>
      <c r="L48">
        <f t="shared" si="2"/>
        <v>-29836</v>
      </c>
      <c r="M48">
        <f t="shared" si="3"/>
        <v>1</v>
      </c>
      <c r="N48">
        <f t="shared" si="4"/>
        <v>80021.666666666672</v>
      </c>
      <c r="P48">
        <f t="shared" si="5"/>
        <v>-62568</v>
      </c>
      <c r="Q48">
        <f t="shared" si="6"/>
        <v>62568</v>
      </c>
      <c r="R48">
        <f t="shared" si="7"/>
        <v>17453.666666666708</v>
      </c>
    </row>
    <row r="49" spans="1:18" hidden="1" x14ac:dyDescent="0.25">
      <c r="A49" s="1"/>
      <c r="C49" s="1"/>
      <c r="D49" s="1">
        <v>41326</v>
      </c>
      <c r="E49" s="10">
        <v>2414</v>
      </c>
      <c r="F49" s="1">
        <v>41326</v>
      </c>
      <c r="G49">
        <v>3901.5</v>
      </c>
      <c r="H49" s="1">
        <f t="shared" si="0"/>
        <v>41326</v>
      </c>
      <c r="I49">
        <f>IF(AND(MyRowHidden(ROW())=FALSE,MyRowHidden(ROW()-1)=TRUE),0,(E49-E48)*unitsOfDHp+I48)</f>
        <v>84490</v>
      </c>
      <c r="J49">
        <f>IF(AND(MyRowHidden(ROW())=FALSE,MyRowHidden(ROW()-1)=TRUE),0,(G49-G48)*unitsOfExo+J48)</f>
        <v>-212256</v>
      </c>
      <c r="K49" s="9">
        <f t="shared" si="1"/>
        <v>212256</v>
      </c>
      <c r="L49">
        <f t="shared" si="2"/>
        <v>-127766</v>
      </c>
      <c r="M49">
        <f t="shared" si="3"/>
        <v>1</v>
      </c>
      <c r="N49">
        <f t="shared" si="4"/>
        <v>82652.5</v>
      </c>
      <c r="P49">
        <f t="shared" si="5"/>
        <v>-154968</v>
      </c>
      <c r="Q49">
        <f t="shared" si="6"/>
        <v>154968</v>
      </c>
      <c r="R49">
        <f t="shared" si="7"/>
        <v>-72315.499999999942</v>
      </c>
    </row>
    <row r="50" spans="1:18" hidden="1" x14ac:dyDescent="0.25">
      <c r="A50" s="1"/>
      <c r="C50" s="1"/>
      <c r="D50" s="1">
        <v>41327</v>
      </c>
      <c r="E50" s="10">
        <v>2326</v>
      </c>
      <c r="F50" s="1">
        <v>41327</v>
      </c>
      <c r="G50">
        <v>3839</v>
      </c>
      <c r="H50" s="1">
        <f t="shared" si="0"/>
        <v>41327</v>
      </c>
      <c r="I50">
        <f>IF(AND(MyRowHidden(ROW())=FALSE,MyRowHidden(ROW()-1)=TRUE),0,(E50-E49)*unitsOfDHp+I49)</f>
        <v>81410</v>
      </c>
      <c r="J50">
        <f>IF(AND(MyRowHidden(ROW())=FALSE,MyRowHidden(ROW()-1)=TRUE),0,(G50-G49)*unitsOfExo+J49)</f>
        <v>-230256</v>
      </c>
      <c r="K50" s="9">
        <f t="shared" si="1"/>
        <v>230256</v>
      </c>
      <c r="L50">
        <f t="shared" si="2"/>
        <v>-148846</v>
      </c>
      <c r="M50">
        <f t="shared" si="3"/>
        <v>1</v>
      </c>
      <c r="N50">
        <f t="shared" si="4"/>
        <v>79829.166666666672</v>
      </c>
      <c r="P50">
        <f t="shared" si="5"/>
        <v>-171468</v>
      </c>
      <c r="Q50">
        <f t="shared" si="6"/>
        <v>171468</v>
      </c>
      <c r="R50">
        <f t="shared" si="7"/>
        <v>-91638.83333333327</v>
      </c>
    </row>
    <row r="51" spans="1:18" hidden="1" x14ac:dyDescent="0.25">
      <c r="A51" s="1"/>
      <c r="C51" s="1"/>
      <c r="D51" s="1">
        <v>41330</v>
      </c>
      <c r="E51" s="10">
        <v>2216</v>
      </c>
      <c r="F51" s="1">
        <v>41330</v>
      </c>
      <c r="G51">
        <v>3864</v>
      </c>
      <c r="H51" s="1">
        <f t="shared" si="0"/>
        <v>41330</v>
      </c>
      <c r="I51">
        <f>IF(AND(MyRowHidden(ROW())=FALSE,MyRowHidden(ROW()-1)=TRUE),0,(E51-E50)*unitsOfDHp+I50)</f>
        <v>77560</v>
      </c>
      <c r="J51">
        <f>IF(AND(MyRowHidden(ROW())=FALSE,MyRowHidden(ROW()-1)=TRUE),0,(G51-G50)*unitsOfExo+J50)</f>
        <v>-223056</v>
      </c>
      <c r="K51" s="9">
        <f t="shared" si="1"/>
        <v>223056</v>
      </c>
      <c r="L51">
        <f t="shared" si="2"/>
        <v>-145496</v>
      </c>
      <c r="M51">
        <f t="shared" si="3"/>
        <v>1</v>
      </c>
      <c r="N51">
        <f t="shared" si="4"/>
        <v>76300</v>
      </c>
      <c r="P51">
        <f t="shared" si="5"/>
        <v>-164868</v>
      </c>
      <c r="Q51">
        <f t="shared" si="6"/>
        <v>164868</v>
      </c>
      <c r="R51">
        <f t="shared" si="7"/>
        <v>-88567.999999999942</v>
      </c>
    </row>
    <row r="52" spans="1:18" hidden="1" x14ac:dyDescent="0.25">
      <c r="A52" s="1"/>
      <c r="C52" s="1"/>
      <c r="D52" s="1">
        <v>41331</v>
      </c>
      <c r="E52" s="10">
        <v>1716</v>
      </c>
      <c r="F52" s="1">
        <v>41331</v>
      </c>
      <c r="G52">
        <v>4189</v>
      </c>
      <c r="H52" s="1">
        <f t="shared" si="0"/>
        <v>41331</v>
      </c>
      <c r="I52">
        <f>IF(AND(MyRowHidden(ROW())=FALSE,MyRowHidden(ROW()-1)=TRUE),0,(E52-E51)*unitsOfDHp+I51)</f>
        <v>60060</v>
      </c>
      <c r="J52">
        <f>IF(AND(MyRowHidden(ROW())=FALSE,MyRowHidden(ROW()-1)=TRUE),0,(G52-G51)*unitsOfExo+J51)</f>
        <v>-129456</v>
      </c>
      <c r="K52" s="9">
        <f t="shared" si="1"/>
        <v>129456</v>
      </c>
      <c r="L52">
        <f t="shared" si="2"/>
        <v>-69396</v>
      </c>
      <c r="M52">
        <f t="shared" si="3"/>
        <v>1</v>
      </c>
      <c r="N52">
        <f t="shared" si="4"/>
        <v>60258.333333333336</v>
      </c>
      <c r="P52">
        <f t="shared" si="5"/>
        <v>-79068</v>
      </c>
      <c r="Q52">
        <f t="shared" si="6"/>
        <v>79068</v>
      </c>
      <c r="R52">
        <f t="shared" si="7"/>
        <v>-18809.666666666613</v>
      </c>
    </row>
    <row r="53" spans="1:18" hidden="1" x14ac:dyDescent="0.25">
      <c r="A53" s="1"/>
      <c r="C53" s="1"/>
      <c r="D53" s="1">
        <v>41332</v>
      </c>
      <c r="E53" s="10">
        <v>1110</v>
      </c>
      <c r="F53" s="1">
        <v>41332</v>
      </c>
      <c r="G53">
        <v>4351.5</v>
      </c>
      <c r="H53" s="1">
        <f t="shared" si="0"/>
        <v>41332</v>
      </c>
      <c r="I53">
        <f>IF(AND(MyRowHidden(ROW())=FALSE,MyRowHidden(ROW()-1)=TRUE),0,(E53-E52)*unitsOfDHp+I52)</f>
        <v>38850</v>
      </c>
      <c r="J53">
        <f>IF(AND(MyRowHidden(ROW())=FALSE,MyRowHidden(ROW()-1)=TRUE),0,(G53-G52)*unitsOfExo+J52)</f>
        <v>-82656</v>
      </c>
      <c r="K53" s="9">
        <f t="shared" si="1"/>
        <v>82656</v>
      </c>
      <c r="L53">
        <f t="shared" si="2"/>
        <v>-43806</v>
      </c>
      <c r="M53">
        <f t="shared" si="3"/>
        <v>1</v>
      </c>
      <c r="N53">
        <f t="shared" si="4"/>
        <v>40815.833333333336</v>
      </c>
      <c r="P53">
        <f t="shared" si="5"/>
        <v>-36168</v>
      </c>
      <c r="Q53">
        <f t="shared" si="6"/>
        <v>36168</v>
      </c>
      <c r="R53">
        <f t="shared" si="7"/>
        <v>4647.8333333333867</v>
      </c>
    </row>
    <row r="54" spans="1:18" hidden="1" x14ac:dyDescent="0.25">
      <c r="A54" s="1"/>
      <c r="C54" s="1"/>
      <c r="D54" s="1">
        <v>41333</v>
      </c>
      <c r="E54" s="10">
        <v>1186</v>
      </c>
      <c r="F54" s="1">
        <v>41333</v>
      </c>
      <c r="G54">
        <v>4764</v>
      </c>
      <c r="H54" s="1">
        <f t="shared" si="0"/>
        <v>41333</v>
      </c>
      <c r="I54">
        <f>IF(AND(MyRowHidden(ROW())=FALSE,MyRowHidden(ROW()-1)=TRUE),0,(E54-E53)*unitsOfDHp+I53)</f>
        <v>41510</v>
      </c>
      <c r="J54">
        <f>IF(AND(MyRowHidden(ROW())=FALSE,MyRowHidden(ROW()-1)=TRUE),0,(G54-G53)*unitsOfExo+J53)</f>
        <v>36144</v>
      </c>
      <c r="K54" s="9">
        <f t="shared" si="1"/>
        <v>-36144</v>
      </c>
      <c r="L54">
        <f t="shared" si="2"/>
        <v>77654</v>
      </c>
      <c r="M54">
        <f t="shared" si="3"/>
        <v>1</v>
      </c>
      <c r="N54">
        <f t="shared" si="4"/>
        <v>43254.166666666672</v>
      </c>
      <c r="P54">
        <f t="shared" si="5"/>
        <v>72732</v>
      </c>
      <c r="Q54">
        <f t="shared" si="6"/>
        <v>-72732</v>
      </c>
      <c r="R54">
        <f t="shared" si="7"/>
        <v>115986.16666666672</v>
      </c>
    </row>
    <row r="55" spans="1:18" hidden="1" x14ac:dyDescent="0.25">
      <c r="A55" s="1"/>
      <c r="C55" s="1"/>
      <c r="D55" s="1">
        <v>41334</v>
      </c>
      <c r="E55" s="10">
        <v>1361</v>
      </c>
      <c r="F55" s="1">
        <v>41334</v>
      </c>
      <c r="G55">
        <v>4952</v>
      </c>
      <c r="H55" s="1">
        <f t="shared" si="0"/>
        <v>41334</v>
      </c>
      <c r="I55">
        <f>IF(AND(MyRowHidden(ROW())=FALSE,MyRowHidden(ROW()-1)=TRUE),0,(E55-E54)*unitsOfDHp+I54)</f>
        <v>47635</v>
      </c>
      <c r="J55">
        <f>IF(AND(MyRowHidden(ROW())=FALSE,MyRowHidden(ROW()-1)=TRUE),0,(G55-G54)*unitsOfExo+J54)</f>
        <v>90288</v>
      </c>
      <c r="K55" s="9">
        <f t="shared" si="1"/>
        <v>-90288</v>
      </c>
      <c r="L55">
        <f t="shared" si="2"/>
        <v>137923</v>
      </c>
      <c r="M55">
        <f t="shared" si="3"/>
        <v>2</v>
      </c>
      <c r="N55">
        <f t="shared" si="4"/>
        <v>48358.333333333336</v>
      </c>
      <c r="P55">
        <f t="shared" si="5"/>
        <v>117852</v>
      </c>
      <c r="Q55">
        <f t="shared" si="6"/>
        <v>-117852</v>
      </c>
      <c r="R55">
        <f t="shared" si="7"/>
        <v>166210.33333333337</v>
      </c>
    </row>
    <row r="56" spans="1:18" hidden="1" x14ac:dyDescent="0.25">
      <c r="A56" s="1"/>
      <c r="C56" s="1"/>
      <c r="D56" s="1">
        <v>41337</v>
      </c>
      <c r="E56" s="10">
        <v>1300</v>
      </c>
      <c r="F56" s="1">
        <v>41337</v>
      </c>
      <c r="G56">
        <v>4502</v>
      </c>
      <c r="H56" s="1">
        <f t="shared" si="0"/>
        <v>41337</v>
      </c>
      <c r="I56">
        <f>IF(AND(MyRowHidden(ROW())=FALSE,MyRowHidden(ROW()-1)=TRUE),0,(E56-E55)*unitsOfDHp+I55)</f>
        <v>45500</v>
      </c>
      <c r="J56">
        <f>IF(AND(MyRowHidden(ROW())=FALSE,MyRowHidden(ROW()-1)=TRUE),0,(G56-G55)*unitsOfExo+J55)</f>
        <v>-39312</v>
      </c>
      <c r="K56" s="9">
        <f t="shared" si="1"/>
        <v>39312</v>
      </c>
      <c r="L56">
        <f t="shared" si="2"/>
        <v>6188</v>
      </c>
      <c r="M56">
        <f t="shared" si="3"/>
        <v>2</v>
      </c>
      <c r="N56">
        <f t="shared" si="4"/>
        <v>46579.166666666672</v>
      </c>
      <c r="P56">
        <f t="shared" si="5"/>
        <v>9852</v>
      </c>
      <c r="Q56">
        <f t="shared" si="6"/>
        <v>-9852</v>
      </c>
      <c r="R56">
        <f t="shared" si="7"/>
        <v>56431.166666666701</v>
      </c>
    </row>
    <row r="57" spans="1:18" hidden="1" x14ac:dyDescent="0.25">
      <c r="A57" s="1"/>
      <c r="C57" s="1"/>
      <c r="D57" s="1">
        <v>41338</v>
      </c>
      <c r="E57" s="10">
        <v>926</v>
      </c>
      <c r="F57" s="1">
        <v>41338</v>
      </c>
      <c r="G57">
        <v>4889.5</v>
      </c>
      <c r="H57" s="1">
        <f t="shared" si="0"/>
        <v>41338</v>
      </c>
      <c r="I57">
        <f>IF(AND(MyRowHidden(ROW())=FALSE,MyRowHidden(ROW()-1)=TRUE),0,(E57-E56)*unitsOfDHp+I56)</f>
        <v>32410</v>
      </c>
      <c r="J57">
        <f>IF(AND(MyRowHidden(ROW())=FALSE,MyRowHidden(ROW()-1)=TRUE),0,(G57-G56)*unitsOfExo+J56)</f>
        <v>72288</v>
      </c>
      <c r="K57" s="9">
        <f t="shared" si="1"/>
        <v>-72288</v>
      </c>
      <c r="L57">
        <f t="shared" si="2"/>
        <v>104698</v>
      </c>
      <c r="M57">
        <f t="shared" si="3"/>
        <v>2</v>
      </c>
      <c r="N57">
        <f t="shared" si="4"/>
        <v>35670.833333333336</v>
      </c>
      <c r="P57">
        <f t="shared" si="5"/>
        <v>102852</v>
      </c>
      <c r="Q57">
        <f t="shared" si="6"/>
        <v>-102852</v>
      </c>
      <c r="R57">
        <f t="shared" si="7"/>
        <v>138522.83333333337</v>
      </c>
    </row>
    <row r="58" spans="1:18" hidden="1" x14ac:dyDescent="0.25">
      <c r="A58" s="1"/>
      <c r="C58" s="1"/>
      <c r="D58" s="1">
        <v>41339</v>
      </c>
      <c r="E58" s="10">
        <v>1538</v>
      </c>
      <c r="F58" s="1">
        <v>41339</v>
      </c>
      <c r="G58">
        <v>4214.5</v>
      </c>
      <c r="H58" s="1">
        <f t="shared" si="0"/>
        <v>41339</v>
      </c>
      <c r="I58">
        <f>IF(AND(MyRowHidden(ROW())=FALSE,MyRowHidden(ROW()-1)=TRUE),0,(E58-E57)*unitsOfDHp+I57)</f>
        <v>53830</v>
      </c>
      <c r="J58">
        <f>IF(AND(MyRowHidden(ROW())=FALSE,MyRowHidden(ROW()-1)=TRUE),0,(G58-G57)*unitsOfExo+J57)</f>
        <v>-122112</v>
      </c>
      <c r="K58" s="9">
        <f t="shared" si="1"/>
        <v>122112</v>
      </c>
      <c r="L58">
        <f t="shared" si="2"/>
        <v>-68282</v>
      </c>
      <c r="M58">
        <f t="shared" si="3"/>
        <v>2</v>
      </c>
      <c r="N58">
        <f t="shared" si="4"/>
        <v>53520.833333333336</v>
      </c>
      <c r="P58">
        <f t="shared" si="5"/>
        <v>-59148</v>
      </c>
      <c r="Q58">
        <f t="shared" si="6"/>
        <v>59148</v>
      </c>
      <c r="R58">
        <f t="shared" si="7"/>
        <v>-5627.1666666666279</v>
      </c>
    </row>
    <row r="59" spans="1:18" hidden="1" x14ac:dyDescent="0.25">
      <c r="A59" s="1"/>
      <c r="C59" s="1"/>
      <c r="D59" s="1">
        <v>41340</v>
      </c>
      <c r="E59" s="10">
        <v>1458</v>
      </c>
      <c r="F59" s="1">
        <v>41340</v>
      </c>
      <c r="G59">
        <v>3802</v>
      </c>
      <c r="H59" s="1">
        <f t="shared" si="0"/>
        <v>41340</v>
      </c>
      <c r="I59">
        <f>IF(AND(MyRowHidden(ROW())=FALSE,MyRowHidden(ROW()-1)=TRUE),0,(E59-E58)*unitsOfDHp+I58)</f>
        <v>51030</v>
      </c>
      <c r="J59">
        <f>IF(AND(MyRowHidden(ROW())=FALSE,MyRowHidden(ROW()-1)=TRUE),0,(G59-G58)*unitsOfExo+J58)</f>
        <v>-240912</v>
      </c>
      <c r="K59" s="9">
        <f t="shared" si="1"/>
        <v>240912</v>
      </c>
      <c r="L59">
        <f t="shared" si="2"/>
        <v>-189882</v>
      </c>
      <c r="M59">
        <f t="shared" si="3"/>
        <v>2</v>
      </c>
      <c r="N59">
        <f t="shared" si="4"/>
        <v>51187.5</v>
      </c>
      <c r="P59">
        <f t="shared" si="5"/>
        <v>-158148</v>
      </c>
      <c r="Q59">
        <f t="shared" si="6"/>
        <v>158148</v>
      </c>
      <c r="R59">
        <f t="shared" si="7"/>
        <v>-106960.49999999997</v>
      </c>
    </row>
    <row r="60" spans="1:18" hidden="1" x14ac:dyDescent="0.25">
      <c r="A60" s="1"/>
      <c r="C60" s="1"/>
      <c r="D60" s="1">
        <v>41341</v>
      </c>
      <c r="E60" s="10">
        <v>-57</v>
      </c>
      <c r="F60" s="1">
        <v>41341</v>
      </c>
      <c r="G60">
        <v>4502</v>
      </c>
      <c r="H60" s="1">
        <f t="shared" si="0"/>
        <v>41341</v>
      </c>
      <c r="I60">
        <f>IF(AND(MyRowHidden(ROW())=FALSE,MyRowHidden(ROW()-1)=TRUE),0,(E60-E59)*unitsOfDHp+I59)</f>
        <v>-1995</v>
      </c>
      <c r="J60">
        <f>IF(AND(MyRowHidden(ROW())=FALSE,MyRowHidden(ROW()-1)=TRUE),0,(G60-G59)*unitsOfExo+J59)</f>
        <v>-39312</v>
      </c>
      <c r="K60" s="9">
        <f t="shared" si="1"/>
        <v>39312</v>
      </c>
      <c r="L60">
        <f t="shared" si="2"/>
        <v>-41307</v>
      </c>
      <c r="M60">
        <f t="shared" si="3"/>
        <v>2</v>
      </c>
      <c r="N60">
        <f t="shared" si="4"/>
        <v>7000</v>
      </c>
      <c r="P60">
        <f t="shared" si="5"/>
        <v>9852</v>
      </c>
      <c r="Q60">
        <f t="shared" si="6"/>
        <v>-9852</v>
      </c>
      <c r="R60">
        <f t="shared" si="7"/>
        <v>16852.000000000029</v>
      </c>
    </row>
    <row r="61" spans="1:18" hidden="1" x14ac:dyDescent="0.25">
      <c r="A61" s="1"/>
      <c r="C61" s="1"/>
      <c r="D61" s="1">
        <v>41344</v>
      </c>
      <c r="E61" s="10">
        <v>-1980</v>
      </c>
      <c r="F61" s="1">
        <v>41344</v>
      </c>
      <c r="G61">
        <v>5189.5</v>
      </c>
      <c r="H61" s="1">
        <f t="shared" si="0"/>
        <v>41344</v>
      </c>
      <c r="I61">
        <f>IF(AND(MyRowHidden(ROW())=FALSE,MyRowHidden(ROW()-1)=TRUE),0,(E61-E60)*unitsOfDHp+I60)</f>
        <v>-69300</v>
      </c>
      <c r="J61">
        <f>IF(AND(MyRowHidden(ROW())=FALSE,MyRowHidden(ROW()-1)=TRUE),0,(G61-G60)*unitsOfExo+J60)</f>
        <v>158688</v>
      </c>
      <c r="K61" s="9">
        <f t="shared" si="1"/>
        <v>-158688</v>
      </c>
      <c r="L61">
        <f t="shared" si="2"/>
        <v>89388</v>
      </c>
      <c r="M61">
        <f t="shared" si="3"/>
        <v>2</v>
      </c>
      <c r="N61">
        <f t="shared" si="4"/>
        <v>-49087.5</v>
      </c>
      <c r="P61">
        <f t="shared" si="5"/>
        <v>174852</v>
      </c>
      <c r="Q61">
        <f t="shared" si="6"/>
        <v>-174852</v>
      </c>
      <c r="R61">
        <f t="shared" si="7"/>
        <v>125764.50000000003</v>
      </c>
    </row>
    <row r="62" spans="1:18" hidden="1" x14ac:dyDescent="0.25">
      <c r="A62" s="1"/>
      <c r="C62" s="1"/>
      <c r="D62" s="1">
        <v>41345</v>
      </c>
      <c r="E62" s="10">
        <v>-2242</v>
      </c>
      <c r="F62" s="1">
        <v>41345</v>
      </c>
      <c r="G62">
        <v>5314.5</v>
      </c>
      <c r="H62" s="1">
        <f t="shared" si="0"/>
        <v>41345</v>
      </c>
      <c r="I62">
        <f>IF(AND(MyRowHidden(ROW())=FALSE,MyRowHidden(ROW()-1)=TRUE),0,(E62-E61)*unitsOfDHp+I61)</f>
        <v>-78470</v>
      </c>
      <c r="J62">
        <f>IF(AND(MyRowHidden(ROW())=FALSE,MyRowHidden(ROW()-1)=TRUE),0,(G62-G61)*unitsOfExo+J61)</f>
        <v>194688</v>
      </c>
      <c r="K62" s="9">
        <f t="shared" si="1"/>
        <v>-194688</v>
      </c>
      <c r="L62">
        <f t="shared" si="2"/>
        <v>116218</v>
      </c>
      <c r="M62">
        <f t="shared" si="3"/>
        <v>2</v>
      </c>
      <c r="N62">
        <f t="shared" si="4"/>
        <v>-56729.166666666664</v>
      </c>
      <c r="P62">
        <f t="shared" si="5"/>
        <v>204852</v>
      </c>
      <c r="Q62">
        <f t="shared" si="6"/>
        <v>-204852</v>
      </c>
      <c r="R62">
        <f t="shared" si="7"/>
        <v>148122.83333333337</v>
      </c>
    </row>
    <row r="63" spans="1:18" hidden="1" x14ac:dyDescent="0.25">
      <c r="A63" s="1"/>
      <c r="C63" s="1"/>
      <c r="D63" s="1">
        <v>41346</v>
      </c>
      <c r="E63" s="10">
        <v>-1730</v>
      </c>
      <c r="F63" s="1">
        <v>41346</v>
      </c>
      <c r="G63">
        <v>5002</v>
      </c>
      <c r="H63" s="1">
        <f t="shared" si="0"/>
        <v>41346</v>
      </c>
      <c r="I63">
        <f>IF(AND(MyRowHidden(ROW())=FALSE,MyRowHidden(ROW()-1)=TRUE),0,(E63-E62)*unitsOfDHp+I62)</f>
        <v>-60550</v>
      </c>
      <c r="J63">
        <f>IF(AND(MyRowHidden(ROW())=FALSE,MyRowHidden(ROW()-1)=TRUE),0,(G63-G62)*unitsOfExo+J62)</f>
        <v>104688</v>
      </c>
      <c r="K63" s="9">
        <f t="shared" si="1"/>
        <v>-104688</v>
      </c>
      <c r="L63">
        <f t="shared" si="2"/>
        <v>44138</v>
      </c>
      <c r="M63">
        <f t="shared" si="3"/>
        <v>2</v>
      </c>
      <c r="N63">
        <f t="shared" si="4"/>
        <v>-41795.833333333328</v>
      </c>
      <c r="P63">
        <f t="shared" si="5"/>
        <v>129852</v>
      </c>
      <c r="Q63">
        <f t="shared" si="6"/>
        <v>-129852</v>
      </c>
      <c r="R63">
        <f t="shared" si="7"/>
        <v>88056.166666666701</v>
      </c>
    </row>
    <row r="64" spans="1:18" hidden="1" x14ac:dyDescent="0.25">
      <c r="A64" s="1"/>
      <c r="C64" s="1"/>
      <c r="D64" s="1">
        <v>41347</v>
      </c>
      <c r="E64" s="10">
        <v>-2229</v>
      </c>
      <c r="F64" s="1">
        <v>41347</v>
      </c>
      <c r="G64">
        <v>5289.5</v>
      </c>
      <c r="H64" s="1">
        <f t="shared" si="0"/>
        <v>41347</v>
      </c>
      <c r="I64">
        <f>IF(AND(MyRowHidden(ROW())=FALSE,MyRowHidden(ROW()-1)=TRUE),0,(E64-E63)*unitsOfDHp+I63)</f>
        <v>-78015</v>
      </c>
      <c r="J64">
        <f>IF(AND(MyRowHidden(ROW())=FALSE,MyRowHidden(ROW()-1)=TRUE),0,(G64-G63)*unitsOfExo+J63)</f>
        <v>187488</v>
      </c>
      <c r="K64" s="9">
        <f t="shared" si="1"/>
        <v>-187488</v>
      </c>
      <c r="L64">
        <f t="shared" si="2"/>
        <v>109473</v>
      </c>
      <c r="M64">
        <f t="shared" si="3"/>
        <v>2</v>
      </c>
      <c r="N64">
        <f t="shared" si="4"/>
        <v>-56350</v>
      </c>
      <c r="P64">
        <f t="shared" si="5"/>
        <v>198852</v>
      </c>
      <c r="Q64">
        <f t="shared" si="6"/>
        <v>-198852</v>
      </c>
      <c r="R64">
        <f t="shared" si="7"/>
        <v>142502.00000000003</v>
      </c>
    </row>
    <row r="65" spans="1:18" hidden="1" x14ac:dyDescent="0.25">
      <c r="A65" s="1"/>
      <c r="C65" s="1"/>
      <c r="D65" s="1">
        <v>41348</v>
      </c>
      <c r="E65" s="10">
        <v>-2340</v>
      </c>
      <c r="F65" s="1">
        <v>41348</v>
      </c>
      <c r="G65">
        <v>5352</v>
      </c>
      <c r="H65" s="1">
        <f t="shared" si="0"/>
        <v>41348</v>
      </c>
      <c r="I65">
        <f>IF(AND(MyRowHidden(ROW())=FALSE,MyRowHidden(ROW()-1)=TRUE),0,(E65-E64)*unitsOfDHp+I64)</f>
        <v>-81900</v>
      </c>
      <c r="J65">
        <f>IF(AND(MyRowHidden(ROW())=FALSE,MyRowHidden(ROW()-1)=TRUE),0,(G65-G64)*unitsOfExo+J64)</f>
        <v>205488</v>
      </c>
      <c r="K65" s="9">
        <f t="shared" si="1"/>
        <v>-205488</v>
      </c>
      <c r="L65">
        <f t="shared" si="2"/>
        <v>123588</v>
      </c>
      <c r="M65">
        <f t="shared" si="3"/>
        <v>2</v>
      </c>
      <c r="N65">
        <f t="shared" si="4"/>
        <v>-59587.5</v>
      </c>
      <c r="P65">
        <f t="shared" si="5"/>
        <v>213852</v>
      </c>
      <c r="Q65">
        <f t="shared" si="6"/>
        <v>-213852</v>
      </c>
      <c r="R65">
        <f t="shared" si="7"/>
        <v>154264.50000000003</v>
      </c>
    </row>
    <row r="66" spans="1:18" hidden="1" x14ac:dyDescent="0.25">
      <c r="A66" s="1"/>
      <c r="C66" s="1"/>
      <c r="D66" s="1">
        <v>41351</v>
      </c>
      <c r="E66" s="10">
        <v>-2378</v>
      </c>
      <c r="F66" s="1">
        <v>41351</v>
      </c>
      <c r="G66">
        <v>5364.5</v>
      </c>
      <c r="H66" s="1">
        <f t="shared" si="0"/>
        <v>41351</v>
      </c>
      <c r="I66">
        <f>IF(AND(MyRowHidden(ROW())=FALSE,MyRowHidden(ROW()-1)=TRUE),0,(E66-E65)*unitsOfDHp+I65)</f>
        <v>-83230</v>
      </c>
      <c r="J66">
        <f>IF(AND(MyRowHidden(ROW())=FALSE,MyRowHidden(ROW()-1)=TRUE),0,(G66-G65)*unitsOfExo+J65)</f>
        <v>209088</v>
      </c>
      <c r="K66" s="9">
        <f t="shared" si="1"/>
        <v>-209088</v>
      </c>
      <c r="L66">
        <f t="shared" si="2"/>
        <v>125858</v>
      </c>
      <c r="M66">
        <f t="shared" si="3"/>
        <v>2</v>
      </c>
      <c r="N66">
        <f t="shared" si="4"/>
        <v>-60695.833333333336</v>
      </c>
      <c r="P66">
        <f t="shared" si="5"/>
        <v>216852</v>
      </c>
      <c r="Q66">
        <f t="shared" si="6"/>
        <v>-216852</v>
      </c>
      <c r="R66">
        <f t="shared" si="7"/>
        <v>156156.16666666669</v>
      </c>
    </row>
    <row r="67" spans="1:18" hidden="1" x14ac:dyDescent="0.25">
      <c r="A67" s="1"/>
      <c r="C67" s="1"/>
      <c r="D67" s="1">
        <v>41352</v>
      </c>
      <c r="E67" s="10">
        <v>-3212</v>
      </c>
      <c r="F67" s="1">
        <v>41352</v>
      </c>
      <c r="G67">
        <v>5814.5</v>
      </c>
      <c r="H67" s="1">
        <f t="shared" si="0"/>
        <v>41352</v>
      </c>
      <c r="I67">
        <f>IF(AND(MyRowHidden(ROW())=FALSE,MyRowHidden(ROW()-1)=TRUE),0,(E67-E66)*unitsOfDHp+I66)</f>
        <v>-112420</v>
      </c>
      <c r="J67">
        <f>IF(AND(MyRowHidden(ROW())=FALSE,MyRowHidden(ROW()-1)=TRUE),0,(G67-G66)*unitsOfExo+J66)</f>
        <v>338688</v>
      </c>
      <c r="K67" s="9">
        <f t="shared" si="1"/>
        <v>-338688</v>
      </c>
      <c r="L67">
        <f t="shared" si="2"/>
        <v>226268</v>
      </c>
      <c r="M67">
        <f t="shared" si="3"/>
        <v>2</v>
      </c>
      <c r="N67">
        <f t="shared" si="4"/>
        <v>-85020.833333333343</v>
      </c>
      <c r="P67">
        <f t="shared" si="5"/>
        <v>324852</v>
      </c>
      <c r="Q67">
        <f t="shared" si="6"/>
        <v>-324852</v>
      </c>
      <c r="R67">
        <f t="shared" si="7"/>
        <v>239831.16666666669</v>
      </c>
    </row>
    <row r="68" spans="1:18" hidden="1" x14ac:dyDescent="0.25">
      <c r="A68" s="1"/>
      <c r="C68" s="1"/>
      <c r="D68" s="1">
        <v>41353</v>
      </c>
      <c r="E68" s="10">
        <v>-3498</v>
      </c>
      <c r="F68" s="1">
        <v>41353</v>
      </c>
      <c r="G68">
        <v>6077</v>
      </c>
      <c r="H68" s="1">
        <f t="shared" si="0"/>
        <v>41353</v>
      </c>
      <c r="I68">
        <f>IF(AND(MyRowHidden(ROW())=FALSE,MyRowHidden(ROW()-1)=TRUE),0,(E68-E67)*unitsOfDHp+I67)</f>
        <v>-122430</v>
      </c>
      <c r="J68">
        <f>IF(AND(MyRowHidden(ROW())=FALSE,MyRowHidden(ROW()-1)=TRUE),0,(G68-G67)*unitsOfExo+J67)</f>
        <v>414288</v>
      </c>
      <c r="K68" s="9">
        <f t="shared" si="1"/>
        <v>-414288</v>
      </c>
      <c r="L68">
        <f t="shared" si="2"/>
        <v>291858</v>
      </c>
      <c r="M68">
        <f t="shared" si="3"/>
        <v>2</v>
      </c>
      <c r="N68">
        <f t="shared" si="4"/>
        <v>-93362.500000000015</v>
      </c>
      <c r="P68">
        <f t="shared" si="5"/>
        <v>387852</v>
      </c>
      <c r="Q68">
        <f t="shared" si="6"/>
        <v>-387852</v>
      </c>
      <c r="R68">
        <f t="shared" si="7"/>
        <v>294489.5</v>
      </c>
    </row>
    <row r="69" spans="1:18" hidden="1" x14ac:dyDescent="0.25">
      <c r="A69" s="1"/>
      <c r="C69" s="1"/>
      <c r="D69" s="1">
        <v>41354</v>
      </c>
      <c r="E69" s="10">
        <v>-3673</v>
      </c>
      <c r="F69" s="1">
        <v>41354</v>
      </c>
      <c r="G69">
        <v>6227</v>
      </c>
      <c r="H69" s="1">
        <f t="shared" si="0"/>
        <v>41354</v>
      </c>
      <c r="I69">
        <f>IF(AND(MyRowHidden(ROW())=FALSE,MyRowHidden(ROW()-1)=TRUE),0,(E69-E68)*unitsOfDHp+I68)</f>
        <v>-128555</v>
      </c>
      <c r="J69">
        <f>IF(AND(MyRowHidden(ROW())=FALSE,MyRowHidden(ROW()-1)=TRUE),0,(G69-G68)*unitsOfExo+J68)</f>
        <v>457488</v>
      </c>
      <c r="K69" s="9">
        <f t="shared" si="1"/>
        <v>-457488</v>
      </c>
      <c r="L69">
        <f t="shared" si="2"/>
        <v>328933</v>
      </c>
      <c r="M69">
        <f t="shared" si="3"/>
        <v>2</v>
      </c>
      <c r="N69">
        <f t="shared" si="4"/>
        <v>-98466.666666666686</v>
      </c>
      <c r="P69">
        <f t="shared" si="5"/>
        <v>423852</v>
      </c>
      <c r="Q69">
        <f t="shared" si="6"/>
        <v>-423852</v>
      </c>
      <c r="R69">
        <f t="shared" si="7"/>
        <v>325385.33333333331</v>
      </c>
    </row>
    <row r="70" spans="1:18" hidden="1" x14ac:dyDescent="0.25">
      <c r="A70" s="1"/>
      <c r="C70" s="1"/>
      <c r="D70" s="1">
        <v>41355</v>
      </c>
      <c r="E70" s="10">
        <v>-3673</v>
      </c>
      <c r="F70" s="1">
        <v>41355</v>
      </c>
      <c r="G70">
        <v>5877</v>
      </c>
      <c r="H70" s="1">
        <f t="shared" si="0"/>
        <v>41355</v>
      </c>
      <c r="I70">
        <f>IF(AND(MyRowHidden(ROW())=FALSE,MyRowHidden(ROW()-1)=TRUE),0,(E70-E69)*unitsOfDHp+I69)</f>
        <v>-128555</v>
      </c>
      <c r="J70">
        <f>IF(AND(MyRowHidden(ROW())=FALSE,MyRowHidden(ROW()-1)=TRUE),0,(G70-G69)*unitsOfExo+J69)</f>
        <v>356688</v>
      </c>
      <c r="K70" s="9">
        <f t="shared" si="1"/>
        <v>-356688</v>
      </c>
      <c r="L70">
        <f t="shared" si="2"/>
        <v>228133</v>
      </c>
      <c r="M70">
        <f t="shared" si="3"/>
        <v>2</v>
      </c>
      <c r="N70">
        <f t="shared" si="4"/>
        <v>-98466.666666666686</v>
      </c>
      <c r="P70">
        <f t="shared" si="5"/>
        <v>339852</v>
      </c>
      <c r="Q70">
        <f t="shared" si="6"/>
        <v>-339852</v>
      </c>
      <c r="R70">
        <f t="shared" si="7"/>
        <v>241385.33333333331</v>
      </c>
    </row>
    <row r="71" spans="1:18" hidden="1" x14ac:dyDescent="0.25">
      <c r="A71" s="1"/>
      <c r="C71" s="1"/>
      <c r="D71" s="1">
        <v>41358</v>
      </c>
      <c r="E71" s="10">
        <v>-3673</v>
      </c>
      <c r="F71" s="1">
        <v>41358</v>
      </c>
      <c r="G71">
        <v>6064.5</v>
      </c>
      <c r="H71" s="1">
        <f t="shared" si="0"/>
        <v>41358</v>
      </c>
      <c r="I71">
        <f>IF(AND(MyRowHidden(ROW())=FALSE,MyRowHidden(ROW()-1)=TRUE),0,(E71-E70)*unitsOfDHp+I70)</f>
        <v>-128555</v>
      </c>
      <c r="J71">
        <f>IF(AND(MyRowHidden(ROW())=FALSE,MyRowHidden(ROW()-1)=TRUE),0,(G71-G70)*unitsOfExo+J70)</f>
        <v>410688</v>
      </c>
      <c r="K71" s="9">
        <f t="shared" si="1"/>
        <v>-410688</v>
      </c>
      <c r="L71">
        <f t="shared" si="2"/>
        <v>282133</v>
      </c>
      <c r="M71">
        <f t="shared" si="3"/>
        <v>2</v>
      </c>
      <c r="N71">
        <f t="shared" si="4"/>
        <v>-98466.666666666686</v>
      </c>
      <c r="P71">
        <f t="shared" si="5"/>
        <v>384852</v>
      </c>
      <c r="Q71">
        <f t="shared" si="6"/>
        <v>-384852</v>
      </c>
      <c r="R71">
        <f t="shared" si="7"/>
        <v>286385.33333333331</v>
      </c>
    </row>
    <row r="72" spans="1:18" hidden="1" x14ac:dyDescent="0.25">
      <c r="A72" s="1"/>
      <c r="C72" s="1"/>
      <c r="D72" s="1">
        <v>41359</v>
      </c>
      <c r="E72" s="10">
        <v>-3673</v>
      </c>
      <c r="F72" s="1">
        <v>41359</v>
      </c>
      <c r="G72">
        <v>5939.5</v>
      </c>
      <c r="H72" s="1">
        <f t="shared" si="0"/>
        <v>41359</v>
      </c>
      <c r="I72">
        <f>IF(AND(MyRowHidden(ROW())=FALSE,MyRowHidden(ROW()-1)=TRUE),0,(E72-E71)*unitsOfDHp+I71)</f>
        <v>-128555</v>
      </c>
      <c r="J72">
        <f>IF(AND(MyRowHidden(ROW())=FALSE,MyRowHidden(ROW()-1)=TRUE),0,(G72-G71)*unitsOfExo+J71)</f>
        <v>374688</v>
      </c>
      <c r="K72" s="9">
        <f t="shared" si="1"/>
        <v>-374688</v>
      </c>
      <c r="L72">
        <f t="shared" si="2"/>
        <v>246133</v>
      </c>
      <c r="M72">
        <f t="shared" si="3"/>
        <v>2</v>
      </c>
      <c r="N72">
        <f t="shared" si="4"/>
        <v>-98466.666666666686</v>
      </c>
      <c r="P72">
        <f t="shared" si="5"/>
        <v>354852</v>
      </c>
      <c r="Q72">
        <f t="shared" si="6"/>
        <v>-354852</v>
      </c>
      <c r="R72">
        <f t="shared" si="7"/>
        <v>256385.33333333331</v>
      </c>
    </row>
    <row r="73" spans="1:18" hidden="1" x14ac:dyDescent="0.25">
      <c r="A73" s="1"/>
      <c r="C73" s="1"/>
      <c r="D73" s="1">
        <v>41360</v>
      </c>
      <c r="E73" s="10">
        <v>-3673</v>
      </c>
      <c r="F73" s="1">
        <v>41360</v>
      </c>
      <c r="G73">
        <v>6339.5</v>
      </c>
      <c r="H73" s="1">
        <f t="shared" si="0"/>
        <v>41360</v>
      </c>
      <c r="I73">
        <f>IF(AND(MyRowHidden(ROW())=FALSE,MyRowHidden(ROW()-1)=TRUE),0,(E73-E72)*unitsOfDHp+I72)</f>
        <v>-128555</v>
      </c>
      <c r="J73">
        <f>IF(AND(MyRowHidden(ROW())=FALSE,MyRowHidden(ROW()-1)=TRUE),0,(G73-G72)*unitsOfExo+J72)</f>
        <v>489888</v>
      </c>
      <c r="K73" s="9">
        <f t="shared" si="1"/>
        <v>-489888</v>
      </c>
      <c r="L73">
        <f t="shared" si="2"/>
        <v>361333</v>
      </c>
      <c r="M73">
        <f t="shared" si="3"/>
        <v>2</v>
      </c>
      <c r="N73">
        <f t="shared" si="4"/>
        <v>-98466.666666666686</v>
      </c>
      <c r="P73">
        <f t="shared" si="5"/>
        <v>450852</v>
      </c>
      <c r="Q73">
        <f t="shared" si="6"/>
        <v>-450852</v>
      </c>
      <c r="R73">
        <f t="shared" si="7"/>
        <v>352385.33333333331</v>
      </c>
    </row>
    <row r="74" spans="1:18" hidden="1" x14ac:dyDescent="0.25">
      <c r="A74" s="1"/>
      <c r="C74" s="1"/>
      <c r="D74" s="1">
        <v>41361</v>
      </c>
      <c r="E74" s="10">
        <v>-3673</v>
      </c>
      <c r="F74" s="1">
        <v>41361</v>
      </c>
      <c r="G74">
        <v>4289.5</v>
      </c>
      <c r="H74" s="1">
        <f t="shared" si="0"/>
        <v>41361</v>
      </c>
      <c r="I74">
        <f>IF(AND(MyRowHidden(ROW())=FALSE,MyRowHidden(ROW()-1)=TRUE),0,(E74-E73)*unitsOfDHp+I73)</f>
        <v>-128555</v>
      </c>
      <c r="J74">
        <f>IF(AND(MyRowHidden(ROW())=FALSE,MyRowHidden(ROW()-1)=TRUE),0,(G74-G73)*unitsOfExo+J73)</f>
        <v>-100512</v>
      </c>
      <c r="K74" s="9">
        <f t="shared" si="1"/>
        <v>100512</v>
      </c>
      <c r="L74">
        <f t="shared" si="2"/>
        <v>-229067</v>
      </c>
      <c r="M74">
        <f t="shared" si="3"/>
        <v>2</v>
      </c>
      <c r="N74">
        <f t="shared" si="4"/>
        <v>-98466.666666666686</v>
      </c>
      <c r="P74">
        <f t="shared" si="5"/>
        <v>-41148</v>
      </c>
      <c r="Q74">
        <f t="shared" si="6"/>
        <v>41148</v>
      </c>
      <c r="R74">
        <f t="shared" si="7"/>
        <v>-139614.66666666669</v>
      </c>
    </row>
    <row r="75" spans="1:18" hidden="1" x14ac:dyDescent="0.25">
      <c r="A75" s="1"/>
      <c r="C75" s="1"/>
      <c r="D75" s="1">
        <v>41362</v>
      </c>
      <c r="E75" s="10">
        <v>-3673</v>
      </c>
      <c r="F75" s="1">
        <v>41362</v>
      </c>
      <c r="G75">
        <v>3239.5</v>
      </c>
      <c r="H75" s="1">
        <f t="shared" si="0"/>
        <v>41362</v>
      </c>
      <c r="I75">
        <f>IF(AND(MyRowHidden(ROW())=FALSE,MyRowHidden(ROW()-1)=TRUE),0,(E75-E74)*unitsOfDHp+I74)</f>
        <v>-128555</v>
      </c>
      <c r="J75">
        <f>IF(AND(MyRowHidden(ROW())=FALSE,MyRowHidden(ROW()-1)=TRUE),0,(G75-G74)*unitsOfExo+J74)</f>
        <v>-402912</v>
      </c>
      <c r="K75" s="9">
        <f t="shared" si="1"/>
        <v>402912</v>
      </c>
      <c r="L75">
        <f t="shared" si="2"/>
        <v>-531467</v>
      </c>
      <c r="M75">
        <f t="shared" si="3"/>
        <v>2</v>
      </c>
      <c r="N75">
        <f t="shared" si="4"/>
        <v>-98466.666666666686</v>
      </c>
      <c r="P75">
        <f t="shared" si="5"/>
        <v>-293148</v>
      </c>
      <c r="Q75">
        <f t="shared" si="6"/>
        <v>293148</v>
      </c>
      <c r="R75">
        <f t="shared" si="7"/>
        <v>-391614.66666666669</v>
      </c>
    </row>
    <row r="76" spans="1:18" hidden="1" x14ac:dyDescent="0.25">
      <c r="A76" s="1"/>
      <c r="C76" s="1"/>
      <c r="D76" s="1">
        <v>41365</v>
      </c>
      <c r="E76" s="10">
        <v>-1082</v>
      </c>
      <c r="F76" s="1">
        <v>41365</v>
      </c>
      <c r="G76">
        <v>1839.5</v>
      </c>
      <c r="H76" s="1">
        <f t="shared" si="0"/>
        <v>41365</v>
      </c>
      <c r="I76">
        <f>IF(AND(MyRowHidden(ROW())=FALSE,MyRowHidden(ROW()-1)=TRUE),0,(E76-E75)*unitsOfDHp+I75)</f>
        <v>-37870</v>
      </c>
      <c r="J76">
        <f>IF(AND(MyRowHidden(ROW())=FALSE,MyRowHidden(ROW()-1)=TRUE),0,(G76-G75)*unitsOfExo+J75)</f>
        <v>-806112</v>
      </c>
      <c r="K76" s="9">
        <f t="shared" si="1"/>
        <v>806112</v>
      </c>
      <c r="L76">
        <f t="shared" si="2"/>
        <v>-843982</v>
      </c>
      <c r="M76">
        <f t="shared" si="3"/>
        <v>3</v>
      </c>
      <c r="N76">
        <f t="shared" si="4"/>
        <v>-30452.916666666686</v>
      </c>
      <c r="P76">
        <f t="shared" si="5"/>
        <v>-595548</v>
      </c>
      <c r="Q76">
        <f t="shared" si="6"/>
        <v>595548</v>
      </c>
      <c r="R76">
        <f t="shared" si="7"/>
        <v>-626000.91666666674</v>
      </c>
    </row>
    <row r="77" spans="1:18" hidden="1" x14ac:dyDescent="0.25">
      <c r="A77" s="1"/>
      <c r="C77" s="1"/>
      <c r="D77" s="1">
        <v>41366</v>
      </c>
      <c r="E77" s="10">
        <v>-1376</v>
      </c>
      <c r="F77" s="1">
        <v>41366</v>
      </c>
      <c r="G77">
        <v>1277</v>
      </c>
      <c r="H77" s="1">
        <f t="shared" ref="H77:H140" si="8">D77</f>
        <v>41366</v>
      </c>
      <c r="I77">
        <f>IF(AND(MyRowHidden(ROW())=FALSE,MyRowHidden(ROW()-1)=TRUE),0,(E77-E76)*unitsOfDHp+I76)</f>
        <v>-48160</v>
      </c>
      <c r="J77">
        <f>IF(AND(MyRowHidden(ROW())=FALSE,MyRowHidden(ROW()-1)=TRUE),0,(G77-G76)*unitsOfExo+J76)</f>
        <v>-968112</v>
      </c>
      <c r="K77" s="9">
        <f t="shared" ref="K77:K140" si="9">-(J77-J76)+K76</f>
        <v>968112</v>
      </c>
      <c r="L77">
        <f t="shared" ref="L77:L140" si="10">I77+J77</f>
        <v>-1016272</v>
      </c>
      <c r="M77">
        <f t="shared" ref="M77:M140" si="11">IF(MONTH(H77)&lt;&gt;MONTH(H76),M76+1,M76)</f>
        <v>3</v>
      </c>
      <c r="N77">
        <f t="shared" ref="N77:N140" si="12">IF(M77&lt;totalMonths,(totalMonths-M77)/totalMonths *(I77-I76)+N76,0)</f>
        <v>-38170.416666666686</v>
      </c>
      <c r="P77">
        <f t="shared" ref="P77:P140" si="13">IF(M77&lt;totalMonths,(totalMonths-M77)/totalMonths *(J77-J76)+P76,0)</f>
        <v>-717048</v>
      </c>
      <c r="Q77">
        <f t="shared" ref="Q77:Q140" si="14">IF(M77&lt;totalMonths,(totalMonths-M77)/totalMonths *(K77-K76)+Q76,0)</f>
        <v>717048</v>
      </c>
      <c r="R77">
        <f t="shared" ref="R77:R140" si="15">IF(M77&lt;totalMonths,(totalMonths-M77)/totalMonths *(L77-L76)+R76,0)</f>
        <v>-755218.41666666674</v>
      </c>
    </row>
    <row r="78" spans="1:18" hidden="1" x14ac:dyDescent="0.25">
      <c r="A78" s="1"/>
      <c r="C78" s="1"/>
      <c r="D78" s="1">
        <v>41367</v>
      </c>
      <c r="E78" s="10">
        <v>-851</v>
      </c>
      <c r="F78" s="1">
        <v>41367</v>
      </c>
      <c r="G78">
        <v>1502</v>
      </c>
      <c r="H78" s="1">
        <f t="shared" si="8"/>
        <v>41367</v>
      </c>
      <c r="I78">
        <f>IF(AND(MyRowHidden(ROW())=FALSE,MyRowHidden(ROW()-1)=TRUE),0,(E78-E77)*unitsOfDHp+I77)</f>
        <v>-29785</v>
      </c>
      <c r="J78">
        <f>IF(AND(MyRowHidden(ROW())=FALSE,MyRowHidden(ROW()-1)=TRUE),0,(G78-G77)*unitsOfExo+J77)</f>
        <v>-903312</v>
      </c>
      <c r="K78" s="9">
        <f t="shared" si="9"/>
        <v>903312</v>
      </c>
      <c r="L78">
        <f t="shared" si="10"/>
        <v>-933097</v>
      </c>
      <c r="M78">
        <f t="shared" si="11"/>
        <v>3</v>
      </c>
      <c r="N78">
        <f t="shared" si="12"/>
        <v>-24389.166666666686</v>
      </c>
      <c r="P78">
        <f t="shared" si="13"/>
        <v>-668448</v>
      </c>
      <c r="Q78">
        <f t="shared" si="14"/>
        <v>668448</v>
      </c>
      <c r="R78">
        <f t="shared" si="15"/>
        <v>-692837.16666666674</v>
      </c>
    </row>
    <row r="79" spans="1:18" hidden="1" x14ac:dyDescent="0.25">
      <c r="A79" s="1"/>
      <c r="C79" s="1"/>
      <c r="D79" s="1">
        <v>41368</v>
      </c>
      <c r="E79" s="10">
        <v>-1952</v>
      </c>
      <c r="F79" s="1">
        <v>41368</v>
      </c>
      <c r="G79">
        <v>1152</v>
      </c>
      <c r="H79" s="1">
        <f t="shared" si="8"/>
        <v>41368</v>
      </c>
      <c r="I79">
        <f>IF(AND(MyRowHidden(ROW())=FALSE,MyRowHidden(ROW()-1)=TRUE),0,(E79-E78)*unitsOfDHp+I78)</f>
        <v>-68320</v>
      </c>
      <c r="J79">
        <f>IF(AND(MyRowHidden(ROW())=FALSE,MyRowHidden(ROW()-1)=TRUE),0,(G79-G78)*unitsOfExo+J78)</f>
        <v>-1004112</v>
      </c>
      <c r="K79" s="9">
        <f t="shared" si="9"/>
        <v>1004112</v>
      </c>
      <c r="L79">
        <f t="shared" si="10"/>
        <v>-1072432</v>
      </c>
      <c r="M79">
        <f t="shared" si="11"/>
        <v>3</v>
      </c>
      <c r="N79">
        <f t="shared" si="12"/>
        <v>-53290.416666666686</v>
      </c>
      <c r="P79">
        <f t="shared" si="13"/>
        <v>-744048</v>
      </c>
      <c r="Q79">
        <f t="shared" si="14"/>
        <v>744048</v>
      </c>
      <c r="R79">
        <f t="shared" si="15"/>
        <v>-797338.41666666674</v>
      </c>
    </row>
    <row r="80" spans="1:18" hidden="1" x14ac:dyDescent="0.25">
      <c r="A80" s="1"/>
      <c r="C80" s="1"/>
      <c r="D80" s="1">
        <v>41369</v>
      </c>
      <c r="E80" s="10">
        <v>-2227</v>
      </c>
      <c r="F80" s="1">
        <v>41369</v>
      </c>
      <c r="G80">
        <v>1002</v>
      </c>
      <c r="H80" s="1">
        <f t="shared" si="8"/>
        <v>41369</v>
      </c>
      <c r="I80">
        <f>IF(AND(MyRowHidden(ROW())=FALSE,MyRowHidden(ROW()-1)=TRUE),0,(E80-E79)*unitsOfDHp+I79)</f>
        <v>-77945</v>
      </c>
      <c r="J80">
        <f>IF(AND(MyRowHidden(ROW())=FALSE,MyRowHidden(ROW()-1)=TRUE),0,(G80-G79)*unitsOfExo+J79)</f>
        <v>-1047312</v>
      </c>
      <c r="K80" s="9">
        <f t="shared" si="9"/>
        <v>1047312</v>
      </c>
      <c r="L80">
        <f t="shared" si="10"/>
        <v>-1125257</v>
      </c>
      <c r="M80">
        <f t="shared" si="11"/>
        <v>3</v>
      </c>
      <c r="N80">
        <f t="shared" si="12"/>
        <v>-60509.166666666686</v>
      </c>
      <c r="P80">
        <f t="shared" si="13"/>
        <v>-776448</v>
      </c>
      <c r="Q80">
        <f t="shared" si="14"/>
        <v>776448</v>
      </c>
      <c r="R80">
        <f t="shared" si="15"/>
        <v>-836957.16666666674</v>
      </c>
    </row>
    <row r="81" spans="1:18" hidden="1" x14ac:dyDescent="0.25">
      <c r="A81" s="1"/>
      <c r="C81" s="1"/>
      <c r="D81" s="1">
        <v>41372</v>
      </c>
      <c r="E81" s="10">
        <v>-1990</v>
      </c>
      <c r="F81" s="1">
        <v>41372</v>
      </c>
      <c r="G81">
        <v>1164.5</v>
      </c>
      <c r="H81" s="1">
        <f t="shared" si="8"/>
        <v>41372</v>
      </c>
      <c r="I81">
        <f>IF(AND(MyRowHidden(ROW())=FALSE,MyRowHidden(ROW()-1)=TRUE),0,(E81-E80)*unitsOfDHp+I80)</f>
        <v>-69650</v>
      </c>
      <c r="J81">
        <f>IF(AND(MyRowHidden(ROW())=FALSE,MyRowHidden(ROW()-1)=TRUE),0,(G81-G80)*unitsOfExo+J80)</f>
        <v>-1000512</v>
      </c>
      <c r="K81" s="9">
        <f t="shared" si="9"/>
        <v>1000512</v>
      </c>
      <c r="L81">
        <f t="shared" si="10"/>
        <v>-1070162</v>
      </c>
      <c r="M81">
        <f t="shared" si="11"/>
        <v>3</v>
      </c>
      <c r="N81">
        <f t="shared" si="12"/>
        <v>-54287.916666666686</v>
      </c>
      <c r="P81">
        <f t="shared" si="13"/>
        <v>-741348</v>
      </c>
      <c r="Q81">
        <f t="shared" si="14"/>
        <v>741348</v>
      </c>
      <c r="R81">
        <f t="shared" si="15"/>
        <v>-795635.91666666674</v>
      </c>
    </row>
    <row r="82" spans="1:18" hidden="1" x14ac:dyDescent="0.25">
      <c r="A82" s="1"/>
      <c r="C82" s="1"/>
      <c r="D82" s="1">
        <v>41373</v>
      </c>
      <c r="E82" s="10">
        <v>-1090</v>
      </c>
      <c r="F82" s="1">
        <v>41373</v>
      </c>
      <c r="G82">
        <v>1702</v>
      </c>
      <c r="H82" s="1">
        <f t="shared" si="8"/>
        <v>41373</v>
      </c>
      <c r="I82">
        <f>IF(AND(MyRowHidden(ROW())=FALSE,MyRowHidden(ROW()-1)=TRUE),0,(E82-E81)*unitsOfDHp+I81)</f>
        <v>-38150</v>
      </c>
      <c r="J82">
        <f>IF(AND(MyRowHidden(ROW())=FALSE,MyRowHidden(ROW()-1)=TRUE),0,(G82-G81)*unitsOfExo+J81)</f>
        <v>-845712</v>
      </c>
      <c r="K82" s="9">
        <f t="shared" si="9"/>
        <v>845712</v>
      </c>
      <c r="L82">
        <f t="shared" si="10"/>
        <v>-883862</v>
      </c>
      <c r="M82">
        <f t="shared" si="11"/>
        <v>3</v>
      </c>
      <c r="N82">
        <f t="shared" si="12"/>
        <v>-30662.916666666686</v>
      </c>
      <c r="P82">
        <f t="shared" si="13"/>
        <v>-625248</v>
      </c>
      <c r="Q82">
        <f t="shared" si="14"/>
        <v>625248</v>
      </c>
      <c r="R82">
        <f t="shared" si="15"/>
        <v>-655910.91666666674</v>
      </c>
    </row>
    <row r="83" spans="1:18" hidden="1" x14ac:dyDescent="0.25">
      <c r="A83" s="1"/>
      <c r="C83" s="1"/>
      <c r="D83" s="1">
        <v>41374</v>
      </c>
      <c r="E83" s="10">
        <v>-952</v>
      </c>
      <c r="F83" s="1">
        <v>41374</v>
      </c>
      <c r="G83">
        <v>1789.5</v>
      </c>
      <c r="H83" s="1">
        <f t="shared" si="8"/>
        <v>41374</v>
      </c>
      <c r="I83">
        <f>IF(AND(MyRowHidden(ROW())=FALSE,MyRowHidden(ROW()-1)=TRUE),0,(E83-E82)*unitsOfDHp+I82)</f>
        <v>-33320</v>
      </c>
      <c r="J83">
        <f>IF(AND(MyRowHidden(ROW())=FALSE,MyRowHidden(ROW()-1)=TRUE),0,(G83-G82)*unitsOfExo+J82)</f>
        <v>-820512</v>
      </c>
      <c r="K83" s="9">
        <f t="shared" si="9"/>
        <v>820512</v>
      </c>
      <c r="L83">
        <f t="shared" si="10"/>
        <v>-853832</v>
      </c>
      <c r="M83">
        <f t="shared" si="11"/>
        <v>3</v>
      </c>
      <c r="N83">
        <f t="shared" si="12"/>
        <v>-27040.416666666686</v>
      </c>
      <c r="P83">
        <f t="shared" si="13"/>
        <v>-606348</v>
      </c>
      <c r="Q83">
        <f t="shared" si="14"/>
        <v>606348</v>
      </c>
      <c r="R83">
        <f t="shared" si="15"/>
        <v>-633388.41666666674</v>
      </c>
    </row>
    <row r="84" spans="1:18" hidden="1" x14ac:dyDescent="0.25">
      <c r="A84" s="1"/>
      <c r="C84" s="1"/>
      <c r="D84" s="1">
        <v>41375</v>
      </c>
      <c r="E84" s="10">
        <v>-373</v>
      </c>
      <c r="F84" s="1">
        <v>41375</v>
      </c>
      <c r="G84">
        <v>2189.5</v>
      </c>
      <c r="H84" s="1">
        <f t="shared" si="8"/>
        <v>41375</v>
      </c>
      <c r="I84">
        <f>IF(AND(MyRowHidden(ROW())=FALSE,MyRowHidden(ROW()-1)=TRUE),0,(E84-E83)*unitsOfDHp+I83)</f>
        <v>-13055</v>
      </c>
      <c r="J84">
        <f>IF(AND(MyRowHidden(ROW())=FALSE,MyRowHidden(ROW()-1)=TRUE),0,(G84-G83)*unitsOfExo+J83)</f>
        <v>-705312</v>
      </c>
      <c r="K84" s="9">
        <f t="shared" si="9"/>
        <v>705312</v>
      </c>
      <c r="L84">
        <f t="shared" si="10"/>
        <v>-718367</v>
      </c>
      <c r="M84">
        <f t="shared" si="11"/>
        <v>3</v>
      </c>
      <c r="N84">
        <f t="shared" si="12"/>
        <v>-11841.666666666686</v>
      </c>
      <c r="P84">
        <f t="shared" si="13"/>
        <v>-519948</v>
      </c>
      <c r="Q84">
        <f t="shared" si="14"/>
        <v>519948</v>
      </c>
      <c r="R84">
        <f t="shared" si="15"/>
        <v>-531789.66666666674</v>
      </c>
    </row>
    <row r="85" spans="1:18" hidden="1" x14ac:dyDescent="0.25">
      <c r="A85" s="1"/>
      <c r="C85" s="1"/>
      <c r="D85" s="1">
        <v>41376</v>
      </c>
      <c r="E85" s="10">
        <v>264</v>
      </c>
      <c r="F85" s="1">
        <v>41376</v>
      </c>
      <c r="G85">
        <v>2352</v>
      </c>
      <c r="H85" s="1">
        <f t="shared" si="8"/>
        <v>41376</v>
      </c>
      <c r="I85">
        <f>IF(AND(MyRowHidden(ROW())=FALSE,MyRowHidden(ROW()-1)=TRUE),0,(E85-E84)*unitsOfDHp+I84)</f>
        <v>9240</v>
      </c>
      <c r="J85">
        <f>IF(AND(MyRowHidden(ROW())=FALSE,MyRowHidden(ROW()-1)=TRUE),0,(G85-G84)*unitsOfExo+J84)</f>
        <v>-658512</v>
      </c>
      <c r="K85" s="9">
        <f t="shared" si="9"/>
        <v>658512</v>
      </c>
      <c r="L85">
        <f t="shared" si="10"/>
        <v>-649272</v>
      </c>
      <c r="M85">
        <f t="shared" si="11"/>
        <v>3</v>
      </c>
      <c r="N85">
        <f t="shared" si="12"/>
        <v>4879.5833333333139</v>
      </c>
      <c r="P85">
        <f t="shared" si="13"/>
        <v>-484848</v>
      </c>
      <c r="Q85">
        <f t="shared" si="14"/>
        <v>484848</v>
      </c>
      <c r="R85">
        <f t="shared" si="15"/>
        <v>-479968.41666666674</v>
      </c>
    </row>
    <row r="86" spans="1:18" hidden="1" x14ac:dyDescent="0.25">
      <c r="A86" s="1"/>
      <c r="C86" s="1"/>
      <c r="D86" s="1">
        <v>41379</v>
      </c>
      <c r="E86" s="10">
        <v>-958</v>
      </c>
      <c r="F86" s="1">
        <v>41379</v>
      </c>
      <c r="G86">
        <v>1977</v>
      </c>
      <c r="H86" s="1">
        <f t="shared" si="8"/>
        <v>41379</v>
      </c>
      <c r="I86">
        <f>IF(AND(MyRowHidden(ROW())=FALSE,MyRowHidden(ROW()-1)=TRUE),0,(E86-E85)*unitsOfDHp+I85)</f>
        <v>-33530</v>
      </c>
      <c r="J86">
        <f>IF(AND(MyRowHidden(ROW())=FALSE,MyRowHidden(ROW()-1)=TRUE),0,(G86-G85)*unitsOfExo+J85)</f>
        <v>-766512</v>
      </c>
      <c r="K86" s="9">
        <f t="shared" si="9"/>
        <v>766512</v>
      </c>
      <c r="L86">
        <f t="shared" si="10"/>
        <v>-800042</v>
      </c>
      <c r="M86">
        <f t="shared" si="11"/>
        <v>3</v>
      </c>
      <c r="N86">
        <f t="shared" si="12"/>
        <v>-27197.916666666686</v>
      </c>
      <c r="P86">
        <f t="shared" si="13"/>
        <v>-565848</v>
      </c>
      <c r="Q86">
        <f t="shared" si="14"/>
        <v>565848</v>
      </c>
      <c r="R86">
        <f t="shared" si="15"/>
        <v>-593045.91666666674</v>
      </c>
    </row>
    <row r="87" spans="1:18" hidden="1" x14ac:dyDescent="0.25">
      <c r="A87" s="1"/>
      <c r="C87" s="1"/>
      <c r="D87" s="1">
        <v>41380</v>
      </c>
      <c r="E87" s="10">
        <v>217</v>
      </c>
      <c r="F87" s="1">
        <v>41380</v>
      </c>
      <c r="G87">
        <v>2539.5</v>
      </c>
      <c r="H87" s="1">
        <f t="shared" si="8"/>
        <v>41380</v>
      </c>
      <c r="I87">
        <f>IF(AND(MyRowHidden(ROW())=FALSE,MyRowHidden(ROW()-1)=TRUE),0,(E87-E86)*unitsOfDHp+I86)</f>
        <v>7595</v>
      </c>
      <c r="J87">
        <f>IF(AND(MyRowHidden(ROW())=FALSE,MyRowHidden(ROW()-1)=TRUE),0,(G87-G86)*unitsOfExo+J86)</f>
        <v>-604512</v>
      </c>
      <c r="K87" s="9">
        <f t="shared" si="9"/>
        <v>604512</v>
      </c>
      <c r="L87">
        <f t="shared" si="10"/>
        <v>-596917</v>
      </c>
      <c r="M87">
        <f t="shared" si="11"/>
        <v>3</v>
      </c>
      <c r="N87">
        <f t="shared" si="12"/>
        <v>3645.8333333333139</v>
      </c>
      <c r="P87">
        <f t="shared" si="13"/>
        <v>-444348</v>
      </c>
      <c r="Q87">
        <f t="shared" si="14"/>
        <v>444348</v>
      </c>
      <c r="R87">
        <f t="shared" si="15"/>
        <v>-440702.16666666674</v>
      </c>
    </row>
    <row r="88" spans="1:18" hidden="1" x14ac:dyDescent="0.25">
      <c r="A88" s="1"/>
      <c r="C88" s="1"/>
      <c r="D88" s="1">
        <v>41381</v>
      </c>
      <c r="E88" s="10">
        <v>280</v>
      </c>
      <c r="F88" s="1">
        <v>41381</v>
      </c>
      <c r="G88">
        <v>2502</v>
      </c>
      <c r="H88" s="1">
        <f t="shared" si="8"/>
        <v>41381</v>
      </c>
      <c r="I88">
        <f>IF(AND(MyRowHidden(ROW())=FALSE,MyRowHidden(ROW()-1)=TRUE),0,(E88-E87)*unitsOfDHp+I87)</f>
        <v>9800</v>
      </c>
      <c r="J88">
        <f>IF(AND(MyRowHidden(ROW())=FALSE,MyRowHidden(ROW()-1)=TRUE),0,(G88-G87)*unitsOfExo+J87)</f>
        <v>-615312</v>
      </c>
      <c r="K88" s="9">
        <f t="shared" si="9"/>
        <v>615312</v>
      </c>
      <c r="L88">
        <f t="shared" si="10"/>
        <v>-605512</v>
      </c>
      <c r="M88">
        <f t="shared" si="11"/>
        <v>3</v>
      </c>
      <c r="N88">
        <f t="shared" si="12"/>
        <v>5299.5833333333139</v>
      </c>
      <c r="P88">
        <f t="shared" si="13"/>
        <v>-452448</v>
      </c>
      <c r="Q88">
        <f t="shared" si="14"/>
        <v>452448</v>
      </c>
      <c r="R88">
        <f t="shared" si="15"/>
        <v>-447148.41666666674</v>
      </c>
    </row>
    <row r="89" spans="1:18" hidden="1" x14ac:dyDescent="0.25">
      <c r="A89" s="1"/>
      <c r="C89" s="1"/>
      <c r="D89" s="1">
        <v>41382</v>
      </c>
      <c r="E89" s="10">
        <v>-1332</v>
      </c>
      <c r="F89" s="1">
        <v>41382</v>
      </c>
      <c r="G89">
        <v>1827</v>
      </c>
      <c r="H89" s="1">
        <f t="shared" si="8"/>
        <v>41382</v>
      </c>
      <c r="I89">
        <f>IF(AND(MyRowHidden(ROW())=FALSE,MyRowHidden(ROW()-1)=TRUE),0,(E89-E88)*unitsOfDHp+I88)</f>
        <v>-46620</v>
      </c>
      <c r="J89">
        <f>IF(AND(MyRowHidden(ROW())=FALSE,MyRowHidden(ROW()-1)=TRUE),0,(G89-G88)*unitsOfExo+J88)</f>
        <v>-809712</v>
      </c>
      <c r="K89" s="9">
        <f t="shared" si="9"/>
        <v>809712</v>
      </c>
      <c r="L89">
        <f t="shared" si="10"/>
        <v>-856332</v>
      </c>
      <c r="M89">
        <f t="shared" si="11"/>
        <v>3</v>
      </c>
      <c r="N89">
        <f t="shared" si="12"/>
        <v>-37015.416666666686</v>
      </c>
      <c r="P89">
        <f t="shared" si="13"/>
        <v>-598248</v>
      </c>
      <c r="Q89">
        <f t="shared" si="14"/>
        <v>598248</v>
      </c>
      <c r="R89">
        <f t="shared" si="15"/>
        <v>-635263.41666666674</v>
      </c>
    </row>
    <row r="90" spans="1:18" hidden="1" x14ac:dyDescent="0.25">
      <c r="A90" s="1"/>
      <c r="C90" s="1"/>
      <c r="D90" s="1">
        <v>41383</v>
      </c>
      <c r="E90" s="10">
        <v>-943</v>
      </c>
      <c r="F90" s="1">
        <v>41383</v>
      </c>
      <c r="G90">
        <v>2039.5</v>
      </c>
      <c r="H90" s="1">
        <f t="shared" si="8"/>
        <v>41383</v>
      </c>
      <c r="I90">
        <f>IF(AND(MyRowHidden(ROW())=FALSE,MyRowHidden(ROW()-1)=TRUE),0,(E90-E89)*unitsOfDHp+I89)</f>
        <v>-33005</v>
      </c>
      <c r="J90">
        <f>IF(AND(MyRowHidden(ROW())=FALSE,MyRowHidden(ROW()-1)=TRUE),0,(G90-G89)*unitsOfExo+J89)</f>
        <v>-748512</v>
      </c>
      <c r="K90" s="9">
        <f t="shared" si="9"/>
        <v>748512</v>
      </c>
      <c r="L90">
        <f t="shared" si="10"/>
        <v>-781517</v>
      </c>
      <c r="M90">
        <f t="shared" si="11"/>
        <v>3</v>
      </c>
      <c r="N90">
        <f t="shared" si="12"/>
        <v>-26804.166666666686</v>
      </c>
      <c r="P90">
        <f t="shared" si="13"/>
        <v>-552348</v>
      </c>
      <c r="Q90">
        <f t="shared" si="14"/>
        <v>552348</v>
      </c>
      <c r="R90">
        <f t="shared" si="15"/>
        <v>-579152.16666666674</v>
      </c>
    </row>
    <row r="91" spans="1:18" hidden="1" x14ac:dyDescent="0.25">
      <c r="A91" s="1"/>
      <c r="C91" s="1"/>
      <c r="D91" s="1">
        <v>41386</v>
      </c>
      <c r="E91" s="10">
        <v>-1456</v>
      </c>
      <c r="F91" s="1">
        <v>41386</v>
      </c>
      <c r="G91">
        <v>1789.5</v>
      </c>
      <c r="H91" s="1">
        <f t="shared" si="8"/>
        <v>41386</v>
      </c>
      <c r="I91">
        <f>IF(AND(MyRowHidden(ROW())=FALSE,MyRowHidden(ROW()-1)=TRUE),0,(E91-E90)*unitsOfDHp+I90)</f>
        <v>-50960</v>
      </c>
      <c r="J91">
        <f>IF(AND(MyRowHidden(ROW())=FALSE,MyRowHidden(ROW()-1)=TRUE),0,(G91-G90)*unitsOfExo+J90)</f>
        <v>-820512</v>
      </c>
      <c r="K91" s="9">
        <f t="shared" si="9"/>
        <v>820512</v>
      </c>
      <c r="L91">
        <f t="shared" si="10"/>
        <v>-871472</v>
      </c>
      <c r="M91">
        <f t="shared" si="11"/>
        <v>3</v>
      </c>
      <c r="N91">
        <f t="shared" si="12"/>
        <v>-40270.416666666686</v>
      </c>
      <c r="P91">
        <f t="shared" si="13"/>
        <v>-606348</v>
      </c>
      <c r="Q91">
        <f t="shared" si="14"/>
        <v>606348</v>
      </c>
      <c r="R91">
        <f t="shared" si="15"/>
        <v>-646618.41666666674</v>
      </c>
    </row>
    <row r="92" spans="1:18" hidden="1" x14ac:dyDescent="0.25">
      <c r="A92" s="1"/>
      <c r="C92" s="1"/>
      <c r="D92" s="1">
        <v>41387</v>
      </c>
      <c r="E92" s="10">
        <v>-2080</v>
      </c>
      <c r="F92" s="1">
        <v>41387</v>
      </c>
      <c r="G92">
        <v>1552</v>
      </c>
      <c r="H92" s="1">
        <f t="shared" si="8"/>
        <v>41387</v>
      </c>
      <c r="I92">
        <f>IF(AND(MyRowHidden(ROW())=FALSE,MyRowHidden(ROW()-1)=TRUE),0,(E92-E91)*unitsOfDHp+I91)</f>
        <v>-72800</v>
      </c>
      <c r="J92">
        <f>IF(AND(MyRowHidden(ROW())=FALSE,MyRowHidden(ROW()-1)=TRUE),0,(G92-G91)*unitsOfExo+J91)</f>
        <v>-888912</v>
      </c>
      <c r="K92" s="9">
        <f t="shared" si="9"/>
        <v>888912</v>
      </c>
      <c r="L92">
        <f t="shared" si="10"/>
        <v>-961712</v>
      </c>
      <c r="M92">
        <f t="shared" si="11"/>
        <v>3</v>
      </c>
      <c r="N92">
        <f t="shared" si="12"/>
        <v>-56650.416666666686</v>
      </c>
      <c r="P92">
        <f t="shared" si="13"/>
        <v>-657648</v>
      </c>
      <c r="Q92">
        <f t="shared" si="14"/>
        <v>657648</v>
      </c>
      <c r="R92">
        <f t="shared" si="15"/>
        <v>-714298.41666666674</v>
      </c>
    </row>
    <row r="93" spans="1:18" hidden="1" x14ac:dyDescent="0.25">
      <c r="A93" s="1"/>
      <c r="C93" s="1"/>
      <c r="D93" s="1">
        <v>41388</v>
      </c>
      <c r="E93" s="10">
        <v>-2440</v>
      </c>
      <c r="F93" s="1">
        <v>41388</v>
      </c>
      <c r="G93">
        <v>1414.5</v>
      </c>
      <c r="H93" s="1">
        <f t="shared" si="8"/>
        <v>41388</v>
      </c>
      <c r="I93">
        <f>IF(AND(MyRowHidden(ROW())=FALSE,MyRowHidden(ROW()-1)=TRUE),0,(E93-E92)*unitsOfDHp+I92)</f>
        <v>-85400</v>
      </c>
      <c r="J93">
        <f>IF(AND(MyRowHidden(ROW())=FALSE,MyRowHidden(ROW()-1)=TRUE),0,(G93-G92)*unitsOfExo+J92)</f>
        <v>-928512</v>
      </c>
      <c r="K93" s="9">
        <f t="shared" si="9"/>
        <v>928512</v>
      </c>
      <c r="L93">
        <f t="shared" si="10"/>
        <v>-1013912</v>
      </c>
      <c r="M93">
        <f t="shared" si="11"/>
        <v>3</v>
      </c>
      <c r="N93">
        <f t="shared" si="12"/>
        <v>-66100.416666666686</v>
      </c>
      <c r="P93">
        <f t="shared" si="13"/>
        <v>-687348</v>
      </c>
      <c r="Q93">
        <f t="shared" si="14"/>
        <v>687348</v>
      </c>
      <c r="R93">
        <f t="shared" si="15"/>
        <v>-753448.41666666674</v>
      </c>
    </row>
    <row r="94" spans="1:18" hidden="1" x14ac:dyDescent="0.25">
      <c r="A94" s="1"/>
      <c r="C94" s="1"/>
      <c r="D94" s="1">
        <v>41389</v>
      </c>
      <c r="E94" s="10">
        <v>-1992</v>
      </c>
      <c r="F94" s="1">
        <v>41389</v>
      </c>
      <c r="G94">
        <v>1727</v>
      </c>
      <c r="H94" s="1">
        <f t="shared" si="8"/>
        <v>41389</v>
      </c>
      <c r="I94">
        <f>IF(AND(MyRowHidden(ROW())=FALSE,MyRowHidden(ROW()-1)=TRUE),0,(E94-E93)*unitsOfDHp+I93)</f>
        <v>-69720</v>
      </c>
      <c r="J94">
        <f>IF(AND(MyRowHidden(ROW())=FALSE,MyRowHidden(ROW()-1)=TRUE),0,(G94-G93)*unitsOfExo+J93)</f>
        <v>-838512</v>
      </c>
      <c r="K94" s="9">
        <f t="shared" si="9"/>
        <v>838512</v>
      </c>
      <c r="L94">
        <f t="shared" si="10"/>
        <v>-908232</v>
      </c>
      <c r="M94">
        <f t="shared" si="11"/>
        <v>3</v>
      </c>
      <c r="N94">
        <f t="shared" si="12"/>
        <v>-54340.416666666686</v>
      </c>
      <c r="P94">
        <f t="shared" si="13"/>
        <v>-619848</v>
      </c>
      <c r="Q94">
        <f t="shared" si="14"/>
        <v>619848</v>
      </c>
      <c r="R94">
        <f t="shared" si="15"/>
        <v>-674188.41666666674</v>
      </c>
    </row>
    <row r="95" spans="1:18" hidden="1" x14ac:dyDescent="0.25">
      <c r="A95" s="1"/>
      <c r="C95" s="1"/>
      <c r="D95" s="1">
        <v>41390</v>
      </c>
      <c r="E95" s="10">
        <v>-1830</v>
      </c>
      <c r="F95" s="1">
        <v>41390</v>
      </c>
      <c r="G95">
        <v>1552</v>
      </c>
      <c r="H95" s="1">
        <f t="shared" si="8"/>
        <v>41390</v>
      </c>
      <c r="I95">
        <f>IF(AND(MyRowHidden(ROW())=FALSE,MyRowHidden(ROW()-1)=TRUE),0,(E95-E94)*unitsOfDHp+I94)</f>
        <v>-64050</v>
      </c>
      <c r="J95">
        <f>IF(AND(MyRowHidden(ROW())=FALSE,MyRowHidden(ROW()-1)=TRUE),0,(G95-G94)*unitsOfExo+J94)</f>
        <v>-888912</v>
      </c>
      <c r="K95" s="9">
        <f t="shared" si="9"/>
        <v>888912</v>
      </c>
      <c r="L95">
        <f t="shared" si="10"/>
        <v>-952962</v>
      </c>
      <c r="M95">
        <f t="shared" si="11"/>
        <v>3</v>
      </c>
      <c r="N95">
        <f t="shared" si="12"/>
        <v>-50087.916666666686</v>
      </c>
      <c r="P95">
        <f t="shared" si="13"/>
        <v>-657648</v>
      </c>
      <c r="Q95">
        <f t="shared" si="14"/>
        <v>657648</v>
      </c>
      <c r="R95">
        <f t="shared" si="15"/>
        <v>-707735.91666666674</v>
      </c>
    </row>
    <row r="96" spans="1:18" hidden="1" x14ac:dyDescent="0.25">
      <c r="A96" s="1"/>
      <c r="C96" s="1"/>
      <c r="D96" s="1">
        <v>41393</v>
      </c>
      <c r="E96" s="10">
        <v>-3006</v>
      </c>
      <c r="F96" s="1">
        <v>41393</v>
      </c>
      <c r="G96">
        <v>3502</v>
      </c>
      <c r="H96" s="1">
        <f t="shared" si="8"/>
        <v>41393</v>
      </c>
      <c r="I96">
        <f>IF(AND(MyRowHidden(ROW())=FALSE,MyRowHidden(ROW()-1)=TRUE),0,(E96-E95)*unitsOfDHp+I95)</f>
        <v>-105210</v>
      </c>
      <c r="J96">
        <f>IF(AND(MyRowHidden(ROW())=FALSE,MyRowHidden(ROW()-1)=TRUE),0,(G96-G95)*unitsOfExo+J95)</f>
        <v>-327312</v>
      </c>
      <c r="K96" s="9">
        <f t="shared" si="9"/>
        <v>327312</v>
      </c>
      <c r="L96">
        <f t="shared" si="10"/>
        <v>-432522</v>
      </c>
      <c r="M96">
        <f t="shared" si="11"/>
        <v>3</v>
      </c>
      <c r="N96">
        <f t="shared" si="12"/>
        <v>-80957.916666666686</v>
      </c>
      <c r="P96">
        <f t="shared" si="13"/>
        <v>-236448</v>
      </c>
      <c r="Q96">
        <f t="shared" si="14"/>
        <v>236448</v>
      </c>
      <c r="R96">
        <f t="shared" si="15"/>
        <v>-317405.91666666674</v>
      </c>
    </row>
    <row r="97" spans="1:18" hidden="1" x14ac:dyDescent="0.25">
      <c r="A97" s="1"/>
      <c r="C97" s="1"/>
      <c r="D97" s="1">
        <v>41394</v>
      </c>
      <c r="E97" s="10">
        <v>-2681</v>
      </c>
      <c r="F97" s="1">
        <v>41394</v>
      </c>
      <c r="G97">
        <v>3252</v>
      </c>
      <c r="H97" s="1">
        <f t="shared" si="8"/>
        <v>41394</v>
      </c>
      <c r="I97">
        <f>IF(AND(MyRowHidden(ROW())=FALSE,MyRowHidden(ROW()-1)=TRUE),0,(E97-E96)*unitsOfDHp+I96)</f>
        <v>-93835</v>
      </c>
      <c r="J97">
        <f>IF(AND(MyRowHidden(ROW())=FALSE,MyRowHidden(ROW()-1)=TRUE),0,(G97-G96)*unitsOfExo+J96)</f>
        <v>-399312</v>
      </c>
      <c r="K97" s="9">
        <f t="shared" si="9"/>
        <v>399312</v>
      </c>
      <c r="L97">
        <f t="shared" si="10"/>
        <v>-493147</v>
      </c>
      <c r="M97">
        <f t="shared" si="11"/>
        <v>3</v>
      </c>
      <c r="N97">
        <f t="shared" si="12"/>
        <v>-72426.666666666686</v>
      </c>
      <c r="P97">
        <f t="shared" si="13"/>
        <v>-290448</v>
      </c>
      <c r="Q97">
        <f t="shared" si="14"/>
        <v>290448</v>
      </c>
      <c r="R97">
        <f t="shared" si="15"/>
        <v>-362874.66666666674</v>
      </c>
    </row>
    <row r="98" spans="1:18" hidden="1" x14ac:dyDescent="0.25">
      <c r="A98" s="1"/>
      <c r="C98" s="1"/>
      <c r="D98" s="1">
        <v>41395</v>
      </c>
      <c r="E98" s="10">
        <v>-2217</v>
      </c>
      <c r="F98" s="1">
        <v>41395</v>
      </c>
      <c r="G98">
        <v>2990</v>
      </c>
      <c r="H98" s="1">
        <f t="shared" si="8"/>
        <v>41395</v>
      </c>
      <c r="I98">
        <f>IF(AND(MyRowHidden(ROW())=FALSE,MyRowHidden(ROW()-1)=TRUE),0,(E98-E97)*unitsOfDHp+I97)</f>
        <v>-77595</v>
      </c>
      <c r="J98">
        <f>IF(AND(MyRowHidden(ROW())=FALSE,MyRowHidden(ROW()-1)=TRUE),0,(G98-G97)*unitsOfExo+J97)</f>
        <v>-474768</v>
      </c>
      <c r="K98" s="9">
        <f t="shared" si="9"/>
        <v>474768</v>
      </c>
      <c r="L98">
        <f t="shared" si="10"/>
        <v>-552363</v>
      </c>
      <c r="M98">
        <f t="shared" si="11"/>
        <v>4</v>
      </c>
      <c r="N98">
        <f t="shared" si="12"/>
        <v>-61600.000000000022</v>
      </c>
      <c r="P98">
        <f t="shared" si="13"/>
        <v>-340752</v>
      </c>
      <c r="Q98">
        <f t="shared" si="14"/>
        <v>340752</v>
      </c>
      <c r="R98">
        <f t="shared" si="15"/>
        <v>-402352.00000000006</v>
      </c>
    </row>
    <row r="99" spans="1:18" hidden="1" x14ac:dyDescent="0.25">
      <c r="A99" s="1"/>
      <c r="C99" s="1"/>
      <c r="D99" s="1">
        <v>41396</v>
      </c>
      <c r="E99" s="10">
        <v>-3678</v>
      </c>
      <c r="F99" s="1">
        <v>41396</v>
      </c>
      <c r="G99">
        <v>3552.5</v>
      </c>
      <c r="H99" s="1">
        <f t="shared" si="8"/>
        <v>41396</v>
      </c>
      <c r="I99">
        <f>IF(AND(MyRowHidden(ROW())=FALSE,MyRowHidden(ROW()-1)=TRUE),0,(E99-E98)*unitsOfDHp+I98)</f>
        <v>-128730</v>
      </c>
      <c r="J99">
        <f>IF(AND(MyRowHidden(ROW())=FALSE,MyRowHidden(ROW()-1)=TRUE),0,(G99-G98)*unitsOfExo+J98)</f>
        <v>-312768</v>
      </c>
      <c r="K99" s="9">
        <f t="shared" si="9"/>
        <v>312768</v>
      </c>
      <c r="L99">
        <f t="shared" si="10"/>
        <v>-441498</v>
      </c>
      <c r="M99">
        <f t="shared" si="11"/>
        <v>4</v>
      </c>
      <c r="N99">
        <f t="shared" si="12"/>
        <v>-95690.000000000029</v>
      </c>
      <c r="P99">
        <f t="shared" si="13"/>
        <v>-232752</v>
      </c>
      <c r="Q99">
        <f t="shared" si="14"/>
        <v>232752</v>
      </c>
      <c r="R99">
        <f t="shared" si="15"/>
        <v>-328442.00000000006</v>
      </c>
    </row>
    <row r="100" spans="1:18" hidden="1" x14ac:dyDescent="0.25">
      <c r="A100" s="1"/>
      <c r="C100" s="1"/>
      <c r="D100" s="1">
        <v>41397</v>
      </c>
      <c r="E100" s="10">
        <v>-3948</v>
      </c>
      <c r="F100" s="1">
        <v>41397</v>
      </c>
      <c r="G100">
        <v>3602.5</v>
      </c>
      <c r="H100" s="1">
        <f t="shared" si="8"/>
        <v>41397</v>
      </c>
      <c r="I100">
        <f>IF(AND(MyRowHidden(ROW())=FALSE,MyRowHidden(ROW()-1)=TRUE),0,(E100-E99)*unitsOfDHp+I99)</f>
        <v>-138180</v>
      </c>
      <c r="J100">
        <f>IF(AND(MyRowHidden(ROW())=FALSE,MyRowHidden(ROW()-1)=TRUE),0,(G100-G99)*unitsOfExo+J99)</f>
        <v>-298368</v>
      </c>
      <c r="K100" s="9">
        <f t="shared" si="9"/>
        <v>298368</v>
      </c>
      <c r="L100">
        <f t="shared" si="10"/>
        <v>-436548</v>
      </c>
      <c r="M100">
        <f t="shared" si="11"/>
        <v>4</v>
      </c>
      <c r="N100">
        <f t="shared" si="12"/>
        <v>-101990.00000000003</v>
      </c>
      <c r="P100">
        <f t="shared" si="13"/>
        <v>-223152</v>
      </c>
      <c r="Q100">
        <f t="shared" si="14"/>
        <v>223152</v>
      </c>
      <c r="R100">
        <f t="shared" si="15"/>
        <v>-325142.00000000006</v>
      </c>
    </row>
    <row r="101" spans="1:18" hidden="1" x14ac:dyDescent="0.25">
      <c r="A101" s="1"/>
      <c r="C101" s="1"/>
      <c r="D101" s="1">
        <v>41400</v>
      </c>
      <c r="E101" s="10">
        <v>-2448</v>
      </c>
      <c r="F101" s="1">
        <v>41400</v>
      </c>
      <c r="G101">
        <v>2402.5</v>
      </c>
      <c r="H101" s="1">
        <f t="shared" si="8"/>
        <v>41400</v>
      </c>
      <c r="I101">
        <f>IF(AND(MyRowHidden(ROW())=FALSE,MyRowHidden(ROW()-1)=TRUE),0,(E101-E100)*unitsOfDHp+I100)</f>
        <v>-85680</v>
      </c>
      <c r="J101">
        <f>IF(AND(MyRowHidden(ROW())=FALSE,MyRowHidden(ROW()-1)=TRUE),0,(G101-G100)*unitsOfExo+J100)</f>
        <v>-643968</v>
      </c>
      <c r="K101" s="9">
        <f t="shared" si="9"/>
        <v>643968</v>
      </c>
      <c r="L101">
        <f t="shared" si="10"/>
        <v>-729648</v>
      </c>
      <c r="M101">
        <f t="shared" si="11"/>
        <v>4</v>
      </c>
      <c r="N101">
        <f t="shared" si="12"/>
        <v>-66990.000000000029</v>
      </c>
      <c r="P101">
        <f t="shared" si="13"/>
        <v>-453552</v>
      </c>
      <c r="Q101">
        <f t="shared" si="14"/>
        <v>453552</v>
      </c>
      <c r="R101">
        <f t="shared" si="15"/>
        <v>-520542.00000000006</v>
      </c>
    </row>
    <row r="102" spans="1:18" hidden="1" x14ac:dyDescent="0.25">
      <c r="A102" s="1"/>
      <c r="C102" s="1"/>
      <c r="D102" s="1">
        <v>41401</v>
      </c>
      <c r="E102" s="10">
        <v>-2560</v>
      </c>
      <c r="F102" s="1">
        <v>41401</v>
      </c>
      <c r="G102">
        <v>2690</v>
      </c>
      <c r="H102" s="1">
        <f t="shared" si="8"/>
        <v>41401</v>
      </c>
      <c r="I102">
        <f>IF(AND(MyRowHidden(ROW())=FALSE,MyRowHidden(ROW()-1)=TRUE),0,(E102-E101)*unitsOfDHp+I101)</f>
        <v>-89600</v>
      </c>
      <c r="J102">
        <f>IF(AND(MyRowHidden(ROW())=FALSE,MyRowHidden(ROW()-1)=TRUE),0,(G102-G101)*unitsOfExo+J101)</f>
        <v>-561168</v>
      </c>
      <c r="K102" s="9">
        <f t="shared" si="9"/>
        <v>561168</v>
      </c>
      <c r="L102">
        <f t="shared" si="10"/>
        <v>-650768</v>
      </c>
      <c r="M102">
        <f t="shared" si="11"/>
        <v>4</v>
      </c>
      <c r="N102">
        <f t="shared" si="12"/>
        <v>-69603.333333333358</v>
      </c>
      <c r="P102">
        <f t="shared" si="13"/>
        <v>-398352</v>
      </c>
      <c r="Q102">
        <f t="shared" si="14"/>
        <v>398352</v>
      </c>
      <c r="R102">
        <f t="shared" si="15"/>
        <v>-467955.33333333337</v>
      </c>
    </row>
    <row r="103" spans="1:18" hidden="1" x14ac:dyDescent="0.25">
      <c r="A103" s="1"/>
      <c r="C103" s="1"/>
      <c r="D103" s="1">
        <v>41402</v>
      </c>
      <c r="E103" s="10">
        <v>-1510</v>
      </c>
      <c r="F103" s="1">
        <v>41402</v>
      </c>
      <c r="G103">
        <v>2127.5</v>
      </c>
      <c r="H103" s="1">
        <f t="shared" si="8"/>
        <v>41402</v>
      </c>
      <c r="I103">
        <f>IF(AND(MyRowHidden(ROW())=FALSE,MyRowHidden(ROW()-1)=TRUE),0,(E103-E102)*unitsOfDHp+I102)</f>
        <v>-52850</v>
      </c>
      <c r="J103">
        <f>IF(AND(MyRowHidden(ROW())=FALSE,MyRowHidden(ROW()-1)=TRUE),0,(G103-G102)*unitsOfExo+J102)</f>
        <v>-723168</v>
      </c>
      <c r="K103" s="9">
        <f t="shared" si="9"/>
        <v>723168</v>
      </c>
      <c r="L103">
        <f t="shared" si="10"/>
        <v>-776018</v>
      </c>
      <c r="M103">
        <f t="shared" si="11"/>
        <v>4</v>
      </c>
      <c r="N103">
        <f t="shared" si="12"/>
        <v>-45103.333333333358</v>
      </c>
      <c r="P103">
        <f t="shared" si="13"/>
        <v>-506352</v>
      </c>
      <c r="Q103">
        <f t="shared" si="14"/>
        <v>506352</v>
      </c>
      <c r="R103">
        <f t="shared" si="15"/>
        <v>-551455.33333333337</v>
      </c>
    </row>
    <row r="104" spans="1:18" hidden="1" x14ac:dyDescent="0.25">
      <c r="A104" s="1"/>
      <c r="C104" s="1"/>
      <c r="D104" s="1">
        <v>41403</v>
      </c>
      <c r="E104" s="10">
        <v>-2922</v>
      </c>
      <c r="F104" s="1">
        <v>41403</v>
      </c>
      <c r="G104">
        <v>3102.5</v>
      </c>
      <c r="H104" s="1">
        <f t="shared" si="8"/>
        <v>41403</v>
      </c>
      <c r="I104">
        <f>IF(AND(MyRowHidden(ROW())=FALSE,MyRowHidden(ROW()-1)=TRUE),0,(E104-E103)*unitsOfDHp+I103)</f>
        <v>-102270</v>
      </c>
      <c r="J104">
        <f>IF(AND(MyRowHidden(ROW())=FALSE,MyRowHidden(ROW()-1)=TRUE),0,(G104-G103)*unitsOfExo+J103)</f>
        <v>-442368</v>
      </c>
      <c r="K104" s="9">
        <f t="shared" si="9"/>
        <v>442368</v>
      </c>
      <c r="L104">
        <f t="shared" si="10"/>
        <v>-544638</v>
      </c>
      <c r="M104">
        <f t="shared" si="11"/>
        <v>4</v>
      </c>
      <c r="N104">
        <f t="shared" si="12"/>
        <v>-78050.000000000029</v>
      </c>
      <c r="P104">
        <f t="shared" si="13"/>
        <v>-319152</v>
      </c>
      <c r="Q104">
        <f t="shared" si="14"/>
        <v>319152</v>
      </c>
      <c r="R104">
        <f t="shared" si="15"/>
        <v>-397202.00000000006</v>
      </c>
    </row>
    <row r="105" spans="1:18" hidden="1" x14ac:dyDescent="0.25">
      <c r="A105" s="1"/>
      <c r="C105" s="1"/>
      <c r="D105" s="1">
        <v>41404</v>
      </c>
      <c r="E105" s="10">
        <v>-1747</v>
      </c>
      <c r="F105" s="1">
        <v>41404</v>
      </c>
      <c r="G105">
        <v>2315</v>
      </c>
      <c r="H105" s="1">
        <f t="shared" si="8"/>
        <v>41404</v>
      </c>
      <c r="I105">
        <f>IF(AND(MyRowHidden(ROW())=FALSE,MyRowHidden(ROW()-1)=TRUE),0,(E105-E104)*unitsOfDHp+I104)</f>
        <v>-61145</v>
      </c>
      <c r="J105">
        <f>IF(AND(MyRowHidden(ROW())=FALSE,MyRowHidden(ROW()-1)=TRUE),0,(G105-G104)*unitsOfExo+J104)</f>
        <v>-669168</v>
      </c>
      <c r="K105" s="9">
        <f t="shared" si="9"/>
        <v>669168</v>
      </c>
      <c r="L105">
        <f t="shared" si="10"/>
        <v>-730313</v>
      </c>
      <c r="M105">
        <f t="shared" si="11"/>
        <v>4</v>
      </c>
      <c r="N105">
        <f t="shared" si="12"/>
        <v>-50633.333333333365</v>
      </c>
      <c r="P105">
        <f t="shared" si="13"/>
        <v>-470352</v>
      </c>
      <c r="Q105">
        <f t="shared" si="14"/>
        <v>470352</v>
      </c>
      <c r="R105">
        <f t="shared" si="15"/>
        <v>-520985.33333333337</v>
      </c>
    </row>
    <row r="106" spans="1:18" hidden="1" x14ac:dyDescent="0.25">
      <c r="A106" s="1"/>
      <c r="C106" s="1"/>
      <c r="D106" s="1">
        <v>41407</v>
      </c>
      <c r="E106" s="10">
        <v>-3142</v>
      </c>
      <c r="F106" s="1">
        <v>41407</v>
      </c>
      <c r="G106">
        <v>3302.5</v>
      </c>
      <c r="H106" s="1">
        <f t="shared" si="8"/>
        <v>41407</v>
      </c>
      <c r="I106">
        <f>IF(AND(MyRowHidden(ROW())=FALSE,MyRowHidden(ROW()-1)=TRUE),0,(E106-E105)*unitsOfDHp+I105)</f>
        <v>-109970</v>
      </c>
      <c r="J106">
        <f>IF(AND(MyRowHidden(ROW())=FALSE,MyRowHidden(ROW()-1)=TRUE),0,(G106-G105)*unitsOfExo+J105)</f>
        <v>-384768</v>
      </c>
      <c r="K106" s="9">
        <f t="shared" si="9"/>
        <v>384768</v>
      </c>
      <c r="L106">
        <f t="shared" si="10"/>
        <v>-494738</v>
      </c>
      <c r="M106">
        <f t="shared" si="11"/>
        <v>4</v>
      </c>
      <c r="N106">
        <f t="shared" si="12"/>
        <v>-83183.333333333372</v>
      </c>
      <c r="P106">
        <f t="shared" si="13"/>
        <v>-280752</v>
      </c>
      <c r="Q106">
        <f t="shared" si="14"/>
        <v>280752</v>
      </c>
      <c r="R106">
        <f t="shared" si="15"/>
        <v>-363935.33333333337</v>
      </c>
    </row>
    <row r="107" spans="1:18" hidden="1" x14ac:dyDescent="0.25">
      <c r="A107" s="1"/>
      <c r="C107" s="1"/>
      <c r="D107" s="1">
        <v>41408</v>
      </c>
      <c r="E107" s="10">
        <v>-3291</v>
      </c>
      <c r="F107" s="1">
        <v>41408</v>
      </c>
      <c r="G107">
        <v>3077.5</v>
      </c>
      <c r="H107" s="1">
        <f t="shared" si="8"/>
        <v>41408</v>
      </c>
      <c r="I107">
        <f>IF(AND(MyRowHidden(ROW())=FALSE,MyRowHidden(ROW()-1)=TRUE),0,(E107-E106)*unitsOfDHp+I106)</f>
        <v>-115185</v>
      </c>
      <c r="J107">
        <f>IF(AND(MyRowHidden(ROW())=FALSE,MyRowHidden(ROW()-1)=TRUE),0,(G107-G106)*unitsOfExo+J106)</f>
        <v>-449568</v>
      </c>
      <c r="K107" s="9">
        <f t="shared" si="9"/>
        <v>449568</v>
      </c>
      <c r="L107">
        <f t="shared" si="10"/>
        <v>-564753</v>
      </c>
      <c r="M107">
        <f t="shared" si="11"/>
        <v>4</v>
      </c>
      <c r="N107">
        <f t="shared" si="12"/>
        <v>-86660.000000000044</v>
      </c>
      <c r="P107">
        <f t="shared" si="13"/>
        <v>-323952</v>
      </c>
      <c r="Q107">
        <f t="shared" si="14"/>
        <v>323952</v>
      </c>
      <c r="R107">
        <f t="shared" si="15"/>
        <v>-410612.00000000006</v>
      </c>
    </row>
    <row r="108" spans="1:18" hidden="1" x14ac:dyDescent="0.25">
      <c r="A108" s="1"/>
      <c r="C108" s="1"/>
      <c r="D108" s="1">
        <v>41409</v>
      </c>
      <c r="E108" s="10">
        <v>-3216</v>
      </c>
      <c r="F108" s="1">
        <v>41409</v>
      </c>
      <c r="G108">
        <v>2990</v>
      </c>
      <c r="H108" s="1">
        <f t="shared" si="8"/>
        <v>41409</v>
      </c>
      <c r="I108">
        <f>IF(AND(MyRowHidden(ROW())=FALSE,MyRowHidden(ROW()-1)=TRUE),0,(E108-E107)*unitsOfDHp+I107)</f>
        <v>-112560</v>
      </c>
      <c r="J108">
        <f>IF(AND(MyRowHidden(ROW())=FALSE,MyRowHidden(ROW()-1)=TRUE),0,(G108-G107)*unitsOfExo+J107)</f>
        <v>-474768</v>
      </c>
      <c r="K108" s="9">
        <f t="shared" si="9"/>
        <v>474768</v>
      </c>
      <c r="L108">
        <f t="shared" si="10"/>
        <v>-587328</v>
      </c>
      <c r="M108">
        <f t="shared" si="11"/>
        <v>4</v>
      </c>
      <c r="N108">
        <f t="shared" si="12"/>
        <v>-84910.000000000044</v>
      </c>
      <c r="P108">
        <f t="shared" si="13"/>
        <v>-340752</v>
      </c>
      <c r="Q108">
        <f t="shared" si="14"/>
        <v>340752</v>
      </c>
      <c r="R108">
        <f t="shared" si="15"/>
        <v>-425662.00000000006</v>
      </c>
    </row>
    <row r="109" spans="1:18" hidden="1" x14ac:dyDescent="0.25">
      <c r="A109" s="1"/>
      <c r="C109" s="1"/>
      <c r="D109" s="1">
        <v>41410</v>
      </c>
      <c r="E109" s="10">
        <v>-2928</v>
      </c>
      <c r="F109" s="1">
        <v>41410</v>
      </c>
      <c r="G109">
        <v>2640</v>
      </c>
      <c r="H109" s="1">
        <f t="shared" si="8"/>
        <v>41410</v>
      </c>
      <c r="I109">
        <f>IF(AND(MyRowHidden(ROW())=FALSE,MyRowHidden(ROW()-1)=TRUE),0,(E109-E108)*unitsOfDHp+I108)</f>
        <v>-102480</v>
      </c>
      <c r="J109">
        <f>IF(AND(MyRowHidden(ROW())=FALSE,MyRowHidden(ROW()-1)=TRUE),0,(G109-G108)*unitsOfExo+J108)</f>
        <v>-575568</v>
      </c>
      <c r="K109" s="9">
        <f t="shared" si="9"/>
        <v>575568</v>
      </c>
      <c r="L109">
        <f t="shared" si="10"/>
        <v>-678048</v>
      </c>
      <c r="M109">
        <f t="shared" si="11"/>
        <v>4</v>
      </c>
      <c r="N109">
        <f t="shared" si="12"/>
        <v>-78190.000000000044</v>
      </c>
      <c r="P109">
        <f t="shared" si="13"/>
        <v>-407952</v>
      </c>
      <c r="Q109">
        <f t="shared" si="14"/>
        <v>407952</v>
      </c>
      <c r="R109">
        <f t="shared" si="15"/>
        <v>-486142.00000000006</v>
      </c>
    </row>
    <row r="110" spans="1:18" hidden="1" x14ac:dyDescent="0.25">
      <c r="A110" s="1"/>
      <c r="C110" s="1"/>
      <c r="D110" s="1">
        <v>41411</v>
      </c>
      <c r="E110" s="10">
        <v>-3128</v>
      </c>
      <c r="F110" s="1">
        <v>41411</v>
      </c>
      <c r="G110">
        <v>3140</v>
      </c>
      <c r="H110" s="1">
        <f t="shared" si="8"/>
        <v>41411</v>
      </c>
      <c r="I110">
        <f>IF(AND(MyRowHidden(ROW())=FALSE,MyRowHidden(ROW()-1)=TRUE),0,(E110-E109)*unitsOfDHp+I109)</f>
        <v>-109480</v>
      </c>
      <c r="J110">
        <f>IF(AND(MyRowHidden(ROW())=FALSE,MyRowHidden(ROW()-1)=TRUE),0,(G110-G109)*unitsOfExo+J109)</f>
        <v>-431568</v>
      </c>
      <c r="K110" s="9">
        <f t="shared" si="9"/>
        <v>431568</v>
      </c>
      <c r="L110">
        <f t="shared" si="10"/>
        <v>-541048</v>
      </c>
      <c r="M110">
        <f t="shared" si="11"/>
        <v>4</v>
      </c>
      <c r="N110">
        <f t="shared" si="12"/>
        <v>-82856.666666666715</v>
      </c>
      <c r="P110">
        <f t="shared" si="13"/>
        <v>-311952</v>
      </c>
      <c r="Q110">
        <f t="shared" si="14"/>
        <v>311952</v>
      </c>
      <c r="R110">
        <f t="shared" si="15"/>
        <v>-394808.66666666674</v>
      </c>
    </row>
    <row r="111" spans="1:18" hidden="1" x14ac:dyDescent="0.25">
      <c r="A111" s="1"/>
      <c r="C111" s="1"/>
      <c r="D111" s="1">
        <v>41414</v>
      </c>
      <c r="E111" s="10">
        <v>-2778</v>
      </c>
      <c r="F111" s="1">
        <v>41414</v>
      </c>
      <c r="G111">
        <v>2915</v>
      </c>
      <c r="H111" s="1">
        <f t="shared" si="8"/>
        <v>41414</v>
      </c>
      <c r="I111">
        <f>IF(AND(MyRowHidden(ROW())=FALSE,MyRowHidden(ROW()-1)=TRUE),0,(E111-E110)*unitsOfDHp+I110)</f>
        <v>-97230</v>
      </c>
      <c r="J111">
        <f>IF(AND(MyRowHidden(ROW())=FALSE,MyRowHidden(ROW()-1)=TRUE),0,(G111-G110)*unitsOfExo+J110)</f>
        <v>-496368</v>
      </c>
      <c r="K111" s="9">
        <f t="shared" si="9"/>
        <v>496368</v>
      </c>
      <c r="L111">
        <f t="shared" si="10"/>
        <v>-593598</v>
      </c>
      <c r="M111">
        <f t="shared" si="11"/>
        <v>4</v>
      </c>
      <c r="N111">
        <f t="shared" si="12"/>
        <v>-74690.000000000044</v>
      </c>
      <c r="P111">
        <f t="shared" si="13"/>
        <v>-355152</v>
      </c>
      <c r="Q111">
        <f t="shared" si="14"/>
        <v>355152</v>
      </c>
      <c r="R111">
        <f t="shared" si="15"/>
        <v>-429842.00000000006</v>
      </c>
    </row>
    <row r="112" spans="1:18" hidden="1" x14ac:dyDescent="0.25">
      <c r="A112" s="1"/>
      <c r="C112" s="1"/>
      <c r="D112" s="1">
        <v>41415</v>
      </c>
      <c r="E112" s="10">
        <v>-2290</v>
      </c>
      <c r="F112" s="1">
        <v>41415</v>
      </c>
      <c r="G112">
        <v>2365</v>
      </c>
      <c r="H112" s="1">
        <f t="shared" si="8"/>
        <v>41415</v>
      </c>
      <c r="I112">
        <f>IF(AND(MyRowHidden(ROW())=FALSE,MyRowHidden(ROW()-1)=TRUE),0,(E112-E111)*unitsOfDHp+I111)</f>
        <v>-80150</v>
      </c>
      <c r="J112">
        <f>IF(AND(MyRowHidden(ROW())=FALSE,MyRowHidden(ROW()-1)=TRUE),0,(G112-G111)*unitsOfExo+J111)</f>
        <v>-654768</v>
      </c>
      <c r="K112" s="9">
        <f t="shared" si="9"/>
        <v>654768</v>
      </c>
      <c r="L112">
        <f t="shared" si="10"/>
        <v>-734918</v>
      </c>
      <c r="M112">
        <f t="shared" si="11"/>
        <v>4</v>
      </c>
      <c r="N112">
        <f t="shared" si="12"/>
        <v>-63303.333333333379</v>
      </c>
      <c r="P112">
        <f t="shared" si="13"/>
        <v>-460752</v>
      </c>
      <c r="Q112">
        <f t="shared" si="14"/>
        <v>460752</v>
      </c>
      <c r="R112">
        <f t="shared" si="15"/>
        <v>-524055.33333333337</v>
      </c>
    </row>
    <row r="113" spans="1:18" hidden="1" x14ac:dyDescent="0.25">
      <c r="A113" s="1"/>
      <c r="C113" s="1"/>
      <c r="D113" s="1">
        <v>41416</v>
      </c>
      <c r="E113" s="10">
        <v>-2926</v>
      </c>
      <c r="F113" s="1">
        <v>41416</v>
      </c>
      <c r="G113">
        <v>3327.5</v>
      </c>
      <c r="H113" s="1">
        <f t="shared" si="8"/>
        <v>41416</v>
      </c>
      <c r="I113">
        <f>IF(AND(MyRowHidden(ROW())=FALSE,MyRowHidden(ROW()-1)=TRUE),0,(E113-E112)*unitsOfDHp+I112)</f>
        <v>-102410</v>
      </c>
      <c r="J113">
        <f>IF(AND(MyRowHidden(ROW())=FALSE,MyRowHidden(ROW()-1)=TRUE),0,(G113-G112)*unitsOfExo+J112)</f>
        <v>-377568</v>
      </c>
      <c r="K113" s="9">
        <f t="shared" si="9"/>
        <v>377568</v>
      </c>
      <c r="L113">
        <f t="shared" si="10"/>
        <v>-479978</v>
      </c>
      <c r="M113">
        <f t="shared" si="11"/>
        <v>4</v>
      </c>
      <c r="N113">
        <f t="shared" si="12"/>
        <v>-78143.333333333372</v>
      </c>
      <c r="P113">
        <f t="shared" si="13"/>
        <v>-275952</v>
      </c>
      <c r="Q113">
        <f t="shared" si="14"/>
        <v>275952</v>
      </c>
      <c r="R113">
        <f t="shared" si="15"/>
        <v>-354095.33333333337</v>
      </c>
    </row>
    <row r="114" spans="1:18" hidden="1" x14ac:dyDescent="0.25">
      <c r="A114" s="1"/>
      <c r="C114" s="1"/>
      <c r="D114" s="1">
        <v>41417</v>
      </c>
      <c r="E114" s="10">
        <v>-3164</v>
      </c>
      <c r="F114" s="1">
        <v>41417</v>
      </c>
      <c r="G114">
        <v>3652.5</v>
      </c>
      <c r="H114" s="1">
        <f t="shared" si="8"/>
        <v>41417</v>
      </c>
      <c r="I114">
        <f>IF(AND(MyRowHidden(ROW())=FALSE,MyRowHidden(ROW()-1)=TRUE),0,(E114-E113)*unitsOfDHp+I113)</f>
        <v>-110740</v>
      </c>
      <c r="J114">
        <f>IF(AND(MyRowHidden(ROW())=FALSE,MyRowHidden(ROW()-1)=TRUE),0,(G114-G113)*unitsOfExo+J113)</f>
        <v>-283968</v>
      </c>
      <c r="K114" s="9">
        <f t="shared" si="9"/>
        <v>283968</v>
      </c>
      <c r="L114">
        <f t="shared" si="10"/>
        <v>-394708</v>
      </c>
      <c r="M114">
        <f t="shared" si="11"/>
        <v>4</v>
      </c>
      <c r="N114">
        <f t="shared" si="12"/>
        <v>-83696.666666666701</v>
      </c>
      <c r="P114">
        <f t="shared" si="13"/>
        <v>-213552</v>
      </c>
      <c r="Q114">
        <f t="shared" si="14"/>
        <v>213552</v>
      </c>
      <c r="R114">
        <f t="shared" si="15"/>
        <v>-297248.66666666669</v>
      </c>
    </row>
    <row r="115" spans="1:18" hidden="1" x14ac:dyDescent="0.25">
      <c r="A115" s="1"/>
      <c r="C115" s="1"/>
      <c r="D115" s="1">
        <v>41418</v>
      </c>
      <c r="E115" s="10">
        <v>-3076</v>
      </c>
      <c r="F115" s="1">
        <v>41418</v>
      </c>
      <c r="G115">
        <v>3490</v>
      </c>
      <c r="H115" s="1">
        <f t="shared" si="8"/>
        <v>41418</v>
      </c>
      <c r="I115">
        <f>IF(AND(MyRowHidden(ROW())=FALSE,MyRowHidden(ROW()-1)=TRUE),0,(E115-E114)*unitsOfDHp+I114)</f>
        <v>-107660</v>
      </c>
      <c r="J115">
        <f>IF(AND(MyRowHidden(ROW())=FALSE,MyRowHidden(ROW()-1)=TRUE),0,(G115-G114)*unitsOfExo+J114)</f>
        <v>-330768</v>
      </c>
      <c r="K115" s="9">
        <f t="shared" si="9"/>
        <v>330768</v>
      </c>
      <c r="L115">
        <f t="shared" si="10"/>
        <v>-438428</v>
      </c>
      <c r="M115">
        <f t="shared" si="11"/>
        <v>4</v>
      </c>
      <c r="N115">
        <f t="shared" si="12"/>
        <v>-81643.333333333372</v>
      </c>
      <c r="P115">
        <f t="shared" si="13"/>
        <v>-244752</v>
      </c>
      <c r="Q115">
        <f t="shared" si="14"/>
        <v>244752</v>
      </c>
      <c r="R115">
        <f t="shared" si="15"/>
        <v>-326395.33333333337</v>
      </c>
    </row>
    <row r="116" spans="1:18" hidden="1" x14ac:dyDescent="0.25">
      <c r="A116" s="1"/>
      <c r="C116" s="1"/>
      <c r="D116" s="1">
        <v>41421</v>
      </c>
      <c r="E116" s="10">
        <v>-2801</v>
      </c>
      <c r="F116" s="1">
        <v>41421</v>
      </c>
      <c r="G116">
        <v>3390</v>
      </c>
      <c r="H116" s="1">
        <f t="shared" si="8"/>
        <v>41421</v>
      </c>
      <c r="I116">
        <f>IF(AND(MyRowHidden(ROW())=FALSE,MyRowHidden(ROW()-1)=TRUE),0,(E116-E115)*unitsOfDHp+I115)</f>
        <v>-98035</v>
      </c>
      <c r="J116">
        <f>IF(AND(MyRowHidden(ROW())=FALSE,MyRowHidden(ROW()-1)=TRUE),0,(G116-G115)*unitsOfExo+J115)</f>
        <v>-359568</v>
      </c>
      <c r="K116" s="9">
        <f t="shared" si="9"/>
        <v>359568</v>
      </c>
      <c r="L116">
        <f t="shared" si="10"/>
        <v>-457603</v>
      </c>
      <c r="M116">
        <f t="shared" si="11"/>
        <v>4</v>
      </c>
      <c r="N116">
        <f t="shared" si="12"/>
        <v>-75226.666666666701</v>
      </c>
      <c r="P116">
        <f t="shared" si="13"/>
        <v>-263952</v>
      </c>
      <c r="Q116">
        <f t="shared" si="14"/>
        <v>263952</v>
      </c>
      <c r="R116">
        <f t="shared" si="15"/>
        <v>-339178.66666666669</v>
      </c>
    </row>
    <row r="117" spans="1:18" hidden="1" x14ac:dyDescent="0.25">
      <c r="A117" s="1"/>
      <c r="C117" s="1"/>
      <c r="D117" s="1">
        <v>41422</v>
      </c>
      <c r="E117" s="10">
        <v>-3138</v>
      </c>
      <c r="F117" s="1">
        <v>41422</v>
      </c>
      <c r="G117">
        <v>3790</v>
      </c>
      <c r="H117" s="1">
        <f t="shared" si="8"/>
        <v>41422</v>
      </c>
      <c r="I117">
        <f>IF(AND(MyRowHidden(ROW())=FALSE,MyRowHidden(ROW()-1)=TRUE),0,(E117-E116)*unitsOfDHp+I116)</f>
        <v>-109830</v>
      </c>
      <c r="J117">
        <f>IF(AND(MyRowHidden(ROW())=FALSE,MyRowHidden(ROW()-1)=TRUE),0,(G117-G116)*unitsOfExo+J116)</f>
        <v>-244368</v>
      </c>
      <c r="K117" s="9">
        <f t="shared" si="9"/>
        <v>244368</v>
      </c>
      <c r="L117">
        <f t="shared" si="10"/>
        <v>-354198</v>
      </c>
      <c r="M117">
        <f t="shared" si="11"/>
        <v>4</v>
      </c>
      <c r="N117">
        <f t="shared" si="12"/>
        <v>-83090.000000000029</v>
      </c>
      <c r="P117">
        <f t="shared" si="13"/>
        <v>-187152</v>
      </c>
      <c r="Q117">
        <f t="shared" si="14"/>
        <v>187152</v>
      </c>
      <c r="R117">
        <f t="shared" si="15"/>
        <v>-270242</v>
      </c>
    </row>
    <row r="118" spans="1:18" hidden="1" x14ac:dyDescent="0.25">
      <c r="A118" s="1"/>
      <c r="C118" s="1"/>
      <c r="D118" s="1">
        <v>41423</v>
      </c>
      <c r="E118" s="10">
        <v>-3126</v>
      </c>
      <c r="F118" s="1">
        <v>41423</v>
      </c>
      <c r="G118">
        <v>3765</v>
      </c>
      <c r="H118" s="1">
        <f t="shared" si="8"/>
        <v>41423</v>
      </c>
      <c r="I118">
        <f>IF(AND(MyRowHidden(ROW())=FALSE,MyRowHidden(ROW()-1)=TRUE),0,(E118-E117)*unitsOfDHp+I117)</f>
        <v>-109410</v>
      </c>
      <c r="J118">
        <f>IF(AND(MyRowHidden(ROW())=FALSE,MyRowHidden(ROW()-1)=TRUE),0,(G118-G117)*unitsOfExo+J117)</f>
        <v>-251568</v>
      </c>
      <c r="K118" s="9">
        <f t="shared" si="9"/>
        <v>251568</v>
      </c>
      <c r="L118">
        <f t="shared" si="10"/>
        <v>-360978</v>
      </c>
      <c r="M118">
        <f t="shared" si="11"/>
        <v>4</v>
      </c>
      <c r="N118">
        <f t="shared" si="12"/>
        <v>-82810.000000000029</v>
      </c>
      <c r="P118">
        <f t="shared" si="13"/>
        <v>-191952</v>
      </c>
      <c r="Q118">
        <f t="shared" si="14"/>
        <v>191952</v>
      </c>
      <c r="R118">
        <f t="shared" si="15"/>
        <v>-274762</v>
      </c>
    </row>
    <row r="119" spans="1:18" hidden="1" x14ac:dyDescent="0.25">
      <c r="A119" s="1"/>
      <c r="C119" s="1"/>
      <c r="D119" s="1">
        <v>41424</v>
      </c>
      <c r="E119" s="10">
        <v>-2601</v>
      </c>
      <c r="F119" s="1">
        <v>41424</v>
      </c>
      <c r="G119">
        <v>3165</v>
      </c>
      <c r="H119" s="1">
        <f t="shared" si="8"/>
        <v>41424</v>
      </c>
      <c r="I119">
        <f>IF(AND(MyRowHidden(ROW())=FALSE,MyRowHidden(ROW()-1)=TRUE),0,(E119-E118)*unitsOfDHp+I118)</f>
        <v>-91035</v>
      </c>
      <c r="J119">
        <f>IF(AND(MyRowHidden(ROW())=FALSE,MyRowHidden(ROW()-1)=TRUE),0,(G119-G118)*unitsOfExo+J118)</f>
        <v>-424368</v>
      </c>
      <c r="K119" s="9">
        <f t="shared" si="9"/>
        <v>424368</v>
      </c>
      <c r="L119">
        <f t="shared" si="10"/>
        <v>-515403</v>
      </c>
      <c r="M119">
        <f t="shared" si="11"/>
        <v>4</v>
      </c>
      <c r="N119">
        <f t="shared" si="12"/>
        <v>-70560.000000000029</v>
      </c>
      <c r="P119">
        <f t="shared" si="13"/>
        <v>-307152</v>
      </c>
      <c r="Q119">
        <f t="shared" si="14"/>
        <v>307152</v>
      </c>
      <c r="R119">
        <f t="shared" si="15"/>
        <v>-377712</v>
      </c>
    </row>
    <row r="120" spans="1:18" hidden="1" x14ac:dyDescent="0.25">
      <c r="A120" s="1"/>
      <c r="C120" s="1"/>
      <c r="D120" s="1">
        <v>41425</v>
      </c>
      <c r="E120" s="10">
        <v>-2762</v>
      </c>
      <c r="F120" s="1">
        <v>41425</v>
      </c>
      <c r="G120">
        <v>3652.5</v>
      </c>
      <c r="H120" s="1">
        <f t="shared" si="8"/>
        <v>41425</v>
      </c>
      <c r="I120">
        <f>IF(AND(MyRowHidden(ROW())=FALSE,MyRowHidden(ROW()-1)=TRUE),0,(E120-E119)*unitsOfDHp+I119)</f>
        <v>-96670</v>
      </c>
      <c r="J120">
        <f>IF(AND(MyRowHidden(ROW())=FALSE,MyRowHidden(ROW()-1)=TRUE),0,(G120-G119)*unitsOfExo+J119)</f>
        <v>-283968</v>
      </c>
      <c r="K120" s="9">
        <f t="shared" si="9"/>
        <v>283968</v>
      </c>
      <c r="L120">
        <f t="shared" si="10"/>
        <v>-380638</v>
      </c>
      <c r="M120">
        <f t="shared" si="11"/>
        <v>4</v>
      </c>
      <c r="N120">
        <f t="shared" si="12"/>
        <v>-74316.666666666701</v>
      </c>
      <c r="P120">
        <f t="shared" si="13"/>
        <v>-213552</v>
      </c>
      <c r="Q120">
        <f t="shared" si="14"/>
        <v>213552</v>
      </c>
      <c r="R120">
        <f t="shared" si="15"/>
        <v>-287868.66666666669</v>
      </c>
    </row>
    <row r="121" spans="1:18" hidden="1" x14ac:dyDescent="0.25">
      <c r="A121" s="1"/>
      <c r="C121" s="1"/>
      <c r="D121" s="1">
        <v>41428</v>
      </c>
      <c r="E121" s="10">
        <v>-2462</v>
      </c>
      <c r="F121" s="1">
        <v>41428</v>
      </c>
      <c r="G121">
        <v>3465</v>
      </c>
      <c r="H121" s="1">
        <f t="shared" si="8"/>
        <v>41428</v>
      </c>
      <c r="I121">
        <f>IF(AND(MyRowHidden(ROW())=FALSE,MyRowHidden(ROW()-1)=TRUE),0,(E121-E120)*unitsOfDHp+I120)</f>
        <v>-86170</v>
      </c>
      <c r="J121">
        <f>IF(AND(MyRowHidden(ROW())=FALSE,MyRowHidden(ROW()-1)=TRUE),0,(G121-G120)*unitsOfExo+J120)</f>
        <v>-337968</v>
      </c>
      <c r="K121" s="9">
        <f t="shared" si="9"/>
        <v>337968</v>
      </c>
      <c r="L121">
        <f t="shared" si="10"/>
        <v>-424138</v>
      </c>
      <c r="M121">
        <f t="shared" si="11"/>
        <v>5</v>
      </c>
      <c r="N121">
        <f t="shared" si="12"/>
        <v>-68191.666666666701</v>
      </c>
      <c r="P121">
        <f t="shared" si="13"/>
        <v>-245052</v>
      </c>
      <c r="Q121">
        <f t="shared" si="14"/>
        <v>245052</v>
      </c>
      <c r="R121">
        <f t="shared" si="15"/>
        <v>-313243.66666666669</v>
      </c>
    </row>
    <row r="122" spans="1:18" hidden="1" x14ac:dyDescent="0.25">
      <c r="A122" s="1"/>
      <c r="C122" s="1"/>
      <c r="D122" s="1">
        <v>41429</v>
      </c>
      <c r="E122" s="10">
        <v>-2210</v>
      </c>
      <c r="F122" s="1">
        <v>41429</v>
      </c>
      <c r="G122">
        <v>3290</v>
      </c>
      <c r="H122" s="1">
        <f t="shared" si="8"/>
        <v>41429</v>
      </c>
      <c r="I122">
        <f>IF(AND(MyRowHidden(ROW())=FALSE,MyRowHidden(ROW()-1)=TRUE),0,(E122-E121)*unitsOfDHp+I121)</f>
        <v>-77350</v>
      </c>
      <c r="J122">
        <f>IF(AND(MyRowHidden(ROW())=FALSE,MyRowHidden(ROW()-1)=TRUE),0,(G122-G121)*unitsOfExo+J121)</f>
        <v>-388368</v>
      </c>
      <c r="K122" s="9">
        <f t="shared" si="9"/>
        <v>388368</v>
      </c>
      <c r="L122">
        <f t="shared" si="10"/>
        <v>-465718</v>
      </c>
      <c r="M122">
        <f t="shared" si="11"/>
        <v>5</v>
      </c>
      <c r="N122">
        <f t="shared" si="12"/>
        <v>-63046.666666666701</v>
      </c>
      <c r="P122">
        <f t="shared" si="13"/>
        <v>-274452</v>
      </c>
      <c r="Q122">
        <f t="shared" si="14"/>
        <v>274452</v>
      </c>
      <c r="R122">
        <f t="shared" si="15"/>
        <v>-337498.66666666669</v>
      </c>
    </row>
    <row r="123" spans="1:18" hidden="1" x14ac:dyDescent="0.25">
      <c r="A123" s="1"/>
      <c r="C123" s="1"/>
      <c r="D123" s="1">
        <v>41430</v>
      </c>
      <c r="E123" s="10">
        <v>-2610</v>
      </c>
      <c r="F123" s="1">
        <v>41430</v>
      </c>
      <c r="G123">
        <v>3590</v>
      </c>
      <c r="H123" s="1">
        <f t="shared" si="8"/>
        <v>41430</v>
      </c>
      <c r="I123">
        <f>IF(AND(MyRowHidden(ROW())=FALSE,MyRowHidden(ROW()-1)=TRUE),0,(E123-E122)*unitsOfDHp+I122)</f>
        <v>-91350</v>
      </c>
      <c r="J123">
        <f>IF(AND(MyRowHidden(ROW())=FALSE,MyRowHidden(ROW()-1)=TRUE),0,(G123-G122)*unitsOfExo+J122)</f>
        <v>-301968</v>
      </c>
      <c r="K123" s="9">
        <f t="shared" si="9"/>
        <v>301968</v>
      </c>
      <c r="L123">
        <f t="shared" si="10"/>
        <v>-393318</v>
      </c>
      <c r="M123">
        <f t="shared" si="11"/>
        <v>5</v>
      </c>
      <c r="N123">
        <f t="shared" si="12"/>
        <v>-71213.333333333372</v>
      </c>
      <c r="P123">
        <f t="shared" si="13"/>
        <v>-224052</v>
      </c>
      <c r="Q123">
        <f t="shared" si="14"/>
        <v>224052</v>
      </c>
      <c r="R123">
        <f t="shared" si="15"/>
        <v>-295265.33333333337</v>
      </c>
    </row>
    <row r="124" spans="1:18" hidden="1" x14ac:dyDescent="0.25">
      <c r="A124" s="1"/>
      <c r="C124" s="1"/>
      <c r="D124" s="1">
        <v>41431</v>
      </c>
      <c r="E124" s="10">
        <v>-2646</v>
      </c>
      <c r="F124" s="1">
        <v>41431</v>
      </c>
      <c r="G124">
        <v>3590</v>
      </c>
      <c r="H124" s="1">
        <f t="shared" si="8"/>
        <v>41431</v>
      </c>
      <c r="I124">
        <f>IF(AND(MyRowHidden(ROW())=FALSE,MyRowHidden(ROW()-1)=TRUE),0,(E124-E123)*unitsOfDHp+I123)</f>
        <v>-92610</v>
      </c>
      <c r="J124">
        <f>IF(AND(MyRowHidden(ROW())=FALSE,MyRowHidden(ROW()-1)=TRUE),0,(G124-G123)*unitsOfExo+J123)</f>
        <v>-301968</v>
      </c>
      <c r="K124" s="9">
        <f t="shared" si="9"/>
        <v>301968</v>
      </c>
      <c r="L124">
        <f t="shared" si="10"/>
        <v>-394578</v>
      </c>
      <c r="M124">
        <f t="shared" si="11"/>
        <v>5</v>
      </c>
      <c r="N124">
        <f t="shared" si="12"/>
        <v>-71948.333333333372</v>
      </c>
      <c r="P124">
        <f t="shared" si="13"/>
        <v>-224052</v>
      </c>
      <c r="Q124">
        <f t="shared" si="14"/>
        <v>224052</v>
      </c>
      <c r="R124">
        <f t="shared" si="15"/>
        <v>-296000.33333333337</v>
      </c>
    </row>
    <row r="125" spans="1:18" hidden="1" x14ac:dyDescent="0.25">
      <c r="A125" s="1"/>
      <c r="C125" s="1"/>
      <c r="D125" s="1">
        <v>41432</v>
      </c>
      <c r="E125" s="10">
        <v>-3058</v>
      </c>
      <c r="F125" s="1">
        <v>41432</v>
      </c>
      <c r="G125">
        <v>3802.5</v>
      </c>
      <c r="H125" s="1">
        <f t="shared" si="8"/>
        <v>41432</v>
      </c>
      <c r="I125">
        <f>IF(AND(MyRowHidden(ROW())=FALSE,MyRowHidden(ROW()-1)=TRUE),0,(E125-E124)*unitsOfDHp+I124)</f>
        <v>-107030</v>
      </c>
      <c r="J125">
        <f>IF(AND(MyRowHidden(ROW())=FALSE,MyRowHidden(ROW()-1)=TRUE),0,(G125-G124)*unitsOfExo+J124)</f>
        <v>-240768</v>
      </c>
      <c r="K125" s="9">
        <f t="shared" si="9"/>
        <v>240768</v>
      </c>
      <c r="L125">
        <f t="shared" si="10"/>
        <v>-347798</v>
      </c>
      <c r="M125">
        <f t="shared" si="11"/>
        <v>5</v>
      </c>
      <c r="N125">
        <f t="shared" si="12"/>
        <v>-80360.000000000044</v>
      </c>
      <c r="P125">
        <f t="shared" si="13"/>
        <v>-188352</v>
      </c>
      <c r="Q125">
        <f t="shared" si="14"/>
        <v>188352</v>
      </c>
      <c r="R125">
        <f t="shared" si="15"/>
        <v>-268712.00000000006</v>
      </c>
    </row>
    <row r="126" spans="1:18" hidden="1" x14ac:dyDescent="0.25">
      <c r="A126" s="1"/>
      <c r="C126" s="1"/>
      <c r="D126" s="1">
        <v>41435</v>
      </c>
      <c r="E126" s="10">
        <v>-1558</v>
      </c>
      <c r="F126" s="1">
        <v>41435</v>
      </c>
      <c r="G126">
        <v>2990</v>
      </c>
      <c r="H126" s="1">
        <f t="shared" si="8"/>
        <v>41435</v>
      </c>
      <c r="I126">
        <f>IF(AND(MyRowHidden(ROW())=FALSE,MyRowHidden(ROW()-1)=TRUE),0,(E126-E125)*unitsOfDHp+I125)</f>
        <v>-54530</v>
      </c>
      <c r="J126">
        <f>IF(AND(MyRowHidden(ROW())=FALSE,MyRowHidden(ROW()-1)=TRUE),0,(G126-G125)*unitsOfExo+J125)</f>
        <v>-474768</v>
      </c>
      <c r="K126" s="9">
        <f t="shared" si="9"/>
        <v>474768</v>
      </c>
      <c r="L126">
        <f t="shared" si="10"/>
        <v>-529298</v>
      </c>
      <c r="M126">
        <f t="shared" si="11"/>
        <v>5</v>
      </c>
      <c r="N126">
        <f t="shared" si="12"/>
        <v>-49735.000000000044</v>
      </c>
      <c r="P126">
        <f t="shared" si="13"/>
        <v>-324852</v>
      </c>
      <c r="Q126">
        <f t="shared" si="14"/>
        <v>324852</v>
      </c>
      <c r="R126">
        <f t="shared" si="15"/>
        <v>-374587.00000000006</v>
      </c>
    </row>
    <row r="127" spans="1:18" hidden="1" x14ac:dyDescent="0.25">
      <c r="A127" s="1"/>
      <c r="C127" s="1"/>
      <c r="D127" s="1">
        <v>41436</v>
      </c>
      <c r="E127" s="10">
        <v>-1696</v>
      </c>
      <c r="F127" s="1">
        <v>41436</v>
      </c>
      <c r="G127">
        <v>3327.5</v>
      </c>
      <c r="H127" s="1">
        <f t="shared" si="8"/>
        <v>41436</v>
      </c>
      <c r="I127">
        <f>IF(AND(MyRowHidden(ROW())=FALSE,MyRowHidden(ROW()-1)=TRUE),0,(E127-E126)*unitsOfDHp+I126)</f>
        <v>-59360</v>
      </c>
      <c r="J127">
        <f>IF(AND(MyRowHidden(ROW())=FALSE,MyRowHidden(ROW()-1)=TRUE),0,(G127-G126)*unitsOfExo+J126)</f>
        <v>-377568</v>
      </c>
      <c r="K127" s="9">
        <f t="shared" si="9"/>
        <v>377568</v>
      </c>
      <c r="L127">
        <f t="shared" si="10"/>
        <v>-436928</v>
      </c>
      <c r="M127">
        <f t="shared" si="11"/>
        <v>5</v>
      </c>
      <c r="N127">
        <f t="shared" si="12"/>
        <v>-52552.500000000044</v>
      </c>
      <c r="P127">
        <f t="shared" si="13"/>
        <v>-268152</v>
      </c>
      <c r="Q127">
        <f t="shared" si="14"/>
        <v>268152</v>
      </c>
      <c r="R127">
        <f t="shared" si="15"/>
        <v>-320704.50000000006</v>
      </c>
    </row>
    <row r="128" spans="1:18" hidden="1" x14ac:dyDescent="0.25">
      <c r="A128" s="1"/>
      <c r="C128" s="1"/>
      <c r="D128" s="1">
        <v>41437</v>
      </c>
      <c r="E128" s="10">
        <v>-1432</v>
      </c>
      <c r="F128" s="1">
        <v>41437</v>
      </c>
      <c r="G128">
        <v>3002.5</v>
      </c>
      <c r="H128" s="1">
        <f t="shared" si="8"/>
        <v>41437</v>
      </c>
      <c r="I128">
        <f>IF(AND(MyRowHidden(ROW())=FALSE,MyRowHidden(ROW()-1)=TRUE),0,(E128-E127)*unitsOfDHp+I127)</f>
        <v>-50120</v>
      </c>
      <c r="J128">
        <f>IF(AND(MyRowHidden(ROW())=FALSE,MyRowHidden(ROW()-1)=TRUE),0,(G128-G127)*unitsOfExo+J127)</f>
        <v>-471168</v>
      </c>
      <c r="K128" s="9">
        <f t="shared" si="9"/>
        <v>471168</v>
      </c>
      <c r="L128">
        <f t="shared" si="10"/>
        <v>-521288</v>
      </c>
      <c r="M128">
        <f t="shared" si="11"/>
        <v>5</v>
      </c>
      <c r="N128">
        <f t="shared" si="12"/>
        <v>-47162.500000000044</v>
      </c>
      <c r="P128">
        <f t="shared" si="13"/>
        <v>-322752</v>
      </c>
      <c r="Q128">
        <f t="shared" si="14"/>
        <v>322752</v>
      </c>
      <c r="R128">
        <f t="shared" si="15"/>
        <v>-369914.50000000006</v>
      </c>
    </row>
    <row r="129" spans="1:18" hidden="1" x14ac:dyDescent="0.25">
      <c r="A129" s="1"/>
      <c r="C129" s="1"/>
      <c r="D129" s="1">
        <v>41438</v>
      </c>
      <c r="E129" s="10">
        <v>-1194</v>
      </c>
      <c r="F129" s="1">
        <v>41438</v>
      </c>
      <c r="G129">
        <v>2740</v>
      </c>
      <c r="H129" s="1">
        <f t="shared" si="8"/>
        <v>41438</v>
      </c>
      <c r="I129">
        <f>IF(AND(MyRowHidden(ROW())=FALSE,MyRowHidden(ROW()-1)=TRUE),0,(E129-E128)*unitsOfDHp+I128)</f>
        <v>-41790</v>
      </c>
      <c r="J129">
        <f>IF(AND(MyRowHidden(ROW())=FALSE,MyRowHidden(ROW()-1)=TRUE),0,(G129-G128)*unitsOfExo+J128)</f>
        <v>-546768</v>
      </c>
      <c r="K129" s="9">
        <f t="shared" si="9"/>
        <v>546768</v>
      </c>
      <c r="L129">
        <f t="shared" si="10"/>
        <v>-588558</v>
      </c>
      <c r="M129">
        <f t="shared" si="11"/>
        <v>5</v>
      </c>
      <c r="N129">
        <f t="shared" si="12"/>
        <v>-42303.333333333379</v>
      </c>
      <c r="P129">
        <f t="shared" si="13"/>
        <v>-366852</v>
      </c>
      <c r="Q129">
        <f t="shared" si="14"/>
        <v>366852</v>
      </c>
      <c r="R129">
        <f t="shared" si="15"/>
        <v>-409155.33333333337</v>
      </c>
    </row>
    <row r="130" spans="1:18" hidden="1" x14ac:dyDescent="0.25">
      <c r="A130" s="1"/>
      <c r="C130" s="1"/>
      <c r="D130" s="1">
        <v>41439</v>
      </c>
      <c r="E130" s="10">
        <v>-1431</v>
      </c>
      <c r="F130" s="1">
        <v>41439</v>
      </c>
      <c r="G130">
        <v>3252.5</v>
      </c>
      <c r="H130" s="1">
        <f t="shared" si="8"/>
        <v>41439</v>
      </c>
      <c r="I130">
        <f>IF(AND(MyRowHidden(ROW())=FALSE,MyRowHidden(ROW()-1)=TRUE),0,(E130-E129)*unitsOfDHp+I129)</f>
        <v>-50085</v>
      </c>
      <c r="J130">
        <f>IF(AND(MyRowHidden(ROW())=FALSE,MyRowHidden(ROW()-1)=TRUE),0,(G130-G129)*unitsOfExo+J129)</f>
        <v>-399168</v>
      </c>
      <c r="K130" s="9">
        <f t="shared" si="9"/>
        <v>399168</v>
      </c>
      <c r="L130">
        <f t="shared" si="10"/>
        <v>-449253</v>
      </c>
      <c r="M130">
        <f t="shared" si="11"/>
        <v>5</v>
      </c>
      <c r="N130">
        <f t="shared" si="12"/>
        <v>-47142.083333333379</v>
      </c>
      <c r="P130">
        <f t="shared" si="13"/>
        <v>-280752</v>
      </c>
      <c r="Q130">
        <f t="shared" si="14"/>
        <v>280752</v>
      </c>
      <c r="R130">
        <f t="shared" si="15"/>
        <v>-327894.08333333337</v>
      </c>
    </row>
    <row r="131" spans="1:18" hidden="1" x14ac:dyDescent="0.25">
      <c r="A131" s="1"/>
      <c r="C131" s="1"/>
      <c r="D131" s="1">
        <v>41442</v>
      </c>
      <c r="E131" s="10">
        <v>-2056</v>
      </c>
      <c r="F131" s="1">
        <v>41442</v>
      </c>
      <c r="G131">
        <v>3740</v>
      </c>
      <c r="H131" s="1">
        <f t="shared" si="8"/>
        <v>41442</v>
      </c>
      <c r="I131">
        <f>IF(AND(MyRowHidden(ROW())=FALSE,MyRowHidden(ROW()-1)=TRUE),0,(E131-E130)*unitsOfDHp+I130)</f>
        <v>-71960</v>
      </c>
      <c r="J131">
        <f>IF(AND(MyRowHidden(ROW())=FALSE,MyRowHidden(ROW()-1)=TRUE),0,(G131-G130)*unitsOfExo+J130)</f>
        <v>-258768</v>
      </c>
      <c r="K131" s="9">
        <f t="shared" si="9"/>
        <v>258768</v>
      </c>
      <c r="L131">
        <f t="shared" si="10"/>
        <v>-330728</v>
      </c>
      <c r="M131">
        <f t="shared" si="11"/>
        <v>5</v>
      </c>
      <c r="N131">
        <f t="shared" si="12"/>
        <v>-59902.500000000044</v>
      </c>
      <c r="P131">
        <f t="shared" si="13"/>
        <v>-198852</v>
      </c>
      <c r="Q131">
        <f t="shared" si="14"/>
        <v>198852</v>
      </c>
      <c r="R131">
        <f t="shared" si="15"/>
        <v>-258754.50000000003</v>
      </c>
    </row>
    <row r="132" spans="1:18" hidden="1" x14ac:dyDescent="0.25">
      <c r="A132" s="1"/>
      <c r="C132" s="1"/>
      <c r="D132" s="1">
        <v>41443</v>
      </c>
      <c r="E132" s="10">
        <v>-2656</v>
      </c>
      <c r="F132" s="1">
        <v>41443</v>
      </c>
      <c r="G132">
        <v>4040</v>
      </c>
      <c r="H132" s="1">
        <f t="shared" si="8"/>
        <v>41443</v>
      </c>
      <c r="I132">
        <f>IF(AND(MyRowHidden(ROW())=FALSE,MyRowHidden(ROW()-1)=TRUE),0,(E132-E131)*unitsOfDHp+I131)</f>
        <v>-92960</v>
      </c>
      <c r="J132">
        <f>IF(AND(MyRowHidden(ROW())=FALSE,MyRowHidden(ROW()-1)=TRUE),0,(G132-G131)*unitsOfExo+J131)</f>
        <v>-172368</v>
      </c>
      <c r="K132" s="9">
        <f t="shared" si="9"/>
        <v>172368</v>
      </c>
      <c r="L132">
        <f t="shared" si="10"/>
        <v>-265328</v>
      </c>
      <c r="M132">
        <f t="shared" si="11"/>
        <v>5</v>
      </c>
      <c r="N132">
        <f t="shared" si="12"/>
        <v>-72152.500000000044</v>
      </c>
      <c r="P132">
        <f t="shared" si="13"/>
        <v>-148452</v>
      </c>
      <c r="Q132">
        <f t="shared" si="14"/>
        <v>148452</v>
      </c>
      <c r="R132">
        <f t="shared" si="15"/>
        <v>-220604.50000000003</v>
      </c>
    </row>
    <row r="133" spans="1:18" hidden="1" x14ac:dyDescent="0.25">
      <c r="A133" s="1"/>
      <c r="C133" s="1"/>
      <c r="D133" s="1">
        <v>41444</v>
      </c>
      <c r="E133" s="10">
        <v>-2654</v>
      </c>
      <c r="F133" s="1">
        <v>41444</v>
      </c>
      <c r="G133">
        <v>4590</v>
      </c>
      <c r="H133" s="1">
        <f t="shared" si="8"/>
        <v>41444</v>
      </c>
      <c r="I133">
        <f>IF(AND(MyRowHidden(ROW())=FALSE,MyRowHidden(ROW()-1)=TRUE),0,(E133-E132)*unitsOfDHp+I132)</f>
        <v>-92890</v>
      </c>
      <c r="J133">
        <f>IF(AND(MyRowHidden(ROW())=FALSE,MyRowHidden(ROW()-1)=TRUE),0,(G133-G132)*unitsOfExo+J132)</f>
        <v>-13968</v>
      </c>
      <c r="K133" s="9">
        <f t="shared" si="9"/>
        <v>13968</v>
      </c>
      <c r="L133">
        <f t="shared" si="10"/>
        <v>-106858</v>
      </c>
      <c r="M133">
        <f t="shared" si="11"/>
        <v>5</v>
      </c>
      <c r="N133">
        <f t="shared" si="12"/>
        <v>-72111.666666666715</v>
      </c>
      <c r="P133">
        <f t="shared" si="13"/>
        <v>-56052</v>
      </c>
      <c r="Q133">
        <f t="shared" si="14"/>
        <v>56052</v>
      </c>
      <c r="R133">
        <f t="shared" si="15"/>
        <v>-128163.66666666669</v>
      </c>
    </row>
    <row r="134" spans="1:18" hidden="1" x14ac:dyDescent="0.25">
      <c r="A134" s="1"/>
      <c r="C134" s="1"/>
      <c r="D134" s="1">
        <v>41445</v>
      </c>
      <c r="E134" s="10">
        <v>-3062</v>
      </c>
      <c r="F134" s="1">
        <v>41445</v>
      </c>
      <c r="G134">
        <v>4215</v>
      </c>
      <c r="H134" s="1">
        <f t="shared" si="8"/>
        <v>41445</v>
      </c>
      <c r="I134">
        <f>IF(AND(MyRowHidden(ROW())=FALSE,MyRowHidden(ROW()-1)=TRUE),0,(E134-E133)*unitsOfDHp+I133)</f>
        <v>-107170</v>
      </c>
      <c r="J134">
        <f>IF(AND(MyRowHidden(ROW())=FALSE,MyRowHidden(ROW()-1)=TRUE),0,(G134-G133)*unitsOfExo+J133)</f>
        <v>-121968</v>
      </c>
      <c r="K134" s="9">
        <f t="shared" si="9"/>
        <v>121968</v>
      </c>
      <c r="L134">
        <f t="shared" si="10"/>
        <v>-229138</v>
      </c>
      <c r="M134">
        <f t="shared" si="11"/>
        <v>5</v>
      </c>
      <c r="N134">
        <f t="shared" si="12"/>
        <v>-80441.666666666715</v>
      </c>
      <c r="P134">
        <f t="shared" si="13"/>
        <v>-119052</v>
      </c>
      <c r="Q134">
        <f t="shared" si="14"/>
        <v>119052</v>
      </c>
      <c r="R134">
        <f t="shared" si="15"/>
        <v>-199493.66666666669</v>
      </c>
    </row>
    <row r="135" spans="1:18" hidden="1" x14ac:dyDescent="0.25">
      <c r="A135" s="1"/>
      <c r="C135" s="1"/>
      <c r="D135" s="1">
        <v>41446</v>
      </c>
      <c r="E135" s="10">
        <v>-3274</v>
      </c>
      <c r="F135" s="1">
        <v>41446</v>
      </c>
      <c r="G135">
        <v>4065</v>
      </c>
      <c r="H135" s="1">
        <f t="shared" si="8"/>
        <v>41446</v>
      </c>
      <c r="I135">
        <f>IF(AND(MyRowHidden(ROW())=FALSE,MyRowHidden(ROW()-1)=TRUE),0,(E135-E134)*unitsOfDHp+I134)</f>
        <v>-114590</v>
      </c>
      <c r="J135">
        <f>IF(AND(MyRowHidden(ROW())=FALSE,MyRowHidden(ROW()-1)=TRUE),0,(G135-G134)*unitsOfExo+J134)</f>
        <v>-165168</v>
      </c>
      <c r="K135" s="9">
        <f t="shared" si="9"/>
        <v>165168</v>
      </c>
      <c r="L135">
        <f t="shared" si="10"/>
        <v>-279758</v>
      </c>
      <c r="M135">
        <f t="shared" si="11"/>
        <v>5</v>
      </c>
      <c r="N135">
        <f t="shared" si="12"/>
        <v>-84770.000000000044</v>
      </c>
      <c r="P135">
        <f t="shared" si="13"/>
        <v>-144252</v>
      </c>
      <c r="Q135">
        <f t="shared" si="14"/>
        <v>144252</v>
      </c>
      <c r="R135">
        <f t="shared" si="15"/>
        <v>-229022.00000000003</v>
      </c>
    </row>
    <row r="136" spans="1:18" hidden="1" x14ac:dyDescent="0.25">
      <c r="A136" s="1"/>
      <c r="C136" s="1"/>
      <c r="D136" s="1">
        <v>41449</v>
      </c>
      <c r="E136" s="10">
        <v>-3874</v>
      </c>
      <c r="F136" s="1">
        <v>41449</v>
      </c>
      <c r="G136">
        <v>3302.5</v>
      </c>
      <c r="H136" s="1">
        <f t="shared" si="8"/>
        <v>41449</v>
      </c>
      <c r="I136">
        <f>IF(AND(MyRowHidden(ROW())=FALSE,MyRowHidden(ROW()-1)=TRUE),0,(E136-E135)*unitsOfDHp+I135)</f>
        <v>-135590</v>
      </c>
      <c r="J136">
        <f>IF(AND(MyRowHidden(ROW())=FALSE,MyRowHidden(ROW()-1)=TRUE),0,(G136-G135)*unitsOfExo+J135)</f>
        <v>-384768</v>
      </c>
      <c r="K136" s="9">
        <f t="shared" si="9"/>
        <v>384768</v>
      </c>
      <c r="L136">
        <f t="shared" si="10"/>
        <v>-520358</v>
      </c>
      <c r="M136">
        <f t="shared" si="11"/>
        <v>5</v>
      </c>
      <c r="N136">
        <f t="shared" si="12"/>
        <v>-97020.000000000044</v>
      </c>
      <c r="P136">
        <f t="shared" si="13"/>
        <v>-272352</v>
      </c>
      <c r="Q136">
        <f t="shared" si="14"/>
        <v>272352</v>
      </c>
      <c r="R136">
        <f t="shared" si="15"/>
        <v>-369372</v>
      </c>
    </row>
    <row r="137" spans="1:18" hidden="1" x14ac:dyDescent="0.25">
      <c r="A137" s="1"/>
      <c r="C137" s="1"/>
      <c r="D137" s="1">
        <v>41450</v>
      </c>
      <c r="E137" s="10">
        <v>-4099</v>
      </c>
      <c r="F137" s="1">
        <v>41450</v>
      </c>
      <c r="G137">
        <v>3165</v>
      </c>
      <c r="H137" s="1">
        <f t="shared" si="8"/>
        <v>41450</v>
      </c>
      <c r="I137">
        <f>IF(AND(MyRowHidden(ROW())=FALSE,MyRowHidden(ROW()-1)=TRUE),0,(E137-E136)*unitsOfDHp+I136)</f>
        <v>-143465</v>
      </c>
      <c r="J137">
        <f>IF(AND(MyRowHidden(ROW())=FALSE,MyRowHidden(ROW()-1)=TRUE),0,(G137-G136)*unitsOfExo+J136)</f>
        <v>-424368</v>
      </c>
      <c r="K137" s="9">
        <f t="shared" si="9"/>
        <v>424368</v>
      </c>
      <c r="L137">
        <f t="shared" si="10"/>
        <v>-567833</v>
      </c>
      <c r="M137">
        <f t="shared" si="11"/>
        <v>5</v>
      </c>
      <c r="N137">
        <f t="shared" si="12"/>
        <v>-101613.75000000004</v>
      </c>
      <c r="P137">
        <f t="shared" si="13"/>
        <v>-295452</v>
      </c>
      <c r="Q137">
        <f t="shared" si="14"/>
        <v>295452</v>
      </c>
      <c r="R137">
        <f t="shared" si="15"/>
        <v>-397065.75</v>
      </c>
    </row>
    <row r="138" spans="1:18" hidden="1" x14ac:dyDescent="0.25">
      <c r="A138" s="1"/>
      <c r="C138" s="1"/>
      <c r="D138" s="1">
        <v>41451</v>
      </c>
      <c r="E138" s="10">
        <v>-4099</v>
      </c>
      <c r="F138" s="1">
        <v>41451</v>
      </c>
      <c r="G138">
        <v>3040</v>
      </c>
      <c r="H138" s="1">
        <f t="shared" si="8"/>
        <v>41451</v>
      </c>
      <c r="I138">
        <f>IF(AND(MyRowHidden(ROW())=FALSE,MyRowHidden(ROW()-1)=TRUE),0,(E138-E137)*unitsOfDHp+I137)</f>
        <v>-143465</v>
      </c>
      <c r="J138">
        <f>IF(AND(MyRowHidden(ROW())=FALSE,MyRowHidden(ROW()-1)=TRUE),0,(G138-G137)*unitsOfExo+J137)</f>
        <v>-460368</v>
      </c>
      <c r="K138" s="9">
        <f t="shared" si="9"/>
        <v>460368</v>
      </c>
      <c r="L138">
        <f t="shared" si="10"/>
        <v>-603833</v>
      </c>
      <c r="M138">
        <f t="shared" si="11"/>
        <v>5</v>
      </c>
      <c r="N138">
        <f t="shared" si="12"/>
        <v>-101613.75000000004</v>
      </c>
      <c r="P138">
        <f t="shared" si="13"/>
        <v>-316452</v>
      </c>
      <c r="Q138">
        <f t="shared" si="14"/>
        <v>316452</v>
      </c>
      <c r="R138">
        <f t="shared" si="15"/>
        <v>-418065.75</v>
      </c>
    </row>
    <row r="139" spans="1:18" hidden="1" x14ac:dyDescent="0.25">
      <c r="A139" s="1"/>
      <c r="C139" s="1"/>
      <c r="D139" s="1">
        <v>41452</v>
      </c>
      <c r="E139" s="10">
        <v>-4099</v>
      </c>
      <c r="F139" s="1">
        <v>41452</v>
      </c>
      <c r="G139">
        <v>2852.5</v>
      </c>
      <c r="H139" s="1">
        <f t="shared" si="8"/>
        <v>41452</v>
      </c>
      <c r="I139">
        <f>IF(AND(MyRowHidden(ROW())=FALSE,MyRowHidden(ROW()-1)=TRUE),0,(E139-E138)*unitsOfDHp+I138)</f>
        <v>-143465</v>
      </c>
      <c r="J139">
        <f>IF(AND(MyRowHidden(ROW())=FALSE,MyRowHidden(ROW()-1)=TRUE),0,(G139-G138)*unitsOfExo+J138)</f>
        <v>-514368</v>
      </c>
      <c r="K139" s="9">
        <f t="shared" si="9"/>
        <v>514368</v>
      </c>
      <c r="L139">
        <f t="shared" si="10"/>
        <v>-657833</v>
      </c>
      <c r="M139">
        <f t="shared" si="11"/>
        <v>5</v>
      </c>
      <c r="N139">
        <f t="shared" si="12"/>
        <v>-101613.75000000004</v>
      </c>
      <c r="P139">
        <f t="shared" si="13"/>
        <v>-347952</v>
      </c>
      <c r="Q139">
        <f t="shared" si="14"/>
        <v>347952</v>
      </c>
      <c r="R139">
        <f t="shared" si="15"/>
        <v>-449565.75</v>
      </c>
    </row>
    <row r="140" spans="1:18" hidden="1" x14ac:dyDescent="0.25">
      <c r="A140" s="1"/>
      <c r="C140" s="1"/>
      <c r="D140" s="1">
        <v>41453</v>
      </c>
      <c r="E140" s="10">
        <v>-4099</v>
      </c>
      <c r="F140" s="1">
        <v>41453</v>
      </c>
      <c r="G140">
        <v>1790</v>
      </c>
      <c r="H140" s="1">
        <f t="shared" si="8"/>
        <v>41453</v>
      </c>
      <c r="I140">
        <f>IF(AND(MyRowHidden(ROW())=FALSE,MyRowHidden(ROW()-1)=TRUE),0,(E140-E139)*unitsOfDHp+I139)</f>
        <v>-143465</v>
      </c>
      <c r="J140">
        <f>IF(AND(MyRowHidden(ROW())=FALSE,MyRowHidden(ROW()-1)=TRUE),0,(G140-G139)*unitsOfExo+J139)</f>
        <v>-820368</v>
      </c>
      <c r="K140" s="9">
        <f t="shared" si="9"/>
        <v>820368</v>
      </c>
      <c r="L140">
        <f t="shared" si="10"/>
        <v>-963833</v>
      </c>
      <c r="M140">
        <f t="shared" si="11"/>
        <v>5</v>
      </c>
      <c r="N140">
        <f t="shared" si="12"/>
        <v>-101613.75000000004</v>
      </c>
      <c r="P140">
        <f t="shared" si="13"/>
        <v>-526452</v>
      </c>
      <c r="Q140">
        <f t="shared" si="14"/>
        <v>526452</v>
      </c>
      <c r="R140">
        <f t="shared" si="15"/>
        <v>-628065.75</v>
      </c>
    </row>
    <row r="141" spans="1:18" hidden="1" x14ac:dyDescent="0.25">
      <c r="A141" s="1"/>
      <c r="C141" s="1"/>
      <c r="D141" s="1">
        <v>41456</v>
      </c>
      <c r="E141" s="10">
        <v>-4099</v>
      </c>
      <c r="F141" s="1">
        <v>41456</v>
      </c>
      <c r="G141">
        <v>915.5</v>
      </c>
      <c r="H141" s="1">
        <f t="shared" ref="H141:H204" si="16">D141</f>
        <v>41456</v>
      </c>
      <c r="I141">
        <f>IF(AND(MyRowHidden(ROW())=FALSE,MyRowHidden(ROW()-1)=TRUE),0,(E141-E140)*unitsOfDHp+I140)</f>
        <v>-143465</v>
      </c>
      <c r="J141">
        <f>IF(AND(MyRowHidden(ROW())=FALSE,MyRowHidden(ROW()-1)=TRUE),0,(G141-G140)*unitsOfExo+J140)</f>
        <v>-1072224</v>
      </c>
      <c r="K141" s="9">
        <f t="shared" ref="K141:K204" si="17">-(J141-J140)+K140</f>
        <v>1072224</v>
      </c>
      <c r="L141">
        <f t="shared" ref="L141:L204" si="18">I141+J141</f>
        <v>-1215689</v>
      </c>
      <c r="M141">
        <f t="shared" ref="M141:M204" si="19">IF(MONTH(H141)&lt;&gt;MONTH(H140),M140+1,M140)</f>
        <v>6</v>
      </c>
      <c r="N141">
        <f t="shared" ref="N141:N204" si="20">IF(M141&lt;totalMonths,(totalMonths-M141)/totalMonths *(I141-I140)+N140,0)</f>
        <v>-101613.75000000004</v>
      </c>
      <c r="P141">
        <f t="shared" ref="P141:P204" si="21">IF(M141&lt;totalMonths,(totalMonths-M141)/totalMonths *(J141-J140)+P140,0)</f>
        <v>-652380</v>
      </c>
      <c r="Q141">
        <f t="shared" ref="Q141:Q204" si="22">IF(M141&lt;totalMonths,(totalMonths-M141)/totalMonths *(K141-K140)+Q140,0)</f>
        <v>652380</v>
      </c>
      <c r="R141">
        <f t="shared" ref="R141:R204" si="23">IF(M141&lt;totalMonths,(totalMonths-M141)/totalMonths *(L141-L140)+R140,0)</f>
        <v>-753993.75</v>
      </c>
    </row>
    <row r="142" spans="1:18" hidden="1" x14ac:dyDescent="0.25">
      <c r="A142" s="1"/>
      <c r="C142" s="1"/>
      <c r="D142" s="1">
        <v>41457</v>
      </c>
      <c r="E142" s="10">
        <v>-4099</v>
      </c>
      <c r="F142" s="1">
        <v>41457</v>
      </c>
      <c r="G142">
        <v>878</v>
      </c>
      <c r="H142" s="1">
        <f t="shared" si="16"/>
        <v>41457</v>
      </c>
      <c r="I142">
        <f>IF(AND(MyRowHidden(ROW())=FALSE,MyRowHidden(ROW()-1)=TRUE),0,(E142-E141)*unitsOfDHp+I141)</f>
        <v>-143465</v>
      </c>
      <c r="J142">
        <f>IF(AND(MyRowHidden(ROW())=FALSE,MyRowHidden(ROW()-1)=TRUE),0,(G142-G141)*unitsOfExo+J141)</f>
        <v>-1083024</v>
      </c>
      <c r="K142" s="9">
        <f t="shared" si="17"/>
        <v>1083024</v>
      </c>
      <c r="L142">
        <f t="shared" si="18"/>
        <v>-1226489</v>
      </c>
      <c r="M142">
        <f t="shared" si="19"/>
        <v>6</v>
      </c>
      <c r="N142">
        <f t="shared" si="20"/>
        <v>-101613.75000000004</v>
      </c>
      <c r="P142">
        <f t="shared" si="21"/>
        <v>-657780</v>
      </c>
      <c r="Q142">
        <f t="shared" si="22"/>
        <v>657780</v>
      </c>
      <c r="R142">
        <f t="shared" si="23"/>
        <v>-759393.75</v>
      </c>
    </row>
    <row r="143" spans="1:18" hidden="1" x14ac:dyDescent="0.25">
      <c r="A143" s="1"/>
      <c r="C143" s="1"/>
      <c r="D143" s="1">
        <v>41458</v>
      </c>
      <c r="E143" s="10">
        <v>-4136</v>
      </c>
      <c r="F143" s="1">
        <v>41458</v>
      </c>
      <c r="G143">
        <v>890.5</v>
      </c>
      <c r="H143" s="1">
        <f t="shared" si="16"/>
        <v>41458</v>
      </c>
      <c r="I143">
        <f>IF(AND(MyRowHidden(ROW())=FALSE,MyRowHidden(ROW()-1)=TRUE),0,(E143-E142)*unitsOfDHp+I142)</f>
        <v>-144760</v>
      </c>
      <c r="J143">
        <f>IF(AND(MyRowHidden(ROW())=FALSE,MyRowHidden(ROW()-1)=TRUE),0,(G143-G142)*unitsOfExo+J142)</f>
        <v>-1079424</v>
      </c>
      <c r="K143" s="9">
        <f t="shared" si="17"/>
        <v>1079424</v>
      </c>
      <c r="L143">
        <f t="shared" si="18"/>
        <v>-1224184</v>
      </c>
      <c r="M143">
        <f t="shared" si="19"/>
        <v>6</v>
      </c>
      <c r="N143">
        <f t="shared" si="20"/>
        <v>-102261.25000000004</v>
      </c>
      <c r="P143">
        <f t="shared" si="21"/>
        <v>-655980</v>
      </c>
      <c r="Q143">
        <f t="shared" si="22"/>
        <v>655980</v>
      </c>
      <c r="R143">
        <f t="shared" si="23"/>
        <v>-758241.25</v>
      </c>
    </row>
    <row r="144" spans="1:18" hidden="1" x14ac:dyDescent="0.25">
      <c r="A144" s="1"/>
      <c r="C144" s="1"/>
      <c r="D144" s="1">
        <v>41459</v>
      </c>
      <c r="E144" s="10">
        <v>-4248</v>
      </c>
      <c r="F144" s="1">
        <v>41459</v>
      </c>
      <c r="G144">
        <v>1028</v>
      </c>
      <c r="H144" s="1">
        <f t="shared" si="16"/>
        <v>41459</v>
      </c>
      <c r="I144">
        <f>IF(AND(MyRowHidden(ROW())=FALSE,MyRowHidden(ROW()-1)=TRUE),0,(E144-E143)*unitsOfDHp+I143)</f>
        <v>-148680</v>
      </c>
      <c r="J144">
        <f>IF(AND(MyRowHidden(ROW())=FALSE,MyRowHidden(ROW()-1)=TRUE),0,(G144-G143)*unitsOfExo+J143)</f>
        <v>-1039824</v>
      </c>
      <c r="K144" s="9">
        <f t="shared" si="17"/>
        <v>1039824</v>
      </c>
      <c r="L144">
        <f t="shared" si="18"/>
        <v>-1188504</v>
      </c>
      <c r="M144">
        <f t="shared" si="19"/>
        <v>6</v>
      </c>
      <c r="N144">
        <f t="shared" si="20"/>
        <v>-104221.25000000004</v>
      </c>
      <c r="P144">
        <f t="shared" si="21"/>
        <v>-636180</v>
      </c>
      <c r="Q144">
        <f t="shared" si="22"/>
        <v>636180</v>
      </c>
      <c r="R144">
        <f t="shared" si="23"/>
        <v>-740401.25</v>
      </c>
    </row>
    <row r="145" spans="1:18" hidden="1" x14ac:dyDescent="0.25">
      <c r="A145" s="1"/>
      <c r="C145" s="1"/>
      <c r="D145" s="1">
        <v>41460</v>
      </c>
      <c r="E145" s="10">
        <v>-3836</v>
      </c>
      <c r="F145" s="1">
        <v>41460</v>
      </c>
      <c r="G145">
        <v>640.5</v>
      </c>
      <c r="H145" s="1">
        <f t="shared" si="16"/>
        <v>41460</v>
      </c>
      <c r="I145">
        <f>IF(AND(MyRowHidden(ROW())=FALSE,MyRowHidden(ROW()-1)=TRUE),0,(E145-E144)*unitsOfDHp+I144)</f>
        <v>-134260</v>
      </c>
      <c r="J145">
        <f>IF(AND(MyRowHidden(ROW())=FALSE,MyRowHidden(ROW()-1)=TRUE),0,(G145-G144)*unitsOfExo+J144)</f>
        <v>-1151424</v>
      </c>
      <c r="K145" s="9">
        <f t="shared" si="17"/>
        <v>1151424</v>
      </c>
      <c r="L145">
        <f t="shared" si="18"/>
        <v>-1285684</v>
      </c>
      <c r="M145">
        <f t="shared" si="19"/>
        <v>6</v>
      </c>
      <c r="N145">
        <f t="shared" si="20"/>
        <v>-97011.250000000044</v>
      </c>
      <c r="P145">
        <f t="shared" si="21"/>
        <v>-691980</v>
      </c>
      <c r="Q145">
        <f t="shared" si="22"/>
        <v>691980</v>
      </c>
      <c r="R145">
        <f t="shared" si="23"/>
        <v>-788991.25</v>
      </c>
    </row>
    <row r="146" spans="1:18" hidden="1" x14ac:dyDescent="0.25">
      <c r="A146" s="1"/>
      <c r="C146" s="1"/>
      <c r="D146" s="1">
        <v>41463</v>
      </c>
      <c r="E146" s="10">
        <v>-4211</v>
      </c>
      <c r="F146" s="1">
        <v>41463</v>
      </c>
      <c r="G146">
        <v>1015.5</v>
      </c>
      <c r="H146" s="1">
        <f t="shared" si="16"/>
        <v>41463</v>
      </c>
      <c r="I146">
        <f>IF(AND(MyRowHidden(ROW())=FALSE,MyRowHidden(ROW()-1)=TRUE),0,(E146-E145)*unitsOfDHp+I145)</f>
        <v>-147385</v>
      </c>
      <c r="J146">
        <f>IF(AND(MyRowHidden(ROW())=FALSE,MyRowHidden(ROW()-1)=TRUE),0,(G146-G145)*unitsOfExo+J145)</f>
        <v>-1043424</v>
      </c>
      <c r="K146" s="9">
        <f t="shared" si="17"/>
        <v>1043424</v>
      </c>
      <c r="L146">
        <f t="shared" si="18"/>
        <v>-1190809</v>
      </c>
      <c r="M146">
        <f t="shared" si="19"/>
        <v>6</v>
      </c>
      <c r="N146">
        <f t="shared" si="20"/>
        <v>-103573.75000000004</v>
      </c>
      <c r="P146">
        <f t="shared" si="21"/>
        <v>-637980</v>
      </c>
      <c r="Q146">
        <f t="shared" si="22"/>
        <v>637980</v>
      </c>
      <c r="R146">
        <f t="shared" si="23"/>
        <v>-741553.75</v>
      </c>
    </row>
    <row r="147" spans="1:18" hidden="1" x14ac:dyDescent="0.25">
      <c r="A147" s="1"/>
      <c r="C147" s="1"/>
      <c r="D147" s="1">
        <v>41464</v>
      </c>
      <c r="E147" s="10">
        <v>-5043</v>
      </c>
      <c r="F147" s="1">
        <v>41464</v>
      </c>
      <c r="G147">
        <v>1653</v>
      </c>
      <c r="H147" s="1">
        <f t="shared" si="16"/>
        <v>41464</v>
      </c>
      <c r="I147">
        <f>IF(AND(MyRowHidden(ROW())=FALSE,MyRowHidden(ROW()-1)=TRUE),0,(E147-E146)*unitsOfDHp+I146)</f>
        <v>-176505</v>
      </c>
      <c r="J147">
        <f>IF(AND(MyRowHidden(ROW())=FALSE,MyRowHidden(ROW()-1)=TRUE),0,(G147-G146)*unitsOfExo+J146)</f>
        <v>-859824</v>
      </c>
      <c r="K147" s="9">
        <f t="shared" si="17"/>
        <v>859824</v>
      </c>
      <c r="L147">
        <f t="shared" si="18"/>
        <v>-1036329</v>
      </c>
      <c r="M147">
        <f t="shared" si="19"/>
        <v>6</v>
      </c>
      <c r="N147">
        <f t="shared" si="20"/>
        <v>-118133.75000000004</v>
      </c>
      <c r="P147">
        <f t="shared" si="21"/>
        <v>-546180</v>
      </c>
      <c r="Q147">
        <f t="shared" si="22"/>
        <v>546180</v>
      </c>
      <c r="R147">
        <f t="shared" si="23"/>
        <v>-664313.75</v>
      </c>
    </row>
    <row r="148" spans="1:18" hidden="1" x14ac:dyDescent="0.25">
      <c r="A148" s="1"/>
      <c r="C148" s="1"/>
      <c r="D148" s="1">
        <v>41465</v>
      </c>
      <c r="E148" s="10">
        <v>-5080</v>
      </c>
      <c r="F148" s="1">
        <v>41465</v>
      </c>
      <c r="G148">
        <v>1840.5</v>
      </c>
      <c r="H148" s="1">
        <f t="shared" si="16"/>
        <v>41465</v>
      </c>
      <c r="I148">
        <f>IF(AND(MyRowHidden(ROW())=FALSE,MyRowHidden(ROW()-1)=TRUE),0,(E148-E147)*unitsOfDHp+I147)</f>
        <v>-177800</v>
      </c>
      <c r="J148">
        <f>IF(AND(MyRowHidden(ROW())=FALSE,MyRowHidden(ROW()-1)=TRUE),0,(G148-G147)*unitsOfExo+J147)</f>
        <v>-805824</v>
      </c>
      <c r="K148" s="9">
        <f t="shared" si="17"/>
        <v>805824</v>
      </c>
      <c r="L148">
        <f t="shared" si="18"/>
        <v>-983624</v>
      </c>
      <c r="M148">
        <f t="shared" si="19"/>
        <v>6</v>
      </c>
      <c r="N148">
        <f t="shared" si="20"/>
        <v>-118781.25000000004</v>
      </c>
      <c r="P148">
        <f t="shared" si="21"/>
        <v>-519180</v>
      </c>
      <c r="Q148">
        <f t="shared" si="22"/>
        <v>519180</v>
      </c>
      <c r="R148">
        <f t="shared" si="23"/>
        <v>-637961.25</v>
      </c>
    </row>
    <row r="149" spans="1:18" hidden="1" x14ac:dyDescent="0.25">
      <c r="A149" s="1"/>
      <c r="C149" s="1"/>
      <c r="D149" s="1">
        <v>41466</v>
      </c>
      <c r="E149" s="10">
        <v>-4362</v>
      </c>
      <c r="F149" s="1">
        <v>41466</v>
      </c>
      <c r="G149">
        <v>2290.5</v>
      </c>
      <c r="H149" s="1">
        <f t="shared" si="16"/>
        <v>41466</v>
      </c>
      <c r="I149">
        <f>IF(AND(MyRowHidden(ROW())=FALSE,MyRowHidden(ROW()-1)=TRUE),0,(E149-E148)*unitsOfDHp+I148)</f>
        <v>-152670</v>
      </c>
      <c r="J149">
        <f>IF(AND(MyRowHidden(ROW())=FALSE,MyRowHidden(ROW()-1)=TRUE),0,(G149-G148)*unitsOfExo+J148)</f>
        <v>-676224</v>
      </c>
      <c r="K149" s="9">
        <f t="shared" si="17"/>
        <v>676224</v>
      </c>
      <c r="L149">
        <f t="shared" si="18"/>
        <v>-828894</v>
      </c>
      <c r="M149">
        <f t="shared" si="19"/>
        <v>6</v>
      </c>
      <c r="N149">
        <f t="shared" si="20"/>
        <v>-106216.25000000004</v>
      </c>
      <c r="P149">
        <f t="shared" si="21"/>
        <v>-454380</v>
      </c>
      <c r="Q149">
        <f t="shared" si="22"/>
        <v>454380</v>
      </c>
      <c r="R149">
        <f t="shared" si="23"/>
        <v>-560596.25</v>
      </c>
    </row>
    <row r="150" spans="1:18" hidden="1" x14ac:dyDescent="0.25">
      <c r="A150" s="1"/>
      <c r="C150" s="1"/>
      <c r="D150" s="1">
        <v>41467</v>
      </c>
      <c r="E150" s="10">
        <v>-4533</v>
      </c>
      <c r="F150" s="1">
        <v>41467</v>
      </c>
      <c r="G150">
        <v>1703</v>
      </c>
      <c r="H150" s="1">
        <f t="shared" si="16"/>
        <v>41467</v>
      </c>
      <c r="I150">
        <f>IF(AND(MyRowHidden(ROW())=FALSE,MyRowHidden(ROW()-1)=TRUE),0,(E150-E149)*unitsOfDHp+I149)</f>
        <v>-158655</v>
      </c>
      <c r="J150">
        <f>IF(AND(MyRowHidden(ROW())=FALSE,MyRowHidden(ROW()-1)=TRUE),0,(G150-G149)*unitsOfExo+J149)</f>
        <v>-845424</v>
      </c>
      <c r="K150" s="9">
        <f t="shared" si="17"/>
        <v>845424</v>
      </c>
      <c r="L150">
        <f t="shared" si="18"/>
        <v>-1004079</v>
      </c>
      <c r="M150">
        <f t="shared" si="19"/>
        <v>6</v>
      </c>
      <c r="N150">
        <f t="shared" si="20"/>
        <v>-109208.75000000004</v>
      </c>
      <c r="P150">
        <f t="shared" si="21"/>
        <v>-538980</v>
      </c>
      <c r="Q150">
        <f t="shared" si="22"/>
        <v>538980</v>
      </c>
      <c r="R150">
        <f t="shared" si="23"/>
        <v>-648188.75</v>
      </c>
    </row>
    <row r="151" spans="1:18" hidden="1" x14ac:dyDescent="0.25">
      <c r="A151" s="1"/>
      <c r="C151" s="1"/>
      <c r="D151" s="1">
        <v>41470</v>
      </c>
      <c r="E151" s="10">
        <v>-5468</v>
      </c>
      <c r="F151" s="1">
        <v>41470</v>
      </c>
      <c r="G151">
        <v>1115.5</v>
      </c>
      <c r="H151" s="1">
        <f t="shared" si="16"/>
        <v>41470</v>
      </c>
      <c r="I151">
        <f>IF(AND(MyRowHidden(ROW())=FALSE,MyRowHidden(ROW()-1)=TRUE),0,(E151-E150)*unitsOfDHp+I150)</f>
        <v>-191380</v>
      </c>
      <c r="J151">
        <f>IF(AND(MyRowHidden(ROW())=FALSE,MyRowHidden(ROW()-1)=TRUE),0,(G151-G150)*unitsOfExo+J150)</f>
        <v>-1014624</v>
      </c>
      <c r="K151" s="9">
        <f t="shared" si="17"/>
        <v>1014624</v>
      </c>
      <c r="L151">
        <f t="shared" si="18"/>
        <v>-1206004</v>
      </c>
      <c r="M151">
        <f t="shared" si="19"/>
        <v>6</v>
      </c>
      <c r="N151">
        <f t="shared" si="20"/>
        <v>-125571.25000000004</v>
      </c>
      <c r="P151">
        <f t="shared" si="21"/>
        <v>-623580</v>
      </c>
      <c r="Q151">
        <f t="shared" si="22"/>
        <v>623580</v>
      </c>
      <c r="R151">
        <f t="shared" si="23"/>
        <v>-749151.25</v>
      </c>
    </row>
    <row r="152" spans="1:18" hidden="1" x14ac:dyDescent="0.25">
      <c r="A152" s="1"/>
      <c r="C152" s="1"/>
      <c r="D152" s="1">
        <v>41471</v>
      </c>
      <c r="E152" s="10">
        <v>-5056</v>
      </c>
      <c r="F152" s="1">
        <v>41471</v>
      </c>
      <c r="G152">
        <v>1490.5</v>
      </c>
      <c r="H152" s="1">
        <f t="shared" si="16"/>
        <v>41471</v>
      </c>
      <c r="I152">
        <f>IF(AND(MyRowHidden(ROW())=FALSE,MyRowHidden(ROW()-1)=TRUE),0,(E152-E151)*unitsOfDHp+I151)</f>
        <v>-176960</v>
      </c>
      <c r="J152">
        <f>IF(AND(MyRowHidden(ROW())=FALSE,MyRowHidden(ROW()-1)=TRUE),0,(G152-G151)*unitsOfExo+J151)</f>
        <v>-906624</v>
      </c>
      <c r="K152" s="9">
        <f t="shared" si="17"/>
        <v>906624</v>
      </c>
      <c r="L152">
        <f t="shared" si="18"/>
        <v>-1083584</v>
      </c>
      <c r="M152">
        <f t="shared" si="19"/>
        <v>6</v>
      </c>
      <c r="N152">
        <f t="shared" si="20"/>
        <v>-118361.25000000004</v>
      </c>
      <c r="P152">
        <f t="shared" si="21"/>
        <v>-569580</v>
      </c>
      <c r="Q152">
        <f t="shared" si="22"/>
        <v>569580</v>
      </c>
      <c r="R152">
        <f t="shared" si="23"/>
        <v>-687941.25</v>
      </c>
    </row>
    <row r="153" spans="1:18" hidden="1" x14ac:dyDescent="0.25">
      <c r="A153" s="1"/>
      <c r="C153" s="1"/>
      <c r="D153" s="1">
        <v>41472</v>
      </c>
      <c r="E153" s="10">
        <v>-5181</v>
      </c>
      <c r="F153" s="1">
        <v>41472</v>
      </c>
      <c r="G153">
        <v>1215.5</v>
      </c>
      <c r="H153" s="1">
        <f t="shared" si="16"/>
        <v>41472</v>
      </c>
      <c r="I153">
        <f>IF(AND(MyRowHidden(ROW())=FALSE,MyRowHidden(ROW()-1)=TRUE),0,(E153-E152)*unitsOfDHp+I152)</f>
        <v>-181335</v>
      </c>
      <c r="J153">
        <f>IF(AND(MyRowHidden(ROW())=FALSE,MyRowHidden(ROW()-1)=TRUE),0,(G153-G152)*unitsOfExo+J152)</f>
        <v>-985824</v>
      </c>
      <c r="K153" s="9">
        <f t="shared" si="17"/>
        <v>985824</v>
      </c>
      <c r="L153">
        <f t="shared" si="18"/>
        <v>-1167159</v>
      </c>
      <c r="M153">
        <f t="shared" si="19"/>
        <v>6</v>
      </c>
      <c r="N153">
        <f t="shared" si="20"/>
        <v>-120548.75000000004</v>
      </c>
      <c r="P153">
        <f t="shared" si="21"/>
        <v>-609180</v>
      </c>
      <c r="Q153">
        <f t="shared" si="22"/>
        <v>609180</v>
      </c>
      <c r="R153">
        <f t="shared" si="23"/>
        <v>-729728.75</v>
      </c>
    </row>
    <row r="154" spans="1:18" hidden="1" x14ac:dyDescent="0.25">
      <c r="A154" s="1"/>
      <c r="C154" s="1"/>
      <c r="D154" s="1">
        <v>41473</v>
      </c>
      <c r="E154" s="10">
        <v>-5068</v>
      </c>
      <c r="F154" s="1">
        <v>41473</v>
      </c>
      <c r="G154">
        <v>1303</v>
      </c>
      <c r="H154" s="1">
        <f t="shared" si="16"/>
        <v>41473</v>
      </c>
      <c r="I154">
        <f>IF(AND(MyRowHidden(ROW())=FALSE,MyRowHidden(ROW()-1)=TRUE),0,(E154-E153)*unitsOfDHp+I153)</f>
        <v>-177380</v>
      </c>
      <c r="J154">
        <f>IF(AND(MyRowHidden(ROW())=FALSE,MyRowHidden(ROW()-1)=TRUE),0,(G154-G153)*unitsOfExo+J153)</f>
        <v>-960624</v>
      </c>
      <c r="K154" s="9">
        <f t="shared" si="17"/>
        <v>960624</v>
      </c>
      <c r="L154">
        <f t="shared" si="18"/>
        <v>-1138004</v>
      </c>
      <c r="M154">
        <f t="shared" si="19"/>
        <v>6</v>
      </c>
      <c r="N154">
        <f t="shared" si="20"/>
        <v>-118571.25000000004</v>
      </c>
      <c r="P154">
        <f t="shared" si="21"/>
        <v>-596580</v>
      </c>
      <c r="Q154">
        <f t="shared" si="22"/>
        <v>596580</v>
      </c>
      <c r="R154">
        <f t="shared" si="23"/>
        <v>-715151.25</v>
      </c>
    </row>
    <row r="155" spans="1:18" hidden="1" x14ac:dyDescent="0.25">
      <c r="A155" s="1"/>
      <c r="C155" s="1"/>
      <c r="D155" s="1">
        <v>41474</v>
      </c>
      <c r="E155" s="10">
        <v>-4780</v>
      </c>
      <c r="F155" s="1">
        <v>41474</v>
      </c>
      <c r="G155">
        <v>1478</v>
      </c>
      <c r="H155" s="1">
        <f t="shared" si="16"/>
        <v>41474</v>
      </c>
      <c r="I155">
        <f>IF(AND(MyRowHidden(ROW())=FALSE,MyRowHidden(ROW()-1)=TRUE),0,(E155-E154)*unitsOfDHp+I154)</f>
        <v>-167300</v>
      </c>
      <c r="J155">
        <f>IF(AND(MyRowHidden(ROW())=FALSE,MyRowHidden(ROW()-1)=TRUE),0,(G155-G154)*unitsOfExo+J154)</f>
        <v>-910224</v>
      </c>
      <c r="K155" s="9">
        <f t="shared" si="17"/>
        <v>910224</v>
      </c>
      <c r="L155">
        <f t="shared" si="18"/>
        <v>-1077524</v>
      </c>
      <c r="M155">
        <f t="shared" si="19"/>
        <v>6</v>
      </c>
      <c r="N155">
        <f t="shared" si="20"/>
        <v>-113531.25000000004</v>
      </c>
      <c r="P155">
        <f t="shared" si="21"/>
        <v>-571380</v>
      </c>
      <c r="Q155">
        <f t="shared" si="22"/>
        <v>571380</v>
      </c>
      <c r="R155">
        <f t="shared" si="23"/>
        <v>-684911.25</v>
      </c>
    </row>
    <row r="156" spans="1:18" hidden="1" x14ac:dyDescent="0.25">
      <c r="A156" s="1"/>
      <c r="C156" s="1"/>
      <c r="D156" s="1">
        <v>41477</v>
      </c>
      <c r="E156" s="10">
        <v>-4979</v>
      </c>
      <c r="F156" s="1">
        <v>41477</v>
      </c>
      <c r="G156">
        <v>1340.5</v>
      </c>
      <c r="H156" s="1">
        <f t="shared" si="16"/>
        <v>41477</v>
      </c>
      <c r="I156">
        <f>IF(AND(MyRowHidden(ROW())=FALSE,MyRowHidden(ROW()-1)=TRUE),0,(E156-E155)*unitsOfDHp+I155)</f>
        <v>-174265</v>
      </c>
      <c r="J156">
        <f>IF(AND(MyRowHidden(ROW())=FALSE,MyRowHidden(ROW()-1)=TRUE),0,(G156-G155)*unitsOfExo+J155)</f>
        <v>-949824</v>
      </c>
      <c r="K156" s="9">
        <f t="shared" si="17"/>
        <v>949824</v>
      </c>
      <c r="L156">
        <f t="shared" si="18"/>
        <v>-1124089</v>
      </c>
      <c r="M156">
        <f t="shared" si="19"/>
        <v>6</v>
      </c>
      <c r="N156">
        <f t="shared" si="20"/>
        <v>-117013.75000000004</v>
      </c>
      <c r="P156">
        <f t="shared" si="21"/>
        <v>-591180</v>
      </c>
      <c r="Q156">
        <f t="shared" si="22"/>
        <v>591180</v>
      </c>
      <c r="R156">
        <f t="shared" si="23"/>
        <v>-708193.75</v>
      </c>
    </row>
    <row r="157" spans="1:18" hidden="1" x14ac:dyDescent="0.25">
      <c r="A157" s="1"/>
      <c r="C157" s="1"/>
      <c r="D157" s="1">
        <v>41478</v>
      </c>
      <c r="E157" s="10">
        <v>-5962</v>
      </c>
      <c r="F157" s="1">
        <v>41478</v>
      </c>
      <c r="G157">
        <v>465.5</v>
      </c>
      <c r="H157" s="1">
        <f t="shared" si="16"/>
        <v>41478</v>
      </c>
      <c r="I157">
        <f>IF(AND(MyRowHidden(ROW())=FALSE,MyRowHidden(ROW()-1)=TRUE),0,(E157-E156)*unitsOfDHp+I156)</f>
        <v>-208670</v>
      </c>
      <c r="J157">
        <f>IF(AND(MyRowHidden(ROW())=FALSE,MyRowHidden(ROW()-1)=TRUE),0,(G157-G156)*unitsOfExo+J156)</f>
        <v>-1201824</v>
      </c>
      <c r="K157" s="9">
        <f t="shared" si="17"/>
        <v>1201824</v>
      </c>
      <c r="L157">
        <f t="shared" si="18"/>
        <v>-1410494</v>
      </c>
      <c r="M157">
        <f t="shared" si="19"/>
        <v>6</v>
      </c>
      <c r="N157">
        <f t="shared" si="20"/>
        <v>-134216.25000000006</v>
      </c>
      <c r="P157">
        <f t="shared" si="21"/>
        <v>-717180</v>
      </c>
      <c r="Q157">
        <f t="shared" si="22"/>
        <v>717180</v>
      </c>
      <c r="R157">
        <f t="shared" si="23"/>
        <v>-851396.25</v>
      </c>
    </row>
    <row r="158" spans="1:18" hidden="1" x14ac:dyDescent="0.25">
      <c r="A158" s="1"/>
      <c r="C158" s="1"/>
      <c r="D158" s="1">
        <v>41479</v>
      </c>
      <c r="E158" s="10">
        <v>-6622</v>
      </c>
      <c r="F158" s="1">
        <v>41479</v>
      </c>
      <c r="G158">
        <v>-297</v>
      </c>
      <c r="H158" s="1">
        <f t="shared" si="16"/>
        <v>41479</v>
      </c>
      <c r="I158">
        <f>IF(AND(MyRowHidden(ROW())=FALSE,MyRowHidden(ROW()-1)=TRUE),0,(E158-E157)*unitsOfDHp+I157)</f>
        <v>-231770</v>
      </c>
      <c r="J158">
        <f>IF(AND(MyRowHidden(ROW())=FALSE,MyRowHidden(ROW()-1)=TRUE),0,(G158-G157)*unitsOfExo+J157)</f>
        <v>-1421424</v>
      </c>
      <c r="K158" s="9">
        <f t="shared" si="17"/>
        <v>1421424</v>
      </c>
      <c r="L158">
        <f t="shared" si="18"/>
        <v>-1653194</v>
      </c>
      <c r="M158">
        <f t="shared" si="19"/>
        <v>6</v>
      </c>
      <c r="N158">
        <f t="shared" si="20"/>
        <v>-145766.25000000006</v>
      </c>
      <c r="P158">
        <f t="shared" si="21"/>
        <v>-826980</v>
      </c>
      <c r="Q158">
        <f t="shared" si="22"/>
        <v>826980</v>
      </c>
      <c r="R158">
        <f t="shared" si="23"/>
        <v>-972746.25</v>
      </c>
    </row>
    <row r="159" spans="1:18" hidden="1" x14ac:dyDescent="0.25">
      <c r="A159" s="1"/>
      <c r="C159" s="1"/>
      <c r="D159" s="1">
        <v>41480</v>
      </c>
      <c r="E159" s="10">
        <v>-7272</v>
      </c>
      <c r="F159" s="1">
        <v>41480</v>
      </c>
      <c r="G159">
        <v>-934.5</v>
      </c>
      <c r="H159" s="1">
        <f t="shared" si="16"/>
        <v>41480</v>
      </c>
      <c r="I159">
        <f>IF(AND(MyRowHidden(ROW())=FALSE,MyRowHidden(ROW()-1)=TRUE),0,(E159-E158)*unitsOfDHp+I158)</f>
        <v>-254520</v>
      </c>
      <c r="J159">
        <f>IF(AND(MyRowHidden(ROW())=FALSE,MyRowHidden(ROW()-1)=TRUE),0,(G159-G158)*unitsOfExo+J158)</f>
        <v>-1605024</v>
      </c>
      <c r="K159" s="9">
        <f t="shared" si="17"/>
        <v>1605024</v>
      </c>
      <c r="L159">
        <f t="shared" si="18"/>
        <v>-1859544</v>
      </c>
      <c r="M159">
        <f t="shared" si="19"/>
        <v>6</v>
      </c>
      <c r="N159">
        <f t="shared" si="20"/>
        <v>-157141.25000000006</v>
      </c>
      <c r="P159">
        <f t="shared" si="21"/>
        <v>-918780</v>
      </c>
      <c r="Q159">
        <f t="shared" si="22"/>
        <v>918780</v>
      </c>
      <c r="R159">
        <f t="shared" si="23"/>
        <v>-1075921.25</v>
      </c>
    </row>
    <row r="160" spans="1:18" hidden="1" x14ac:dyDescent="0.25">
      <c r="A160" s="1"/>
      <c r="C160" s="1"/>
      <c r="D160" s="1">
        <v>41481</v>
      </c>
      <c r="E160" s="10">
        <v>-7384</v>
      </c>
      <c r="F160" s="1">
        <v>41481</v>
      </c>
      <c r="G160">
        <v>-1022</v>
      </c>
      <c r="H160" s="1">
        <f t="shared" si="16"/>
        <v>41481</v>
      </c>
      <c r="I160">
        <f>IF(AND(MyRowHidden(ROW())=FALSE,MyRowHidden(ROW()-1)=TRUE),0,(E160-E159)*unitsOfDHp+I159)</f>
        <v>-258440</v>
      </c>
      <c r="J160">
        <f>IF(AND(MyRowHidden(ROW())=FALSE,MyRowHidden(ROW()-1)=TRUE),0,(G160-G159)*unitsOfExo+J159)</f>
        <v>-1630224</v>
      </c>
      <c r="K160" s="9">
        <f t="shared" si="17"/>
        <v>1630224</v>
      </c>
      <c r="L160">
        <f t="shared" si="18"/>
        <v>-1888664</v>
      </c>
      <c r="M160">
        <f t="shared" si="19"/>
        <v>6</v>
      </c>
      <c r="N160">
        <f t="shared" si="20"/>
        <v>-159101.25000000006</v>
      </c>
      <c r="P160">
        <f t="shared" si="21"/>
        <v>-931380</v>
      </c>
      <c r="Q160">
        <f t="shared" si="22"/>
        <v>931380</v>
      </c>
      <c r="R160">
        <f t="shared" si="23"/>
        <v>-1090481.25</v>
      </c>
    </row>
    <row r="161" spans="1:18" hidden="1" x14ac:dyDescent="0.25">
      <c r="A161" s="1"/>
      <c r="C161" s="1"/>
      <c r="D161" s="1">
        <v>41484</v>
      </c>
      <c r="E161" s="10">
        <v>-7722</v>
      </c>
      <c r="F161" s="1">
        <v>41484</v>
      </c>
      <c r="G161">
        <v>-1297</v>
      </c>
      <c r="H161" s="1">
        <f t="shared" si="16"/>
        <v>41484</v>
      </c>
      <c r="I161">
        <f>IF(AND(MyRowHidden(ROW())=FALSE,MyRowHidden(ROW()-1)=TRUE),0,(E161-E160)*unitsOfDHp+I160)</f>
        <v>-270270</v>
      </c>
      <c r="J161">
        <f>IF(AND(MyRowHidden(ROW())=FALSE,MyRowHidden(ROW()-1)=TRUE),0,(G161-G160)*unitsOfExo+J160)</f>
        <v>-1709424</v>
      </c>
      <c r="K161" s="9">
        <f t="shared" si="17"/>
        <v>1709424</v>
      </c>
      <c r="L161">
        <f t="shared" si="18"/>
        <v>-1979694</v>
      </c>
      <c r="M161">
        <f t="shared" si="19"/>
        <v>6</v>
      </c>
      <c r="N161">
        <f t="shared" si="20"/>
        <v>-165016.25000000006</v>
      </c>
      <c r="P161">
        <f t="shared" si="21"/>
        <v>-970980</v>
      </c>
      <c r="Q161">
        <f t="shared" si="22"/>
        <v>970980</v>
      </c>
      <c r="R161">
        <f t="shared" si="23"/>
        <v>-1135996.25</v>
      </c>
    </row>
    <row r="162" spans="1:18" hidden="1" x14ac:dyDescent="0.25">
      <c r="A162" s="1"/>
      <c r="C162" s="1"/>
      <c r="D162" s="1">
        <v>41485</v>
      </c>
      <c r="E162" s="10">
        <v>-7684</v>
      </c>
      <c r="F162" s="1">
        <v>41485</v>
      </c>
      <c r="G162">
        <v>-1097</v>
      </c>
      <c r="H162" s="1">
        <f t="shared" si="16"/>
        <v>41485</v>
      </c>
      <c r="I162">
        <f>IF(AND(MyRowHidden(ROW())=FALSE,MyRowHidden(ROW()-1)=TRUE),0,(E162-E161)*unitsOfDHp+I161)</f>
        <v>-268940</v>
      </c>
      <c r="J162">
        <f>IF(AND(MyRowHidden(ROW())=FALSE,MyRowHidden(ROW()-1)=TRUE),0,(G162-G161)*unitsOfExo+J161)</f>
        <v>-1651824</v>
      </c>
      <c r="K162" s="9">
        <f t="shared" si="17"/>
        <v>1651824</v>
      </c>
      <c r="L162">
        <f t="shared" si="18"/>
        <v>-1920764</v>
      </c>
      <c r="M162">
        <f t="shared" si="19"/>
        <v>6</v>
      </c>
      <c r="N162">
        <f t="shared" si="20"/>
        <v>-164351.25000000006</v>
      </c>
      <c r="P162">
        <f t="shared" si="21"/>
        <v>-942180</v>
      </c>
      <c r="Q162">
        <f t="shared" si="22"/>
        <v>942180</v>
      </c>
      <c r="R162">
        <f t="shared" si="23"/>
        <v>-1106531.25</v>
      </c>
    </row>
    <row r="163" spans="1:18" hidden="1" x14ac:dyDescent="0.25">
      <c r="A163" s="1"/>
      <c r="C163" s="1"/>
      <c r="D163" s="1">
        <v>41486</v>
      </c>
      <c r="E163" s="10">
        <v>-7334</v>
      </c>
      <c r="F163" s="1">
        <v>41486</v>
      </c>
      <c r="G163">
        <v>-784.5</v>
      </c>
      <c r="H163" s="1">
        <f t="shared" si="16"/>
        <v>41486</v>
      </c>
      <c r="I163">
        <f>IF(AND(MyRowHidden(ROW())=FALSE,MyRowHidden(ROW()-1)=TRUE),0,(E163-E162)*unitsOfDHp+I162)</f>
        <v>-256690</v>
      </c>
      <c r="J163">
        <f>IF(AND(MyRowHidden(ROW())=FALSE,MyRowHidden(ROW()-1)=TRUE),0,(G163-G162)*unitsOfExo+J162)</f>
        <v>-1561824</v>
      </c>
      <c r="K163" s="9">
        <f t="shared" si="17"/>
        <v>1561824</v>
      </c>
      <c r="L163">
        <f t="shared" si="18"/>
        <v>-1818514</v>
      </c>
      <c r="M163">
        <f t="shared" si="19"/>
        <v>6</v>
      </c>
      <c r="N163">
        <f t="shared" si="20"/>
        <v>-158226.25000000006</v>
      </c>
      <c r="P163">
        <f t="shared" si="21"/>
        <v>-897180</v>
      </c>
      <c r="Q163">
        <f t="shared" si="22"/>
        <v>897180</v>
      </c>
      <c r="R163">
        <f t="shared" si="23"/>
        <v>-1055406.25</v>
      </c>
    </row>
    <row r="164" spans="1:18" hidden="1" x14ac:dyDescent="0.25">
      <c r="A164" s="1"/>
      <c r="C164" s="1"/>
      <c r="D164" s="1">
        <v>41487</v>
      </c>
      <c r="E164" s="10">
        <v>-7846</v>
      </c>
      <c r="F164" s="1">
        <v>41487</v>
      </c>
      <c r="G164">
        <v>-1359.5</v>
      </c>
      <c r="H164" s="1">
        <f t="shared" si="16"/>
        <v>41487</v>
      </c>
      <c r="I164">
        <f>IF(AND(MyRowHidden(ROW())=FALSE,MyRowHidden(ROW()-1)=TRUE),0,(E164-E163)*unitsOfDHp+I163)</f>
        <v>-274610</v>
      </c>
      <c r="J164">
        <f>IF(AND(MyRowHidden(ROW())=FALSE,MyRowHidden(ROW()-1)=TRUE),0,(G164-G163)*unitsOfExo+J163)</f>
        <v>-1727424</v>
      </c>
      <c r="K164" s="9">
        <f t="shared" si="17"/>
        <v>1727424</v>
      </c>
      <c r="L164">
        <f t="shared" si="18"/>
        <v>-2002034</v>
      </c>
      <c r="M164">
        <f t="shared" si="19"/>
        <v>7</v>
      </c>
      <c r="N164">
        <f t="shared" si="20"/>
        <v>-165692.91666666672</v>
      </c>
      <c r="P164">
        <f t="shared" si="21"/>
        <v>-966180</v>
      </c>
      <c r="Q164">
        <f t="shared" si="22"/>
        <v>966180</v>
      </c>
      <c r="R164">
        <f t="shared" si="23"/>
        <v>-1131872.9166666667</v>
      </c>
    </row>
    <row r="165" spans="1:18" hidden="1" x14ac:dyDescent="0.25">
      <c r="A165" s="1"/>
      <c r="C165" s="1"/>
      <c r="D165" s="1">
        <v>41488</v>
      </c>
      <c r="E165" s="10">
        <v>-8158</v>
      </c>
      <c r="F165" s="1">
        <v>41488</v>
      </c>
      <c r="G165">
        <v>-1822</v>
      </c>
      <c r="H165" s="1">
        <f t="shared" si="16"/>
        <v>41488</v>
      </c>
      <c r="I165">
        <f>IF(AND(MyRowHidden(ROW())=FALSE,MyRowHidden(ROW()-1)=TRUE),0,(E165-E164)*unitsOfDHp+I164)</f>
        <v>-285530</v>
      </c>
      <c r="J165">
        <f>IF(AND(MyRowHidden(ROW())=FALSE,MyRowHidden(ROW()-1)=TRUE),0,(G165-G164)*unitsOfExo+J164)</f>
        <v>-1860624</v>
      </c>
      <c r="K165" s="9">
        <f t="shared" si="17"/>
        <v>1860624</v>
      </c>
      <c r="L165">
        <f t="shared" si="18"/>
        <v>-2146154</v>
      </c>
      <c r="M165">
        <f t="shared" si="19"/>
        <v>7</v>
      </c>
      <c r="N165">
        <f t="shared" si="20"/>
        <v>-170242.91666666672</v>
      </c>
      <c r="P165">
        <f t="shared" si="21"/>
        <v>-1021680</v>
      </c>
      <c r="Q165">
        <f t="shared" si="22"/>
        <v>1021680</v>
      </c>
      <c r="R165">
        <f t="shared" si="23"/>
        <v>-1191922.9166666667</v>
      </c>
    </row>
    <row r="166" spans="1:18" hidden="1" x14ac:dyDescent="0.25">
      <c r="A166" s="1"/>
      <c r="C166" s="1"/>
      <c r="D166" s="1">
        <v>41491</v>
      </c>
      <c r="E166" s="10">
        <v>-8283</v>
      </c>
      <c r="F166" s="1">
        <v>41491</v>
      </c>
      <c r="G166">
        <v>-2297</v>
      </c>
      <c r="H166" s="1">
        <f t="shared" si="16"/>
        <v>41491</v>
      </c>
      <c r="I166">
        <f>IF(AND(MyRowHidden(ROW())=FALSE,MyRowHidden(ROW()-1)=TRUE),0,(E166-E165)*unitsOfDHp+I165)</f>
        <v>-289905</v>
      </c>
      <c r="J166">
        <f>IF(AND(MyRowHidden(ROW())=FALSE,MyRowHidden(ROW()-1)=TRUE),0,(G166-G165)*unitsOfExo+J165)</f>
        <v>-1997424</v>
      </c>
      <c r="K166" s="9">
        <f t="shared" si="17"/>
        <v>1997424</v>
      </c>
      <c r="L166">
        <f t="shared" si="18"/>
        <v>-2287329</v>
      </c>
      <c r="M166">
        <f t="shared" si="19"/>
        <v>7</v>
      </c>
      <c r="N166">
        <f t="shared" si="20"/>
        <v>-172065.83333333337</v>
      </c>
      <c r="P166">
        <f t="shared" si="21"/>
        <v>-1078680</v>
      </c>
      <c r="Q166">
        <f t="shared" si="22"/>
        <v>1078680</v>
      </c>
      <c r="R166">
        <f t="shared" si="23"/>
        <v>-1250745.8333333335</v>
      </c>
    </row>
    <row r="167" spans="1:18" hidden="1" x14ac:dyDescent="0.25">
      <c r="A167" s="1"/>
      <c r="C167" s="1"/>
      <c r="D167" s="1">
        <v>41492</v>
      </c>
      <c r="E167" s="10">
        <v>-8258</v>
      </c>
      <c r="F167" s="1">
        <v>41492</v>
      </c>
      <c r="G167">
        <v>-2147</v>
      </c>
      <c r="H167" s="1">
        <f t="shared" si="16"/>
        <v>41492</v>
      </c>
      <c r="I167">
        <f>IF(AND(MyRowHidden(ROW())=FALSE,MyRowHidden(ROW()-1)=TRUE),0,(E167-E166)*unitsOfDHp+I166)</f>
        <v>-289030</v>
      </c>
      <c r="J167">
        <f>IF(AND(MyRowHidden(ROW())=FALSE,MyRowHidden(ROW()-1)=TRUE),0,(G167-G166)*unitsOfExo+J166)</f>
        <v>-1954224</v>
      </c>
      <c r="K167" s="9">
        <f t="shared" si="17"/>
        <v>1954224</v>
      </c>
      <c r="L167">
        <f t="shared" si="18"/>
        <v>-2243254</v>
      </c>
      <c r="M167">
        <f t="shared" si="19"/>
        <v>7</v>
      </c>
      <c r="N167">
        <f t="shared" si="20"/>
        <v>-171701.25000000003</v>
      </c>
      <c r="P167">
        <f t="shared" si="21"/>
        <v>-1060680</v>
      </c>
      <c r="Q167">
        <f t="shared" si="22"/>
        <v>1060680</v>
      </c>
      <c r="R167">
        <f t="shared" si="23"/>
        <v>-1232381.2500000002</v>
      </c>
    </row>
    <row r="168" spans="1:18" hidden="1" x14ac:dyDescent="0.25">
      <c r="A168" s="1"/>
      <c r="C168" s="1"/>
      <c r="D168" s="1">
        <v>41493</v>
      </c>
      <c r="E168" s="10">
        <v>-8270</v>
      </c>
      <c r="F168" s="1">
        <v>41493</v>
      </c>
      <c r="G168">
        <v>-2297</v>
      </c>
      <c r="H168" s="1">
        <f t="shared" si="16"/>
        <v>41493</v>
      </c>
      <c r="I168">
        <f>IF(AND(MyRowHidden(ROW())=FALSE,MyRowHidden(ROW()-1)=TRUE),0,(E168-E167)*unitsOfDHp+I167)</f>
        <v>-289450</v>
      </c>
      <c r="J168">
        <f>IF(AND(MyRowHidden(ROW())=FALSE,MyRowHidden(ROW()-1)=TRUE),0,(G168-G167)*unitsOfExo+J167)</f>
        <v>-1997424</v>
      </c>
      <c r="K168" s="9">
        <f t="shared" si="17"/>
        <v>1997424</v>
      </c>
      <c r="L168">
        <f t="shared" si="18"/>
        <v>-2286874</v>
      </c>
      <c r="M168">
        <f t="shared" si="19"/>
        <v>7</v>
      </c>
      <c r="N168">
        <f t="shared" si="20"/>
        <v>-171876.25000000003</v>
      </c>
      <c r="P168">
        <f t="shared" si="21"/>
        <v>-1078680</v>
      </c>
      <c r="Q168">
        <f t="shared" si="22"/>
        <v>1078680</v>
      </c>
      <c r="R168">
        <f t="shared" si="23"/>
        <v>-1250556.2500000002</v>
      </c>
    </row>
    <row r="169" spans="1:18" hidden="1" x14ac:dyDescent="0.25">
      <c r="A169" s="1"/>
      <c r="C169" s="1"/>
      <c r="D169" s="1">
        <v>41494</v>
      </c>
      <c r="E169" s="10">
        <v>-8270</v>
      </c>
      <c r="F169" s="1">
        <v>41494</v>
      </c>
      <c r="G169">
        <v>-2172</v>
      </c>
      <c r="H169" s="1">
        <f t="shared" si="16"/>
        <v>41494</v>
      </c>
      <c r="I169">
        <f>IF(AND(MyRowHidden(ROW())=FALSE,MyRowHidden(ROW()-1)=TRUE),0,(E169-E168)*unitsOfDHp+I168)</f>
        <v>-289450</v>
      </c>
      <c r="J169">
        <f>IF(AND(MyRowHidden(ROW())=FALSE,MyRowHidden(ROW()-1)=TRUE),0,(G169-G168)*unitsOfExo+J168)</f>
        <v>-1961424</v>
      </c>
      <c r="K169" s="9">
        <f t="shared" si="17"/>
        <v>1961424</v>
      </c>
      <c r="L169">
        <f t="shared" si="18"/>
        <v>-2250874</v>
      </c>
      <c r="M169">
        <f t="shared" si="19"/>
        <v>7</v>
      </c>
      <c r="N169">
        <f t="shared" si="20"/>
        <v>-171876.25000000003</v>
      </c>
      <c r="P169">
        <f t="shared" si="21"/>
        <v>-1063680</v>
      </c>
      <c r="Q169">
        <f t="shared" si="22"/>
        <v>1063680</v>
      </c>
      <c r="R169">
        <f t="shared" si="23"/>
        <v>-1235556.2500000002</v>
      </c>
    </row>
    <row r="170" spans="1:18" hidden="1" x14ac:dyDescent="0.25">
      <c r="A170" s="1"/>
      <c r="C170" s="1"/>
      <c r="D170" s="1">
        <v>41495</v>
      </c>
      <c r="E170" s="10">
        <v>-8282</v>
      </c>
      <c r="F170" s="1">
        <v>41495</v>
      </c>
      <c r="G170">
        <v>-2347</v>
      </c>
      <c r="H170" s="1">
        <f t="shared" si="16"/>
        <v>41495</v>
      </c>
      <c r="I170">
        <f>IF(AND(MyRowHidden(ROW())=FALSE,MyRowHidden(ROW()-1)=TRUE),0,(E170-E169)*unitsOfDHp+I169)</f>
        <v>-289870</v>
      </c>
      <c r="J170">
        <f>IF(AND(MyRowHidden(ROW())=FALSE,MyRowHidden(ROW()-1)=TRUE),0,(G170-G169)*unitsOfExo+J169)</f>
        <v>-2011824</v>
      </c>
      <c r="K170" s="9">
        <f t="shared" si="17"/>
        <v>2011824</v>
      </c>
      <c r="L170">
        <f t="shared" si="18"/>
        <v>-2301694</v>
      </c>
      <c r="M170">
        <f t="shared" si="19"/>
        <v>7</v>
      </c>
      <c r="N170">
        <f t="shared" si="20"/>
        <v>-172051.25000000003</v>
      </c>
      <c r="P170">
        <f t="shared" si="21"/>
        <v>-1084680</v>
      </c>
      <c r="Q170">
        <f t="shared" si="22"/>
        <v>1084680</v>
      </c>
      <c r="R170">
        <f t="shared" si="23"/>
        <v>-1256731.2500000002</v>
      </c>
    </row>
    <row r="171" spans="1:18" hidden="1" x14ac:dyDescent="0.25">
      <c r="A171" s="1"/>
      <c r="C171" s="1"/>
      <c r="D171" s="1">
        <v>41498</v>
      </c>
      <c r="E171" s="10">
        <v>-8232</v>
      </c>
      <c r="F171" s="1">
        <v>41498</v>
      </c>
      <c r="G171">
        <v>-2034.5</v>
      </c>
      <c r="H171" s="1">
        <f t="shared" si="16"/>
        <v>41498</v>
      </c>
      <c r="I171">
        <f>IF(AND(MyRowHidden(ROW())=FALSE,MyRowHidden(ROW()-1)=TRUE),0,(E171-E170)*unitsOfDHp+I170)</f>
        <v>-288120</v>
      </c>
      <c r="J171">
        <f>IF(AND(MyRowHidden(ROW())=FALSE,MyRowHidden(ROW()-1)=TRUE),0,(G171-G170)*unitsOfExo+J170)</f>
        <v>-1921824</v>
      </c>
      <c r="K171" s="9">
        <f t="shared" si="17"/>
        <v>1921824</v>
      </c>
      <c r="L171">
        <f t="shared" si="18"/>
        <v>-2209944</v>
      </c>
      <c r="M171">
        <f t="shared" si="19"/>
        <v>7</v>
      </c>
      <c r="N171">
        <f t="shared" si="20"/>
        <v>-171322.08333333337</v>
      </c>
      <c r="P171">
        <f t="shared" si="21"/>
        <v>-1047180</v>
      </c>
      <c r="Q171">
        <f t="shared" si="22"/>
        <v>1047180</v>
      </c>
      <c r="R171">
        <f t="shared" si="23"/>
        <v>-1218502.0833333335</v>
      </c>
    </row>
    <row r="172" spans="1:18" hidden="1" x14ac:dyDescent="0.25">
      <c r="A172" s="1"/>
      <c r="C172" s="1"/>
      <c r="D172" s="1">
        <v>41499</v>
      </c>
      <c r="E172" s="10">
        <v>-8420</v>
      </c>
      <c r="F172" s="1">
        <v>41499</v>
      </c>
      <c r="G172">
        <v>-2797</v>
      </c>
      <c r="H172" s="1">
        <f t="shared" si="16"/>
        <v>41499</v>
      </c>
      <c r="I172">
        <f>IF(AND(MyRowHidden(ROW())=FALSE,MyRowHidden(ROW()-1)=TRUE),0,(E172-E171)*unitsOfDHp+I171)</f>
        <v>-294700</v>
      </c>
      <c r="J172">
        <f>IF(AND(MyRowHidden(ROW())=FALSE,MyRowHidden(ROW()-1)=TRUE),0,(G172-G171)*unitsOfExo+J171)</f>
        <v>-2141424</v>
      </c>
      <c r="K172" s="9">
        <f t="shared" si="17"/>
        <v>2141424</v>
      </c>
      <c r="L172">
        <f t="shared" si="18"/>
        <v>-2436124</v>
      </c>
      <c r="M172">
        <f t="shared" si="19"/>
        <v>7</v>
      </c>
      <c r="N172">
        <f t="shared" si="20"/>
        <v>-174063.75000000003</v>
      </c>
      <c r="P172">
        <f t="shared" si="21"/>
        <v>-1138680</v>
      </c>
      <c r="Q172">
        <f t="shared" si="22"/>
        <v>1138680</v>
      </c>
      <c r="R172">
        <f t="shared" si="23"/>
        <v>-1312743.7500000002</v>
      </c>
    </row>
    <row r="173" spans="1:18" hidden="1" x14ac:dyDescent="0.25">
      <c r="A173" s="1"/>
      <c r="C173" s="1"/>
      <c r="D173" s="1">
        <v>41500</v>
      </c>
      <c r="E173" s="10">
        <v>-8456</v>
      </c>
      <c r="F173" s="1">
        <v>41500</v>
      </c>
      <c r="G173">
        <v>-2609.5</v>
      </c>
      <c r="H173" s="1">
        <f t="shared" si="16"/>
        <v>41500</v>
      </c>
      <c r="I173">
        <f>IF(AND(MyRowHidden(ROW())=FALSE,MyRowHidden(ROW()-1)=TRUE),0,(E173-E172)*unitsOfDHp+I172)</f>
        <v>-295960</v>
      </c>
      <c r="J173">
        <f>IF(AND(MyRowHidden(ROW())=FALSE,MyRowHidden(ROW()-1)=TRUE),0,(G173-G172)*unitsOfExo+J172)</f>
        <v>-2087424</v>
      </c>
      <c r="K173" s="9">
        <f t="shared" si="17"/>
        <v>2087424</v>
      </c>
      <c r="L173">
        <f t="shared" si="18"/>
        <v>-2383384</v>
      </c>
      <c r="M173">
        <f t="shared" si="19"/>
        <v>7</v>
      </c>
      <c r="N173">
        <f t="shared" si="20"/>
        <v>-174588.75000000003</v>
      </c>
      <c r="P173">
        <f t="shared" si="21"/>
        <v>-1116180</v>
      </c>
      <c r="Q173">
        <f t="shared" si="22"/>
        <v>1116180</v>
      </c>
      <c r="R173">
        <f t="shared" si="23"/>
        <v>-1290768.7500000002</v>
      </c>
    </row>
    <row r="174" spans="1:18" hidden="1" x14ac:dyDescent="0.25">
      <c r="A174" s="1"/>
      <c r="C174" s="1"/>
      <c r="D174" s="1">
        <v>41501</v>
      </c>
      <c r="E174" s="10">
        <v>-8281</v>
      </c>
      <c r="F174" s="1">
        <v>41501</v>
      </c>
      <c r="G174">
        <v>-1797</v>
      </c>
      <c r="H174" s="1">
        <f t="shared" si="16"/>
        <v>41501</v>
      </c>
      <c r="I174">
        <f>IF(AND(MyRowHidden(ROW())=FALSE,MyRowHidden(ROW()-1)=TRUE),0,(E174-E173)*unitsOfDHp+I173)</f>
        <v>-289835</v>
      </c>
      <c r="J174">
        <f>IF(AND(MyRowHidden(ROW())=FALSE,MyRowHidden(ROW()-1)=TRUE),0,(G174-G173)*unitsOfExo+J173)</f>
        <v>-1853424</v>
      </c>
      <c r="K174" s="9">
        <f t="shared" si="17"/>
        <v>1853424</v>
      </c>
      <c r="L174">
        <f t="shared" si="18"/>
        <v>-2143259</v>
      </c>
      <c r="M174">
        <f t="shared" si="19"/>
        <v>7</v>
      </c>
      <c r="N174">
        <f t="shared" si="20"/>
        <v>-172036.66666666669</v>
      </c>
      <c r="P174">
        <f t="shared" si="21"/>
        <v>-1018680</v>
      </c>
      <c r="Q174">
        <f t="shared" si="22"/>
        <v>1018680</v>
      </c>
      <c r="R174">
        <f t="shared" si="23"/>
        <v>-1190716.666666667</v>
      </c>
    </row>
    <row r="175" spans="1:18" hidden="1" x14ac:dyDescent="0.25">
      <c r="A175" s="1"/>
      <c r="C175" s="1"/>
      <c r="D175" s="1">
        <v>41502</v>
      </c>
      <c r="E175" s="10">
        <v>-8356</v>
      </c>
      <c r="F175" s="1">
        <v>41502</v>
      </c>
      <c r="G175">
        <v>-2059.5</v>
      </c>
      <c r="H175" s="1">
        <f t="shared" si="16"/>
        <v>41502</v>
      </c>
      <c r="I175">
        <f>IF(AND(MyRowHidden(ROW())=FALSE,MyRowHidden(ROW()-1)=TRUE),0,(E175-E174)*unitsOfDHp+I174)</f>
        <v>-292460</v>
      </c>
      <c r="J175">
        <f>IF(AND(MyRowHidden(ROW())=FALSE,MyRowHidden(ROW()-1)=TRUE),0,(G175-G174)*unitsOfExo+J174)</f>
        <v>-1929024</v>
      </c>
      <c r="K175" s="9">
        <f t="shared" si="17"/>
        <v>1929024</v>
      </c>
      <c r="L175">
        <f t="shared" si="18"/>
        <v>-2221484</v>
      </c>
      <c r="M175">
        <f t="shared" si="19"/>
        <v>7</v>
      </c>
      <c r="N175">
        <f t="shared" si="20"/>
        <v>-173130.41666666669</v>
      </c>
      <c r="P175">
        <f t="shared" si="21"/>
        <v>-1050180</v>
      </c>
      <c r="Q175">
        <f t="shared" si="22"/>
        <v>1050180</v>
      </c>
      <c r="R175">
        <f t="shared" si="23"/>
        <v>-1223310.416666667</v>
      </c>
    </row>
    <row r="176" spans="1:18" hidden="1" x14ac:dyDescent="0.25">
      <c r="A176" s="1"/>
      <c r="C176" s="1"/>
      <c r="D176" s="1">
        <v>41505</v>
      </c>
      <c r="E176" s="10">
        <v>-8181</v>
      </c>
      <c r="F176" s="1">
        <v>41505</v>
      </c>
      <c r="G176">
        <v>-1259.5</v>
      </c>
      <c r="H176" s="1">
        <f t="shared" si="16"/>
        <v>41505</v>
      </c>
      <c r="I176">
        <f>IF(AND(MyRowHidden(ROW())=FALSE,MyRowHidden(ROW()-1)=TRUE),0,(E176-E175)*unitsOfDHp+I175)</f>
        <v>-286335</v>
      </c>
      <c r="J176">
        <f>IF(AND(MyRowHidden(ROW())=FALSE,MyRowHidden(ROW()-1)=TRUE),0,(G176-G175)*unitsOfExo+J175)</f>
        <v>-1698624</v>
      </c>
      <c r="K176" s="9">
        <f t="shared" si="17"/>
        <v>1698624</v>
      </c>
      <c r="L176">
        <f t="shared" si="18"/>
        <v>-1984959</v>
      </c>
      <c r="M176">
        <f t="shared" si="19"/>
        <v>7</v>
      </c>
      <c r="N176">
        <f t="shared" si="20"/>
        <v>-170578.33333333334</v>
      </c>
      <c r="P176">
        <f t="shared" si="21"/>
        <v>-954180</v>
      </c>
      <c r="Q176">
        <f t="shared" si="22"/>
        <v>954180</v>
      </c>
      <c r="R176">
        <f t="shared" si="23"/>
        <v>-1124758.3333333337</v>
      </c>
    </row>
    <row r="177" spans="1:18" hidden="1" x14ac:dyDescent="0.25">
      <c r="A177" s="1"/>
      <c r="C177" s="1"/>
      <c r="D177" s="1">
        <v>41506</v>
      </c>
      <c r="E177" s="10">
        <v>-8256</v>
      </c>
      <c r="F177" s="1">
        <v>41506</v>
      </c>
      <c r="G177">
        <v>-1409.5</v>
      </c>
      <c r="H177" s="1">
        <f t="shared" si="16"/>
        <v>41506</v>
      </c>
      <c r="I177">
        <f>IF(AND(MyRowHidden(ROW())=FALSE,MyRowHidden(ROW()-1)=TRUE),0,(E177-E176)*unitsOfDHp+I176)</f>
        <v>-288960</v>
      </c>
      <c r="J177">
        <f>IF(AND(MyRowHidden(ROW())=FALSE,MyRowHidden(ROW()-1)=TRUE),0,(G177-G176)*unitsOfExo+J176)</f>
        <v>-1741824</v>
      </c>
      <c r="K177" s="9">
        <f t="shared" si="17"/>
        <v>1741824</v>
      </c>
      <c r="L177">
        <f t="shared" si="18"/>
        <v>-2030784</v>
      </c>
      <c r="M177">
        <f t="shared" si="19"/>
        <v>7</v>
      </c>
      <c r="N177">
        <f t="shared" si="20"/>
        <v>-171672.08333333334</v>
      </c>
      <c r="P177">
        <f t="shared" si="21"/>
        <v>-972180</v>
      </c>
      <c r="Q177">
        <f t="shared" si="22"/>
        <v>972180</v>
      </c>
      <c r="R177">
        <f t="shared" si="23"/>
        <v>-1143852.0833333337</v>
      </c>
    </row>
    <row r="178" spans="1:18" hidden="1" x14ac:dyDescent="0.25">
      <c r="A178" s="1"/>
      <c r="C178" s="1"/>
      <c r="D178" s="1">
        <v>41507</v>
      </c>
      <c r="E178" s="10">
        <v>-7666</v>
      </c>
      <c r="F178" s="1">
        <v>41507</v>
      </c>
      <c r="G178">
        <v>-797</v>
      </c>
      <c r="H178" s="1">
        <f t="shared" si="16"/>
        <v>41507</v>
      </c>
      <c r="I178">
        <f>IF(AND(MyRowHidden(ROW())=FALSE,MyRowHidden(ROW()-1)=TRUE),0,(E178-E177)*unitsOfDHp+I177)</f>
        <v>-268310</v>
      </c>
      <c r="J178">
        <f>IF(AND(MyRowHidden(ROW())=FALSE,MyRowHidden(ROW()-1)=TRUE),0,(G178-G177)*unitsOfExo+J177)</f>
        <v>-1565424</v>
      </c>
      <c r="K178" s="9">
        <f t="shared" si="17"/>
        <v>1565424</v>
      </c>
      <c r="L178">
        <f t="shared" si="18"/>
        <v>-1833734</v>
      </c>
      <c r="M178">
        <f t="shared" si="19"/>
        <v>7</v>
      </c>
      <c r="N178">
        <f t="shared" si="20"/>
        <v>-163067.91666666669</v>
      </c>
      <c r="P178">
        <f t="shared" si="21"/>
        <v>-898680</v>
      </c>
      <c r="Q178">
        <f t="shared" si="22"/>
        <v>898680</v>
      </c>
      <c r="R178">
        <f t="shared" si="23"/>
        <v>-1061747.916666667</v>
      </c>
    </row>
    <row r="179" spans="1:18" hidden="1" x14ac:dyDescent="0.25">
      <c r="A179" s="1"/>
      <c r="C179" s="1"/>
      <c r="D179" s="1">
        <v>41508</v>
      </c>
      <c r="E179" s="10">
        <v>-7743</v>
      </c>
      <c r="F179" s="1">
        <v>41508</v>
      </c>
      <c r="G179">
        <v>-1672</v>
      </c>
      <c r="H179" s="1">
        <f t="shared" si="16"/>
        <v>41508</v>
      </c>
      <c r="I179">
        <f>IF(AND(MyRowHidden(ROW())=FALSE,MyRowHidden(ROW()-1)=TRUE),0,(E179-E178)*unitsOfDHp+I178)</f>
        <v>-271005</v>
      </c>
      <c r="J179">
        <f>IF(AND(MyRowHidden(ROW())=FALSE,MyRowHidden(ROW()-1)=TRUE),0,(G179-G178)*unitsOfExo+J178)</f>
        <v>-1817424</v>
      </c>
      <c r="K179" s="9">
        <f t="shared" si="17"/>
        <v>1817424</v>
      </c>
      <c r="L179">
        <f t="shared" si="18"/>
        <v>-2088429</v>
      </c>
      <c r="M179">
        <f t="shared" si="19"/>
        <v>7</v>
      </c>
      <c r="N179">
        <f t="shared" si="20"/>
        <v>-164190.83333333334</v>
      </c>
      <c r="P179">
        <f t="shared" si="21"/>
        <v>-1003680</v>
      </c>
      <c r="Q179">
        <f t="shared" si="22"/>
        <v>1003680</v>
      </c>
      <c r="R179">
        <f t="shared" si="23"/>
        <v>-1167870.8333333337</v>
      </c>
    </row>
    <row r="180" spans="1:18" hidden="1" x14ac:dyDescent="0.25">
      <c r="A180" s="1"/>
      <c r="C180" s="1"/>
      <c r="D180" s="1">
        <v>41509</v>
      </c>
      <c r="E180" s="10">
        <v>-8102</v>
      </c>
      <c r="F180" s="1">
        <v>41509</v>
      </c>
      <c r="G180">
        <v>-1447</v>
      </c>
      <c r="H180" s="1">
        <f t="shared" si="16"/>
        <v>41509</v>
      </c>
      <c r="I180">
        <f>IF(AND(MyRowHidden(ROW())=FALSE,MyRowHidden(ROW()-1)=TRUE),0,(E180-E179)*unitsOfDHp+I179)</f>
        <v>-283570</v>
      </c>
      <c r="J180">
        <f>IF(AND(MyRowHidden(ROW())=FALSE,MyRowHidden(ROW()-1)=TRUE),0,(G180-G179)*unitsOfExo+J179)</f>
        <v>-1752624</v>
      </c>
      <c r="K180" s="9">
        <f t="shared" si="17"/>
        <v>1752624</v>
      </c>
      <c r="L180">
        <f t="shared" si="18"/>
        <v>-2036194</v>
      </c>
      <c r="M180">
        <f t="shared" si="19"/>
        <v>7</v>
      </c>
      <c r="N180">
        <f t="shared" si="20"/>
        <v>-169426.25</v>
      </c>
      <c r="P180">
        <f t="shared" si="21"/>
        <v>-976680</v>
      </c>
      <c r="Q180">
        <f t="shared" si="22"/>
        <v>976680</v>
      </c>
      <c r="R180">
        <f t="shared" si="23"/>
        <v>-1146106.2500000005</v>
      </c>
    </row>
    <row r="181" spans="1:18" hidden="1" x14ac:dyDescent="0.25">
      <c r="A181" s="1"/>
      <c r="C181" s="1"/>
      <c r="D181" s="1">
        <v>41512</v>
      </c>
      <c r="E181" s="10">
        <v>-8836</v>
      </c>
      <c r="F181" s="1">
        <v>41512</v>
      </c>
      <c r="G181">
        <v>315.5</v>
      </c>
      <c r="H181" s="1">
        <f t="shared" si="16"/>
        <v>41512</v>
      </c>
      <c r="I181">
        <f>IF(AND(MyRowHidden(ROW())=FALSE,MyRowHidden(ROW()-1)=TRUE),0,(E181-E180)*unitsOfDHp+I180)</f>
        <v>-309260</v>
      </c>
      <c r="J181">
        <f>IF(AND(MyRowHidden(ROW())=FALSE,MyRowHidden(ROW()-1)=TRUE),0,(G181-G180)*unitsOfExo+J180)</f>
        <v>-1245024</v>
      </c>
      <c r="K181" s="9">
        <f t="shared" si="17"/>
        <v>1245024</v>
      </c>
      <c r="L181">
        <f t="shared" si="18"/>
        <v>-1554284</v>
      </c>
      <c r="M181">
        <f t="shared" si="19"/>
        <v>7</v>
      </c>
      <c r="N181">
        <f t="shared" si="20"/>
        <v>-180130.41666666666</v>
      </c>
      <c r="P181">
        <f t="shared" si="21"/>
        <v>-765180</v>
      </c>
      <c r="Q181">
        <f t="shared" si="22"/>
        <v>765180</v>
      </c>
      <c r="R181">
        <f t="shared" si="23"/>
        <v>-945310.41666666709</v>
      </c>
    </row>
    <row r="182" spans="1:18" hidden="1" x14ac:dyDescent="0.25">
      <c r="A182" s="1"/>
      <c r="C182" s="1"/>
      <c r="D182" s="1">
        <v>41513</v>
      </c>
      <c r="E182" s="10">
        <v>-9074</v>
      </c>
      <c r="F182" s="1">
        <v>41513</v>
      </c>
      <c r="G182">
        <v>-422</v>
      </c>
      <c r="H182" s="1">
        <f t="shared" si="16"/>
        <v>41513</v>
      </c>
      <c r="I182">
        <f>IF(AND(MyRowHidden(ROW())=FALSE,MyRowHidden(ROW()-1)=TRUE),0,(E182-E181)*unitsOfDHp+I181)</f>
        <v>-317590</v>
      </c>
      <c r="J182">
        <f>IF(AND(MyRowHidden(ROW())=FALSE,MyRowHidden(ROW()-1)=TRUE),0,(G182-G181)*unitsOfExo+J181)</f>
        <v>-1457424</v>
      </c>
      <c r="K182" s="9">
        <f t="shared" si="17"/>
        <v>1457424</v>
      </c>
      <c r="L182">
        <f t="shared" si="18"/>
        <v>-1775014</v>
      </c>
      <c r="M182">
        <f t="shared" si="19"/>
        <v>7</v>
      </c>
      <c r="N182">
        <f t="shared" si="20"/>
        <v>-183601.25</v>
      </c>
      <c r="P182">
        <f t="shared" si="21"/>
        <v>-853680</v>
      </c>
      <c r="Q182">
        <f t="shared" si="22"/>
        <v>853680</v>
      </c>
      <c r="R182">
        <f t="shared" si="23"/>
        <v>-1037281.2500000005</v>
      </c>
    </row>
    <row r="183" spans="1:18" hidden="1" x14ac:dyDescent="0.25">
      <c r="A183" s="1"/>
      <c r="C183" s="1"/>
      <c r="D183" s="1">
        <v>41514</v>
      </c>
      <c r="E183" s="10">
        <v>-9035</v>
      </c>
      <c r="F183" s="1">
        <v>41514</v>
      </c>
      <c r="G183">
        <v>-959.5</v>
      </c>
      <c r="H183" s="1">
        <f t="shared" si="16"/>
        <v>41514</v>
      </c>
      <c r="I183">
        <f>IF(AND(MyRowHidden(ROW())=FALSE,MyRowHidden(ROW()-1)=TRUE),0,(E183-E182)*unitsOfDHp+I182)</f>
        <v>-316225</v>
      </c>
      <c r="J183">
        <f>IF(AND(MyRowHidden(ROW())=FALSE,MyRowHidden(ROW()-1)=TRUE),0,(G183-G182)*unitsOfExo+J182)</f>
        <v>-1612224</v>
      </c>
      <c r="K183" s="9">
        <f t="shared" si="17"/>
        <v>1612224</v>
      </c>
      <c r="L183">
        <f t="shared" si="18"/>
        <v>-1928449</v>
      </c>
      <c r="M183">
        <f t="shared" si="19"/>
        <v>7</v>
      </c>
      <c r="N183">
        <f t="shared" si="20"/>
        <v>-183032.5</v>
      </c>
      <c r="P183">
        <f t="shared" si="21"/>
        <v>-918180</v>
      </c>
      <c r="Q183">
        <f t="shared" si="22"/>
        <v>918180</v>
      </c>
      <c r="R183">
        <f t="shared" si="23"/>
        <v>-1101212.5000000005</v>
      </c>
    </row>
    <row r="184" spans="1:18" hidden="1" x14ac:dyDescent="0.25">
      <c r="A184" s="1"/>
      <c r="C184" s="1"/>
      <c r="D184" s="1">
        <v>41515</v>
      </c>
      <c r="E184" s="10">
        <v>-8985</v>
      </c>
      <c r="F184" s="1">
        <v>41515</v>
      </c>
      <c r="G184">
        <v>-972</v>
      </c>
      <c r="H184" s="1">
        <f t="shared" si="16"/>
        <v>41515</v>
      </c>
      <c r="I184">
        <f>IF(AND(MyRowHidden(ROW())=FALSE,MyRowHidden(ROW()-1)=TRUE),0,(E184-E183)*unitsOfDHp+I183)</f>
        <v>-314475</v>
      </c>
      <c r="J184">
        <f>IF(AND(MyRowHidden(ROW())=FALSE,MyRowHidden(ROW()-1)=TRUE),0,(G184-G183)*unitsOfExo+J183)</f>
        <v>-1615824</v>
      </c>
      <c r="K184" s="9">
        <f t="shared" si="17"/>
        <v>1615824</v>
      </c>
      <c r="L184">
        <f t="shared" si="18"/>
        <v>-1930299</v>
      </c>
      <c r="M184">
        <f t="shared" si="19"/>
        <v>7</v>
      </c>
      <c r="N184">
        <f t="shared" si="20"/>
        <v>-182303.33333333334</v>
      </c>
      <c r="P184">
        <f t="shared" si="21"/>
        <v>-919680</v>
      </c>
      <c r="Q184">
        <f t="shared" si="22"/>
        <v>919680</v>
      </c>
      <c r="R184">
        <f t="shared" si="23"/>
        <v>-1101983.3333333337</v>
      </c>
    </row>
    <row r="185" spans="1:18" hidden="1" x14ac:dyDescent="0.25">
      <c r="A185" s="1"/>
      <c r="C185" s="1"/>
      <c r="D185" s="1">
        <v>41516</v>
      </c>
      <c r="E185" s="10">
        <v>-8708</v>
      </c>
      <c r="F185" s="1">
        <v>41516</v>
      </c>
      <c r="G185">
        <v>-1072</v>
      </c>
      <c r="H185" s="1">
        <f t="shared" si="16"/>
        <v>41516</v>
      </c>
      <c r="I185">
        <f>IF(AND(MyRowHidden(ROW())=FALSE,MyRowHidden(ROW()-1)=TRUE),0,(E185-E184)*unitsOfDHp+I184)</f>
        <v>-304780</v>
      </c>
      <c r="J185">
        <f>IF(AND(MyRowHidden(ROW())=FALSE,MyRowHidden(ROW()-1)=TRUE),0,(G185-G184)*unitsOfExo+J184)</f>
        <v>-1644624</v>
      </c>
      <c r="K185" s="9">
        <f t="shared" si="17"/>
        <v>1644624</v>
      </c>
      <c r="L185">
        <f t="shared" si="18"/>
        <v>-1949404</v>
      </c>
      <c r="M185">
        <f t="shared" si="19"/>
        <v>7</v>
      </c>
      <c r="N185">
        <f t="shared" si="20"/>
        <v>-178263.75</v>
      </c>
      <c r="P185">
        <f t="shared" si="21"/>
        <v>-931680</v>
      </c>
      <c r="Q185">
        <f t="shared" si="22"/>
        <v>931680</v>
      </c>
      <c r="R185">
        <f t="shared" si="23"/>
        <v>-1109943.7500000005</v>
      </c>
    </row>
    <row r="186" spans="1:18" hidden="1" x14ac:dyDescent="0.25">
      <c r="A186" s="1"/>
      <c r="C186" s="1"/>
      <c r="D186" s="1">
        <v>41519</v>
      </c>
      <c r="E186" s="10">
        <v>-9133</v>
      </c>
      <c r="F186" s="1">
        <v>41519</v>
      </c>
      <c r="G186">
        <v>-909</v>
      </c>
      <c r="H186" s="1">
        <f t="shared" si="16"/>
        <v>41519</v>
      </c>
      <c r="I186">
        <f>IF(AND(MyRowHidden(ROW())=FALSE,MyRowHidden(ROW()-1)=TRUE),0,(E186-E185)*unitsOfDHp+I185)</f>
        <v>-319655</v>
      </c>
      <c r="J186">
        <f>IF(AND(MyRowHidden(ROW())=FALSE,MyRowHidden(ROW()-1)=TRUE),0,(G186-G185)*unitsOfExo+J185)</f>
        <v>-1597680</v>
      </c>
      <c r="K186" s="9">
        <f t="shared" si="17"/>
        <v>1597680</v>
      </c>
      <c r="L186">
        <f t="shared" si="18"/>
        <v>-1917335</v>
      </c>
      <c r="M186">
        <f t="shared" si="19"/>
        <v>8</v>
      </c>
      <c r="N186">
        <f t="shared" si="20"/>
        <v>-183222.08333333334</v>
      </c>
      <c r="P186">
        <f t="shared" si="21"/>
        <v>-916032</v>
      </c>
      <c r="Q186">
        <f t="shared" si="22"/>
        <v>916032</v>
      </c>
      <c r="R186">
        <f t="shared" si="23"/>
        <v>-1099254.0833333337</v>
      </c>
    </row>
    <row r="187" spans="1:18" hidden="1" x14ac:dyDescent="0.25">
      <c r="A187" s="1"/>
      <c r="C187" s="1"/>
      <c r="D187" s="1">
        <v>41520</v>
      </c>
      <c r="E187" s="10">
        <v>-7933</v>
      </c>
      <c r="F187" s="1">
        <v>41520</v>
      </c>
      <c r="G187">
        <v>-1371.5</v>
      </c>
      <c r="H187" s="1">
        <f t="shared" si="16"/>
        <v>41520</v>
      </c>
      <c r="I187">
        <f>IF(AND(MyRowHidden(ROW())=FALSE,MyRowHidden(ROW()-1)=TRUE),0,(E187-E186)*unitsOfDHp+I186)</f>
        <v>-277655</v>
      </c>
      <c r="J187">
        <f>IF(AND(MyRowHidden(ROW())=FALSE,MyRowHidden(ROW()-1)=TRUE),0,(G187-G186)*unitsOfExo+J186)</f>
        <v>-1730880</v>
      </c>
      <c r="K187" s="9">
        <f t="shared" si="17"/>
        <v>1730880</v>
      </c>
      <c r="L187">
        <f t="shared" si="18"/>
        <v>-2008535</v>
      </c>
      <c r="M187">
        <f t="shared" si="19"/>
        <v>8</v>
      </c>
      <c r="N187">
        <f t="shared" si="20"/>
        <v>-169222.08333333334</v>
      </c>
      <c r="P187">
        <f t="shared" si="21"/>
        <v>-960432</v>
      </c>
      <c r="Q187">
        <f t="shared" si="22"/>
        <v>960432</v>
      </c>
      <c r="R187">
        <f t="shared" si="23"/>
        <v>-1129654.0833333337</v>
      </c>
    </row>
    <row r="188" spans="1:18" hidden="1" x14ac:dyDescent="0.25">
      <c r="A188" s="1"/>
      <c r="C188" s="1"/>
      <c r="D188" s="1">
        <v>41521</v>
      </c>
      <c r="E188" s="10">
        <v>-7376</v>
      </c>
      <c r="F188" s="1">
        <v>41521</v>
      </c>
      <c r="G188">
        <v>-1596.5</v>
      </c>
      <c r="H188" s="1">
        <f t="shared" si="16"/>
        <v>41521</v>
      </c>
      <c r="I188">
        <f>IF(AND(MyRowHidden(ROW())=FALSE,MyRowHidden(ROW()-1)=TRUE),0,(E188-E187)*unitsOfDHp+I187)</f>
        <v>-258160</v>
      </c>
      <c r="J188">
        <f>IF(AND(MyRowHidden(ROW())=FALSE,MyRowHidden(ROW()-1)=TRUE),0,(G188-G187)*unitsOfExo+J187)</f>
        <v>-1795680</v>
      </c>
      <c r="K188" s="9">
        <f t="shared" si="17"/>
        <v>1795680</v>
      </c>
      <c r="L188">
        <f t="shared" si="18"/>
        <v>-2053840</v>
      </c>
      <c r="M188">
        <f t="shared" si="19"/>
        <v>8</v>
      </c>
      <c r="N188">
        <f t="shared" si="20"/>
        <v>-162723.75</v>
      </c>
      <c r="P188">
        <f t="shared" si="21"/>
        <v>-982032</v>
      </c>
      <c r="Q188">
        <f t="shared" si="22"/>
        <v>982032</v>
      </c>
      <c r="R188">
        <f t="shared" si="23"/>
        <v>-1144755.7500000005</v>
      </c>
    </row>
    <row r="189" spans="1:18" hidden="1" x14ac:dyDescent="0.25">
      <c r="A189" s="1"/>
      <c r="C189" s="1"/>
      <c r="D189" s="1">
        <v>41522</v>
      </c>
      <c r="E189" s="10">
        <v>-7138</v>
      </c>
      <c r="F189" s="1">
        <v>41522</v>
      </c>
      <c r="G189">
        <v>-2046.5</v>
      </c>
      <c r="H189" s="1">
        <f t="shared" si="16"/>
        <v>41522</v>
      </c>
      <c r="I189">
        <f>IF(AND(MyRowHidden(ROW())=FALSE,MyRowHidden(ROW()-1)=TRUE),0,(E189-E188)*unitsOfDHp+I188)</f>
        <v>-249830</v>
      </c>
      <c r="J189">
        <f>IF(AND(MyRowHidden(ROW())=FALSE,MyRowHidden(ROW()-1)=TRUE),0,(G189-G188)*unitsOfExo+J188)</f>
        <v>-1925280</v>
      </c>
      <c r="K189" s="9">
        <f t="shared" si="17"/>
        <v>1925280</v>
      </c>
      <c r="L189">
        <f t="shared" si="18"/>
        <v>-2175110</v>
      </c>
      <c r="M189">
        <f t="shared" si="19"/>
        <v>8</v>
      </c>
      <c r="N189">
        <f t="shared" si="20"/>
        <v>-159947.08333333334</v>
      </c>
      <c r="P189">
        <f t="shared" si="21"/>
        <v>-1025232</v>
      </c>
      <c r="Q189">
        <f t="shared" si="22"/>
        <v>1025232</v>
      </c>
      <c r="R189">
        <f t="shared" si="23"/>
        <v>-1185179.0833333337</v>
      </c>
    </row>
    <row r="190" spans="1:18" hidden="1" x14ac:dyDescent="0.25">
      <c r="A190" s="1"/>
      <c r="C190" s="1"/>
      <c r="D190" s="1">
        <v>41523</v>
      </c>
      <c r="E190" s="10">
        <v>-8100</v>
      </c>
      <c r="F190" s="1">
        <v>41523</v>
      </c>
      <c r="G190">
        <v>-1646.5</v>
      </c>
      <c r="H190" s="1">
        <f t="shared" si="16"/>
        <v>41523</v>
      </c>
      <c r="I190">
        <f>IF(AND(MyRowHidden(ROW())=FALSE,MyRowHidden(ROW()-1)=TRUE),0,(E190-E189)*unitsOfDHp+I189)</f>
        <v>-283500</v>
      </c>
      <c r="J190">
        <f>IF(AND(MyRowHidden(ROW())=FALSE,MyRowHidden(ROW()-1)=TRUE),0,(G190-G189)*unitsOfExo+J189)</f>
        <v>-1810080</v>
      </c>
      <c r="K190" s="9">
        <f t="shared" si="17"/>
        <v>1810080</v>
      </c>
      <c r="L190">
        <f t="shared" si="18"/>
        <v>-2093580</v>
      </c>
      <c r="M190">
        <f t="shared" si="19"/>
        <v>8</v>
      </c>
      <c r="N190">
        <f t="shared" si="20"/>
        <v>-171170.41666666669</v>
      </c>
      <c r="P190">
        <f t="shared" si="21"/>
        <v>-986832</v>
      </c>
      <c r="Q190">
        <f t="shared" si="22"/>
        <v>986832</v>
      </c>
      <c r="R190">
        <f t="shared" si="23"/>
        <v>-1158002.416666667</v>
      </c>
    </row>
    <row r="191" spans="1:18" hidden="1" x14ac:dyDescent="0.25">
      <c r="A191" s="1"/>
      <c r="C191" s="1"/>
      <c r="D191" s="1">
        <v>41526</v>
      </c>
      <c r="E191" s="10">
        <v>-7494</v>
      </c>
      <c r="F191" s="1">
        <v>41526</v>
      </c>
      <c r="G191">
        <v>-1834</v>
      </c>
      <c r="H191" s="1">
        <f t="shared" si="16"/>
        <v>41526</v>
      </c>
      <c r="I191">
        <f>IF(AND(MyRowHidden(ROW())=FALSE,MyRowHidden(ROW()-1)=TRUE),0,(E191-E190)*unitsOfDHp+I190)</f>
        <v>-262290</v>
      </c>
      <c r="J191">
        <f>IF(AND(MyRowHidden(ROW())=FALSE,MyRowHidden(ROW()-1)=TRUE),0,(G191-G190)*unitsOfExo+J190)</f>
        <v>-1864080</v>
      </c>
      <c r="K191" s="9">
        <f t="shared" si="17"/>
        <v>1864080</v>
      </c>
      <c r="L191">
        <f t="shared" si="18"/>
        <v>-2126370</v>
      </c>
      <c r="M191">
        <f t="shared" si="19"/>
        <v>8</v>
      </c>
      <c r="N191">
        <f t="shared" si="20"/>
        <v>-164100.41666666669</v>
      </c>
      <c r="P191">
        <f t="shared" si="21"/>
        <v>-1004832</v>
      </c>
      <c r="Q191">
        <f t="shared" si="22"/>
        <v>1004832</v>
      </c>
      <c r="R191">
        <f t="shared" si="23"/>
        <v>-1168932.416666667</v>
      </c>
    </row>
    <row r="192" spans="1:18" hidden="1" x14ac:dyDescent="0.25">
      <c r="A192" s="1"/>
      <c r="C192" s="1"/>
      <c r="D192" s="1">
        <v>41527</v>
      </c>
      <c r="E192" s="10">
        <v>-8380</v>
      </c>
      <c r="F192" s="1">
        <v>41527</v>
      </c>
      <c r="G192">
        <v>-1584</v>
      </c>
      <c r="H192" s="1">
        <f t="shared" si="16"/>
        <v>41527</v>
      </c>
      <c r="I192">
        <f>IF(AND(MyRowHidden(ROW())=FALSE,MyRowHidden(ROW()-1)=TRUE),0,(E192-E191)*unitsOfDHp+I191)</f>
        <v>-293300</v>
      </c>
      <c r="J192">
        <f>IF(AND(MyRowHidden(ROW())=FALSE,MyRowHidden(ROW()-1)=TRUE),0,(G192-G191)*unitsOfExo+J191)</f>
        <v>-1792080</v>
      </c>
      <c r="K192" s="9">
        <f t="shared" si="17"/>
        <v>1792080</v>
      </c>
      <c r="L192">
        <f t="shared" si="18"/>
        <v>-2085380</v>
      </c>
      <c r="M192">
        <f t="shared" si="19"/>
        <v>8</v>
      </c>
      <c r="N192">
        <f t="shared" si="20"/>
        <v>-174437.08333333334</v>
      </c>
      <c r="P192">
        <f t="shared" si="21"/>
        <v>-980832</v>
      </c>
      <c r="Q192">
        <f t="shared" si="22"/>
        <v>980832</v>
      </c>
      <c r="R192">
        <f t="shared" si="23"/>
        <v>-1155269.0833333337</v>
      </c>
    </row>
    <row r="193" spans="1:18" hidden="1" x14ac:dyDescent="0.25">
      <c r="A193" s="1"/>
      <c r="C193" s="1"/>
      <c r="D193" s="1">
        <v>41528</v>
      </c>
      <c r="E193" s="10">
        <v>-8527</v>
      </c>
      <c r="F193" s="1">
        <v>41528</v>
      </c>
      <c r="G193">
        <v>-1534</v>
      </c>
      <c r="H193" s="1">
        <f t="shared" si="16"/>
        <v>41528</v>
      </c>
      <c r="I193">
        <f>IF(AND(MyRowHidden(ROW())=FALSE,MyRowHidden(ROW()-1)=TRUE),0,(E193-E192)*unitsOfDHp+I192)</f>
        <v>-298445</v>
      </c>
      <c r="J193">
        <f>IF(AND(MyRowHidden(ROW())=FALSE,MyRowHidden(ROW()-1)=TRUE),0,(G193-G192)*unitsOfExo+J192)</f>
        <v>-1777680</v>
      </c>
      <c r="K193" s="9">
        <f t="shared" si="17"/>
        <v>1777680</v>
      </c>
      <c r="L193">
        <f t="shared" si="18"/>
        <v>-2076125</v>
      </c>
      <c r="M193">
        <f t="shared" si="19"/>
        <v>8</v>
      </c>
      <c r="N193">
        <f t="shared" si="20"/>
        <v>-176152.08333333334</v>
      </c>
      <c r="P193">
        <f t="shared" si="21"/>
        <v>-976032</v>
      </c>
      <c r="Q193">
        <f t="shared" si="22"/>
        <v>976032</v>
      </c>
      <c r="R193">
        <f t="shared" si="23"/>
        <v>-1152184.0833333337</v>
      </c>
    </row>
    <row r="194" spans="1:18" hidden="1" x14ac:dyDescent="0.25">
      <c r="A194" s="1"/>
      <c r="C194" s="1"/>
      <c r="D194" s="1">
        <v>41529</v>
      </c>
      <c r="E194" s="10">
        <v>-7536</v>
      </c>
      <c r="F194" s="1">
        <v>41529</v>
      </c>
      <c r="G194">
        <v>-1984</v>
      </c>
      <c r="H194" s="1">
        <f t="shared" si="16"/>
        <v>41529</v>
      </c>
      <c r="I194">
        <f>IF(AND(MyRowHidden(ROW())=FALSE,MyRowHidden(ROW()-1)=TRUE),0,(E194-E193)*unitsOfDHp+I193)</f>
        <v>-263760</v>
      </c>
      <c r="J194">
        <f>IF(AND(MyRowHidden(ROW())=FALSE,MyRowHidden(ROW()-1)=TRUE),0,(G194-G193)*unitsOfExo+J193)</f>
        <v>-1907280</v>
      </c>
      <c r="K194" s="9">
        <f t="shared" si="17"/>
        <v>1907280</v>
      </c>
      <c r="L194">
        <f t="shared" si="18"/>
        <v>-2171040</v>
      </c>
      <c r="M194">
        <f t="shared" si="19"/>
        <v>8</v>
      </c>
      <c r="N194">
        <f t="shared" si="20"/>
        <v>-164590.41666666669</v>
      </c>
      <c r="P194">
        <f t="shared" si="21"/>
        <v>-1019232</v>
      </c>
      <c r="Q194">
        <f t="shared" si="22"/>
        <v>1019232</v>
      </c>
      <c r="R194">
        <f t="shared" si="23"/>
        <v>-1183822.416666667</v>
      </c>
    </row>
    <row r="195" spans="1:18" hidden="1" x14ac:dyDescent="0.25">
      <c r="A195" s="1"/>
      <c r="C195" s="1"/>
      <c r="D195" s="1">
        <v>41530</v>
      </c>
      <c r="E195" s="10">
        <v>-6511</v>
      </c>
      <c r="F195" s="1">
        <v>41530</v>
      </c>
      <c r="G195">
        <v>-1996.5</v>
      </c>
      <c r="H195" s="1">
        <f t="shared" si="16"/>
        <v>41530</v>
      </c>
      <c r="I195">
        <f>IF(AND(MyRowHidden(ROW())=FALSE,MyRowHidden(ROW()-1)=TRUE),0,(E195-E194)*unitsOfDHp+I194)</f>
        <v>-227885</v>
      </c>
      <c r="J195">
        <f>IF(AND(MyRowHidden(ROW())=FALSE,MyRowHidden(ROW()-1)=TRUE),0,(G195-G194)*unitsOfExo+J194)</f>
        <v>-1910880</v>
      </c>
      <c r="K195" s="9">
        <f t="shared" si="17"/>
        <v>1910880</v>
      </c>
      <c r="L195">
        <f t="shared" si="18"/>
        <v>-2138765</v>
      </c>
      <c r="M195">
        <f t="shared" si="19"/>
        <v>8</v>
      </c>
      <c r="N195">
        <f t="shared" si="20"/>
        <v>-152632.08333333334</v>
      </c>
      <c r="P195">
        <f t="shared" si="21"/>
        <v>-1020432</v>
      </c>
      <c r="Q195">
        <f t="shared" si="22"/>
        <v>1020432</v>
      </c>
      <c r="R195">
        <f t="shared" si="23"/>
        <v>-1173064.0833333337</v>
      </c>
    </row>
    <row r="196" spans="1:18" hidden="1" x14ac:dyDescent="0.25">
      <c r="A196" s="1"/>
      <c r="C196" s="1"/>
      <c r="D196" s="1">
        <v>41533</v>
      </c>
      <c r="E196" s="10">
        <v>-5671</v>
      </c>
      <c r="F196" s="1">
        <v>41533</v>
      </c>
      <c r="G196">
        <v>-2184</v>
      </c>
      <c r="H196" s="1">
        <f t="shared" si="16"/>
        <v>41533</v>
      </c>
      <c r="I196">
        <f>IF(AND(MyRowHidden(ROW())=FALSE,MyRowHidden(ROW()-1)=TRUE),0,(E196-E195)*unitsOfDHp+I195)</f>
        <v>-198485</v>
      </c>
      <c r="J196">
        <f>IF(AND(MyRowHidden(ROW())=FALSE,MyRowHidden(ROW()-1)=TRUE),0,(G196-G195)*unitsOfExo+J195)</f>
        <v>-1964880</v>
      </c>
      <c r="K196" s="9">
        <f t="shared" si="17"/>
        <v>1964880</v>
      </c>
      <c r="L196">
        <f t="shared" si="18"/>
        <v>-2163365</v>
      </c>
      <c r="M196">
        <f t="shared" si="19"/>
        <v>8</v>
      </c>
      <c r="N196">
        <f t="shared" si="20"/>
        <v>-142832.08333333334</v>
      </c>
      <c r="P196">
        <f t="shared" si="21"/>
        <v>-1038432</v>
      </c>
      <c r="Q196">
        <f t="shared" si="22"/>
        <v>1038432</v>
      </c>
      <c r="R196">
        <f t="shared" si="23"/>
        <v>-1181264.0833333337</v>
      </c>
    </row>
    <row r="197" spans="1:18" hidden="1" x14ac:dyDescent="0.25">
      <c r="A197" s="1"/>
      <c r="C197" s="1"/>
      <c r="D197" s="1">
        <v>41534</v>
      </c>
      <c r="E197" s="10">
        <v>-5583</v>
      </c>
      <c r="F197" s="1">
        <v>41534</v>
      </c>
      <c r="G197">
        <v>-2221.5</v>
      </c>
      <c r="H197" s="1">
        <f t="shared" si="16"/>
        <v>41534</v>
      </c>
      <c r="I197">
        <f>IF(AND(MyRowHidden(ROW())=FALSE,MyRowHidden(ROW()-1)=TRUE),0,(E197-E196)*unitsOfDHp+I196)</f>
        <v>-195405</v>
      </c>
      <c r="J197">
        <f>IF(AND(MyRowHidden(ROW())=FALSE,MyRowHidden(ROW()-1)=TRUE),0,(G197-G196)*unitsOfExo+J196)</f>
        <v>-1975680</v>
      </c>
      <c r="K197" s="9">
        <f t="shared" si="17"/>
        <v>1975680</v>
      </c>
      <c r="L197">
        <f t="shared" si="18"/>
        <v>-2171085</v>
      </c>
      <c r="M197">
        <f t="shared" si="19"/>
        <v>8</v>
      </c>
      <c r="N197">
        <f t="shared" si="20"/>
        <v>-141805.41666666669</v>
      </c>
      <c r="P197">
        <f t="shared" si="21"/>
        <v>-1042032</v>
      </c>
      <c r="Q197">
        <f t="shared" si="22"/>
        <v>1042032</v>
      </c>
      <c r="R197">
        <f t="shared" si="23"/>
        <v>-1183837.416666667</v>
      </c>
    </row>
    <row r="198" spans="1:18" hidden="1" x14ac:dyDescent="0.25">
      <c r="A198" s="1"/>
      <c r="C198" s="1"/>
      <c r="D198" s="1">
        <v>41535</v>
      </c>
      <c r="E198" s="10">
        <v>-4820</v>
      </c>
      <c r="F198" s="1">
        <v>41535</v>
      </c>
      <c r="G198">
        <v>-2296.5</v>
      </c>
      <c r="H198" s="1">
        <f t="shared" si="16"/>
        <v>41535</v>
      </c>
      <c r="I198">
        <f>IF(AND(MyRowHidden(ROW())=FALSE,MyRowHidden(ROW()-1)=TRUE),0,(E198-E197)*unitsOfDHp+I197)</f>
        <v>-168700</v>
      </c>
      <c r="J198">
        <f>IF(AND(MyRowHidden(ROW())=FALSE,MyRowHidden(ROW()-1)=TRUE),0,(G198-G197)*unitsOfExo+J197)</f>
        <v>-1997280</v>
      </c>
      <c r="K198" s="9">
        <f t="shared" si="17"/>
        <v>1997280</v>
      </c>
      <c r="L198">
        <f t="shared" si="18"/>
        <v>-2165980</v>
      </c>
      <c r="M198">
        <f t="shared" si="19"/>
        <v>8</v>
      </c>
      <c r="N198">
        <f t="shared" si="20"/>
        <v>-132903.75000000003</v>
      </c>
      <c r="P198">
        <f t="shared" si="21"/>
        <v>-1049232</v>
      </c>
      <c r="Q198">
        <f t="shared" si="22"/>
        <v>1049232</v>
      </c>
      <c r="R198">
        <f t="shared" si="23"/>
        <v>-1182135.7500000002</v>
      </c>
    </row>
    <row r="199" spans="1:18" hidden="1" x14ac:dyDescent="0.25">
      <c r="A199" s="1"/>
      <c r="C199" s="1"/>
      <c r="D199" s="1">
        <v>41536</v>
      </c>
      <c r="E199" s="10">
        <v>-5620</v>
      </c>
      <c r="F199" s="1">
        <v>41536</v>
      </c>
      <c r="G199">
        <v>-2146.5</v>
      </c>
      <c r="H199" s="1">
        <f t="shared" si="16"/>
        <v>41536</v>
      </c>
      <c r="I199">
        <f>IF(AND(MyRowHidden(ROW())=FALSE,MyRowHidden(ROW()-1)=TRUE),0,(E199-E198)*unitsOfDHp+I198)</f>
        <v>-196700</v>
      </c>
      <c r="J199">
        <f>IF(AND(MyRowHidden(ROW())=FALSE,MyRowHidden(ROW()-1)=TRUE),0,(G199-G198)*unitsOfExo+J198)</f>
        <v>-1954080</v>
      </c>
      <c r="K199" s="9">
        <f t="shared" si="17"/>
        <v>1954080</v>
      </c>
      <c r="L199">
        <f t="shared" si="18"/>
        <v>-2150780</v>
      </c>
      <c r="M199">
        <f t="shared" si="19"/>
        <v>8</v>
      </c>
      <c r="N199">
        <f t="shared" si="20"/>
        <v>-142237.08333333337</v>
      </c>
      <c r="P199">
        <f t="shared" si="21"/>
        <v>-1034832</v>
      </c>
      <c r="Q199">
        <f t="shared" si="22"/>
        <v>1034832</v>
      </c>
      <c r="R199">
        <f t="shared" si="23"/>
        <v>-1177069.0833333335</v>
      </c>
    </row>
    <row r="200" spans="1:18" hidden="1" x14ac:dyDescent="0.25">
      <c r="A200" s="1"/>
      <c r="C200" s="1"/>
      <c r="D200" s="1">
        <v>41537</v>
      </c>
      <c r="E200" s="10">
        <v>-4020</v>
      </c>
      <c r="F200" s="1">
        <v>41537</v>
      </c>
      <c r="G200">
        <v>-2446.5</v>
      </c>
      <c r="H200" s="1">
        <f t="shared" si="16"/>
        <v>41537</v>
      </c>
      <c r="I200">
        <f>IF(AND(MyRowHidden(ROW())=FALSE,MyRowHidden(ROW()-1)=TRUE),0,(E200-E199)*unitsOfDHp+I199)</f>
        <v>-140700</v>
      </c>
      <c r="J200">
        <f>IF(AND(MyRowHidden(ROW())=FALSE,MyRowHidden(ROW()-1)=TRUE),0,(G200-G199)*unitsOfExo+J199)</f>
        <v>-2040480</v>
      </c>
      <c r="K200" s="9">
        <f t="shared" si="17"/>
        <v>2040480</v>
      </c>
      <c r="L200">
        <f t="shared" si="18"/>
        <v>-2181180</v>
      </c>
      <c r="M200">
        <f t="shared" si="19"/>
        <v>8</v>
      </c>
      <c r="N200">
        <f t="shared" si="20"/>
        <v>-123570.41666666672</v>
      </c>
      <c r="P200">
        <f t="shared" si="21"/>
        <v>-1063632</v>
      </c>
      <c r="Q200">
        <f t="shared" si="22"/>
        <v>1063632</v>
      </c>
      <c r="R200">
        <f t="shared" si="23"/>
        <v>-1187202.4166666667</v>
      </c>
    </row>
    <row r="201" spans="1:18" hidden="1" x14ac:dyDescent="0.25">
      <c r="A201" s="1"/>
      <c r="C201" s="1"/>
      <c r="D201" s="1">
        <v>41540</v>
      </c>
      <c r="E201" s="10">
        <v>-4217</v>
      </c>
      <c r="F201" s="1">
        <v>41540</v>
      </c>
      <c r="G201">
        <v>-2396.5</v>
      </c>
      <c r="H201" s="1">
        <f t="shared" si="16"/>
        <v>41540</v>
      </c>
      <c r="I201">
        <f>IF(AND(MyRowHidden(ROW())=FALSE,MyRowHidden(ROW()-1)=TRUE),0,(E201-E200)*unitsOfDHp+I200)</f>
        <v>-147595</v>
      </c>
      <c r="J201">
        <f>IF(AND(MyRowHidden(ROW())=FALSE,MyRowHidden(ROW()-1)=TRUE),0,(G201-G200)*unitsOfExo+J200)</f>
        <v>-2026080</v>
      </c>
      <c r="K201" s="9">
        <f t="shared" si="17"/>
        <v>2026080</v>
      </c>
      <c r="L201">
        <f t="shared" si="18"/>
        <v>-2173675</v>
      </c>
      <c r="M201">
        <f t="shared" si="19"/>
        <v>8</v>
      </c>
      <c r="N201">
        <f t="shared" si="20"/>
        <v>-125868.75000000004</v>
      </c>
      <c r="P201">
        <f t="shared" si="21"/>
        <v>-1058832</v>
      </c>
      <c r="Q201">
        <f t="shared" si="22"/>
        <v>1058832</v>
      </c>
      <c r="R201">
        <f t="shared" si="23"/>
        <v>-1184700.75</v>
      </c>
    </row>
    <row r="202" spans="1:18" hidden="1" x14ac:dyDescent="0.25">
      <c r="A202" s="1"/>
      <c r="C202" s="1"/>
      <c r="D202" s="1">
        <v>41541</v>
      </c>
      <c r="E202" s="10">
        <v>-3267</v>
      </c>
      <c r="F202" s="1">
        <v>41541</v>
      </c>
      <c r="G202">
        <v>-2584</v>
      </c>
      <c r="H202" s="1">
        <f t="shared" si="16"/>
        <v>41541</v>
      </c>
      <c r="I202">
        <f>IF(AND(MyRowHidden(ROW())=FALSE,MyRowHidden(ROW()-1)=TRUE),0,(E202-E201)*unitsOfDHp+I201)</f>
        <v>-114345</v>
      </c>
      <c r="J202">
        <f>IF(AND(MyRowHidden(ROW())=FALSE,MyRowHidden(ROW()-1)=TRUE),0,(G202-G201)*unitsOfExo+J201)</f>
        <v>-2080080</v>
      </c>
      <c r="K202" s="9">
        <f t="shared" si="17"/>
        <v>2080080</v>
      </c>
      <c r="L202">
        <f t="shared" si="18"/>
        <v>-2194425</v>
      </c>
      <c r="M202">
        <f t="shared" si="19"/>
        <v>8</v>
      </c>
      <c r="N202">
        <f t="shared" si="20"/>
        <v>-114785.41666666672</v>
      </c>
      <c r="P202">
        <f t="shared" si="21"/>
        <v>-1076832</v>
      </c>
      <c r="Q202">
        <f t="shared" si="22"/>
        <v>1076832</v>
      </c>
      <c r="R202">
        <f t="shared" si="23"/>
        <v>-1191617.4166666667</v>
      </c>
    </row>
    <row r="203" spans="1:18" hidden="1" x14ac:dyDescent="0.25">
      <c r="A203" s="1"/>
      <c r="C203" s="1"/>
      <c r="D203" s="1">
        <v>41542</v>
      </c>
      <c r="E203" s="10">
        <v>-4615</v>
      </c>
      <c r="F203" s="1">
        <v>41542</v>
      </c>
      <c r="G203">
        <v>-2184</v>
      </c>
      <c r="H203" s="1">
        <f t="shared" si="16"/>
        <v>41542</v>
      </c>
      <c r="I203">
        <f>IF(AND(MyRowHidden(ROW())=FALSE,MyRowHidden(ROW()-1)=TRUE),0,(E203-E202)*unitsOfDHp+I202)</f>
        <v>-161525</v>
      </c>
      <c r="J203">
        <f>IF(AND(MyRowHidden(ROW())=FALSE,MyRowHidden(ROW()-1)=TRUE),0,(G203-G202)*unitsOfExo+J202)</f>
        <v>-1964880</v>
      </c>
      <c r="K203" s="9">
        <f t="shared" si="17"/>
        <v>1964880</v>
      </c>
      <c r="L203">
        <f t="shared" si="18"/>
        <v>-2126405</v>
      </c>
      <c r="M203">
        <f t="shared" si="19"/>
        <v>8</v>
      </c>
      <c r="N203">
        <f t="shared" si="20"/>
        <v>-130512.08333333339</v>
      </c>
      <c r="P203">
        <f t="shared" si="21"/>
        <v>-1038432</v>
      </c>
      <c r="Q203">
        <f t="shared" si="22"/>
        <v>1038432</v>
      </c>
      <c r="R203">
        <f t="shared" si="23"/>
        <v>-1168944.0833333335</v>
      </c>
    </row>
    <row r="204" spans="1:18" hidden="1" x14ac:dyDescent="0.25">
      <c r="A204" s="1"/>
      <c r="C204" s="1"/>
      <c r="D204" s="1">
        <v>41543</v>
      </c>
      <c r="E204" s="10">
        <v>-4814</v>
      </c>
      <c r="F204" s="1">
        <v>41543</v>
      </c>
      <c r="G204">
        <v>-2246.5</v>
      </c>
      <c r="H204" s="1">
        <f t="shared" si="16"/>
        <v>41543</v>
      </c>
      <c r="I204">
        <f>IF(AND(MyRowHidden(ROW())=FALSE,MyRowHidden(ROW()-1)=TRUE),0,(E204-E203)*unitsOfDHp+I203)</f>
        <v>-168490</v>
      </c>
      <c r="J204">
        <f>IF(AND(MyRowHidden(ROW())=FALSE,MyRowHidden(ROW()-1)=TRUE),0,(G204-G203)*unitsOfExo+J203)</f>
        <v>-1982880</v>
      </c>
      <c r="K204" s="9">
        <f t="shared" si="17"/>
        <v>1982880</v>
      </c>
      <c r="L204">
        <f t="shared" si="18"/>
        <v>-2151370</v>
      </c>
      <c r="M204">
        <f t="shared" si="19"/>
        <v>8</v>
      </c>
      <c r="N204">
        <f t="shared" si="20"/>
        <v>-132833.75000000006</v>
      </c>
      <c r="P204">
        <f t="shared" si="21"/>
        <v>-1044432</v>
      </c>
      <c r="Q204">
        <f t="shared" si="22"/>
        <v>1044432</v>
      </c>
      <c r="R204">
        <f t="shared" si="23"/>
        <v>-1177265.7500000002</v>
      </c>
    </row>
    <row r="205" spans="1:18" hidden="1" x14ac:dyDescent="0.25">
      <c r="A205" s="1"/>
      <c r="C205" s="1"/>
      <c r="D205" s="1">
        <v>41544</v>
      </c>
      <c r="E205" s="10">
        <v>-4325</v>
      </c>
      <c r="F205" s="1">
        <v>41544</v>
      </c>
      <c r="G205">
        <v>-2284</v>
      </c>
      <c r="H205" s="1">
        <f t="shared" ref="H205:H268" si="24">D205</f>
        <v>41544</v>
      </c>
      <c r="I205">
        <f>IF(AND(MyRowHidden(ROW())=FALSE,MyRowHidden(ROW()-1)=TRUE),0,(E205-E204)*unitsOfDHp+I204)</f>
        <v>-151375</v>
      </c>
      <c r="J205">
        <f>IF(AND(MyRowHidden(ROW())=FALSE,MyRowHidden(ROW()-1)=TRUE),0,(G205-G204)*unitsOfExo+J204)</f>
        <v>-1993680</v>
      </c>
      <c r="K205" s="9">
        <f t="shared" ref="K205:K268" si="25">-(J205-J204)+K204</f>
        <v>1993680</v>
      </c>
      <c r="L205">
        <f t="shared" ref="L205:L268" si="26">I205+J205</f>
        <v>-2145055</v>
      </c>
      <c r="M205">
        <f t="shared" ref="M205:M268" si="27">IF(MONTH(H205)&lt;&gt;MONTH(H204),M204+1,M204)</f>
        <v>8</v>
      </c>
      <c r="N205">
        <f t="shared" ref="N205:N268" si="28">IF(M205&lt;totalMonths,(totalMonths-M205)/totalMonths *(I205-I204)+N204,0)</f>
        <v>-127128.75000000006</v>
      </c>
      <c r="P205">
        <f t="shared" ref="P205:P272" si="29">IF(M205&lt;totalMonths,(totalMonths-M205)/totalMonths *(J205-J204)+P204,0)</f>
        <v>-1048032</v>
      </c>
      <c r="Q205">
        <f t="shared" ref="Q205:Q272" si="30">IF(M205&lt;totalMonths,(totalMonths-M205)/totalMonths *(K205-K204)+Q204,0)</f>
        <v>1048032</v>
      </c>
      <c r="R205">
        <f t="shared" ref="R205:R272" si="31">IF(M205&lt;totalMonths,(totalMonths-M205)/totalMonths *(L205-L204)+R204,0)</f>
        <v>-1175160.7500000002</v>
      </c>
    </row>
    <row r="206" spans="1:18" hidden="1" x14ac:dyDescent="0.25">
      <c r="A206" s="1"/>
      <c r="C206" s="1"/>
      <c r="D206" s="1">
        <v>41547</v>
      </c>
      <c r="E206" s="10">
        <v>-2025</v>
      </c>
      <c r="F206" s="1">
        <v>41547</v>
      </c>
      <c r="G206">
        <v>-2771.5</v>
      </c>
      <c r="H206" s="1">
        <f t="shared" si="24"/>
        <v>41547</v>
      </c>
      <c r="I206">
        <f>IF(AND(MyRowHidden(ROW())=FALSE,MyRowHidden(ROW()-1)=TRUE),0,(E206-E205)*unitsOfDHp+I205)</f>
        <v>-70875</v>
      </c>
      <c r="J206">
        <f>IF(AND(MyRowHidden(ROW())=FALSE,MyRowHidden(ROW()-1)=TRUE),0,(G206-G205)*unitsOfExo+J205)</f>
        <v>-2134080</v>
      </c>
      <c r="K206" s="9">
        <f t="shared" si="25"/>
        <v>2134080</v>
      </c>
      <c r="L206">
        <f t="shared" si="26"/>
        <v>-2204955</v>
      </c>
      <c r="M206">
        <f t="shared" si="27"/>
        <v>8</v>
      </c>
      <c r="N206">
        <f t="shared" si="28"/>
        <v>-100295.41666666673</v>
      </c>
      <c r="P206">
        <f t="shared" si="29"/>
        <v>-1094832</v>
      </c>
      <c r="Q206">
        <f t="shared" si="30"/>
        <v>1094832</v>
      </c>
      <c r="R206">
        <f t="shared" si="31"/>
        <v>-1195127.416666667</v>
      </c>
    </row>
    <row r="207" spans="1:18" hidden="1" x14ac:dyDescent="0.25">
      <c r="A207" s="1"/>
      <c r="C207" s="1"/>
      <c r="D207" s="1">
        <v>41548</v>
      </c>
      <c r="E207" s="10">
        <v>-938</v>
      </c>
      <c r="F207" s="1">
        <v>41548</v>
      </c>
      <c r="G207">
        <v>-3134</v>
      </c>
      <c r="H207" s="1">
        <f t="shared" si="24"/>
        <v>41548</v>
      </c>
      <c r="I207">
        <f>IF(AND(MyRowHidden(ROW())=FALSE,MyRowHidden(ROW()-1)=TRUE),0,(E207-E206)*unitsOfDHp+I206)</f>
        <v>-32830</v>
      </c>
      <c r="J207">
        <f>IF(AND(MyRowHidden(ROW())=FALSE,MyRowHidden(ROW()-1)=TRUE),0,(G207-G206)*unitsOfExo+J206)</f>
        <v>-2238480</v>
      </c>
      <c r="K207" s="9">
        <f t="shared" si="25"/>
        <v>2238480</v>
      </c>
      <c r="L207">
        <f t="shared" si="26"/>
        <v>-2271310</v>
      </c>
      <c r="M207">
        <f t="shared" si="27"/>
        <v>9</v>
      </c>
      <c r="N207">
        <f t="shared" si="28"/>
        <v>-90784.16666666673</v>
      </c>
      <c r="P207">
        <f t="shared" si="29"/>
        <v>-1120932</v>
      </c>
      <c r="Q207">
        <f t="shared" si="30"/>
        <v>1120932</v>
      </c>
      <c r="R207">
        <f t="shared" si="31"/>
        <v>-1211716.166666667</v>
      </c>
    </row>
    <row r="208" spans="1:18" hidden="1" x14ac:dyDescent="0.25">
      <c r="A208" s="1"/>
      <c r="C208" s="1"/>
      <c r="D208" s="1">
        <v>41549</v>
      </c>
      <c r="E208" s="10">
        <v>-994</v>
      </c>
      <c r="F208" s="1">
        <v>41549</v>
      </c>
      <c r="G208">
        <v>-3034</v>
      </c>
      <c r="H208" s="1">
        <f t="shared" si="24"/>
        <v>41549</v>
      </c>
      <c r="I208">
        <f>IF(AND(MyRowHidden(ROW())=FALSE,MyRowHidden(ROW()-1)=TRUE),0,(E208-E207)*unitsOfDHp+I207)</f>
        <v>-34790</v>
      </c>
      <c r="J208">
        <f>IF(AND(MyRowHidden(ROW())=FALSE,MyRowHidden(ROW()-1)=TRUE),0,(G208-G207)*unitsOfExo+J207)</f>
        <v>-2209680</v>
      </c>
      <c r="K208" s="9">
        <f t="shared" si="25"/>
        <v>2209680</v>
      </c>
      <c r="L208">
        <f t="shared" si="26"/>
        <v>-2244470</v>
      </c>
      <c r="M208">
        <f t="shared" si="27"/>
        <v>9</v>
      </c>
      <c r="N208">
        <f t="shared" si="28"/>
        <v>-91274.16666666673</v>
      </c>
      <c r="P208">
        <f t="shared" si="29"/>
        <v>-1113732</v>
      </c>
      <c r="Q208">
        <f t="shared" si="30"/>
        <v>1113732</v>
      </c>
      <c r="R208">
        <f t="shared" si="31"/>
        <v>-1205006.166666667</v>
      </c>
    </row>
    <row r="209" spans="1:18" hidden="1" x14ac:dyDescent="0.25">
      <c r="A209" s="1"/>
      <c r="C209" s="1"/>
      <c r="D209" s="1">
        <v>41550</v>
      </c>
      <c r="E209" s="10">
        <v>-832</v>
      </c>
      <c r="F209" s="1">
        <v>41550</v>
      </c>
      <c r="G209">
        <v>-2934</v>
      </c>
      <c r="H209" s="1">
        <f t="shared" si="24"/>
        <v>41550</v>
      </c>
      <c r="I209">
        <f>IF(AND(MyRowHidden(ROW())=FALSE,MyRowHidden(ROW()-1)=TRUE),0,(E209-E208)*unitsOfDHp+I208)</f>
        <v>-29120</v>
      </c>
      <c r="J209">
        <f>IF(AND(MyRowHidden(ROW())=FALSE,MyRowHidden(ROW()-1)=TRUE),0,(G209-G208)*unitsOfExo+J208)</f>
        <v>-2180880</v>
      </c>
      <c r="K209" s="9">
        <f t="shared" si="25"/>
        <v>2180880</v>
      </c>
      <c r="L209">
        <f t="shared" si="26"/>
        <v>-2210000</v>
      </c>
      <c r="M209">
        <f t="shared" si="27"/>
        <v>9</v>
      </c>
      <c r="N209">
        <f t="shared" si="28"/>
        <v>-89856.66666666673</v>
      </c>
      <c r="P209">
        <f t="shared" si="29"/>
        <v>-1106532</v>
      </c>
      <c r="Q209">
        <f t="shared" si="30"/>
        <v>1106532</v>
      </c>
      <c r="R209">
        <f t="shared" si="31"/>
        <v>-1196388.666666667</v>
      </c>
    </row>
    <row r="210" spans="1:18" hidden="1" x14ac:dyDescent="0.25">
      <c r="A210" s="1"/>
      <c r="C210" s="1"/>
      <c r="D210" s="1">
        <v>41551</v>
      </c>
      <c r="E210" s="10">
        <v>-744</v>
      </c>
      <c r="F210" s="1">
        <v>41551</v>
      </c>
      <c r="G210">
        <v>-2821.5</v>
      </c>
      <c r="H210" s="1">
        <f t="shared" si="24"/>
        <v>41551</v>
      </c>
      <c r="I210">
        <f>IF(AND(MyRowHidden(ROW())=FALSE,MyRowHidden(ROW()-1)=TRUE),0,(E210-E209)*unitsOfDHp+I209)</f>
        <v>-26040</v>
      </c>
      <c r="J210">
        <f>IF(AND(MyRowHidden(ROW())=FALSE,MyRowHidden(ROW()-1)=TRUE),0,(G210-G209)*unitsOfExo+J209)</f>
        <v>-2148480</v>
      </c>
      <c r="K210" s="9">
        <f t="shared" si="25"/>
        <v>2148480</v>
      </c>
      <c r="L210">
        <f t="shared" si="26"/>
        <v>-2174520</v>
      </c>
      <c r="M210">
        <f t="shared" si="27"/>
        <v>9</v>
      </c>
      <c r="N210">
        <f t="shared" si="28"/>
        <v>-89086.66666666673</v>
      </c>
      <c r="P210">
        <f t="shared" si="29"/>
        <v>-1098432</v>
      </c>
      <c r="Q210">
        <f t="shared" si="30"/>
        <v>1098432</v>
      </c>
      <c r="R210">
        <f t="shared" si="31"/>
        <v>-1187518.666666667</v>
      </c>
    </row>
    <row r="211" spans="1:18" hidden="1" x14ac:dyDescent="0.25">
      <c r="A211" s="1"/>
      <c r="C211" s="1"/>
      <c r="D211" s="1">
        <v>41554</v>
      </c>
      <c r="E211" s="10">
        <v>-1206</v>
      </c>
      <c r="F211" s="1">
        <v>41554</v>
      </c>
      <c r="G211">
        <v>-2609</v>
      </c>
      <c r="H211" s="1">
        <f t="shared" si="24"/>
        <v>41554</v>
      </c>
      <c r="I211">
        <f>IF(AND(MyRowHidden(ROW())=FALSE,MyRowHidden(ROW()-1)=TRUE),0,(E211-E210)*unitsOfDHp+I210)</f>
        <v>-42210</v>
      </c>
      <c r="J211">
        <f>IF(AND(MyRowHidden(ROW())=FALSE,MyRowHidden(ROW()-1)=TRUE),0,(G211-G210)*unitsOfExo+J210)</f>
        <v>-2087280</v>
      </c>
      <c r="K211" s="9">
        <f t="shared" si="25"/>
        <v>2087280</v>
      </c>
      <c r="L211">
        <f t="shared" si="26"/>
        <v>-2129490</v>
      </c>
      <c r="M211">
        <f t="shared" si="27"/>
        <v>9</v>
      </c>
      <c r="N211">
        <f t="shared" si="28"/>
        <v>-93129.16666666673</v>
      </c>
      <c r="P211">
        <f t="shared" si="29"/>
        <v>-1083132</v>
      </c>
      <c r="Q211">
        <f t="shared" si="30"/>
        <v>1083132</v>
      </c>
      <c r="R211">
        <f t="shared" si="31"/>
        <v>-1176261.166666667</v>
      </c>
    </row>
    <row r="212" spans="1:18" hidden="1" x14ac:dyDescent="0.25">
      <c r="A212" s="1"/>
      <c r="C212" s="1"/>
      <c r="D212" s="1">
        <v>41555</v>
      </c>
      <c r="E212" s="10">
        <v>-806</v>
      </c>
      <c r="F212" s="1">
        <v>41555</v>
      </c>
      <c r="G212">
        <v>-2921.5</v>
      </c>
      <c r="H212" s="1">
        <f t="shared" si="24"/>
        <v>41555</v>
      </c>
      <c r="I212">
        <f>IF(AND(MyRowHidden(ROW())=FALSE,MyRowHidden(ROW()-1)=TRUE),0,(E212-E211)*unitsOfDHp+I211)</f>
        <v>-28210</v>
      </c>
      <c r="J212">
        <f>IF(AND(MyRowHidden(ROW())=FALSE,MyRowHidden(ROW()-1)=TRUE),0,(G212-G211)*unitsOfExo+J211)</f>
        <v>-2177280</v>
      </c>
      <c r="K212" s="9">
        <f t="shared" si="25"/>
        <v>2177280</v>
      </c>
      <c r="L212">
        <f t="shared" si="26"/>
        <v>-2205490</v>
      </c>
      <c r="M212">
        <f t="shared" si="27"/>
        <v>9</v>
      </c>
      <c r="N212">
        <f t="shared" si="28"/>
        <v>-89629.16666666673</v>
      </c>
      <c r="P212">
        <f t="shared" si="29"/>
        <v>-1105632</v>
      </c>
      <c r="Q212">
        <f t="shared" si="30"/>
        <v>1105632</v>
      </c>
      <c r="R212">
        <f t="shared" si="31"/>
        <v>-1195261.166666667</v>
      </c>
    </row>
    <row r="213" spans="1:18" hidden="1" x14ac:dyDescent="0.25">
      <c r="A213" s="1"/>
      <c r="C213" s="1"/>
      <c r="D213" s="1">
        <v>41556</v>
      </c>
      <c r="E213" s="10">
        <v>-781</v>
      </c>
      <c r="F213" s="1">
        <v>41556</v>
      </c>
      <c r="G213">
        <v>-2821.5</v>
      </c>
      <c r="H213" s="1">
        <f t="shared" si="24"/>
        <v>41556</v>
      </c>
      <c r="I213">
        <f>IF(AND(MyRowHidden(ROW())=FALSE,MyRowHidden(ROW()-1)=TRUE),0,(E213-E212)*unitsOfDHp+I212)</f>
        <v>-27335</v>
      </c>
      <c r="J213">
        <f>IF(AND(MyRowHidden(ROW())=FALSE,MyRowHidden(ROW()-1)=TRUE),0,(G213-G212)*unitsOfExo+J212)</f>
        <v>-2148480</v>
      </c>
      <c r="K213" s="9">
        <f t="shared" si="25"/>
        <v>2148480</v>
      </c>
      <c r="L213">
        <f t="shared" si="26"/>
        <v>-2175815</v>
      </c>
      <c r="M213">
        <f t="shared" si="27"/>
        <v>9</v>
      </c>
      <c r="N213">
        <f t="shared" si="28"/>
        <v>-89410.41666666673</v>
      </c>
      <c r="P213">
        <f t="shared" si="29"/>
        <v>-1098432</v>
      </c>
      <c r="Q213">
        <f t="shared" si="30"/>
        <v>1098432</v>
      </c>
      <c r="R213">
        <f t="shared" si="31"/>
        <v>-1187842.416666667</v>
      </c>
    </row>
    <row r="214" spans="1:18" hidden="1" x14ac:dyDescent="0.25">
      <c r="A214" s="1"/>
      <c r="C214" s="1"/>
      <c r="D214" s="1">
        <v>41557</v>
      </c>
      <c r="E214" s="10">
        <v>-518</v>
      </c>
      <c r="F214" s="1">
        <v>41557</v>
      </c>
      <c r="G214">
        <v>-3109</v>
      </c>
      <c r="H214" s="1">
        <f t="shared" si="24"/>
        <v>41557</v>
      </c>
      <c r="I214">
        <f>IF(AND(MyRowHidden(ROW())=FALSE,MyRowHidden(ROW()-1)=TRUE),0,(E214-E213)*unitsOfDHp+I213)</f>
        <v>-18130</v>
      </c>
      <c r="J214">
        <f>IF(AND(MyRowHidden(ROW())=FALSE,MyRowHidden(ROW()-1)=TRUE),0,(G214-G213)*unitsOfExo+J213)</f>
        <v>-2231280</v>
      </c>
      <c r="K214" s="9">
        <f t="shared" si="25"/>
        <v>2231280</v>
      </c>
      <c r="L214">
        <f t="shared" si="26"/>
        <v>-2249410</v>
      </c>
      <c r="M214">
        <f t="shared" si="27"/>
        <v>9</v>
      </c>
      <c r="N214">
        <f t="shared" si="28"/>
        <v>-87109.16666666673</v>
      </c>
      <c r="P214">
        <f t="shared" si="29"/>
        <v>-1119132</v>
      </c>
      <c r="Q214">
        <f t="shared" si="30"/>
        <v>1119132</v>
      </c>
      <c r="R214">
        <f t="shared" si="31"/>
        <v>-1206241.166666667</v>
      </c>
    </row>
    <row r="215" spans="1:18" hidden="1" x14ac:dyDescent="0.25">
      <c r="A215" s="1"/>
      <c r="C215" s="1"/>
      <c r="D215" s="1">
        <v>41558</v>
      </c>
      <c r="E215" s="10">
        <v>-480</v>
      </c>
      <c r="F215" s="1">
        <v>41558</v>
      </c>
      <c r="G215">
        <v>-3284</v>
      </c>
      <c r="H215" s="1">
        <f t="shared" si="24"/>
        <v>41558</v>
      </c>
      <c r="I215">
        <f>IF(AND(MyRowHidden(ROW())=FALSE,MyRowHidden(ROW()-1)=TRUE),0,(E215-E214)*unitsOfDHp+I214)</f>
        <v>-16800</v>
      </c>
      <c r="J215">
        <f>IF(AND(MyRowHidden(ROW())=FALSE,MyRowHidden(ROW()-1)=TRUE),0,(G215-G214)*unitsOfExo+J214)</f>
        <v>-2281680</v>
      </c>
      <c r="K215" s="9">
        <f t="shared" si="25"/>
        <v>2281680</v>
      </c>
      <c r="L215">
        <f t="shared" si="26"/>
        <v>-2298480</v>
      </c>
      <c r="M215">
        <f t="shared" si="27"/>
        <v>9</v>
      </c>
      <c r="N215">
        <f t="shared" si="28"/>
        <v>-86776.66666666673</v>
      </c>
      <c r="P215">
        <f t="shared" si="29"/>
        <v>-1131732</v>
      </c>
      <c r="Q215">
        <f t="shared" si="30"/>
        <v>1131732</v>
      </c>
      <c r="R215">
        <f t="shared" si="31"/>
        <v>-1218508.666666667</v>
      </c>
    </row>
    <row r="216" spans="1:18" hidden="1" x14ac:dyDescent="0.25">
      <c r="A216" s="1"/>
      <c r="C216" s="1"/>
      <c r="D216" s="1">
        <v>41561</v>
      </c>
      <c r="E216" s="10">
        <v>-492</v>
      </c>
      <c r="F216" s="1">
        <v>41561</v>
      </c>
      <c r="G216">
        <v>-3196.5</v>
      </c>
      <c r="H216" s="1">
        <f t="shared" si="24"/>
        <v>41561</v>
      </c>
      <c r="I216">
        <f>IF(AND(MyRowHidden(ROW())=FALSE,MyRowHidden(ROW()-1)=TRUE),0,(E216-E215)*unitsOfDHp+I215)</f>
        <v>-17220</v>
      </c>
      <c r="J216">
        <f>IF(AND(MyRowHidden(ROW())=FALSE,MyRowHidden(ROW()-1)=TRUE),0,(G216-G215)*unitsOfExo+J215)</f>
        <v>-2256480</v>
      </c>
      <c r="K216" s="9">
        <f t="shared" si="25"/>
        <v>2256480</v>
      </c>
      <c r="L216">
        <f t="shared" si="26"/>
        <v>-2273700</v>
      </c>
      <c r="M216">
        <f t="shared" si="27"/>
        <v>9</v>
      </c>
      <c r="N216">
        <f t="shared" si="28"/>
        <v>-86881.66666666673</v>
      </c>
      <c r="P216">
        <f t="shared" si="29"/>
        <v>-1125432</v>
      </c>
      <c r="Q216">
        <f t="shared" si="30"/>
        <v>1125432</v>
      </c>
      <c r="R216">
        <f t="shared" si="31"/>
        <v>-1212313.666666667</v>
      </c>
    </row>
    <row r="217" spans="1:18" hidden="1" x14ac:dyDescent="0.25">
      <c r="A217" s="1"/>
      <c r="C217" s="1"/>
      <c r="D217" s="1">
        <v>41562</v>
      </c>
      <c r="E217" s="10">
        <v>-742</v>
      </c>
      <c r="F217" s="1">
        <v>41562</v>
      </c>
      <c r="G217">
        <v>-2859</v>
      </c>
      <c r="H217" s="1">
        <f t="shared" si="24"/>
        <v>41562</v>
      </c>
      <c r="I217">
        <f>IF(AND(MyRowHidden(ROW())=FALSE,MyRowHidden(ROW()-1)=TRUE),0,(E217-E216)*unitsOfDHp+I216)</f>
        <v>-25970</v>
      </c>
      <c r="J217">
        <f>IF(AND(MyRowHidden(ROW())=FALSE,MyRowHidden(ROW()-1)=TRUE),0,(G217-G216)*unitsOfExo+J216)</f>
        <v>-2159280</v>
      </c>
      <c r="K217" s="9">
        <f t="shared" si="25"/>
        <v>2159280</v>
      </c>
      <c r="L217">
        <f t="shared" si="26"/>
        <v>-2185250</v>
      </c>
      <c r="M217">
        <f t="shared" si="27"/>
        <v>9</v>
      </c>
      <c r="N217">
        <f t="shared" si="28"/>
        <v>-89069.16666666673</v>
      </c>
      <c r="P217">
        <f t="shared" si="29"/>
        <v>-1101132</v>
      </c>
      <c r="Q217">
        <f t="shared" si="30"/>
        <v>1101132</v>
      </c>
      <c r="R217">
        <f t="shared" si="31"/>
        <v>-1190201.166666667</v>
      </c>
    </row>
    <row r="218" spans="1:18" hidden="1" x14ac:dyDescent="0.25">
      <c r="A218" s="1"/>
      <c r="C218" s="1"/>
      <c r="D218" s="1">
        <v>41563</v>
      </c>
      <c r="E218" s="10">
        <v>-667</v>
      </c>
      <c r="F218" s="1">
        <v>41563</v>
      </c>
      <c r="G218">
        <v>-2884</v>
      </c>
      <c r="H218" s="1">
        <f t="shared" si="24"/>
        <v>41563</v>
      </c>
      <c r="I218">
        <f>IF(AND(MyRowHidden(ROW())=FALSE,MyRowHidden(ROW()-1)=TRUE),0,(E218-E217)*unitsOfDHp+I217)</f>
        <v>-23345</v>
      </c>
      <c r="J218">
        <f>IF(AND(MyRowHidden(ROW())=FALSE,MyRowHidden(ROW()-1)=TRUE),0,(G218-G217)*unitsOfExo+J217)</f>
        <v>-2166480</v>
      </c>
      <c r="K218" s="9">
        <f t="shared" si="25"/>
        <v>2166480</v>
      </c>
      <c r="L218">
        <f t="shared" si="26"/>
        <v>-2189825</v>
      </c>
      <c r="M218">
        <f t="shared" si="27"/>
        <v>9</v>
      </c>
      <c r="N218">
        <f t="shared" si="28"/>
        <v>-88412.91666666673</v>
      </c>
      <c r="P218">
        <f t="shared" si="29"/>
        <v>-1102932</v>
      </c>
      <c r="Q218">
        <f t="shared" si="30"/>
        <v>1102932</v>
      </c>
      <c r="R218">
        <f t="shared" si="31"/>
        <v>-1191344.916666667</v>
      </c>
    </row>
    <row r="219" spans="1:18" hidden="1" x14ac:dyDescent="0.25">
      <c r="A219" s="1"/>
      <c r="C219" s="1"/>
      <c r="D219" s="1">
        <v>41564</v>
      </c>
      <c r="E219" s="10">
        <v>-654</v>
      </c>
      <c r="F219" s="1">
        <v>41564</v>
      </c>
      <c r="G219">
        <v>-2884</v>
      </c>
      <c r="H219" s="1">
        <f t="shared" si="24"/>
        <v>41564</v>
      </c>
      <c r="I219">
        <f>IF(AND(MyRowHidden(ROW())=FALSE,MyRowHidden(ROW()-1)=TRUE),0,(E219-E218)*unitsOfDHp+I218)</f>
        <v>-22890</v>
      </c>
      <c r="J219">
        <f>IF(AND(MyRowHidden(ROW())=FALSE,MyRowHidden(ROW()-1)=TRUE),0,(G219-G218)*unitsOfExo+J218)</f>
        <v>-2166480</v>
      </c>
      <c r="K219" s="9">
        <f t="shared" si="25"/>
        <v>2166480</v>
      </c>
      <c r="L219">
        <f t="shared" si="26"/>
        <v>-2189370</v>
      </c>
      <c r="M219">
        <f t="shared" si="27"/>
        <v>9</v>
      </c>
      <c r="N219">
        <f t="shared" si="28"/>
        <v>-88299.16666666673</v>
      </c>
      <c r="P219">
        <f t="shared" si="29"/>
        <v>-1102932</v>
      </c>
      <c r="Q219">
        <f t="shared" si="30"/>
        <v>1102932</v>
      </c>
      <c r="R219">
        <f t="shared" si="31"/>
        <v>-1191231.166666667</v>
      </c>
    </row>
    <row r="220" spans="1:18" hidden="1" x14ac:dyDescent="0.25">
      <c r="A220" s="1"/>
      <c r="C220" s="1"/>
      <c r="D220" s="1">
        <v>41565</v>
      </c>
      <c r="E220" s="10">
        <v>-716</v>
      </c>
      <c r="F220" s="1">
        <v>41565</v>
      </c>
      <c r="G220">
        <v>-2846.5</v>
      </c>
      <c r="H220" s="1">
        <f t="shared" si="24"/>
        <v>41565</v>
      </c>
      <c r="I220">
        <f>IF(AND(MyRowHidden(ROW())=FALSE,MyRowHidden(ROW()-1)=TRUE),0,(E220-E219)*unitsOfDHp+I219)</f>
        <v>-25060</v>
      </c>
      <c r="J220">
        <f>IF(AND(MyRowHidden(ROW())=FALSE,MyRowHidden(ROW()-1)=TRUE),0,(G220-G219)*unitsOfExo+J219)</f>
        <v>-2155680</v>
      </c>
      <c r="K220" s="9">
        <f t="shared" si="25"/>
        <v>2155680</v>
      </c>
      <c r="L220">
        <f t="shared" si="26"/>
        <v>-2180740</v>
      </c>
      <c r="M220">
        <f t="shared" si="27"/>
        <v>9</v>
      </c>
      <c r="N220">
        <f t="shared" si="28"/>
        <v>-88841.66666666673</v>
      </c>
      <c r="P220">
        <f t="shared" si="29"/>
        <v>-1100232</v>
      </c>
      <c r="Q220">
        <f t="shared" si="30"/>
        <v>1100232</v>
      </c>
      <c r="R220">
        <f t="shared" si="31"/>
        <v>-1189073.666666667</v>
      </c>
    </row>
    <row r="221" spans="1:18" hidden="1" x14ac:dyDescent="0.25">
      <c r="A221" s="1"/>
      <c r="C221" s="1"/>
      <c r="D221" s="1">
        <v>41568</v>
      </c>
      <c r="E221" s="10">
        <v>-591</v>
      </c>
      <c r="F221" s="1">
        <v>41568</v>
      </c>
      <c r="G221">
        <v>-2834</v>
      </c>
      <c r="H221" s="1">
        <f t="shared" si="24"/>
        <v>41568</v>
      </c>
      <c r="I221">
        <f>IF(AND(MyRowHidden(ROW())=FALSE,MyRowHidden(ROW()-1)=TRUE),0,(E221-E220)*unitsOfDHp+I220)</f>
        <v>-20685</v>
      </c>
      <c r="J221">
        <f>IF(AND(MyRowHidden(ROW())=FALSE,MyRowHidden(ROW()-1)=TRUE),0,(G221-G220)*unitsOfExo+J220)</f>
        <v>-2152080</v>
      </c>
      <c r="K221" s="9">
        <f t="shared" si="25"/>
        <v>2152080</v>
      </c>
      <c r="L221">
        <f t="shared" si="26"/>
        <v>-2172765</v>
      </c>
      <c r="M221">
        <f t="shared" si="27"/>
        <v>9</v>
      </c>
      <c r="N221">
        <f t="shared" si="28"/>
        <v>-87747.91666666673</v>
      </c>
      <c r="P221">
        <f t="shared" si="29"/>
        <v>-1099332</v>
      </c>
      <c r="Q221">
        <f t="shared" si="30"/>
        <v>1099332</v>
      </c>
      <c r="R221">
        <f t="shared" si="31"/>
        <v>-1187079.916666667</v>
      </c>
    </row>
    <row r="222" spans="1:18" hidden="1" x14ac:dyDescent="0.25">
      <c r="A222" s="1"/>
      <c r="C222" s="1"/>
      <c r="D222" s="1">
        <v>41569</v>
      </c>
      <c r="E222" s="10">
        <v>-28</v>
      </c>
      <c r="F222" s="1">
        <v>41569</v>
      </c>
      <c r="G222">
        <v>-2984</v>
      </c>
      <c r="H222" s="1">
        <f t="shared" si="24"/>
        <v>41569</v>
      </c>
      <c r="I222">
        <f>IF(AND(MyRowHidden(ROW())=FALSE,MyRowHidden(ROW()-1)=TRUE),0,(E222-E221)*unitsOfDHp+I221)</f>
        <v>-980</v>
      </c>
      <c r="J222">
        <f>IF(AND(MyRowHidden(ROW())=FALSE,MyRowHidden(ROW()-1)=TRUE),0,(G222-G221)*unitsOfExo+J221)</f>
        <v>-2195280</v>
      </c>
      <c r="K222" s="9">
        <f t="shared" si="25"/>
        <v>2195280</v>
      </c>
      <c r="L222">
        <f t="shared" si="26"/>
        <v>-2196260</v>
      </c>
      <c r="M222">
        <f t="shared" si="27"/>
        <v>9</v>
      </c>
      <c r="N222">
        <f t="shared" si="28"/>
        <v>-82821.66666666673</v>
      </c>
      <c r="P222">
        <f t="shared" si="29"/>
        <v>-1110132</v>
      </c>
      <c r="Q222">
        <f t="shared" si="30"/>
        <v>1110132</v>
      </c>
      <c r="R222">
        <f t="shared" si="31"/>
        <v>-1192953.666666667</v>
      </c>
    </row>
    <row r="223" spans="1:18" hidden="1" x14ac:dyDescent="0.25">
      <c r="A223" s="1"/>
      <c r="C223" s="1"/>
      <c r="D223" s="1">
        <v>41570</v>
      </c>
      <c r="E223" s="10">
        <v>-316</v>
      </c>
      <c r="F223" s="1">
        <v>41570</v>
      </c>
      <c r="G223">
        <v>-2834</v>
      </c>
      <c r="H223" s="1">
        <f t="shared" si="24"/>
        <v>41570</v>
      </c>
      <c r="I223">
        <f>IF(AND(MyRowHidden(ROW())=FALSE,MyRowHidden(ROW()-1)=TRUE),0,(E223-E222)*unitsOfDHp+I222)</f>
        <v>-11060</v>
      </c>
      <c r="J223">
        <f>IF(AND(MyRowHidden(ROW())=FALSE,MyRowHidden(ROW()-1)=TRUE),0,(G223-G222)*unitsOfExo+J222)</f>
        <v>-2152080</v>
      </c>
      <c r="K223" s="9">
        <f t="shared" si="25"/>
        <v>2152080</v>
      </c>
      <c r="L223">
        <f t="shared" si="26"/>
        <v>-2163140</v>
      </c>
      <c r="M223">
        <f t="shared" si="27"/>
        <v>9</v>
      </c>
      <c r="N223">
        <f t="shared" si="28"/>
        <v>-85341.66666666673</v>
      </c>
      <c r="P223">
        <f t="shared" si="29"/>
        <v>-1099332</v>
      </c>
      <c r="Q223">
        <f t="shared" si="30"/>
        <v>1099332</v>
      </c>
      <c r="R223">
        <f t="shared" si="31"/>
        <v>-1184673.666666667</v>
      </c>
    </row>
    <row r="224" spans="1:18" hidden="1" x14ac:dyDescent="0.25">
      <c r="A224" s="1"/>
      <c r="C224" s="1"/>
      <c r="D224" s="1">
        <v>41571</v>
      </c>
      <c r="E224" s="10">
        <v>-266</v>
      </c>
      <c r="F224" s="1">
        <v>41571</v>
      </c>
      <c r="G224">
        <v>-3009</v>
      </c>
      <c r="H224" s="1">
        <f t="shared" si="24"/>
        <v>41571</v>
      </c>
      <c r="I224">
        <f>IF(AND(MyRowHidden(ROW())=FALSE,MyRowHidden(ROW()-1)=TRUE),0,(E224-E223)*unitsOfDHp+I223)</f>
        <v>-9310</v>
      </c>
      <c r="J224">
        <f>IF(AND(MyRowHidden(ROW())=FALSE,MyRowHidden(ROW()-1)=TRUE),0,(G224-G223)*unitsOfExo+J223)</f>
        <v>-2202480</v>
      </c>
      <c r="K224" s="9">
        <f t="shared" si="25"/>
        <v>2202480</v>
      </c>
      <c r="L224">
        <f t="shared" si="26"/>
        <v>-2211790</v>
      </c>
      <c r="M224">
        <f t="shared" si="27"/>
        <v>9</v>
      </c>
      <c r="N224">
        <f t="shared" si="28"/>
        <v>-84904.16666666673</v>
      </c>
      <c r="P224">
        <f t="shared" si="29"/>
        <v>-1111932</v>
      </c>
      <c r="Q224">
        <f t="shared" si="30"/>
        <v>1111932</v>
      </c>
      <c r="R224">
        <f t="shared" si="31"/>
        <v>-1196836.166666667</v>
      </c>
    </row>
    <row r="225" spans="1:18" hidden="1" x14ac:dyDescent="0.25">
      <c r="A225" s="1"/>
      <c r="C225" s="1"/>
      <c r="D225" s="1">
        <v>41572</v>
      </c>
      <c r="E225" s="10">
        <v>-191</v>
      </c>
      <c r="F225" s="1">
        <v>41572</v>
      </c>
      <c r="G225">
        <v>-2971.5</v>
      </c>
      <c r="H225" s="1">
        <f t="shared" si="24"/>
        <v>41572</v>
      </c>
      <c r="I225">
        <f>IF(AND(MyRowHidden(ROW())=FALSE,MyRowHidden(ROW()-1)=TRUE),0,(E225-E224)*unitsOfDHp+I224)</f>
        <v>-6685</v>
      </c>
      <c r="J225">
        <f>IF(AND(MyRowHidden(ROW())=FALSE,MyRowHidden(ROW()-1)=TRUE),0,(G225-G224)*unitsOfExo+J224)</f>
        <v>-2191680</v>
      </c>
      <c r="K225" s="9">
        <f t="shared" si="25"/>
        <v>2191680</v>
      </c>
      <c r="L225">
        <f t="shared" si="26"/>
        <v>-2198365</v>
      </c>
      <c r="M225">
        <f t="shared" si="27"/>
        <v>9</v>
      </c>
      <c r="N225">
        <f t="shared" si="28"/>
        <v>-84247.91666666673</v>
      </c>
      <c r="P225">
        <f t="shared" si="29"/>
        <v>-1109232</v>
      </c>
      <c r="Q225">
        <f t="shared" si="30"/>
        <v>1109232</v>
      </c>
      <c r="R225">
        <f t="shared" si="31"/>
        <v>-1193479.916666667</v>
      </c>
    </row>
    <row r="226" spans="1:18" hidden="1" x14ac:dyDescent="0.25">
      <c r="A226" s="1"/>
      <c r="C226" s="1"/>
      <c r="D226" s="1">
        <v>41575</v>
      </c>
      <c r="E226" s="10">
        <v>-128</v>
      </c>
      <c r="F226" s="1">
        <v>41575</v>
      </c>
      <c r="G226">
        <v>-3434</v>
      </c>
      <c r="H226" s="1">
        <f t="shared" si="24"/>
        <v>41575</v>
      </c>
      <c r="I226">
        <f>IF(AND(MyRowHidden(ROW())=FALSE,MyRowHidden(ROW()-1)=TRUE),0,(E226-E225)*unitsOfDHp+I225)</f>
        <v>-4480</v>
      </c>
      <c r="J226">
        <f>IF(AND(MyRowHidden(ROW())=FALSE,MyRowHidden(ROW()-1)=TRUE),0,(G226-G225)*unitsOfExo+J225)</f>
        <v>-2324880</v>
      </c>
      <c r="K226" s="9">
        <f t="shared" si="25"/>
        <v>2324880</v>
      </c>
      <c r="L226">
        <f t="shared" si="26"/>
        <v>-2329360</v>
      </c>
      <c r="M226">
        <f t="shared" si="27"/>
        <v>9</v>
      </c>
      <c r="N226">
        <f t="shared" si="28"/>
        <v>-83696.66666666673</v>
      </c>
      <c r="P226">
        <f t="shared" si="29"/>
        <v>-1142532</v>
      </c>
      <c r="Q226">
        <f t="shared" si="30"/>
        <v>1142532</v>
      </c>
      <c r="R226">
        <f t="shared" si="31"/>
        <v>-1226228.666666667</v>
      </c>
    </row>
    <row r="227" spans="1:18" hidden="1" x14ac:dyDescent="0.25">
      <c r="A227" s="1"/>
      <c r="C227" s="1"/>
      <c r="D227" s="1">
        <v>41576</v>
      </c>
      <c r="E227" s="10">
        <v>-103</v>
      </c>
      <c r="F227" s="1">
        <v>41576</v>
      </c>
      <c r="G227">
        <v>-3459</v>
      </c>
      <c r="H227" s="1">
        <f t="shared" si="24"/>
        <v>41576</v>
      </c>
      <c r="I227">
        <f>IF(AND(MyRowHidden(ROW())=FALSE,MyRowHidden(ROW()-1)=TRUE),0,(E227-E226)*unitsOfDHp+I226)</f>
        <v>-3605</v>
      </c>
      <c r="J227">
        <f>IF(AND(MyRowHidden(ROW())=FALSE,MyRowHidden(ROW()-1)=TRUE),0,(G227-G226)*unitsOfExo+J226)</f>
        <v>-2332080</v>
      </c>
      <c r="K227" s="9">
        <f t="shared" si="25"/>
        <v>2332080</v>
      </c>
      <c r="L227">
        <f t="shared" si="26"/>
        <v>-2335685</v>
      </c>
      <c r="M227">
        <f t="shared" si="27"/>
        <v>9</v>
      </c>
      <c r="N227">
        <f t="shared" si="28"/>
        <v>-83477.91666666673</v>
      </c>
      <c r="P227">
        <f t="shared" si="29"/>
        <v>-1144332</v>
      </c>
      <c r="Q227">
        <f t="shared" si="30"/>
        <v>1144332</v>
      </c>
      <c r="R227">
        <f t="shared" si="31"/>
        <v>-1227809.916666667</v>
      </c>
    </row>
    <row r="228" spans="1:18" hidden="1" x14ac:dyDescent="0.25">
      <c r="A228" s="1"/>
      <c r="C228" s="1"/>
      <c r="D228" s="1">
        <v>41577</v>
      </c>
      <c r="E228" s="10">
        <v>22</v>
      </c>
      <c r="F228" s="1">
        <v>41577</v>
      </c>
      <c r="G228">
        <v>-3459</v>
      </c>
      <c r="H228" s="1">
        <f t="shared" si="24"/>
        <v>41577</v>
      </c>
      <c r="I228">
        <f>IF(AND(MyRowHidden(ROW())=FALSE,MyRowHidden(ROW()-1)=TRUE),0,(E228-E227)*unitsOfDHp+I227)</f>
        <v>770</v>
      </c>
      <c r="J228">
        <f>IF(AND(MyRowHidden(ROW())=FALSE,MyRowHidden(ROW()-1)=TRUE),0,(G228-G227)*unitsOfExo+J227)</f>
        <v>-2332080</v>
      </c>
      <c r="K228" s="9">
        <f t="shared" si="25"/>
        <v>2332080</v>
      </c>
      <c r="L228">
        <f t="shared" si="26"/>
        <v>-2331310</v>
      </c>
      <c r="M228">
        <f t="shared" si="27"/>
        <v>9</v>
      </c>
      <c r="N228">
        <f t="shared" si="28"/>
        <v>-82384.16666666673</v>
      </c>
      <c r="P228">
        <f t="shared" si="29"/>
        <v>-1144332</v>
      </c>
      <c r="Q228">
        <f t="shared" si="30"/>
        <v>1144332</v>
      </c>
      <c r="R228">
        <f t="shared" si="31"/>
        <v>-1226716.166666667</v>
      </c>
    </row>
    <row r="229" spans="1:18" hidden="1" x14ac:dyDescent="0.25">
      <c r="A229" s="1"/>
      <c r="C229" s="1"/>
      <c r="D229" s="1">
        <v>41578</v>
      </c>
      <c r="E229" s="10">
        <v>-3</v>
      </c>
      <c r="F229" s="1">
        <v>41578</v>
      </c>
      <c r="G229">
        <v>-3634</v>
      </c>
      <c r="H229" s="1">
        <f t="shared" si="24"/>
        <v>41578</v>
      </c>
      <c r="I229">
        <f>IF(AND(MyRowHidden(ROW())=FALSE,MyRowHidden(ROW()-1)=TRUE),0,(E229-E228)*unitsOfDHp+I228)</f>
        <v>-105</v>
      </c>
      <c r="J229">
        <f>IF(AND(MyRowHidden(ROW())=FALSE,MyRowHidden(ROW()-1)=TRUE),0,(G229-G228)*unitsOfExo+J228)</f>
        <v>-2382480</v>
      </c>
      <c r="K229" s="9">
        <f t="shared" si="25"/>
        <v>2382480</v>
      </c>
      <c r="L229">
        <f t="shared" si="26"/>
        <v>-2382585</v>
      </c>
      <c r="M229">
        <f t="shared" si="27"/>
        <v>9</v>
      </c>
      <c r="N229">
        <f t="shared" si="28"/>
        <v>-82602.91666666673</v>
      </c>
      <c r="P229">
        <f t="shared" si="29"/>
        <v>-1156932</v>
      </c>
      <c r="Q229">
        <f t="shared" si="30"/>
        <v>1156932</v>
      </c>
      <c r="R229">
        <f t="shared" si="31"/>
        <v>-1239534.916666667</v>
      </c>
    </row>
    <row r="230" spans="1:18" hidden="1" x14ac:dyDescent="0.25">
      <c r="A230" s="1"/>
      <c r="C230" s="1"/>
      <c r="D230" s="1">
        <v>41579</v>
      </c>
      <c r="E230" s="10">
        <v>47</v>
      </c>
      <c r="F230" s="1">
        <v>41579</v>
      </c>
      <c r="G230">
        <v>-3609</v>
      </c>
      <c r="H230" s="1">
        <f t="shared" si="24"/>
        <v>41579</v>
      </c>
      <c r="I230">
        <f>IF(AND(MyRowHidden(ROW())=FALSE,MyRowHidden(ROW()-1)=TRUE),0,(E230-E229)*unitsOfDHp+I229)</f>
        <v>1645</v>
      </c>
      <c r="J230">
        <f>IF(AND(MyRowHidden(ROW())=FALSE,MyRowHidden(ROW()-1)=TRUE),0,(G230-G229)*unitsOfExo+J229)</f>
        <v>-2375280</v>
      </c>
      <c r="K230" s="9">
        <f t="shared" si="25"/>
        <v>2375280</v>
      </c>
      <c r="L230">
        <f t="shared" si="26"/>
        <v>-2373635</v>
      </c>
      <c r="M230">
        <f t="shared" si="27"/>
        <v>10</v>
      </c>
      <c r="N230">
        <f t="shared" si="28"/>
        <v>-82311.250000000058</v>
      </c>
      <c r="P230">
        <f t="shared" si="29"/>
        <v>-1155732</v>
      </c>
      <c r="Q230">
        <f t="shared" si="30"/>
        <v>1155732</v>
      </c>
      <c r="R230">
        <f t="shared" si="31"/>
        <v>-1238043.2500000002</v>
      </c>
    </row>
    <row r="231" spans="1:18" hidden="1" x14ac:dyDescent="0.25">
      <c r="A231" s="1"/>
      <c r="C231" s="1"/>
      <c r="D231" s="1">
        <v>41582</v>
      </c>
      <c r="E231" s="10">
        <v>234</v>
      </c>
      <c r="F231" s="1">
        <v>41582</v>
      </c>
      <c r="G231">
        <v>-3659</v>
      </c>
      <c r="H231" s="1">
        <f t="shared" si="24"/>
        <v>41582</v>
      </c>
      <c r="I231">
        <f>IF(AND(MyRowHidden(ROW())=FALSE,MyRowHidden(ROW()-1)=TRUE),0,(E231-E230)*unitsOfDHp+I230)</f>
        <v>8190</v>
      </c>
      <c r="J231">
        <f>IF(AND(MyRowHidden(ROW())=FALSE,MyRowHidden(ROW()-1)=TRUE),0,(G231-G230)*unitsOfExo+J230)</f>
        <v>-2389680</v>
      </c>
      <c r="K231" s="9">
        <f t="shared" si="25"/>
        <v>2389680</v>
      </c>
      <c r="L231">
        <f t="shared" si="26"/>
        <v>-2381490</v>
      </c>
      <c r="M231">
        <f t="shared" si="27"/>
        <v>10</v>
      </c>
      <c r="N231">
        <f t="shared" si="28"/>
        <v>-81220.41666666673</v>
      </c>
      <c r="P231">
        <f t="shared" si="29"/>
        <v>-1158132</v>
      </c>
      <c r="Q231">
        <f t="shared" si="30"/>
        <v>1158132</v>
      </c>
      <c r="R231">
        <f t="shared" si="31"/>
        <v>-1239352.416666667</v>
      </c>
    </row>
    <row r="232" spans="1:18" hidden="1" x14ac:dyDescent="0.25">
      <c r="A232" s="1"/>
      <c r="C232" s="1"/>
      <c r="D232" s="1">
        <v>41583</v>
      </c>
      <c r="E232" s="10">
        <v>72</v>
      </c>
      <c r="F232" s="1">
        <v>41583</v>
      </c>
      <c r="G232">
        <v>-3759</v>
      </c>
      <c r="H232" s="1">
        <f t="shared" si="24"/>
        <v>41583</v>
      </c>
      <c r="I232">
        <f>IF(AND(MyRowHidden(ROW())=FALSE,MyRowHidden(ROW()-1)=TRUE),0,(E232-E231)*unitsOfDHp+I231)</f>
        <v>2520</v>
      </c>
      <c r="J232">
        <f>IF(AND(MyRowHidden(ROW())=FALSE,MyRowHidden(ROW()-1)=TRUE),0,(G232-G231)*unitsOfExo+J231)</f>
        <v>-2418480</v>
      </c>
      <c r="K232" s="9">
        <f t="shared" si="25"/>
        <v>2418480</v>
      </c>
      <c r="L232">
        <f t="shared" si="26"/>
        <v>-2415960</v>
      </c>
      <c r="M232">
        <f t="shared" si="27"/>
        <v>10</v>
      </c>
      <c r="N232">
        <f t="shared" si="28"/>
        <v>-82165.41666666673</v>
      </c>
      <c r="P232">
        <f t="shared" si="29"/>
        <v>-1162932</v>
      </c>
      <c r="Q232">
        <f t="shared" si="30"/>
        <v>1162932</v>
      </c>
      <c r="R232">
        <f t="shared" si="31"/>
        <v>-1245097.416666667</v>
      </c>
    </row>
    <row r="233" spans="1:18" hidden="1" x14ac:dyDescent="0.25">
      <c r="A233" s="1"/>
      <c r="C233" s="1"/>
      <c r="D233" s="1">
        <v>41584</v>
      </c>
      <c r="E233" s="10">
        <v>-28</v>
      </c>
      <c r="F233" s="1">
        <v>41584</v>
      </c>
      <c r="G233">
        <v>-3934</v>
      </c>
      <c r="H233" s="1">
        <f t="shared" si="24"/>
        <v>41584</v>
      </c>
      <c r="I233">
        <f>IF(AND(MyRowHidden(ROW())=FALSE,MyRowHidden(ROW()-1)=TRUE),0,(E233-E232)*unitsOfDHp+I232)</f>
        <v>-980</v>
      </c>
      <c r="J233">
        <f>IF(AND(MyRowHidden(ROW())=FALSE,MyRowHidden(ROW()-1)=TRUE),0,(G233-G232)*unitsOfExo+J232)</f>
        <v>-2468880</v>
      </c>
      <c r="K233" s="9">
        <f t="shared" si="25"/>
        <v>2468880</v>
      </c>
      <c r="L233">
        <f t="shared" si="26"/>
        <v>-2469860</v>
      </c>
      <c r="M233">
        <f t="shared" si="27"/>
        <v>10</v>
      </c>
      <c r="N233">
        <f t="shared" si="28"/>
        <v>-82748.750000000058</v>
      </c>
      <c r="P233">
        <f t="shared" si="29"/>
        <v>-1171332</v>
      </c>
      <c r="Q233">
        <f t="shared" si="30"/>
        <v>1171332</v>
      </c>
      <c r="R233">
        <f t="shared" si="31"/>
        <v>-1254080.7500000002</v>
      </c>
    </row>
    <row r="234" spans="1:18" hidden="1" x14ac:dyDescent="0.25">
      <c r="A234" s="1"/>
      <c r="C234" s="1"/>
      <c r="D234" s="1">
        <v>41585</v>
      </c>
      <c r="E234" s="10">
        <v>-66</v>
      </c>
      <c r="F234" s="1">
        <v>41585</v>
      </c>
      <c r="G234">
        <v>-3934</v>
      </c>
      <c r="H234" s="1">
        <f t="shared" si="24"/>
        <v>41585</v>
      </c>
      <c r="I234">
        <f>IF(AND(MyRowHidden(ROW())=FALSE,MyRowHidden(ROW()-1)=TRUE),0,(E234-E233)*unitsOfDHp+I233)</f>
        <v>-2310</v>
      </c>
      <c r="J234">
        <f>IF(AND(MyRowHidden(ROW())=FALSE,MyRowHidden(ROW()-1)=TRUE),0,(G234-G233)*unitsOfExo+J233)</f>
        <v>-2468880</v>
      </c>
      <c r="K234" s="9">
        <f t="shared" si="25"/>
        <v>2468880</v>
      </c>
      <c r="L234">
        <f t="shared" si="26"/>
        <v>-2471190</v>
      </c>
      <c r="M234">
        <f t="shared" si="27"/>
        <v>10</v>
      </c>
      <c r="N234">
        <f t="shared" si="28"/>
        <v>-82970.41666666673</v>
      </c>
      <c r="P234">
        <f t="shared" si="29"/>
        <v>-1171332</v>
      </c>
      <c r="Q234">
        <f t="shared" si="30"/>
        <v>1171332</v>
      </c>
      <c r="R234">
        <f t="shared" si="31"/>
        <v>-1254302.416666667</v>
      </c>
    </row>
    <row r="235" spans="1:18" hidden="1" x14ac:dyDescent="0.25">
      <c r="A235" s="1"/>
      <c r="C235" s="1"/>
      <c r="D235" s="1">
        <v>41586</v>
      </c>
      <c r="E235" s="10">
        <v>396</v>
      </c>
      <c r="F235" s="1">
        <v>41586</v>
      </c>
      <c r="G235">
        <v>-3759</v>
      </c>
      <c r="H235" s="1">
        <f t="shared" si="24"/>
        <v>41586</v>
      </c>
      <c r="I235">
        <f>IF(AND(MyRowHidden(ROW())=FALSE,MyRowHidden(ROW()-1)=TRUE),0,(E235-E234)*unitsOfDHp+I234)</f>
        <v>13860</v>
      </c>
      <c r="J235">
        <f>IF(AND(MyRowHidden(ROW())=FALSE,MyRowHidden(ROW()-1)=TRUE),0,(G235-G234)*unitsOfExo+J234)</f>
        <v>-2418480</v>
      </c>
      <c r="K235" s="9">
        <f t="shared" si="25"/>
        <v>2418480</v>
      </c>
      <c r="L235">
        <f t="shared" si="26"/>
        <v>-2404620</v>
      </c>
      <c r="M235">
        <f t="shared" si="27"/>
        <v>10</v>
      </c>
      <c r="N235">
        <f t="shared" si="28"/>
        <v>-80275.41666666673</v>
      </c>
      <c r="P235">
        <f t="shared" si="29"/>
        <v>-1162932</v>
      </c>
      <c r="Q235">
        <f t="shared" si="30"/>
        <v>1162932</v>
      </c>
      <c r="R235">
        <f t="shared" si="31"/>
        <v>-1243207.416666667</v>
      </c>
    </row>
    <row r="236" spans="1:18" hidden="1" x14ac:dyDescent="0.25">
      <c r="A236" s="1"/>
      <c r="C236" s="1"/>
      <c r="D236" s="1">
        <v>41589</v>
      </c>
      <c r="E236" s="10">
        <v>1150</v>
      </c>
      <c r="F236" s="1">
        <v>41589</v>
      </c>
      <c r="G236">
        <v>-3184</v>
      </c>
      <c r="H236" s="1">
        <f t="shared" si="24"/>
        <v>41589</v>
      </c>
      <c r="I236">
        <f>IF(AND(MyRowHidden(ROW())=FALSE,MyRowHidden(ROW()-1)=TRUE),0,(E236-E235)*unitsOfDHp+I235)</f>
        <v>40250</v>
      </c>
      <c r="J236">
        <f>IF(AND(MyRowHidden(ROW())=FALSE,MyRowHidden(ROW()-1)=TRUE),0,(G236-G235)*unitsOfExo+J235)</f>
        <v>-2252880</v>
      </c>
      <c r="K236" s="9">
        <f t="shared" si="25"/>
        <v>2252880</v>
      </c>
      <c r="L236">
        <f t="shared" si="26"/>
        <v>-2212630</v>
      </c>
      <c r="M236">
        <f t="shared" si="27"/>
        <v>10</v>
      </c>
      <c r="N236">
        <f t="shared" si="28"/>
        <v>-75877.083333333401</v>
      </c>
      <c r="P236">
        <f t="shared" si="29"/>
        <v>-1135332</v>
      </c>
      <c r="Q236">
        <f t="shared" si="30"/>
        <v>1135332</v>
      </c>
      <c r="R236">
        <f t="shared" si="31"/>
        <v>-1211209.0833333337</v>
      </c>
    </row>
    <row r="237" spans="1:18" hidden="1" x14ac:dyDescent="0.25">
      <c r="A237" s="1"/>
      <c r="C237" s="1"/>
      <c r="D237" s="1">
        <v>41590</v>
      </c>
      <c r="E237" s="10">
        <v>938</v>
      </c>
      <c r="F237" s="1">
        <v>41590</v>
      </c>
      <c r="G237">
        <v>-3296.5</v>
      </c>
      <c r="H237" s="1">
        <f t="shared" si="24"/>
        <v>41590</v>
      </c>
      <c r="I237">
        <f>IF(AND(MyRowHidden(ROW())=FALSE,MyRowHidden(ROW()-1)=TRUE),0,(E237-E236)*unitsOfDHp+I236)</f>
        <v>32830</v>
      </c>
      <c r="J237">
        <f>IF(AND(MyRowHidden(ROW())=FALSE,MyRowHidden(ROW()-1)=TRUE),0,(G237-G236)*unitsOfExo+J236)</f>
        <v>-2285280</v>
      </c>
      <c r="K237" s="9">
        <f t="shared" si="25"/>
        <v>2285280</v>
      </c>
      <c r="L237">
        <f t="shared" si="26"/>
        <v>-2252450</v>
      </c>
      <c r="M237">
        <f t="shared" si="27"/>
        <v>10</v>
      </c>
      <c r="N237">
        <f t="shared" si="28"/>
        <v>-77113.750000000073</v>
      </c>
      <c r="P237">
        <f t="shared" si="29"/>
        <v>-1140732</v>
      </c>
      <c r="Q237">
        <f t="shared" si="30"/>
        <v>1140732</v>
      </c>
      <c r="R237">
        <f t="shared" si="31"/>
        <v>-1217845.7500000005</v>
      </c>
    </row>
    <row r="238" spans="1:18" hidden="1" x14ac:dyDescent="0.25">
      <c r="A238" s="1"/>
      <c r="C238" s="1"/>
      <c r="D238" s="1">
        <v>41591</v>
      </c>
      <c r="E238" s="10">
        <v>488</v>
      </c>
      <c r="F238" s="1">
        <v>41591</v>
      </c>
      <c r="G238">
        <v>-3484</v>
      </c>
      <c r="H238" s="1">
        <f t="shared" si="24"/>
        <v>41591</v>
      </c>
      <c r="I238">
        <f>IF(AND(MyRowHidden(ROW())=FALSE,MyRowHidden(ROW()-1)=TRUE),0,(E238-E237)*unitsOfDHp+I237)</f>
        <v>17080</v>
      </c>
      <c r="J238">
        <f>IF(AND(MyRowHidden(ROW())=FALSE,MyRowHidden(ROW()-1)=TRUE),0,(G238-G237)*unitsOfExo+J237)</f>
        <v>-2339280</v>
      </c>
      <c r="K238" s="9">
        <f t="shared" si="25"/>
        <v>2339280</v>
      </c>
      <c r="L238">
        <f t="shared" si="26"/>
        <v>-2322200</v>
      </c>
      <c r="M238">
        <f t="shared" si="27"/>
        <v>10</v>
      </c>
      <c r="N238">
        <f t="shared" si="28"/>
        <v>-79738.750000000073</v>
      </c>
      <c r="P238">
        <f t="shared" si="29"/>
        <v>-1149732</v>
      </c>
      <c r="Q238">
        <f t="shared" si="30"/>
        <v>1149732</v>
      </c>
      <c r="R238">
        <f t="shared" si="31"/>
        <v>-1229470.7500000005</v>
      </c>
    </row>
    <row r="239" spans="1:18" hidden="1" x14ac:dyDescent="0.25">
      <c r="A239" s="1"/>
      <c r="C239" s="1"/>
      <c r="D239" s="1">
        <v>41592</v>
      </c>
      <c r="E239" s="10">
        <v>-12</v>
      </c>
      <c r="F239" s="1">
        <v>41592</v>
      </c>
      <c r="G239">
        <v>-3696.5</v>
      </c>
      <c r="H239" s="1">
        <f t="shared" si="24"/>
        <v>41592</v>
      </c>
      <c r="I239">
        <f>IF(AND(MyRowHidden(ROW())=FALSE,MyRowHidden(ROW()-1)=TRUE),0,(E239-E238)*unitsOfDHp+I238)</f>
        <v>-420</v>
      </c>
      <c r="J239">
        <f>IF(AND(MyRowHidden(ROW())=FALSE,MyRowHidden(ROW()-1)=TRUE),0,(G239-G238)*unitsOfExo+J238)</f>
        <v>-2400480</v>
      </c>
      <c r="K239" s="9">
        <f t="shared" si="25"/>
        <v>2400480</v>
      </c>
      <c r="L239">
        <f t="shared" si="26"/>
        <v>-2400900</v>
      </c>
      <c r="M239">
        <f t="shared" si="27"/>
        <v>10</v>
      </c>
      <c r="N239">
        <f t="shared" si="28"/>
        <v>-82655.416666666744</v>
      </c>
      <c r="P239">
        <f t="shared" si="29"/>
        <v>-1159932</v>
      </c>
      <c r="Q239">
        <f t="shared" si="30"/>
        <v>1159932</v>
      </c>
      <c r="R239">
        <f t="shared" si="31"/>
        <v>-1242587.4166666672</v>
      </c>
    </row>
    <row r="240" spans="1:18" hidden="1" x14ac:dyDescent="0.25">
      <c r="A240" s="1"/>
      <c r="C240" s="1"/>
      <c r="D240" s="1">
        <v>41593</v>
      </c>
      <c r="E240" s="10">
        <v>-224</v>
      </c>
      <c r="F240" s="1">
        <v>41593</v>
      </c>
      <c r="G240">
        <v>-3784</v>
      </c>
      <c r="H240" s="1">
        <f t="shared" si="24"/>
        <v>41593</v>
      </c>
      <c r="I240">
        <f>IF(AND(MyRowHidden(ROW())=FALSE,MyRowHidden(ROW()-1)=TRUE),0,(E240-E239)*unitsOfDHp+I239)</f>
        <v>-7840</v>
      </c>
      <c r="J240">
        <f>IF(AND(MyRowHidden(ROW())=FALSE,MyRowHidden(ROW()-1)=TRUE),0,(G240-G239)*unitsOfExo+J239)</f>
        <v>-2425680</v>
      </c>
      <c r="K240" s="9">
        <f t="shared" si="25"/>
        <v>2425680</v>
      </c>
      <c r="L240">
        <f t="shared" si="26"/>
        <v>-2433520</v>
      </c>
      <c r="M240">
        <f t="shared" si="27"/>
        <v>10</v>
      </c>
      <c r="N240">
        <f t="shared" si="28"/>
        <v>-83892.083333333416</v>
      </c>
      <c r="P240">
        <f t="shared" si="29"/>
        <v>-1164132</v>
      </c>
      <c r="Q240">
        <f t="shared" si="30"/>
        <v>1164132</v>
      </c>
      <c r="R240">
        <f t="shared" si="31"/>
        <v>-1248024.083333334</v>
      </c>
    </row>
    <row r="241" spans="1:18" hidden="1" x14ac:dyDescent="0.25">
      <c r="A241" s="1"/>
      <c r="C241" s="1"/>
      <c r="D241" s="1">
        <v>41596</v>
      </c>
      <c r="E241" s="10">
        <v>-1436</v>
      </c>
      <c r="F241" s="1">
        <v>41596</v>
      </c>
      <c r="G241">
        <v>-4334</v>
      </c>
      <c r="H241" s="1">
        <f t="shared" si="24"/>
        <v>41596</v>
      </c>
      <c r="I241">
        <f>IF(AND(MyRowHidden(ROW())=FALSE,MyRowHidden(ROW()-1)=TRUE),0,(E241-E240)*unitsOfDHp+I240)</f>
        <v>-50260</v>
      </c>
      <c r="J241">
        <f>IF(AND(MyRowHidden(ROW())=FALSE,MyRowHidden(ROW()-1)=TRUE),0,(G241-G240)*unitsOfExo+J240)</f>
        <v>-2584080</v>
      </c>
      <c r="K241" s="9">
        <f t="shared" si="25"/>
        <v>2584080</v>
      </c>
      <c r="L241">
        <f t="shared" si="26"/>
        <v>-2634340</v>
      </c>
      <c r="M241">
        <f t="shared" si="27"/>
        <v>10</v>
      </c>
      <c r="N241">
        <f t="shared" si="28"/>
        <v>-90962.083333333416</v>
      </c>
      <c r="P241">
        <f t="shared" si="29"/>
        <v>-1190532</v>
      </c>
      <c r="Q241">
        <f t="shared" si="30"/>
        <v>1190532</v>
      </c>
      <c r="R241">
        <f t="shared" si="31"/>
        <v>-1281494.083333334</v>
      </c>
    </row>
    <row r="242" spans="1:18" hidden="1" x14ac:dyDescent="0.25">
      <c r="A242" s="1"/>
      <c r="C242" s="1"/>
      <c r="D242" s="1">
        <v>41597</v>
      </c>
      <c r="E242" s="10">
        <v>-1148</v>
      </c>
      <c r="F242" s="1">
        <v>41597</v>
      </c>
      <c r="G242">
        <v>-4221.5</v>
      </c>
      <c r="H242" s="1">
        <f t="shared" si="24"/>
        <v>41597</v>
      </c>
      <c r="I242">
        <f>IF(AND(MyRowHidden(ROW())=FALSE,MyRowHidden(ROW()-1)=TRUE),0,(E242-E241)*unitsOfDHp+I241)</f>
        <v>-40180</v>
      </c>
      <c r="J242">
        <f>IF(AND(MyRowHidden(ROW())=FALSE,MyRowHidden(ROW()-1)=TRUE),0,(G242-G241)*unitsOfExo+J241)</f>
        <v>-2551680</v>
      </c>
      <c r="K242" s="9">
        <f t="shared" si="25"/>
        <v>2551680</v>
      </c>
      <c r="L242">
        <f t="shared" si="26"/>
        <v>-2591860</v>
      </c>
      <c r="M242">
        <f t="shared" si="27"/>
        <v>10</v>
      </c>
      <c r="N242">
        <f t="shared" si="28"/>
        <v>-89282.083333333416</v>
      </c>
      <c r="P242">
        <f t="shared" si="29"/>
        <v>-1185132</v>
      </c>
      <c r="Q242">
        <f t="shared" si="30"/>
        <v>1185132</v>
      </c>
      <c r="R242">
        <f t="shared" si="31"/>
        <v>-1274414.083333334</v>
      </c>
    </row>
    <row r="243" spans="1:18" hidden="1" x14ac:dyDescent="0.25">
      <c r="A243" s="1"/>
      <c r="C243" s="1"/>
      <c r="D243" s="1">
        <v>41598</v>
      </c>
      <c r="E243" s="10">
        <v>-1046</v>
      </c>
      <c r="F243" s="1">
        <v>41598</v>
      </c>
      <c r="G243">
        <v>-4121.5</v>
      </c>
      <c r="H243" s="1">
        <f t="shared" si="24"/>
        <v>41598</v>
      </c>
      <c r="I243">
        <f>IF(AND(MyRowHidden(ROW())=FALSE,MyRowHidden(ROW()-1)=TRUE),0,(E243-E242)*unitsOfDHp+I242)</f>
        <v>-36610</v>
      </c>
      <c r="J243">
        <f>IF(AND(MyRowHidden(ROW())=FALSE,MyRowHidden(ROW()-1)=TRUE),0,(G243-G242)*unitsOfExo+J242)</f>
        <v>-2522880</v>
      </c>
      <c r="K243" s="9">
        <f t="shared" si="25"/>
        <v>2522880</v>
      </c>
      <c r="L243">
        <f t="shared" si="26"/>
        <v>-2559490</v>
      </c>
      <c r="M243">
        <f t="shared" si="27"/>
        <v>10</v>
      </c>
      <c r="N243">
        <f t="shared" si="28"/>
        <v>-88687.083333333416</v>
      </c>
      <c r="P243">
        <f t="shared" si="29"/>
        <v>-1180332</v>
      </c>
      <c r="Q243">
        <f t="shared" si="30"/>
        <v>1180332</v>
      </c>
      <c r="R243">
        <f t="shared" si="31"/>
        <v>-1269019.083333334</v>
      </c>
    </row>
    <row r="244" spans="1:18" hidden="1" x14ac:dyDescent="0.25">
      <c r="A244" s="1"/>
      <c r="C244" s="1"/>
      <c r="D244" s="1">
        <v>41599</v>
      </c>
      <c r="E244" s="10">
        <v>-1108</v>
      </c>
      <c r="F244" s="1">
        <v>41599</v>
      </c>
      <c r="G244">
        <v>-3959</v>
      </c>
      <c r="H244" s="1">
        <f t="shared" si="24"/>
        <v>41599</v>
      </c>
      <c r="I244">
        <f>IF(AND(MyRowHidden(ROW())=FALSE,MyRowHidden(ROW()-1)=TRUE),0,(E244-E243)*unitsOfDHp+I243)</f>
        <v>-38780</v>
      </c>
      <c r="J244">
        <f>IF(AND(MyRowHidden(ROW())=FALSE,MyRowHidden(ROW()-1)=TRUE),0,(G244-G243)*unitsOfExo+J243)</f>
        <v>-2476080</v>
      </c>
      <c r="K244" s="9">
        <f t="shared" si="25"/>
        <v>2476080</v>
      </c>
      <c r="L244">
        <f t="shared" si="26"/>
        <v>-2514860</v>
      </c>
      <c r="M244">
        <f t="shared" si="27"/>
        <v>10</v>
      </c>
      <c r="N244">
        <f t="shared" si="28"/>
        <v>-89048.750000000087</v>
      </c>
      <c r="P244">
        <f t="shared" si="29"/>
        <v>-1172532</v>
      </c>
      <c r="Q244">
        <f t="shared" si="30"/>
        <v>1172532</v>
      </c>
      <c r="R244">
        <f t="shared" si="31"/>
        <v>-1261580.7500000007</v>
      </c>
    </row>
    <row r="245" spans="1:18" hidden="1" x14ac:dyDescent="0.25">
      <c r="A245" s="1"/>
      <c r="C245" s="1"/>
      <c r="D245" s="1">
        <v>41600</v>
      </c>
      <c r="E245" s="10">
        <v>-1020</v>
      </c>
      <c r="F245" s="1">
        <v>41600</v>
      </c>
      <c r="G245">
        <v>-3921.5</v>
      </c>
      <c r="H245" s="1">
        <f t="shared" si="24"/>
        <v>41600</v>
      </c>
      <c r="I245">
        <f>IF(AND(MyRowHidden(ROW())=FALSE,MyRowHidden(ROW()-1)=TRUE),0,(E245-E244)*unitsOfDHp+I244)</f>
        <v>-35700</v>
      </c>
      <c r="J245">
        <f>IF(AND(MyRowHidden(ROW())=FALSE,MyRowHidden(ROW()-1)=TRUE),0,(G245-G244)*unitsOfExo+J244)</f>
        <v>-2465280</v>
      </c>
      <c r="K245" s="9">
        <f t="shared" si="25"/>
        <v>2465280</v>
      </c>
      <c r="L245">
        <f t="shared" si="26"/>
        <v>-2500980</v>
      </c>
      <c r="M245">
        <f t="shared" si="27"/>
        <v>10</v>
      </c>
      <c r="N245">
        <f t="shared" si="28"/>
        <v>-88535.416666666759</v>
      </c>
      <c r="P245">
        <f t="shared" si="29"/>
        <v>-1170732</v>
      </c>
      <c r="Q245">
        <f t="shared" si="30"/>
        <v>1170732</v>
      </c>
      <c r="R245">
        <f t="shared" si="31"/>
        <v>-1259267.4166666674</v>
      </c>
    </row>
    <row r="246" spans="1:18" hidden="1" x14ac:dyDescent="0.25">
      <c r="A246" s="1"/>
      <c r="C246" s="1"/>
      <c r="D246" s="1">
        <v>41603</v>
      </c>
      <c r="E246" s="10">
        <v>-870</v>
      </c>
      <c r="F246" s="1">
        <v>41603</v>
      </c>
      <c r="G246">
        <v>-3909</v>
      </c>
      <c r="H246" s="1">
        <f t="shared" si="24"/>
        <v>41603</v>
      </c>
      <c r="I246">
        <f>IF(AND(MyRowHidden(ROW())=FALSE,MyRowHidden(ROW()-1)=TRUE),0,(E246-E245)*unitsOfDHp+I245)</f>
        <v>-30450</v>
      </c>
      <c r="J246">
        <f>IF(AND(MyRowHidden(ROW())=FALSE,MyRowHidden(ROW()-1)=TRUE),0,(G246-G245)*unitsOfExo+J245)</f>
        <v>-2461680</v>
      </c>
      <c r="K246" s="9">
        <f t="shared" si="25"/>
        <v>2461680</v>
      </c>
      <c r="L246">
        <f t="shared" si="26"/>
        <v>-2492130</v>
      </c>
      <c r="M246">
        <f t="shared" si="27"/>
        <v>10</v>
      </c>
      <c r="N246">
        <f t="shared" si="28"/>
        <v>-87660.416666666759</v>
      </c>
      <c r="P246">
        <f t="shared" si="29"/>
        <v>-1170132</v>
      </c>
      <c r="Q246">
        <f t="shared" si="30"/>
        <v>1170132</v>
      </c>
      <c r="R246">
        <f t="shared" si="31"/>
        <v>-1257792.4166666674</v>
      </c>
    </row>
    <row r="247" spans="1:18" hidden="1" x14ac:dyDescent="0.25">
      <c r="A247" s="1"/>
      <c r="C247" s="1"/>
      <c r="D247" s="1">
        <v>41604</v>
      </c>
      <c r="E247" s="10">
        <v>-581</v>
      </c>
      <c r="F247" s="1">
        <v>41604</v>
      </c>
      <c r="G247">
        <v>-4171.5</v>
      </c>
      <c r="H247" s="1">
        <f t="shared" si="24"/>
        <v>41604</v>
      </c>
      <c r="I247">
        <f>IF(AND(MyRowHidden(ROW())=FALSE,MyRowHidden(ROW()-1)=TRUE),0,(E247-E246)*unitsOfDHp+I246)</f>
        <v>-20335</v>
      </c>
      <c r="J247">
        <f>IF(AND(MyRowHidden(ROW())=FALSE,MyRowHidden(ROW()-1)=TRUE),0,(G247-G246)*unitsOfExo+J246)</f>
        <v>-2537280</v>
      </c>
      <c r="K247" s="9">
        <f t="shared" si="25"/>
        <v>2537280</v>
      </c>
      <c r="L247">
        <f t="shared" si="26"/>
        <v>-2557615</v>
      </c>
      <c r="M247">
        <f t="shared" si="27"/>
        <v>10</v>
      </c>
      <c r="N247">
        <f t="shared" si="28"/>
        <v>-85974.58333333343</v>
      </c>
      <c r="P247">
        <f t="shared" si="29"/>
        <v>-1182732</v>
      </c>
      <c r="Q247">
        <f t="shared" si="30"/>
        <v>1182732</v>
      </c>
      <c r="R247">
        <f t="shared" si="31"/>
        <v>-1268706.5833333342</v>
      </c>
    </row>
    <row r="248" spans="1:18" hidden="1" x14ac:dyDescent="0.25">
      <c r="A248" s="1"/>
      <c r="C248" s="1"/>
      <c r="D248" s="1">
        <v>41605</v>
      </c>
      <c r="E248" s="10">
        <v>-754</v>
      </c>
      <c r="F248" s="1">
        <v>41605</v>
      </c>
      <c r="G248">
        <v>-4071.5</v>
      </c>
      <c r="H248" s="1">
        <f t="shared" si="24"/>
        <v>41605</v>
      </c>
      <c r="I248">
        <f>IF(AND(MyRowHidden(ROW())=FALSE,MyRowHidden(ROW()-1)=TRUE),0,(E248-E247)*unitsOfDHp+I247)</f>
        <v>-26390</v>
      </c>
      <c r="J248">
        <f>IF(AND(MyRowHidden(ROW())=FALSE,MyRowHidden(ROW()-1)=TRUE),0,(G248-G247)*unitsOfExo+J247)</f>
        <v>-2508480</v>
      </c>
      <c r="K248" s="9">
        <f t="shared" si="25"/>
        <v>2508480</v>
      </c>
      <c r="L248">
        <f t="shared" si="26"/>
        <v>-2534870</v>
      </c>
      <c r="M248">
        <f t="shared" si="27"/>
        <v>10</v>
      </c>
      <c r="N248">
        <f t="shared" si="28"/>
        <v>-86983.750000000102</v>
      </c>
      <c r="P248">
        <f t="shared" si="29"/>
        <v>-1177932</v>
      </c>
      <c r="Q248">
        <f t="shared" si="30"/>
        <v>1177932</v>
      </c>
      <c r="R248">
        <f t="shared" si="31"/>
        <v>-1264915.7500000009</v>
      </c>
    </row>
    <row r="249" spans="1:18" hidden="1" x14ac:dyDescent="0.25">
      <c r="A249" s="1"/>
      <c r="C249" s="1"/>
      <c r="D249" s="1">
        <v>41606</v>
      </c>
      <c r="E249" s="10">
        <v>-754</v>
      </c>
      <c r="F249" s="1">
        <v>41606</v>
      </c>
      <c r="G249">
        <v>-4134</v>
      </c>
      <c r="H249" s="1">
        <f t="shared" si="24"/>
        <v>41606</v>
      </c>
      <c r="I249">
        <f>IF(AND(MyRowHidden(ROW())=FALSE,MyRowHidden(ROW()-1)=TRUE),0,(E249-E248)*unitsOfDHp+I248)</f>
        <v>-26390</v>
      </c>
      <c r="J249">
        <f>IF(AND(MyRowHidden(ROW())=FALSE,MyRowHidden(ROW()-1)=TRUE),0,(G249-G248)*unitsOfExo+J248)</f>
        <v>-2526480</v>
      </c>
      <c r="K249" s="9">
        <f t="shared" si="25"/>
        <v>2526480</v>
      </c>
      <c r="L249">
        <f t="shared" si="26"/>
        <v>-2552870</v>
      </c>
      <c r="M249">
        <f t="shared" si="27"/>
        <v>10</v>
      </c>
      <c r="N249">
        <f t="shared" si="28"/>
        <v>-86983.750000000102</v>
      </c>
      <c r="P249">
        <f t="shared" si="29"/>
        <v>-1180932</v>
      </c>
      <c r="Q249">
        <f t="shared" si="30"/>
        <v>1180932</v>
      </c>
      <c r="R249">
        <f t="shared" si="31"/>
        <v>-1267915.7500000009</v>
      </c>
    </row>
    <row r="250" spans="1:18" hidden="1" x14ac:dyDescent="0.25">
      <c r="A250" s="1"/>
      <c r="C250" s="1"/>
      <c r="D250" s="1">
        <v>41607</v>
      </c>
      <c r="E250" s="10">
        <v>-754</v>
      </c>
      <c r="F250" s="1">
        <v>41607</v>
      </c>
      <c r="G250">
        <v>-4184</v>
      </c>
      <c r="H250" s="1">
        <f t="shared" si="24"/>
        <v>41607</v>
      </c>
      <c r="I250">
        <f>IF(AND(MyRowHidden(ROW())=FALSE,MyRowHidden(ROW()-1)=TRUE),0,(E250-E249)*unitsOfDHp+I249)</f>
        <v>-26390</v>
      </c>
      <c r="J250">
        <f>IF(AND(MyRowHidden(ROW())=FALSE,MyRowHidden(ROW()-1)=TRUE),0,(G250-G249)*unitsOfExo+J249)</f>
        <v>-2540880</v>
      </c>
      <c r="K250" s="9">
        <f t="shared" si="25"/>
        <v>2540880</v>
      </c>
      <c r="L250">
        <f t="shared" si="26"/>
        <v>-2567270</v>
      </c>
      <c r="M250">
        <f t="shared" si="27"/>
        <v>10</v>
      </c>
      <c r="N250">
        <f t="shared" si="28"/>
        <v>-86983.750000000102</v>
      </c>
      <c r="P250">
        <f t="shared" si="29"/>
        <v>-1183332</v>
      </c>
      <c r="Q250">
        <f t="shared" si="30"/>
        <v>1183332</v>
      </c>
      <c r="R250">
        <f t="shared" si="31"/>
        <v>-1270315.7500000009</v>
      </c>
    </row>
    <row r="251" spans="1:18" hidden="1" x14ac:dyDescent="0.25">
      <c r="A251" s="1"/>
      <c r="C251" s="1"/>
      <c r="D251" s="1">
        <v>41610</v>
      </c>
      <c r="E251" s="10">
        <v>-716</v>
      </c>
      <c r="F251" s="1">
        <v>41610</v>
      </c>
      <c r="G251">
        <v>-4233.5</v>
      </c>
      <c r="H251" s="1">
        <f t="shared" si="24"/>
        <v>41610</v>
      </c>
      <c r="I251">
        <f>IF(AND(MyRowHidden(ROW())=FALSE,MyRowHidden(ROW()-1)=TRUE),0,(E251-E250)*unitsOfDHp+I250)</f>
        <v>-25060</v>
      </c>
      <c r="J251">
        <f>IF(AND(MyRowHidden(ROW())=FALSE,MyRowHidden(ROW()-1)=TRUE),0,(G251-G250)*unitsOfExo+J250)</f>
        <v>-2555136</v>
      </c>
      <c r="K251" s="9">
        <f t="shared" si="25"/>
        <v>2555136</v>
      </c>
      <c r="L251">
        <f t="shared" si="26"/>
        <v>-2580196</v>
      </c>
      <c r="M251">
        <f t="shared" si="27"/>
        <v>11</v>
      </c>
      <c r="N251">
        <f t="shared" si="28"/>
        <v>-86872.916666666773</v>
      </c>
      <c r="P251">
        <f t="shared" si="29"/>
        <v>-1184520</v>
      </c>
      <c r="Q251">
        <f t="shared" si="30"/>
        <v>1184520</v>
      </c>
      <c r="R251">
        <f t="shared" si="31"/>
        <v>-1271392.9166666677</v>
      </c>
    </row>
    <row r="252" spans="1:18" hidden="1" x14ac:dyDescent="0.25">
      <c r="A252" s="1"/>
      <c r="C252" s="1"/>
      <c r="D252" s="1">
        <v>41611</v>
      </c>
      <c r="E252" s="10">
        <v>-716</v>
      </c>
      <c r="F252" s="1">
        <v>41611</v>
      </c>
      <c r="G252">
        <v>-3896</v>
      </c>
      <c r="H252" s="1">
        <f t="shared" si="24"/>
        <v>41611</v>
      </c>
      <c r="I252">
        <f>IF(AND(MyRowHidden(ROW())=FALSE,MyRowHidden(ROW()-1)=TRUE),0,(E252-E251)*unitsOfDHp+I251)</f>
        <v>-25060</v>
      </c>
      <c r="J252">
        <f>IF(AND(MyRowHidden(ROW())=FALSE,MyRowHidden(ROW()-1)=TRUE),0,(G252-G251)*unitsOfExo+J251)</f>
        <v>-2457936</v>
      </c>
      <c r="K252" s="9">
        <f t="shared" si="25"/>
        <v>2457936</v>
      </c>
      <c r="L252">
        <f t="shared" si="26"/>
        <v>-2482996</v>
      </c>
      <c r="M252">
        <f t="shared" si="27"/>
        <v>11</v>
      </c>
      <c r="N252">
        <f t="shared" si="28"/>
        <v>-86872.916666666773</v>
      </c>
      <c r="P252">
        <f t="shared" si="29"/>
        <v>-1176420</v>
      </c>
      <c r="Q252">
        <f t="shared" si="30"/>
        <v>1176420</v>
      </c>
      <c r="R252">
        <f t="shared" si="31"/>
        <v>-1263292.9166666677</v>
      </c>
    </row>
    <row r="253" spans="1:18" hidden="1" x14ac:dyDescent="0.25">
      <c r="A253" s="1"/>
      <c r="C253" s="1"/>
      <c r="D253" s="1">
        <v>41612</v>
      </c>
      <c r="E253" s="10">
        <v>-1098</v>
      </c>
      <c r="F253" s="1">
        <v>41612</v>
      </c>
      <c r="G253">
        <v>-3621</v>
      </c>
      <c r="H253" s="1">
        <f t="shared" si="24"/>
        <v>41612</v>
      </c>
      <c r="I253">
        <f>IF(AND(MyRowHidden(ROW())=FALSE,MyRowHidden(ROW()-1)=TRUE),0,(E253-E252)*unitsOfDHp+I252)</f>
        <v>-38430</v>
      </c>
      <c r="J253">
        <f>IF(AND(MyRowHidden(ROW())=FALSE,MyRowHidden(ROW()-1)=TRUE),0,(G253-G252)*unitsOfExo+J252)</f>
        <v>-2378736</v>
      </c>
      <c r="K253" s="9">
        <f t="shared" si="25"/>
        <v>2378736</v>
      </c>
      <c r="L253">
        <f t="shared" si="26"/>
        <v>-2417166</v>
      </c>
      <c r="M253">
        <f t="shared" si="27"/>
        <v>11</v>
      </c>
      <c r="N253">
        <f t="shared" si="28"/>
        <v>-87987.083333333445</v>
      </c>
      <c r="P253">
        <f t="shared" si="29"/>
        <v>-1169820</v>
      </c>
      <c r="Q253">
        <f t="shared" si="30"/>
        <v>1169820</v>
      </c>
      <c r="R253">
        <f t="shared" si="31"/>
        <v>-1257807.0833333344</v>
      </c>
    </row>
    <row r="254" spans="1:18" hidden="1" x14ac:dyDescent="0.25">
      <c r="A254" s="1"/>
      <c r="C254" s="1"/>
      <c r="D254" s="1">
        <v>41613</v>
      </c>
      <c r="E254" s="10">
        <v>-968</v>
      </c>
      <c r="F254" s="1">
        <v>41613</v>
      </c>
      <c r="G254">
        <v>-3683.5</v>
      </c>
      <c r="H254" s="1">
        <f t="shared" si="24"/>
        <v>41613</v>
      </c>
      <c r="I254">
        <f>IF(AND(MyRowHidden(ROW())=FALSE,MyRowHidden(ROW()-1)=TRUE),0,(E254-E253)*unitsOfDHp+I253)</f>
        <v>-33880</v>
      </c>
      <c r="J254">
        <f>IF(AND(MyRowHidden(ROW())=FALSE,MyRowHidden(ROW()-1)=TRUE),0,(G254-G253)*unitsOfExo+J253)</f>
        <v>-2396736</v>
      </c>
      <c r="K254" s="9">
        <f t="shared" si="25"/>
        <v>2396736</v>
      </c>
      <c r="L254">
        <f t="shared" si="26"/>
        <v>-2430616</v>
      </c>
      <c r="M254">
        <f t="shared" si="27"/>
        <v>11</v>
      </c>
      <c r="N254">
        <f t="shared" si="28"/>
        <v>-87607.916666666773</v>
      </c>
      <c r="P254">
        <f t="shared" si="29"/>
        <v>-1171320</v>
      </c>
      <c r="Q254">
        <f t="shared" si="30"/>
        <v>1171320</v>
      </c>
      <c r="R254">
        <f t="shared" si="31"/>
        <v>-1258927.9166666677</v>
      </c>
    </row>
    <row r="255" spans="1:18" hidden="1" x14ac:dyDescent="0.25">
      <c r="A255" s="1"/>
      <c r="C255" s="1"/>
      <c r="D255" s="1">
        <v>41614</v>
      </c>
      <c r="E255" s="10">
        <v>-704</v>
      </c>
      <c r="F255" s="1">
        <v>41614</v>
      </c>
      <c r="G255">
        <v>-3821</v>
      </c>
      <c r="H255" s="1">
        <f t="shared" si="24"/>
        <v>41614</v>
      </c>
      <c r="I255">
        <f>IF(AND(MyRowHidden(ROW())=FALSE,MyRowHidden(ROW()-1)=TRUE),0,(E255-E254)*unitsOfDHp+I254)</f>
        <v>-24640</v>
      </c>
      <c r="J255">
        <f>IF(AND(MyRowHidden(ROW())=FALSE,MyRowHidden(ROW()-1)=TRUE),0,(G255-G254)*unitsOfExo+J254)</f>
        <v>-2436336</v>
      </c>
      <c r="K255" s="9">
        <f t="shared" si="25"/>
        <v>2436336</v>
      </c>
      <c r="L255">
        <f t="shared" si="26"/>
        <v>-2460976</v>
      </c>
      <c r="M255">
        <f t="shared" si="27"/>
        <v>11</v>
      </c>
      <c r="N255">
        <f t="shared" si="28"/>
        <v>-86837.916666666773</v>
      </c>
      <c r="P255">
        <f t="shared" si="29"/>
        <v>-1174620</v>
      </c>
      <c r="Q255">
        <f t="shared" si="30"/>
        <v>1174620</v>
      </c>
      <c r="R255">
        <f t="shared" si="31"/>
        <v>-1261457.9166666677</v>
      </c>
    </row>
    <row r="256" spans="1:18" hidden="1" x14ac:dyDescent="0.25">
      <c r="A256" s="1"/>
      <c r="C256" s="1"/>
      <c r="D256" s="1">
        <v>41617</v>
      </c>
      <c r="E256" s="10">
        <v>-1654</v>
      </c>
      <c r="F256" s="1">
        <v>41617</v>
      </c>
      <c r="G256">
        <v>-3546</v>
      </c>
      <c r="H256" s="1">
        <f t="shared" si="24"/>
        <v>41617</v>
      </c>
      <c r="I256">
        <f>IF(AND(MyRowHidden(ROW())=FALSE,MyRowHidden(ROW()-1)=TRUE),0,(E256-E255)*unitsOfDHp+I255)</f>
        <v>-57890</v>
      </c>
      <c r="J256">
        <f>IF(AND(MyRowHidden(ROW())=FALSE,MyRowHidden(ROW()-1)=TRUE),0,(G256-G255)*unitsOfExo+J255)</f>
        <v>-2357136</v>
      </c>
      <c r="K256" s="9">
        <f t="shared" si="25"/>
        <v>2357136</v>
      </c>
      <c r="L256">
        <f t="shared" si="26"/>
        <v>-2415026</v>
      </c>
      <c r="M256">
        <f t="shared" si="27"/>
        <v>11</v>
      </c>
      <c r="N256">
        <f t="shared" si="28"/>
        <v>-89608.750000000102</v>
      </c>
      <c r="P256">
        <f t="shared" si="29"/>
        <v>-1168020</v>
      </c>
      <c r="Q256">
        <f t="shared" si="30"/>
        <v>1168020</v>
      </c>
      <c r="R256">
        <f t="shared" si="31"/>
        <v>-1257628.7500000009</v>
      </c>
    </row>
    <row r="257" spans="1:18" hidden="1" x14ac:dyDescent="0.25">
      <c r="A257" s="1"/>
      <c r="C257" s="1"/>
      <c r="D257" s="1">
        <v>41618</v>
      </c>
      <c r="E257" s="10">
        <v>-1492</v>
      </c>
      <c r="F257" s="1">
        <v>41618</v>
      </c>
      <c r="G257">
        <v>-3633.5</v>
      </c>
      <c r="H257" s="1">
        <f t="shared" si="24"/>
        <v>41618</v>
      </c>
      <c r="I257">
        <f>IF(AND(MyRowHidden(ROW())=FALSE,MyRowHidden(ROW()-1)=TRUE),0,(E257-E256)*unitsOfDHp+I256)</f>
        <v>-52220</v>
      </c>
      <c r="J257">
        <f>IF(AND(MyRowHidden(ROW())=FALSE,MyRowHidden(ROW()-1)=TRUE),0,(G257-G256)*unitsOfExo+J256)</f>
        <v>-2382336</v>
      </c>
      <c r="K257" s="9">
        <f t="shared" si="25"/>
        <v>2382336</v>
      </c>
      <c r="L257">
        <f t="shared" si="26"/>
        <v>-2434556</v>
      </c>
      <c r="M257">
        <f t="shared" si="27"/>
        <v>11</v>
      </c>
      <c r="N257">
        <f t="shared" si="28"/>
        <v>-89136.250000000102</v>
      </c>
      <c r="P257">
        <f t="shared" si="29"/>
        <v>-1170120</v>
      </c>
      <c r="Q257">
        <f t="shared" si="30"/>
        <v>1170120</v>
      </c>
      <c r="R257">
        <f t="shared" si="31"/>
        <v>-1259256.2500000009</v>
      </c>
    </row>
    <row r="258" spans="1:18" hidden="1" x14ac:dyDescent="0.25">
      <c r="A258" s="1"/>
      <c r="C258" s="1"/>
      <c r="D258" s="1">
        <v>41619</v>
      </c>
      <c r="E258" s="10">
        <v>-2167</v>
      </c>
      <c r="F258" s="1">
        <v>41619</v>
      </c>
      <c r="G258">
        <v>-3483.5</v>
      </c>
      <c r="H258" s="1">
        <f t="shared" si="24"/>
        <v>41619</v>
      </c>
      <c r="I258">
        <f>IF(AND(MyRowHidden(ROW())=FALSE,MyRowHidden(ROW()-1)=TRUE),0,(E258-E257)*unitsOfDHp+I257)</f>
        <v>-75845</v>
      </c>
      <c r="J258">
        <f>IF(AND(MyRowHidden(ROW())=FALSE,MyRowHidden(ROW()-1)=TRUE),0,(G258-G257)*unitsOfExo+J257)</f>
        <v>-2339136</v>
      </c>
      <c r="K258" s="9">
        <f t="shared" si="25"/>
        <v>2339136</v>
      </c>
      <c r="L258">
        <f t="shared" si="26"/>
        <v>-2414981</v>
      </c>
      <c r="M258">
        <f t="shared" si="27"/>
        <v>11</v>
      </c>
      <c r="N258">
        <f t="shared" si="28"/>
        <v>-91105.000000000102</v>
      </c>
      <c r="P258">
        <f t="shared" si="29"/>
        <v>-1166520</v>
      </c>
      <c r="Q258">
        <f t="shared" si="30"/>
        <v>1166520</v>
      </c>
      <c r="R258">
        <f t="shared" si="31"/>
        <v>-1257625.0000000009</v>
      </c>
    </row>
    <row r="259" spans="1:18" hidden="1" x14ac:dyDescent="0.25">
      <c r="A259" s="1"/>
      <c r="C259" s="1"/>
      <c r="D259" s="1">
        <v>41620</v>
      </c>
      <c r="E259" s="10">
        <v>608</v>
      </c>
      <c r="F259" s="1">
        <v>41620</v>
      </c>
      <c r="G259">
        <v>-3771</v>
      </c>
      <c r="H259" s="1">
        <f t="shared" si="24"/>
        <v>41620</v>
      </c>
      <c r="I259">
        <f>IF(AND(MyRowHidden(ROW())=FALSE,MyRowHidden(ROW()-1)=TRUE),0,(E259-E258)*unitsOfDHp+I258)</f>
        <v>21280</v>
      </c>
      <c r="J259">
        <f>IF(AND(MyRowHidden(ROW())=FALSE,MyRowHidden(ROW()-1)=TRUE),0,(G259-G258)*unitsOfExo+J258)</f>
        <v>-2421936</v>
      </c>
      <c r="K259" s="9">
        <f t="shared" si="25"/>
        <v>2421936</v>
      </c>
      <c r="L259">
        <f t="shared" si="26"/>
        <v>-2400656</v>
      </c>
      <c r="M259">
        <f t="shared" si="27"/>
        <v>11</v>
      </c>
      <c r="N259">
        <f t="shared" si="28"/>
        <v>-83011.250000000102</v>
      </c>
      <c r="P259">
        <f t="shared" si="29"/>
        <v>-1173420</v>
      </c>
      <c r="Q259">
        <f t="shared" si="30"/>
        <v>1173420</v>
      </c>
      <c r="R259">
        <f t="shared" si="31"/>
        <v>-1256431.2500000009</v>
      </c>
    </row>
    <row r="260" spans="1:18" hidden="1" x14ac:dyDescent="0.25">
      <c r="A260" s="1"/>
      <c r="C260" s="1"/>
      <c r="D260" s="1">
        <v>41621</v>
      </c>
      <c r="E260" s="10">
        <v>2043</v>
      </c>
      <c r="F260" s="1">
        <v>41621</v>
      </c>
      <c r="G260">
        <v>-4108.5</v>
      </c>
      <c r="H260" s="1">
        <f t="shared" si="24"/>
        <v>41621</v>
      </c>
      <c r="I260">
        <f>IF(AND(MyRowHidden(ROW())=FALSE,MyRowHidden(ROW()-1)=TRUE),0,(E260-E259)*unitsOfDHp+I259)</f>
        <v>71505</v>
      </c>
      <c r="J260">
        <f>IF(AND(MyRowHidden(ROW())=FALSE,MyRowHidden(ROW()-1)=TRUE),0,(G260-G259)*unitsOfExo+J259)</f>
        <v>-2519136</v>
      </c>
      <c r="K260" s="9">
        <f t="shared" si="25"/>
        <v>2519136</v>
      </c>
      <c r="L260">
        <f t="shared" si="26"/>
        <v>-2447631</v>
      </c>
      <c r="M260">
        <f t="shared" si="27"/>
        <v>11</v>
      </c>
      <c r="N260">
        <f t="shared" si="28"/>
        <v>-78825.83333333343</v>
      </c>
      <c r="P260">
        <f t="shared" si="29"/>
        <v>-1181520</v>
      </c>
      <c r="Q260">
        <f t="shared" si="30"/>
        <v>1181520</v>
      </c>
      <c r="R260">
        <f t="shared" si="31"/>
        <v>-1260345.8333333342</v>
      </c>
    </row>
    <row r="261" spans="1:18" hidden="1" x14ac:dyDescent="0.25">
      <c r="A261" s="1"/>
      <c r="C261" s="1"/>
      <c r="D261" s="1">
        <v>41624</v>
      </c>
      <c r="E261" s="10">
        <v>2148</v>
      </c>
      <c r="F261" s="1">
        <v>41624</v>
      </c>
      <c r="G261">
        <v>-4171</v>
      </c>
      <c r="H261" s="1">
        <f t="shared" si="24"/>
        <v>41624</v>
      </c>
      <c r="I261">
        <f>IF(AND(MyRowHidden(ROW())=FALSE,MyRowHidden(ROW()-1)=TRUE),0,(E261-E260)*unitsOfDHp+I260)</f>
        <v>75180</v>
      </c>
      <c r="J261">
        <f>IF(AND(MyRowHidden(ROW())=FALSE,MyRowHidden(ROW()-1)=TRUE),0,(G261-G260)*unitsOfExo+J260)</f>
        <v>-2537136</v>
      </c>
      <c r="K261" s="9">
        <f t="shared" si="25"/>
        <v>2537136</v>
      </c>
      <c r="L261">
        <f t="shared" si="26"/>
        <v>-2461956</v>
      </c>
      <c r="M261">
        <f t="shared" si="27"/>
        <v>11</v>
      </c>
      <c r="N261">
        <f t="shared" si="28"/>
        <v>-78519.58333333343</v>
      </c>
      <c r="P261">
        <f t="shared" si="29"/>
        <v>-1183020</v>
      </c>
      <c r="Q261">
        <f t="shared" si="30"/>
        <v>1183020</v>
      </c>
      <c r="R261">
        <f t="shared" si="31"/>
        <v>-1261539.5833333342</v>
      </c>
    </row>
    <row r="262" spans="1:18" hidden="1" x14ac:dyDescent="0.25">
      <c r="A262" s="1"/>
      <c r="C262" s="1"/>
      <c r="D262" s="1">
        <v>41625</v>
      </c>
      <c r="E262" s="10">
        <v>1948</v>
      </c>
      <c r="F262" s="1">
        <v>41625</v>
      </c>
      <c r="G262">
        <v>-4071</v>
      </c>
      <c r="H262" s="1">
        <f t="shared" si="24"/>
        <v>41625</v>
      </c>
      <c r="I262">
        <f>IF(AND(MyRowHidden(ROW())=FALSE,MyRowHidden(ROW()-1)=TRUE),0,(E262-E261)*unitsOfDHp+I261)</f>
        <v>68180</v>
      </c>
      <c r="J262">
        <f>IF(AND(MyRowHidden(ROW())=FALSE,MyRowHidden(ROW()-1)=TRUE),0,(G262-G261)*unitsOfExo+J261)</f>
        <v>-2508336</v>
      </c>
      <c r="K262" s="9">
        <f t="shared" si="25"/>
        <v>2508336</v>
      </c>
      <c r="L262">
        <f t="shared" si="26"/>
        <v>-2440156</v>
      </c>
      <c r="M262">
        <f t="shared" si="27"/>
        <v>11</v>
      </c>
      <c r="N262">
        <f t="shared" si="28"/>
        <v>-79102.916666666759</v>
      </c>
      <c r="P262">
        <f t="shared" si="29"/>
        <v>-1180620</v>
      </c>
      <c r="Q262">
        <f t="shared" si="30"/>
        <v>1180620</v>
      </c>
      <c r="R262">
        <f t="shared" si="31"/>
        <v>-1259722.9166666674</v>
      </c>
    </row>
    <row r="263" spans="1:18" hidden="1" x14ac:dyDescent="0.25">
      <c r="A263" s="1"/>
      <c r="C263" s="1"/>
      <c r="D263" s="1">
        <v>41626</v>
      </c>
      <c r="E263" s="10">
        <v>2167</v>
      </c>
      <c r="F263" s="1">
        <v>41626</v>
      </c>
      <c r="G263">
        <v>-4171</v>
      </c>
      <c r="H263" s="1">
        <f t="shared" si="24"/>
        <v>41626</v>
      </c>
      <c r="I263">
        <f>IF(AND(MyRowHidden(ROW())=FALSE,MyRowHidden(ROW()-1)=TRUE),0,(E263-E262)*unitsOfDHp+I262)</f>
        <v>75845</v>
      </c>
      <c r="J263">
        <f>IF(AND(MyRowHidden(ROW())=FALSE,MyRowHidden(ROW()-1)=TRUE),0,(G263-G262)*unitsOfExo+J262)</f>
        <v>-2537136</v>
      </c>
      <c r="K263" s="9">
        <f t="shared" si="25"/>
        <v>2537136</v>
      </c>
      <c r="L263">
        <f t="shared" si="26"/>
        <v>-2461291</v>
      </c>
      <c r="M263">
        <f t="shared" si="27"/>
        <v>11</v>
      </c>
      <c r="N263">
        <f t="shared" si="28"/>
        <v>-78464.166666666759</v>
      </c>
      <c r="P263">
        <f t="shared" si="29"/>
        <v>-1183020</v>
      </c>
      <c r="Q263">
        <f t="shared" si="30"/>
        <v>1183020</v>
      </c>
      <c r="R263">
        <f t="shared" si="31"/>
        <v>-1261484.1666666674</v>
      </c>
    </row>
    <row r="264" spans="1:18" hidden="1" x14ac:dyDescent="0.25">
      <c r="A264" s="1"/>
      <c r="C264" s="1"/>
      <c r="D264" s="1">
        <v>41627</v>
      </c>
      <c r="E264" s="10">
        <v>1717</v>
      </c>
      <c r="F264" s="1">
        <v>41627</v>
      </c>
      <c r="G264">
        <v>-3958.5</v>
      </c>
      <c r="H264" s="1">
        <f t="shared" si="24"/>
        <v>41627</v>
      </c>
      <c r="I264">
        <f>IF(AND(MyRowHidden(ROW())=FALSE,MyRowHidden(ROW()-1)=TRUE),0,(E264-E263)*unitsOfDHp+I263)</f>
        <v>60095</v>
      </c>
      <c r="J264">
        <f>IF(AND(MyRowHidden(ROW())=FALSE,MyRowHidden(ROW()-1)=TRUE),0,(G264-G263)*unitsOfExo+J263)</f>
        <v>-2475936</v>
      </c>
      <c r="K264" s="9">
        <f t="shared" si="25"/>
        <v>2475936</v>
      </c>
      <c r="L264">
        <f t="shared" si="26"/>
        <v>-2415841</v>
      </c>
      <c r="M264">
        <f t="shared" si="27"/>
        <v>11</v>
      </c>
      <c r="N264">
        <f t="shared" si="28"/>
        <v>-79776.666666666759</v>
      </c>
      <c r="P264">
        <f t="shared" si="29"/>
        <v>-1177920</v>
      </c>
      <c r="Q264">
        <f t="shared" si="30"/>
        <v>1177920</v>
      </c>
      <c r="R264">
        <f t="shared" si="31"/>
        <v>-1257696.6666666674</v>
      </c>
    </row>
    <row r="265" spans="1:18" hidden="1" x14ac:dyDescent="0.25">
      <c r="A265" s="1"/>
      <c r="C265" s="1"/>
      <c r="D265" s="1">
        <v>41628</v>
      </c>
      <c r="E265" s="10">
        <v>1521</v>
      </c>
      <c r="F265" s="1">
        <v>41628</v>
      </c>
      <c r="G265">
        <v>-3796</v>
      </c>
      <c r="H265" s="1">
        <f t="shared" si="24"/>
        <v>41628</v>
      </c>
      <c r="I265">
        <f>IF(AND(MyRowHidden(ROW())=FALSE,MyRowHidden(ROW()-1)=TRUE),0,(E265-E264)*unitsOfDHp+I264)</f>
        <v>53235</v>
      </c>
      <c r="J265">
        <f>IF(AND(MyRowHidden(ROW())=FALSE,MyRowHidden(ROW()-1)=TRUE),0,(G265-G264)*unitsOfExo+J264)</f>
        <v>-2429136</v>
      </c>
      <c r="K265" s="9">
        <f t="shared" si="25"/>
        <v>2429136</v>
      </c>
      <c r="L265">
        <f t="shared" si="26"/>
        <v>-2375901</v>
      </c>
      <c r="M265">
        <f t="shared" si="27"/>
        <v>11</v>
      </c>
      <c r="N265">
        <f t="shared" si="28"/>
        <v>-80348.33333333343</v>
      </c>
      <c r="P265">
        <f t="shared" si="29"/>
        <v>-1174020</v>
      </c>
      <c r="Q265">
        <f t="shared" si="30"/>
        <v>1174020</v>
      </c>
      <c r="R265">
        <f t="shared" si="31"/>
        <v>-1254368.3333333342</v>
      </c>
    </row>
    <row r="266" spans="1:18" hidden="1" x14ac:dyDescent="0.25">
      <c r="A266" s="1"/>
      <c r="C266" s="1"/>
      <c r="D266" s="1">
        <v>41631</v>
      </c>
      <c r="E266" s="10">
        <v>1574</v>
      </c>
      <c r="F266" s="1">
        <v>41631</v>
      </c>
      <c r="G266">
        <v>-3708.5</v>
      </c>
      <c r="H266" s="1">
        <f t="shared" si="24"/>
        <v>41631</v>
      </c>
      <c r="I266">
        <f>IF(AND(MyRowHidden(ROW())=FALSE,MyRowHidden(ROW()-1)=TRUE),0,(E266-E265)*unitsOfDHp+I265)</f>
        <v>55090</v>
      </c>
      <c r="J266">
        <f>IF(AND(MyRowHidden(ROW())=FALSE,MyRowHidden(ROW()-1)=TRUE),0,(G266-G265)*unitsOfExo+J265)</f>
        <v>-2403936</v>
      </c>
      <c r="K266" s="9">
        <f t="shared" si="25"/>
        <v>2403936</v>
      </c>
      <c r="L266">
        <f t="shared" si="26"/>
        <v>-2348846</v>
      </c>
      <c r="M266">
        <f t="shared" si="27"/>
        <v>11</v>
      </c>
      <c r="N266">
        <f t="shared" si="28"/>
        <v>-80193.750000000102</v>
      </c>
      <c r="P266">
        <f t="shared" si="29"/>
        <v>-1171920</v>
      </c>
      <c r="Q266">
        <f t="shared" si="30"/>
        <v>1171920</v>
      </c>
      <c r="R266">
        <f t="shared" si="31"/>
        <v>-1252113.7500000009</v>
      </c>
    </row>
    <row r="267" spans="1:18" hidden="1" x14ac:dyDescent="0.25">
      <c r="A267" s="1"/>
      <c r="C267" s="1"/>
      <c r="D267" s="1">
        <v>41632</v>
      </c>
      <c r="E267" s="10">
        <v>1552</v>
      </c>
      <c r="F267" s="1">
        <v>41632</v>
      </c>
      <c r="G267">
        <v>-3696</v>
      </c>
      <c r="H267" s="1">
        <f t="shared" si="24"/>
        <v>41632</v>
      </c>
      <c r="I267">
        <f>IF(AND(MyRowHidden(ROW())=FALSE,MyRowHidden(ROW()-1)=TRUE),0,(E267-E266)*unitsOfDHp+I266)</f>
        <v>54320</v>
      </c>
      <c r="J267">
        <f>IF(AND(MyRowHidden(ROW())=FALSE,MyRowHidden(ROW()-1)=TRUE),0,(G267-G266)*unitsOfExo+J266)</f>
        <v>-2400336</v>
      </c>
      <c r="K267" s="9">
        <f t="shared" si="25"/>
        <v>2400336</v>
      </c>
      <c r="L267">
        <f t="shared" si="26"/>
        <v>-2346016</v>
      </c>
      <c r="M267">
        <f t="shared" si="27"/>
        <v>11</v>
      </c>
      <c r="N267">
        <f t="shared" si="28"/>
        <v>-80257.916666666773</v>
      </c>
      <c r="P267">
        <f t="shared" si="29"/>
        <v>-1171620</v>
      </c>
      <c r="Q267">
        <f t="shared" si="30"/>
        <v>1171620</v>
      </c>
      <c r="R267">
        <f t="shared" si="31"/>
        <v>-1251877.9166666677</v>
      </c>
    </row>
    <row r="268" spans="1:18" hidden="1" x14ac:dyDescent="0.25">
      <c r="A268" s="1"/>
      <c r="C268" s="1"/>
      <c r="D268" s="1">
        <v>41633</v>
      </c>
      <c r="E268" s="10">
        <v>1482</v>
      </c>
      <c r="F268" s="1">
        <v>41633</v>
      </c>
      <c r="G268">
        <v>-3983.5</v>
      </c>
      <c r="H268" s="1">
        <f t="shared" si="24"/>
        <v>41633</v>
      </c>
      <c r="I268">
        <f>IF(AND(MyRowHidden(ROW())=FALSE,MyRowHidden(ROW()-1)=TRUE),0,(E268-E267)*unitsOfDHp+I267)</f>
        <v>51870</v>
      </c>
      <c r="J268">
        <f>IF(AND(MyRowHidden(ROW())=FALSE,MyRowHidden(ROW()-1)=TRUE),0,(G268-G267)*unitsOfExo+J267)</f>
        <v>-2483136</v>
      </c>
      <c r="K268" s="9">
        <f t="shared" si="25"/>
        <v>2483136</v>
      </c>
      <c r="L268">
        <f t="shared" si="26"/>
        <v>-2431266</v>
      </c>
      <c r="M268">
        <f t="shared" si="27"/>
        <v>11</v>
      </c>
      <c r="N268">
        <f t="shared" si="28"/>
        <v>-80462.083333333445</v>
      </c>
      <c r="P268">
        <f t="shared" si="29"/>
        <v>-1178520</v>
      </c>
      <c r="Q268">
        <f t="shared" si="30"/>
        <v>1178520</v>
      </c>
      <c r="R268">
        <f t="shared" si="31"/>
        <v>-1258982.0833333344</v>
      </c>
    </row>
    <row r="269" spans="1:18" hidden="1" x14ac:dyDescent="0.25">
      <c r="A269" s="1"/>
      <c r="C269" s="1"/>
      <c r="D269" s="1">
        <v>41634</v>
      </c>
      <c r="E269" s="10">
        <v>1311</v>
      </c>
      <c r="F269" s="1">
        <v>41634</v>
      </c>
      <c r="G269">
        <v>-4058.5</v>
      </c>
      <c r="H269" s="1">
        <f>D269</f>
        <v>41634</v>
      </c>
      <c r="I269">
        <f>IF(AND(MyRowHidden(ROW())=FALSE,MyRowHidden(ROW()-1)=TRUE),0,(E269-E268)*unitsOfDHp+I268)</f>
        <v>45885</v>
      </c>
      <c r="J269">
        <f>IF(AND(MyRowHidden(ROW())=FALSE,MyRowHidden(ROW()-1)=TRUE),0,(G269-G268)*unitsOfExo+J268)</f>
        <v>-2504736</v>
      </c>
      <c r="K269" s="9">
        <f>-(J269-J268)+K268</f>
        <v>2504736</v>
      </c>
      <c r="L269">
        <f>I269+J269</f>
        <v>-2458851</v>
      </c>
      <c r="M269">
        <f>IF(MONTH(H269)&lt;&gt;MONTH(H268),M268+1,M268)</f>
        <v>11</v>
      </c>
      <c r="N269">
        <f>IF(M269&lt;totalMonths,(totalMonths-M269)/totalMonths *(I269-I268)+N268,0)</f>
        <v>-80960.833333333445</v>
      </c>
      <c r="P269">
        <f t="shared" si="29"/>
        <v>-1180320</v>
      </c>
      <c r="Q269">
        <f t="shared" si="30"/>
        <v>1180320</v>
      </c>
      <c r="R269">
        <f t="shared" si="31"/>
        <v>-1261280.8333333344</v>
      </c>
    </row>
    <row r="270" spans="1:18" hidden="1" x14ac:dyDescent="0.25">
      <c r="A270" s="1"/>
      <c r="C270" s="1"/>
      <c r="D270" s="1">
        <v>41635</v>
      </c>
      <c r="E270" s="10">
        <v>1288</v>
      </c>
      <c r="F270" s="1">
        <v>41635</v>
      </c>
      <c r="G270">
        <v>-4071</v>
      </c>
      <c r="H270" s="1">
        <f>D270</f>
        <v>41635</v>
      </c>
      <c r="I270">
        <f>IF(AND(MyRowHidden(ROW())=FALSE,MyRowHidden(ROW()-1)=TRUE),0,(E270-E269)*unitsOfDHp+I269)</f>
        <v>45080</v>
      </c>
      <c r="J270">
        <f>IF(AND(MyRowHidden(ROW())=FALSE,MyRowHidden(ROW()-1)=TRUE),0,(G270-G269)*unitsOfExo+J269)</f>
        <v>-2508336</v>
      </c>
      <c r="K270" s="9">
        <f>-(J270-J269)+K269</f>
        <v>2508336</v>
      </c>
      <c r="L270">
        <f>I270+J270</f>
        <v>-2463256</v>
      </c>
      <c r="M270">
        <f>IF(MONTH(H270)&lt;&gt;MONTH(H269),M269+1,M269)</f>
        <v>11</v>
      </c>
      <c r="N270">
        <f>IF(M270&lt;totalMonths,(totalMonths-M270)/totalMonths *(I270-I269)+N269,0)</f>
        <v>-81027.916666666773</v>
      </c>
      <c r="P270">
        <f t="shared" si="29"/>
        <v>-1180620</v>
      </c>
      <c r="Q270">
        <f t="shared" si="30"/>
        <v>1180620</v>
      </c>
      <c r="R270">
        <f t="shared" si="31"/>
        <v>-1261647.9166666677</v>
      </c>
    </row>
    <row r="271" spans="1:18" hidden="1" x14ac:dyDescent="0.25">
      <c r="A271" s="1"/>
      <c r="C271" s="1"/>
      <c r="D271" s="1">
        <v>41638</v>
      </c>
      <c r="E271" s="10">
        <v>1378</v>
      </c>
      <c r="F271" s="1">
        <v>41638</v>
      </c>
      <c r="G271">
        <v>-4246</v>
      </c>
      <c r="H271" s="1">
        <f>D271</f>
        <v>41638</v>
      </c>
      <c r="I271">
        <f>IF(AND(MyRowHidden(ROW())=FALSE,MyRowHidden(ROW()-1)=TRUE),0,(E271-E270)*unitsOfDHp+I270)</f>
        <v>48230</v>
      </c>
      <c r="J271">
        <f>IF(AND(MyRowHidden(ROW())=FALSE,MyRowHidden(ROW()-1)=TRUE),0,(G271-G270)*unitsOfExo+J270)</f>
        <v>-2558736</v>
      </c>
      <c r="K271" s="9">
        <f>-(J271-J270)+K270</f>
        <v>2558736</v>
      </c>
      <c r="L271">
        <f>I271+J271</f>
        <v>-2510506</v>
      </c>
      <c r="M271">
        <f>IF(MONTH(H271)&lt;&gt;MONTH(H270),M270+1,M270)</f>
        <v>11</v>
      </c>
      <c r="N271">
        <f>IF(M271&lt;totalMonths,(totalMonths-M271)/totalMonths *(I271-I270)+N270,0)</f>
        <v>-80765.416666666773</v>
      </c>
      <c r="P271">
        <f t="shared" si="29"/>
        <v>-1184820</v>
      </c>
      <c r="Q271">
        <f t="shared" si="30"/>
        <v>1184820</v>
      </c>
      <c r="R271">
        <f t="shared" si="31"/>
        <v>-1265585.4166666677</v>
      </c>
    </row>
    <row r="272" spans="1:18" hidden="1" x14ac:dyDescent="0.25">
      <c r="A272" s="1"/>
      <c r="C272" s="1"/>
      <c r="D272" s="1">
        <v>41639</v>
      </c>
      <c r="E272" s="10">
        <v>1366</v>
      </c>
      <c r="F272" s="1">
        <v>41639</v>
      </c>
      <c r="G272">
        <v>-4296</v>
      </c>
      <c r="H272" s="1">
        <f>D272</f>
        <v>41639</v>
      </c>
      <c r="I272">
        <f>IF(AND(MyRowHidden(ROW())=FALSE,MyRowHidden(ROW()-1)=TRUE),0,(E272-E271)*unitsOfDHp+I271)</f>
        <v>47810</v>
      </c>
      <c r="J272">
        <f>IF(AND(MyRowHidden(ROW())=FALSE,MyRowHidden(ROW()-1)=TRUE),0,(G272-G271)*unitsOfExo+J271)</f>
        <v>-2573136</v>
      </c>
      <c r="K272" s="9">
        <f>-(J272-J271)+K271</f>
        <v>2573136</v>
      </c>
      <c r="L272">
        <f>I272+J272</f>
        <v>-2525326</v>
      </c>
      <c r="M272">
        <f>IF(MONTH(H272)&lt;&gt;MONTH(H271),M271+1,M271)</f>
        <v>11</v>
      </c>
      <c r="N272">
        <f>IF(M272&lt;totalMonths,(totalMonths-M272)/totalMonths *(I272-I271)+N271,0)</f>
        <v>-80800.416666666773</v>
      </c>
      <c r="P272">
        <f t="shared" si="29"/>
        <v>-1186020</v>
      </c>
      <c r="Q272">
        <f t="shared" si="30"/>
        <v>1186020</v>
      </c>
      <c r="R272">
        <f t="shared" si="31"/>
        <v>-1266820.4166666677</v>
      </c>
    </row>
    <row r="273" spans="1:18" hidden="1" x14ac:dyDescent="0.25">
      <c r="A273" s="1"/>
      <c r="C273" s="1"/>
      <c r="D273" s="1">
        <v>41640</v>
      </c>
      <c r="E273" s="10">
        <v>1330</v>
      </c>
      <c r="F273" s="1">
        <v>41640</v>
      </c>
      <c r="G273">
        <v>-4320.5</v>
      </c>
      <c r="H273" s="1">
        <f t="shared" ref="H273:H336" si="32">D273</f>
        <v>41640</v>
      </c>
      <c r="I273">
        <f>IF(AND(MyRowHidden(ROW())=FALSE,MyRowHidden(ROW()-1)=TRUE),0,(E273-E272)*unitsOfDHp+I272)</f>
        <v>46550</v>
      </c>
      <c r="J273">
        <f>IF(AND(MyRowHidden(ROW())=FALSE,MyRowHidden(ROW()-1)=TRUE),0,(G273-G272)*unitsOfExo+J272)</f>
        <v>-2580192</v>
      </c>
      <c r="K273" s="9">
        <f t="shared" ref="K273:K336" si="33">-(J273-J272)+K272</f>
        <v>2580192</v>
      </c>
      <c r="L273">
        <f t="shared" ref="L273:L336" si="34">I273+J273</f>
        <v>-2533642</v>
      </c>
      <c r="M273">
        <f>IF(AND(MyRowHidden(ROW())=FALSE,MyRowHidden(ROW()-1)=TRUE),0,IF(MONTH(H273)&lt;&gt;MONTH(H272),M272+1,M272))</f>
        <v>12</v>
      </c>
      <c r="N273">
        <f>IF(AND(MyRowHidden(ROW())=FALSE,MyRowHidden(ROW()-1)=TRUE),0,IF(M273&lt;totalMonths,(totalMonths-M273)/totalMonths *(I273-I272)+N272,0))</f>
        <v>0</v>
      </c>
      <c r="P273">
        <f>IF(AND(MyRowHidden(ROW())=FALSE,MyRowHidden(ROW()-1)=TRUE),0,IF(M273&lt;totalMonths,(totalMonths-M273)/totalMonths *(J273-J272)+P272,0))</f>
        <v>0</v>
      </c>
      <c r="Q273">
        <f>IF(AND(MyRowHidden(ROW())=FALSE,MyRowHidden(ROW()-1)=TRUE),0,IF(M273&lt;totalMonths,(totalMonths-M273)/totalMonths *(K273-K272)+Q272,0))</f>
        <v>0</v>
      </c>
      <c r="R273">
        <f>IF(AND(MyRowHidden(ROW())=FALSE,MyRowHidden(ROW()-1)=TRUE),0,IF(M273&lt;totalMonths,(totalMonths-M273)/totalMonths *(L273-L272)+R272,0))</f>
        <v>0</v>
      </c>
    </row>
    <row r="274" spans="1:18" hidden="1" x14ac:dyDescent="0.25">
      <c r="A274" s="1"/>
      <c r="C274" s="1"/>
      <c r="D274" s="1">
        <v>41641</v>
      </c>
      <c r="E274" s="10">
        <v>1390</v>
      </c>
      <c r="F274" s="1">
        <v>41641</v>
      </c>
      <c r="G274">
        <v>-4508</v>
      </c>
      <c r="H274" s="1">
        <f t="shared" si="32"/>
        <v>41641</v>
      </c>
      <c r="I274">
        <f>IF(AND(MyRowHidden(ROW())=FALSE,MyRowHidden(ROW()-1)=TRUE),0,(E274-E273)*unitsOfDHp+I273)</f>
        <v>48650</v>
      </c>
      <c r="J274">
        <f>IF(AND(MyRowHidden(ROW())=FALSE,MyRowHidden(ROW()-1)=TRUE),0,(G274-G273)*unitsOfExo+J273)</f>
        <v>-2634192</v>
      </c>
      <c r="K274" s="9">
        <f t="shared" si="33"/>
        <v>2634192</v>
      </c>
      <c r="L274">
        <f t="shared" si="34"/>
        <v>-2585542</v>
      </c>
      <c r="M274">
        <f>IF(AND(MyRowHidden(ROW())=FALSE,MyRowHidden(ROW()-1)=TRUE),0,IF(MONTH(H274)&lt;&gt;MONTH(H273),M273+1,M273))</f>
        <v>12</v>
      </c>
      <c r="N274">
        <f>IF(AND(MyRowHidden(ROW())=FALSE,MyRowHidden(ROW()-1)=TRUE),0,IF(M274&lt;totalMonths,(totalMonths-M274)/totalMonths *(I274-I273)+N273,0))</f>
        <v>0</v>
      </c>
      <c r="P274">
        <f>IF(AND(MyRowHidden(ROW())=FALSE,MyRowHidden(ROW()-1)=TRUE),0,IF(M274&lt;totalMonths,(totalMonths-M274)/totalMonths *(J274-J273)+P273,0))</f>
        <v>0</v>
      </c>
      <c r="Q274">
        <f>IF(AND(MyRowHidden(ROW())=FALSE,MyRowHidden(ROW()-1)=TRUE),0,IF(M274&lt;totalMonths,(totalMonths-M274)/totalMonths *(K274-K273)+Q273,0))</f>
        <v>0</v>
      </c>
      <c r="R274">
        <f>IF(AND(MyRowHidden(ROW())=FALSE,MyRowHidden(ROW()-1)=TRUE),0,IF(M274&lt;totalMonths,(totalMonths-M274)/totalMonths *(L274-L273)+R273,0))</f>
        <v>0</v>
      </c>
    </row>
    <row r="275" spans="1:18" hidden="1" x14ac:dyDescent="0.25">
      <c r="A275" s="1"/>
      <c r="C275" s="1"/>
      <c r="D275" s="1">
        <v>41642</v>
      </c>
      <c r="E275" s="10">
        <v>530</v>
      </c>
      <c r="F275" s="1">
        <v>41642</v>
      </c>
      <c r="G275">
        <v>-4258</v>
      </c>
      <c r="H275" s="1">
        <f t="shared" si="32"/>
        <v>41642</v>
      </c>
      <c r="I275">
        <f>IF(AND(MyRowHidden(ROW())=FALSE,MyRowHidden(ROW()-1)=TRUE),0,(E275-E274)*unitsOfDHp+I274)</f>
        <v>18550</v>
      </c>
      <c r="J275">
        <f>IF(AND(MyRowHidden(ROW())=FALSE,MyRowHidden(ROW()-1)=TRUE),0,(G275-G274)*unitsOfExo+J274)</f>
        <v>-2562192</v>
      </c>
      <c r="K275" s="9">
        <f t="shared" si="33"/>
        <v>2562192</v>
      </c>
      <c r="L275">
        <f t="shared" si="34"/>
        <v>-2543642</v>
      </c>
      <c r="M275">
        <f>IF(AND(MyRowHidden(ROW())=FALSE,MyRowHidden(ROW()-1)=TRUE),0,IF(MONTH(H275)&lt;&gt;MONTH(H274),M274+1,M274))</f>
        <v>12</v>
      </c>
      <c r="N275">
        <f>IF(AND(MyRowHidden(ROW())=FALSE,MyRowHidden(ROW()-1)=TRUE),0,IF(M275&lt;totalMonths,(totalMonths-M275)/totalMonths *(I275-I274)+N274,0))</f>
        <v>0</v>
      </c>
      <c r="P275">
        <f>IF(AND(MyRowHidden(ROW())=FALSE,MyRowHidden(ROW()-1)=TRUE),0,IF(M275&lt;totalMonths,(totalMonths-M275)/totalMonths *(J275-J274)+P274,0))</f>
        <v>0</v>
      </c>
      <c r="Q275">
        <f>IF(AND(MyRowHidden(ROW())=FALSE,MyRowHidden(ROW()-1)=TRUE),0,IF(M275&lt;totalMonths,(totalMonths-M275)/totalMonths *(K275-K274)+Q274,0))</f>
        <v>0</v>
      </c>
      <c r="R275">
        <f>IF(AND(MyRowHidden(ROW())=FALSE,MyRowHidden(ROW()-1)=TRUE),0,IF(M275&lt;totalMonths,(totalMonths-M275)/totalMonths *(L275-L274)+R274,0))</f>
        <v>0</v>
      </c>
    </row>
    <row r="276" spans="1:18" hidden="1" x14ac:dyDescent="0.25">
      <c r="A276" s="1"/>
      <c r="C276" s="1"/>
      <c r="D276" s="1">
        <v>41645</v>
      </c>
      <c r="E276" s="10">
        <v>912</v>
      </c>
      <c r="F276" s="1">
        <v>41645</v>
      </c>
      <c r="G276">
        <v>-4108</v>
      </c>
      <c r="H276" s="1">
        <f t="shared" si="32"/>
        <v>41645</v>
      </c>
      <c r="I276">
        <f>IF(AND(MyRowHidden(ROW())=FALSE,MyRowHidden(ROW()-1)=TRUE),0,(E276-E275)*unitsOfDHp+I275)</f>
        <v>31920</v>
      </c>
      <c r="J276">
        <f>IF(AND(MyRowHidden(ROW())=FALSE,MyRowHidden(ROW()-1)=TRUE),0,(G276-G275)*unitsOfExo+J275)</f>
        <v>-2518992</v>
      </c>
      <c r="K276" s="9">
        <f t="shared" si="33"/>
        <v>2518992</v>
      </c>
      <c r="L276">
        <f t="shared" si="34"/>
        <v>-2487072</v>
      </c>
      <c r="M276">
        <f>IF(AND(MyRowHidden(ROW())=FALSE,MyRowHidden(ROW()-1)=TRUE),0,IF(MONTH(H276)&lt;&gt;MONTH(H275),M275+1,M275))</f>
        <v>12</v>
      </c>
      <c r="N276">
        <f>IF(AND(MyRowHidden(ROW())=FALSE,MyRowHidden(ROW()-1)=TRUE),0,IF(M276&lt;totalMonths,(totalMonths-M276)/totalMonths *(I276-I275)+N275,0))</f>
        <v>0</v>
      </c>
      <c r="P276">
        <f>IF(AND(MyRowHidden(ROW())=FALSE,MyRowHidden(ROW()-1)=TRUE),0,IF(M276&lt;totalMonths,(totalMonths-M276)/totalMonths *(J276-J275)+P275,0))</f>
        <v>0</v>
      </c>
      <c r="Q276">
        <f>IF(AND(MyRowHidden(ROW())=FALSE,MyRowHidden(ROW()-1)=TRUE),0,IF(M276&lt;totalMonths,(totalMonths-M276)/totalMonths *(K276-K275)+Q275,0))</f>
        <v>0</v>
      </c>
      <c r="R276">
        <f>IF(AND(MyRowHidden(ROW())=FALSE,MyRowHidden(ROW()-1)=TRUE),0,IF(M276&lt;totalMonths,(totalMonths-M276)/totalMonths *(L276-L275)+R275,0))</f>
        <v>0</v>
      </c>
    </row>
    <row r="277" spans="1:18" hidden="1" x14ac:dyDescent="0.25">
      <c r="A277" s="1"/>
      <c r="C277" s="1"/>
      <c r="D277" s="1">
        <v>41646</v>
      </c>
      <c r="E277" s="10">
        <v>1176</v>
      </c>
      <c r="F277" s="1">
        <v>41646</v>
      </c>
      <c r="G277">
        <v>-4095.5</v>
      </c>
      <c r="H277" s="1">
        <f t="shared" si="32"/>
        <v>41646</v>
      </c>
      <c r="I277">
        <f>IF(AND(MyRowHidden(ROW())=FALSE,MyRowHidden(ROW()-1)=TRUE),0,(E277-E276)*unitsOfDHp+I276)</f>
        <v>41160</v>
      </c>
      <c r="J277">
        <f>IF(AND(MyRowHidden(ROW())=FALSE,MyRowHidden(ROW()-1)=TRUE),0,(G277-G276)*unitsOfExo+J276)</f>
        <v>-2515392</v>
      </c>
      <c r="K277" s="9">
        <f t="shared" si="33"/>
        <v>2515392</v>
      </c>
      <c r="L277">
        <f t="shared" si="34"/>
        <v>-2474232</v>
      </c>
      <c r="M277">
        <f>IF(AND(MyRowHidden(ROW())=FALSE,MyRowHidden(ROW()-1)=TRUE),0,IF(MONTH(H277)&lt;&gt;MONTH(H276),M276+1,M276))</f>
        <v>12</v>
      </c>
      <c r="N277">
        <f>IF(AND(MyRowHidden(ROW())=FALSE,MyRowHidden(ROW()-1)=TRUE),0,IF(M277&lt;totalMonths,(totalMonths-M277)/totalMonths *(I277-I276)+N276,0))</f>
        <v>0</v>
      </c>
      <c r="P277">
        <f>IF(AND(MyRowHidden(ROW())=FALSE,MyRowHidden(ROW()-1)=TRUE),0,IF(M277&lt;totalMonths,(totalMonths-M277)/totalMonths *(J277-J276)+P276,0))</f>
        <v>0</v>
      </c>
      <c r="Q277">
        <f>IF(AND(MyRowHidden(ROW())=FALSE,MyRowHidden(ROW()-1)=TRUE),0,IF(M277&lt;totalMonths,(totalMonths-M277)/totalMonths *(K277-K276)+Q276,0))</f>
        <v>0</v>
      </c>
      <c r="R277">
        <f>IF(AND(MyRowHidden(ROW())=FALSE,MyRowHidden(ROW()-1)=TRUE),0,IF(M277&lt;totalMonths,(totalMonths-M277)/totalMonths *(L277-L276)+R276,0))</f>
        <v>0</v>
      </c>
    </row>
    <row r="278" spans="1:18" hidden="1" x14ac:dyDescent="0.25">
      <c r="A278" s="1"/>
      <c r="C278" s="1"/>
      <c r="D278" s="1">
        <v>41647</v>
      </c>
      <c r="E278" s="10">
        <v>-2163</v>
      </c>
      <c r="F278" s="1">
        <v>41647</v>
      </c>
      <c r="G278">
        <v>-4495.5</v>
      </c>
      <c r="H278" s="1">
        <f t="shared" si="32"/>
        <v>41647</v>
      </c>
      <c r="I278">
        <f>IF(AND(MyRowHidden(ROW())=FALSE,MyRowHidden(ROW()-1)=TRUE),0,(E278-E277)*unitsOfDHp+I277)</f>
        <v>-75705</v>
      </c>
      <c r="J278">
        <f>IF(AND(MyRowHidden(ROW())=FALSE,MyRowHidden(ROW()-1)=TRUE),0,(G278-G277)*unitsOfExo+J277)</f>
        <v>-2630592</v>
      </c>
      <c r="K278" s="9">
        <f t="shared" si="33"/>
        <v>2630592</v>
      </c>
      <c r="L278">
        <f t="shared" si="34"/>
        <v>-2706297</v>
      </c>
      <c r="M278">
        <f>IF(AND(MyRowHidden(ROW())=FALSE,MyRowHidden(ROW()-1)=TRUE),0,IF(MONTH(H278)&lt;&gt;MONTH(H277),M277+1,M277))</f>
        <v>12</v>
      </c>
      <c r="N278">
        <f>IF(AND(MyRowHidden(ROW())=FALSE,MyRowHidden(ROW()-1)=TRUE),0,IF(M278&lt;totalMonths,(totalMonths-M278)/totalMonths *(I278-I277)+N277,0))</f>
        <v>0</v>
      </c>
      <c r="P278">
        <f>IF(AND(MyRowHidden(ROW())=FALSE,MyRowHidden(ROW()-1)=TRUE),0,IF(M278&lt;totalMonths,(totalMonths-M278)/totalMonths *(J278-J277)+P277,0))</f>
        <v>0</v>
      </c>
      <c r="Q278">
        <f>IF(AND(MyRowHidden(ROW())=FALSE,MyRowHidden(ROW()-1)=TRUE),0,IF(M278&lt;totalMonths,(totalMonths-M278)/totalMonths *(K278-K277)+Q277,0))</f>
        <v>0</v>
      </c>
      <c r="R278">
        <f>IF(AND(MyRowHidden(ROW())=FALSE,MyRowHidden(ROW()-1)=TRUE),0,IF(M278&lt;totalMonths,(totalMonths-M278)/totalMonths *(L278-L277)+R277,0))</f>
        <v>0</v>
      </c>
    </row>
    <row r="279" spans="1:18" hidden="1" x14ac:dyDescent="0.25">
      <c r="A279" s="1"/>
      <c r="C279" s="1"/>
      <c r="D279" s="1">
        <v>41648</v>
      </c>
      <c r="E279" s="10">
        <v>-3498</v>
      </c>
      <c r="F279" s="1">
        <v>41648</v>
      </c>
      <c r="G279">
        <v>-4870.5</v>
      </c>
      <c r="H279" s="1">
        <f t="shared" si="32"/>
        <v>41648</v>
      </c>
      <c r="I279">
        <f>IF(AND(MyRowHidden(ROW())=FALSE,MyRowHidden(ROW()-1)=TRUE),0,(E279-E278)*unitsOfDHp+I278)</f>
        <v>-122430</v>
      </c>
      <c r="J279">
        <f>IF(AND(MyRowHidden(ROW())=FALSE,MyRowHidden(ROW()-1)=TRUE),0,(G279-G278)*unitsOfExo+J278)</f>
        <v>-2738592</v>
      </c>
      <c r="K279" s="9">
        <f t="shared" si="33"/>
        <v>2738592</v>
      </c>
      <c r="L279">
        <f t="shared" si="34"/>
        <v>-2861022</v>
      </c>
      <c r="M279">
        <f>IF(AND(MyRowHidden(ROW())=FALSE,MyRowHidden(ROW()-1)=TRUE),0,IF(MONTH(H279)&lt;&gt;MONTH(H278),M278+1,M278))</f>
        <v>12</v>
      </c>
      <c r="N279">
        <f>IF(AND(MyRowHidden(ROW())=FALSE,MyRowHidden(ROW()-1)=TRUE),0,IF(M279&lt;totalMonths,(totalMonths-M279)/totalMonths *(I279-I278)+N278,0))</f>
        <v>0</v>
      </c>
      <c r="P279">
        <f>IF(AND(MyRowHidden(ROW())=FALSE,MyRowHidden(ROW()-1)=TRUE),0,IF(M279&lt;totalMonths,(totalMonths-M279)/totalMonths *(J279-J278)+P278,0))</f>
        <v>0</v>
      </c>
      <c r="Q279">
        <f>IF(AND(MyRowHidden(ROW())=FALSE,MyRowHidden(ROW()-1)=TRUE),0,IF(M279&lt;totalMonths,(totalMonths-M279)/totalMonths *(K279-K278)+Q278,0))</f>
        <v>0</v>
      </c>
      <c r="R279">
        <f>IF(AND(MyRowHidden(ROW())=FALSE,MyRowHidden(ROW()-1)=TRUE),0,IF(M279&lt;totalMonths,(totalMonths-M279)/totalMonths *(L279-L278)+R278,0))</f>
        <v>0</v>
      </c>
    </row>
    <row r="280" spans="1:18" hidden="1" x14ac:dyDescent="0.25">
      <c r="A280" s="1"/>
      <c r="C280" s="1"/>
      <c r="D280" s="1">
        <v>41649</v>
      </c>
      <c r="E280" s="10">
        <v>-3102</v>
      </c>
      <c r="F280" s="1">
        <v>41649</v>
      </c>
      <c r="G280">
        <v>-4008</v>
      </c>
      <c r="H280" s="1">
        <f t="shared" si="32"/>
        <v>41649</v>
      </c>
      <c r="I280">
        <f>IF(AND(MyRowHidden(ROW())=FALSE,MyRowHidden(ROW()-1)=TRUE),0,(E280-E279)*unitsOfDHp+I279)</f>
        <v>-108570</v>
      </c>
      <c r="J280">
        <f>IF(AND(MyRowHidden(ROW())=FALSE,MyRowHidden(ROW()-1)=TRUE),0,(G280-G279)*unitsOfExo+J279)</f>
        <v>-2490192</v>
      </c>
      <c r="K280" s="9">
        <f t="shared" si="33"/>
        <v>2490192</v>
      </c>
      <c r="L280">
        <f t="shared" si="34"/>
        <v>-2598762</v>
      </c>
      <c r="M280">
        <f>IF(AND(MyRowHidden(ROW())=FALSE,MyRowHidden(ROW()-1)=TRUE),0,IF(MONTH(H280)&lt;&gt;MONTH(H279),M279+1,M279))</f>
        <v>12</v>
      </c>
      <c r="N280">
        <f>IF(AND(MyRowHidden(ROW())=FALSE,MyRowHidden(ROW()-1)=TRUE),0,IF(M280&lt;totalMonths,(totalMonths-M280)/totalMonths *(I280-I279)+N279,0))</f>
        <v>0</v>
      </c>
      <c r="P280">
        <f>IF(AND(MyRowHidden(ROW())=FALSE,MyRowHidden(ROW()-1)=TRUE),0,IF(M280&lt;totalMonths,(totalMonths-M280)/totalMonths *(J280-J279)+P279,0))</f>
        <v>0</v>
      </c>
      <c r="Q280">
        <f>IF(AND(MyRowHidden(ROW())=FALSE,MyRowHidden(ROW()-1)=TRUE),0,IF(M280&lt;totalMonths,(totalMonths-M280)/totalMonths *(K280-K279)+Q279,0))</f>
        <v>0</v>
      </c>
      <c r="R280">
        <f>IF(AND(MyRowHidden(ROW())=FALSE,MyRowHidden(ROW()-1)=TRUE),0,IF(M280&lt;totalMonths,(totalMonths-M280)/totalMonths *(L280-L279)+R279,0))</f>
        <v>0</v>
      </c>
    </row>
    <row r="281" spans="1:18" hidden="1" x14ac:dyDescent="0.25">
      <c r="A281" s="1"/>
      <c r="C281" s="1"/>
      <c r="D281" s="1">
        <v>41652</v>
      </c>
      <c r="E281" s="10">
        <v>-3432</v>
      </c>
      <c r="F281" s="1">
        <v>41652</v>
      </c>
      <c r="G281">
        <v>-3720.5</v>
      </c>
      <c r="H281" s="1">
        <f t="shared" si="32"/>
        <v>41652</v>
      </c>
      <c r="I281">
        <f>IF(AND(MyRowHidden(ROW())=FALSE,MyRowHidden(ROW()-1)=TRUE),0,(E281-E280)*unitsOfDHp+I280)</f>
        <v>-120120</v>
      </c>
      <c r="J281">
        <f>IF(AND(MyRowHidden(ROW())=FALSE,MyRowHidden(ROW()-1)=TRUE),0,(G281-G280)*unitsOfExo+J280)</f>
        <v>-2407392</v>
      </c>
      <c r="K281" s="9">
        <f t="shared" si="33"/>
        <v>2407392</v>
      </c>
      <c r="L281">
        <f t="shared" si="34"/>
        <v>-2527512</v>
      </c>
      <c r="M281">
        <f>IF(AND(MyRowHidden(ROW())=FALSE,MyRowHidden(ROW()-1)=TRUE),0,IF(MONTH(H281)&lt;&gt;MONTH(H280),M280+1,M280))</f>
        <v>12</v>
      </c>
      <c r="N281">
        <f>IF(AND(MyRowHidden(ROW())=FALSE,MyRowHidden(ROW()-1)=TRUE),0,IF(M281&lt;totalMonths,(totalMonths-M281)/totalMonths *(I281-I280)+N280,0))</f>
        <v>0</v>
      </c>
      <c r="P281">
        <f>IF(AND(MyRowHidden(ROW())=FALSE,MyRowHidden(ROW()-1)=TRUE),0,IF(M281&lt;totalMonths,(totalMonths-M281)/totalMonths *(J281-J280)+P280,0))</f>
        <v>0</v>
      </c>
      <c r="Q281">
        <f>IF(AND(MyRowHidden(ROW())=FALSE,MyRowHidden(ROW()-1)=TRUE),0,IF(M281&lt;totalMonths,(totalMonths-M281)/totalMonths *(K281-K280)+Q280,0))</f>
        <v>0</v>
      </c>
      <c r="R281">
        <f>IF(AND(MyRowHidden(ROW())=FALSE,MyRowHidden(ROW()-1)=TRUE),0,IF(M281&lt;totalMonths,(totalMonths-M281)/totalMonths *(L281-L280)+R280,0))</f>
        <v>0</v>
      </c>
    </row>
    <row r="282" spans="1:18" hidden="1" x14ac:dyDescent="0.25">
      <c r="A282" s="1"/>
      <c r="C282" s="1"/>
      <c r="D282" s="1">
        <v>41653</v>
      </c>
      <c r="E282" s="10">
        <v>-2806</v>
      </c>
      <c r="F282" s="1">
        <v>41653</v>
      </c>
      <c r="G282">
        <v>-3895.5</v>
      </c>
      <c r="H282" s="1">
        <f t="shared" si="32"/>
        <v>41653</v>
      </c>
      <c r="I282">
        <f>IF(AND(MyRowHidden(ROW())=FALSE,MyRowHidden(ROW()-1)=TRUE),0,(E282-E281)*unitsOfDHp+I281)</f>
        <v>-98210</v>
      </c>
      <c r="J282">
        <f>IF(AND(MyRowHidden(ROW())=FALSE,MyRowHidden(ROW()-1)=TRUE),0,(G282-G281)*unitsOfExo+J281)</f>
        <v>-2457792</v>
      </c>
      <c r="K282" s="9">
        <f t="shared" si="33"/>
        <v>2457792</v>
      </c>
      <c r="L282">
        <f t="shared" si="34"/>
        <v>-2556002</v>
      </c>
      <c r="M282">
        <f>IF(AND(MyRowHidden(ROW())=FALSE,MyRowHidden(ROW()-1)=TRUE),0,IF(MONTH(H282)&lt;&gt;MONTH(H281),M281+1,M281))</f>
        <v>12</v>
      </c>
      <c r="N282">
        <f>IF(AND(MyRowHidden(ROW())=FALSE,MyRowHidden(ROW()-1)=TRUE),0,IF(M282&lt;totalMonths,(totalMonths-M282)/totalMonths *(I282-I281)+N281,0))</f>
        <v>0</v>
      </c>
      <c r="P282">
        <f>IF(AND(MyRowHidden(ROW())=FALSE,MyRowHidden(ROW()-1)=TRUE),0,IF(M282&lt;totalMonths,(totalMonths-M282)/totalMonths *(J282-J281)+P281,0))</f>
        <v>0</v>
      </c>
      <c r="Q282">
        <f>IF(AND(MyRowHidden(ROW())=FALSE,MyRowHidden(ROW()-1)=TRUE),0,IF(M282&lt;totalMonths,(totalMonths-M282)/totalMonths *(K282-K281)+Q281,0))</f>
        <v>0</v>
      </c>
      <c r="R282">
        <f>IF(AND(MyRowHidden(ROW())=FALSE,MyRowHidden(ROW()-1)=TRUE),0,IF(M282&lt;totalMonths,(totalMonths-M282)/totalMonths *(L282-L281)+R281,0))</f>
        <v>0</v>
      </c>
    </row>
    <row r="283" spans="1:18" hidden="1" x14ac:dyDescent="0.25">
      <c r="A283" s="1"/>
      <c r="C283" s="1"/>
      <c r="D283" s="1">
        <v>41654</v>
      </c>
      <c r="E283" s="10">
        <v>-1903</v>
      </c>
      <c r="F283" s="1">
        <v>41654</v>
      </c>
      <c r="G283">
        <v>-4108</v>
      </c>
      <c r="H283" s="1">
        <f t="shared" si="32"/>
        <v>41654</v>
      </c>
      <c r="I283">
        <f>IF(AND(MyRowHidden(ROW())=FALSE,MyRowHidden(ROW()-1)=TRUE),0,(E283-E282)*unitsOfDHp+I282)</f>
        <v>-66605</v>
      </c>
      <c r="J283">
        <f>IF(AND(MyRowHidden(ROW())=FALSE,MyRowHidden(ROW()-1)=TRUE),0,(G283-G282)*unitsOfExo+J282)</f>
        <v>-2518992</v>
      </c>
      <c r="K283" s="9">
        <f t="shared" si="33"/>
        <v>2518992</v>
      </c>
      <c r="L283">
        <f t="shared" si="34"/>
        <v>-2585597</v>
      </c>
      <c r="M283">
        <f>IF(AND(MyRowHidden(ROW())=FALSE,MyRowHidden(ROW()-1)=TRUE),0,IF(MONTH(H283)&lt;&gt;MONTH(H282),M282+1,M282))</f>
        <v>12</v>
      </c>
      <c r="N283">
        <f>IF(AND(MyRowHidden(ROW())=FALSE,MyRowHidden(ROW()-1)=TRUE),0,IF(M283&lt;totalMonths,(totalMonths-M283)/totalMonths *(I283-I282)+N282,0))</f>
        <v>0</v>
      </c>
      <c r="P283">
        <f>IF(AND(MyRowHidden(ROW())=FALSE,MyRowHidden(ROW()-1)=TRUE),0,IF(M283&lt;totalMonths,(totalMonths-M283)/totalMonths *(J283-J282)+P282,0))</f>
        <v>0</v>
      </c>
      <c r="Q283">
        <f>IF(AND(MyRowHidden(ROW())=FALSE,MyRowHidden(ROW()-1)=TRUE),0,IF(M283&lt;totalMonths,(totalMonths-M283)/totalMonths *(K283-K282)+Q282,0))</f>
        <v>0</v>
      </c>
      <c r="R283">
        <f>IF(AND(MyRowHidden(ROW())=FALSE,MyRowHidden(ROW()-1)=TRUE),0,IF(M283&lt;totalMonths,(totalMonths-M283)/totalMonths *(L283-L282)+R282,0))</f>
        <v>0</v>
      </c>
    </row>
    <row r="284" spans="1:18" hidden="1" x14ac:dyDescent="0.25">
      <c r="A284" s="1"/>
      <c r="C284" s="1"/>
      <c r="D284" s="1">
        <v>41655</v>
      </c>
      <c r="E284" s="10">
        <v>-2003</v>
      </c>
      <c r="F284" s="1">
        <v>41655</v>
      </c>
      <c r="G284">
        <v>-4108</v>
      </c>
      <c r="H284" s="1">
        <f t="shared" si="32"/>
        <v>41655</v>
      </c>
      <c r="I284">
        <f>IF(AND(MyRowHidden(ROW())=FALSE,MyRowHidden(ROW()-1)=TRUE),0,(E284-E283)*unitsOfDHp+I283)</f>
        <v>-70105</v>
      </c>
      <c r="J284">
        <f>IF(AND(MyRowHidden(ROW())=FALSE,MyRowHidden(ROW()-1)=TRUE),0,(G284-G283)*unitsOfExo+J283)</f>
        <v>-2518992</v>
      </c>
      <c r="K284" s="9">
        <f t="shared" si="33"/>
        <v>2518992</v>
      </c>
      <c r="L284">
        <f t="shared" si="34"/>
        <v>-2589097</v>
      </c>
      <c r="M284">
        <f>IF(AND(MyRowHidden(ROW())=FALSE,MyRowHidden(ROW()-1)=TRUE),0,IF(MONTH(H284)&lt;&gt;MONTH(H283),M283+1,M283))</f>
        <v>12</v>
      </c>
      <c r="N284">
        <f>IF(AND(MyRowHidden(ROW())=FALSE,MyRowHidden(ROW()-1)=TRUE),0,IF(M284&lt;totalMonths,(totalMonths-M284)/totalMonths *(I284-I283)+N283,0))</f>
        <v>0</v>
      </c>
      <c r="P284">
        <f>IF(AND(MyRowHidden(ROW())=FALSE,MyRowHidden(ROW()-1)=TRUE),0,IF(M284&lt;totalMonths,(totalMonths-M284)/totalMonths *(J284-J283)+P283,0))</f>
        <v>0</v>
      </c>
      <c r="Q284">
        <f>IF(AND(MyRowHidden(ROW())=FALSE,MyRowHidden(ROW()-1)=TRUE),0,IF(M284&lt;totalMonths,(totalMonths-M284)/totalMonths *(K284-K283)+Q283,0))</f>
        <v>0</v>
      </c>
      <c r="R284">
        <f>IF(AND(MyRowHidden(ROW())=FALSE,MyRowHidden(ROW()-1)=TRUE),0,IF(M284&lt;totalMonths,(totalMonths-M284)/totalMonths *(L284-L283)+R283,0))</f>
        <v>0</v>
      </c>
    </row>
    <row r="285" spans="1:18" hidden="1" x14ac:dyDescent="0.25">
      <c r="A285" s="1"/>
      <c r="C285" s="1"/>
      <c r="D285" s="1">
        <v>41656</v>
      </c>
      <c r="E285" s="10">
        <v>-1152</v>
      </c>
      <c r="F285" s="1">
        <v>41656</v>
      </c>
      <c r="G285">
        <v>-4245.5</v>
      </c>
      <c r="H285" s="1">
        <f t="shared" si="32"/>
        <v>41656</v>
      </c>
      <c r="I285">
        <f>IF(AND(MyRowHidden(ROW())=FALSE,MyRowHidden(ROW()-1)=TRUE),0,(E285-E284)*unitsOfDHp+I284)</f>
        <v>-40320</v>
      </c>
      <c r="J285">
        <f>IF(AND(MyRowHidden(ROW())=FALSE,MyRowHidden(ROW()-1)=TRUE),0,(G285-G284)*unitsOfExo+J284)</f>
        <v>-2558592</v>
      </c>
      <c r="K285" s="9">
        <f t="shared" si="33"/>
        <v>2558592</v>
      </c>
      <c r="L285">
        <f t="shared" si="34"/>
        <v>-2598912</v>
      </c>
      <c r="M285">
        <f>IF(AND(MyRowHidden(ROW())=FALSE,MyRowHidden(ROW()-1)=TRUE),0,IF(MONTH(H285)&lt;&gt;MONTH(H284),M284+1,M284))</f>
        <v>12</v>
      </c>
      <c r="N285">
        <f>IF(AND(MyRowHidden(ROW())=FALSE,MyRowHidden(ROW()-1)=TRUE),0,IF(M285&lt;totalMonths,(totalMonths-M285)/totalMonths *(I285-I284)+N284,0))</f>
        <v>0</v>
      </c>
      <c r="P285">
        <f>IF(AND(MyRowHidden(ROW())=FALSE,MyRowHidden(ROW()-1)=TRUE),0,IF(M285&lt;totalMonths,(totalMonths-M285)/totalMonths *(J285-J284)+P284,0))</f>
        <v>0</v>
      </c>
      <c r="Q285">
        <f>IF(AND(MyRowHidden(ROW())=FALSE,MyRowHidden(ROW()-1)=TRUE),0,IF(M285&lt;totalMonths,(totalMonths-M285)/totalMonths *(K285-K284)+Q284,0))</f>
        <v>0</v>
      </c>
      <c r="R285">
        <f>IF(AND(MyRowHidden(ROW())=FALSE,MyRowHidden(ROW()-1)=TRUE),0,IF(M285&lt;totalMonths,(totalMonths-M285)/totalMonths *(L285-L284)+R284,0))</f>
        <v>0</v>
      </c>
    </row>
    <row r="286" spans="1:18" hidden="1" x14ac:dyDescent="0.25">
      <c r="A286" s="1"/>
      <c r="C286" s="1"/>
      <c r="D286" s="1">
        <v>41659</v>
      </c>
      <c r="E286" s="10">
        <v>-1064</v>
      </c>
      <c r="F286" s="1">
        <v>41659</v>
      </c>
      <c r="G286">
        <v>-4233</v>
      </c>
      <c r="H286" s="1">
        <f t="shared" si="32"/>
        <v>41659</v>
      </c>
      <c r="I286">
        <f>IF(AND(MyRowHidden(ROW())=FALSE,MyRowHidden(ROW()-1)=TRUE),0,(E286-E285)*unitsOfDHp+I285)</f>
        <v>-37240</v>
      </c>
      <c r="J286">
        <f>IF(AND(MyRowHidden(ROW())=FALSE,MyRowHidden(ROW()-1)=TRUE),0,(G286-G285)*unitsOfExo+J285)</f>
        <v>-2554992</v>
      </c>
      <c r="K286" s="9">
        <f t="shared" si="33"/>
        <v>2554992</v>
      </c>
      <c r="L286">
        <f t="shared" si="34"/>
        <v>-2592232</v>
      </c>
      <c r="M286">
        <f>IF(AND(MyRowHidden(ROW())=FALSE,MyRowHidden(ROW()-1)=TRUE),0,IF(MONTH(H286)&lt;&gt;MONTH(H285),M285+1,M285))</f>
        <v>12</v>
      </c>
      <c r="N286">
        <f>IF(AND(MyRowHidden(ROW())=FALSE,MyRowHidden(ROW()-1)=TRUE),0,IF(M286&lt;totalMonths,(totalMonths-M286)/totalMonths *(I286-I285)+N285,0))</f>
        <v>0</v>
      </c>
      <c r="P286">
        <f>IF(AND(MyRowHidden(ROW())=FALSE,MyRowHidden(ROW()-1)=TRUE),0,IF(M286&lt;totalMonths,(totalMonths-M286)/totalMonths *(J286-J285)+P285,0))</f>
        <v>0</v>
      </c>
      <c r="Q286">
        <f>IF(AND(MyRowHidden(ROW())=FALSE,MyRowHidden(ROW()-1)=TRUE),0,IF(M286&lt;totalMonths,(totalMonths-M286)/totalMonths *(K286-K285)+Q285,0))</f>
        <v>0</v>
      </c>
      <c r="R286">
        <f>IF(AND(MyRowHidden(ROW())=FALSE,MyRowHidden(ROW()-1)=TRUE),0,IF(M286&lt;totalMonths,(totalMonths-M286)/totalMonths *(L286-L285)+R285,0))</f>
        <v>0</v>
      </c>
    </row>
    <row r="287" spans="1:18" hidden="1" x14ac:dyDescent="0.25">
      <c r="A287" s="1"/>
      <c r="C287" s="1"/>
      <c r="D287" s="1">
        <v>41660</v>
      </c>
      <c r="E287" s="10">
        <v>-1089</v>
      </c>
      <c r="F287" s="1">
        <v>41660</v>
      </c>
      <c r="G287">
        <v>-4258</v>
      </c>
      <c r="H287" s="1">
        <f t="shared" si="32"/>
        <v>41660</v>
      </c>
      <c r="I287">
        <f>IF(AND(MyRowHidden(ROW())=FALSE,MyRowHidden(ROW()-1)=TRUE),0,(E287-E286)*unitsOfDHp+I286)</f>
        <v>-38115</v>
      </c>
      <c r="J287">
        <f>IF(AND(MyRowHidden(ROW())=FALSE,MyRowHidden(ROW()-1)=TRUE),0,(G287-G286)*unitsOfExo+J286)</f>
        <v>-2562192</v>
      </c>
      <c r="K287" s="9">
        <f t="shared" si="33"/>
        <v>2562192</v>
      </c>
      <c r="L287">
        <f t="shared" si="34"/>
        <v>-2600307</v>
      </c>
      <c r="M287">
        <f>IF(AND(MyRowHidden(ROW())=FALSE,MyRowHidden(ROW()-1)=TRUE),0,IF(MONTH(H287)&lt;&gt;MONTH(H286),M286+1,M286))</f>
        <v>12</v>
      </c>
      <c r="N287">
        <f>IF(AND(MyRowHidden(ROW())=FALSE,MyRowHidden(ROW()-1)=TRUE),0,IF(M287&lt;totalMonths,(totalMonths-M287)/totalMonths *(I287-I286)+N286,0))</f>
        <v>0</v>
      </c>
      <c r="P287">
        <f>IF(AND(MyRowHidden(ROW())=FALSE,MyRowHidden(ROW()-1)=TRUE),0,IF(M287&lt;totalMonths,(totalMonths-M287)/totalMonths *(J287-J286)+P286,0))</f>
        <v>0</v>
      </c>
      <c r="Q287">
        <f>IF(AND(MyRowHidden(ROW())=FALSE,MyRowHidden(ROW()-1)=TRUE),0,IF(M287&lt;totalMonths,(totalMonths-M287)/totalMonths *(K287-K286)+Q286,0))</f>
        <v>0</v>
      </c>
      <c r="R287">
        <f>IF(AND(MyRowHidden(ROW())=FALSE,MyRowHidden(ROW()-1)=TRUE),0,IF(M287&lt;totalMonths,(totalMonths-M287)/totalMonths *(L287-L286)+R286,0))</f>
        <v>0</v>
      </c>
    </row>
    <row r="288" spans="1:18" hidden="1" x14ac:dyDescent="0.25">
      <c r="A288" s="1"/>
      <c r="C288" s="1"/>
      <c r="D288" s="1">
        <v>41661</v>
      </c>
      <c r="E288" s="10">
        <v>-1587</v>
      </c>
      <c r="F288" s="1">
        <v>41661</v>
      </c>
      <c r="G288">
        <v>-4133</v>
      </c>
      <c r="H288" s="1">
        <f t="shared" si="32"/>
        <v>41661</v>
      </c>
      <c r="I288">
        <f>IF(AND(MyRowHidden(ROW())=FALSE,MyRowHidden(ROW()-1)=TRUE),0,(E288-E287)*unitsOfDHp+I287)</f>
        <v>-55545</v>
      </c>
      <c r="J288">
        <f>IF(AND(MyRowHidden(ROW())=FALSE,MyRowHidden(ROW()-1)=TRUE),0,(G288-G287)*unitsOfExo+J287)</f>
        <v>-2526192</v>
      </c>
      <c r="K288" s="9">
        <f t="shared" si="33"/>
        <v>2526192</v>
      </c>
      <c r="L288">
        <f t="shared" si="34"/>
        <v>-2581737</v>
      </c>
      <c r="M288">
        <f>IF(AND(MyRowHidden(ROW())=FALSE,MyRowHidden(ROW()-1)=TRUE),0,IF(MONTH(H288)&lt;&gt;MONTH(H287),M287+1,M287))</f>
        <v>12</v>
      </c>
      <c r="N288">
        <f>IF(AND(MyRowHidden(ROW())=FALSE,MyRowHidden(ROW()-1)=TRUE),0,IF(M288&lt;totalMonths,(totalMonths-M288)/totalMonths *(I288-I287)+N287,0))</f>
        <v>0</v>
      </c>
      <c r="P288">
        <f>IF(AND(MyRowHidden(ROW())=FALSE,MyRowHidden(ROW()-1)=TRUE),0,IF(M288&lt;totalMonths,(totalMonths-M288)/totalMonths *(J288-J287)+P287,0))</f>
        <v>0</v>
      </c>
      <c r="Q288">
        <f>IF(AND(MyRowHidden(ROW())=FALSE,MyRowHidden(ROW()-1)=TRUE),0,IF(M288&lt;totalMonths,(totalMonths-M288)/totalMonths *(K288-K287)+Q287,0))</f>
        <v>0</v>
      </c>
      <c r="R288">
        <f>IF(AND(MyRowHidden(ROW())=FALSE,MyRowHidden(ROW()-1)=TRUE),0,IF(M288&lt;totalMonths,(totalMonths-M288)/totalMonths *(L288-L287)+R287,0))</f>
        <v>0</v>
      </c>
    </row>
    <row r="289" spans="1:18" hidden="1" x14ac:dyDescent="0.25">
      <c r="A289" s="1"/>
      <c r="C289" s="1"/>
      <c r="D289" s="1">
        <v>41662</v>
      </c>
      <c r="E289" s="10">
        <v>-2733</v>
      </c>
      <c r="F289" s="1">
        <v>41662</v>
      </c>
      <c r="G289">
        <v>-3970.5</v>
      </c>
      <c r="H289" s="1">
        <f t="shared" si="32"/>
        <v>41662</v>
      </c>
      <c r="I289">
        <f>IF(AND(MyRowHidden(ROW())=FALSE,MyRowHidden(ROW()-1)=TRUE),0,(E289-E288)*unitsOfDHp+I288)</f>
        <v>-95655</v>
      </c>
      <c r="J289">
        <f>IF(AND(MyRowHidden(ROW())=FALSE,MyRowHidden(ROW()-1)=TRUE),0,(G289-G288)*unitsOfExo+J288)</f>
        <v>-2479392</v>
      </c>
      <c r="K289" s="9">
        <f t="shared" si="33"/>
        <v>2479392</v>
      </c>
      <c r="L289">
        <f t="shared" si="34"/>
        <v>-2575047</v>
      </c>
      <c r="M289">
        <f>IF(AND(MyRowHidden(ROW())=FALSE,MyRowHidden(ROW()-1)=TRUE),0,IF(MONTH(H289)&lt;&gt;MONTH(H288),M288+1,M288))</f>
        <v>12</v>
      </c>
      <c r="N289">
        <f>IF(AND(MyRowHidden(ROW())=FALSE,MyRowHidden(ROW()-1)=TRUE),0,IF(M289&lt;totalMonths,(totalMonths-M289)/totalMonths *(I289-I288)+N288,0))</f>
        <v>0</v>
      </c>
      <c r="P289">
        <f>IF(AND(MyRowHidden(ROW())=FALSE,MyRowHidden(ROW()-1)=TRUE),0,IF(M289&lt;totalMonths,(totalMonths-M289)/totalMonths *(J289-J288)+P288,0))</f>
        <v>0</v>
      </c>
      <c r="Q289">
        <f>IF(AND(MyRowHidden(ROW())=FALSE,MyRowHidden(ROW()-1)=TRUE),0,IF(M289&lt;totalMonths,(totalMonths-M289)/totalMonths *(K289-K288)+Q288,0))</f>
        <v>0</v>
      </c>
      <c r="R289">
        <f>IF(AND(MyRowHidden(ROW())=FALSE,MyRowHidden(ROW()-1)=TRUE),0,IF(M289&lt;totalMonths,(totalMonths-M289)/totalMonths *(L289-L288)+R288,0))</f>
        <v>0</v>
      </c>
    </row>
    <row r="290" spans="1:18" hidden="1" x14ac:dyDescent="0.25">
      <c r="A290" s="1"/>
      <c r="C290" s="1"/>
      <c r="D290" s="1">
        <v>41663</v>
      </c>
      <c r="E290" s="10">
        <v>-2805</v>
      </c>
      <c r="F290" s="1">
        <v>41663</v>
      </c>
      <c r="G290">
        <v>-3958</v>
      </c>
      <c r="H290" s="1">
        <f t="shared" si="32"/>
        <v>41663</v>
      </c>
      <c r="I290">
        <f>IF(AND(MyRowHidden(ROW())=FALSE,MyRowHidden(ROW()-1)=TRUE),0,(E290-E289)*unitsOfDHp+I289)</f>
        <v>-98175</v>
      </c>
      <c r="J290">
        <f>IF(AND(MyRowHidden(ROW())=FALSE,MyRowHidden(ROW()-1)=TRUE),0,(G290-G289)*unitsOfExo+J289)</f>
        <v>-2475792</v>
      </c>
      <c r="K290" s="9">
        <f t="shared" si="33"/>
        <v>2475792</v>
      </c>
      <c r="L290">
        <f t="shared" si="34"/>
        <v>-2573967</v>
      </c>
      <c r="M290">
        <f>IF(AND(MyRowHidden(ROW())=FALSE,MyRowHidden(ROW()-1)=TRUE),0,IF(MONTH(H290)&lt;&gt;MONTH(H289),M289+1,M289))</f>
        <v>12</v>
      </c>
      <c r="N290">
        <f>IF(AND(MyRowHidden(ROW())=FALSE,MyRowHidden(ROW()-1)=TRUE),0,IF(M290&lt;totalMonths,(totalMonths-M290)/totalMonths *(I290-I289)+N289,0))</f>
        <v>0</v>
      </c>
      <c r="P290">
        <f>IF(AND(MyRowHidden(ROW())=FALSE,MyRowHidden(ROW()-1)=TRUE),0,IF(M290&lt;totalMonths,(totalMonths-M290)/totalMonths *(J290-J289)+P289,0))</f>
        <v>0</v>
      </c>
      <c r="Q290">
        <f>IF(AND(MyRowHidden(ROW())=FALSE,MyRowHidden(ROW()-1)=TRUE),0,IF(M290&lt;totalMonths,(totalMonths-M290)/totalMonths *(K290-K289)+Q289,0))</f>
        <v>0</v>
      </c>
      <c r="R290">
        <f>IF(AND(MyRowHidden(ROW())=FALSE,MyRowHidden(ROW()-1)=TRUE),0,IF(M290&lt;totalMonths,(totalMonths-M290)/totalMonths *(L290-L289)+R289,0))</f>
        <v>0</v>
      </c>
    </row>
    <row r="291" spans="1:18" hidden="1" x14ac:dyDescent="0.25">
      <c r="A291" s="1"/>
      <c r="C291" s="1"/>
      <c r="D291" s="1">
        <v>41666</v>
      </c>
      <c r="E291" s="10">
        <v>-2418</v>
      </c>
      <c r="F291" s="1">
        <v>41666</v>
      </c>
      <c r="G291">
        <v>-3845.5</v>
      </c>
      <c r="H291" s="1">
        <f t="shared" si="32"/>
        <v>41666</v>
      </c>
      <c r="I291">
        <f>IF(AND(MyRowHidden(ROW())=FALSE,MyRowHidden(ROW()-1)=TRUE),0,(E291-E290)*unitsOfDHp+I290)</f>
        <v>-84630</v>
      </c>
      <c r="J291">
        <f>IF(AND(MyRowHidden(ROW())=FALSE,MyRowHidden(ROW()-1)=TRUE),0,(G291-G290)*unitsOfExo+J290)</f>
        <v>-2443392</v>
      </c>
      <c r="K291" s="9">
        <f t="shared" si="33"/>
        <v>2443392</v>
      </c>
      <c r="L291">
        <f t="shared" si="34"/>
        <v>-2528022</v>
      </c>
      <c r="M291">
        <f>IF(AND(MyRowHidden(ROW())=FALSE,MyRowHidden(ROW()-1)=TRUE),0,IF(MONTH(H291)&lt;&gt;MONTH(H290),M290+1,M290))</f>
        <v>12</v>
      </c>
      <c r="N291">
        <f>IF(AND(MyRowHidden(ROW())=FALSE,MyRowHidden(ROW()-1)=TRUE),0,IF(M291&lt;totalMonths,(totalMonths-M291)/totalMonths *(I291-I290)+N290,0))</f>
        <v>0</v>
      </c>
      <c r="P291">
        <f>IF(AND(MyRowHidden(ROW())=FALSE,MyRowHidden(ROW()-1)=TRUE),0,IF(M291&lt;totalMonths,(totalMonths-M291)/totalMonths *(J291-J290)+P290,0))</f>
        <v>0</v>
      </c>
      <c r="Q291">
        <f>IF(AND(MyRowHidden(ROW())=FALSE,MyRowHidden(ROW()-1)=TRUE),0,IF(M291&lt;totalMonths,(totalMonths-M291)/totalMonths *(K291-K290)+Q290,0))</f>
        <v>0</v>
      </c>
      <c r="R291">
        <f>IF(AND(MyRowHidden(ROW())=FALSE,MyRowHidden(ROW()-1)=TRUE),0,IF(M291&lt;totalMonths,(totalMonths-M291)/totalMonths *(L291-L290)+R290,0))</f>
        <v>0</v>
      </c>
    </row>
    <row r="292" spans="1:18" hidden="1" x14ac:dyDescent="0.25">
      <c r="A292" s="1"/>
      <c r="C292" s="1"/>
      <c r="D292" s="1">
        <v>41667</v>
      </c>
      <c r="E292" s="10">
        <v>-2356</v>
      </c>
      <c r="F292" s="1">
        <v>41667</v>
      </c>
      <c r="G292">
        <v>-3808</v>
      </c>
      <c r="H292" s="1">
        <f t="shared" si="32"/>
        <v>41667</v>
      </c>
      <c r="I292">
        <f>IF(AND(MyRowHidden(ROW())=FALSE,MyRowHidden(ROW()-1)=TRUE),0,(E292-E291)*unitsOfDHp+I291)</f>
        <v>-82460</v>
      </c>
      <c r="J292">
        <f>IF(AND(MyRowHidden(ROW())=FALSE,MyRowHidden(ROW()-1)=TRUE),0,(G292-G291)*unitsOfExo+J291)</f>
        <v>-2432592</v>
      </c>
      <c r="K292" s="9">
        <f t="shared" si="33"/>
        <v>2432592</v>
      </c>
      <c r="L292">
        <f t="shared" si="34"/>
        <v>-2515052</v>
      </c>
      <c r="M292">
        <f>IF(AND(MyRowHidden(ROW())=FALSE,MyRowHidden(ROW()-1)=TRUE),0,IF(MONTH(H292)&lt;&gt;MONTH(H291),M291+1,M291))</f>
        <v>12</v>
      </c>
      <c r="N292">
        <f>IF(AND(MyRowHidden(ROW())=FALSE,MyRowHidden(ROW()-1)=TRUE),0,IF(M292&lt;totalMonths,(totalMonths-M292)/totalMonths *(I292-I291)+N291,0))</f>
        <v>0</v>
      </c>
      <c r="P292">
        <f>IF(AND(MyRowHidden(ROW())=FALSE,MyRowHidden(ROW()-1)=TRUE),0,IF(M292&lt;totalMonths,(totalMonths-M292)/totalMonths *(J292-J291)+P291,0))</f>
        <v>0</v>
      </c>
      <c r="Q292">
        <f>IF(AND(MyRowHidden(ROW())=FALSE,MyRowHidden(ROW()-1)=TRUE),0,IF(M292&lt;totalMonths,(totalMonths-M292)/totalMonths *(K292-K291)+Q291,0))</f>
        <v>0</v>
      </c>
      <c r="R292">
        <f>IF(AND(MyRowHidden(ROW())=FALSE,MyRowHidden(ROW()-1)=TRUE),0,IF(M292&lt;totalMonths,(totalMonths-M292)/totalMonths *(L292-L291)+R291,0))</f>
        <v>0</v>
      </c>
    </row>
    <row r="293" spans="1:18" hidden="1" x14ac:dyDescent="0.25">
      <c r="A293" s="1"/>
      <c r="C293" s="1"/>
      <c r="D293" s="1">
        <v>41668</v>
      </c>
      <c r="E293" s="10">
        <v>-2594</v>
      </c>
      <c r="F293" s="1">
        <v>41668</v>
      </c>
      <c r="G293">
        <v>-4045.5</v>
      </c>
      <c r="H293" s="1">
        <f t="shared" si="32"/>
        <v>41668</v>
      </c>
      <c r="I293">
        <f>IF(AND(MyRowHidden(ROW())=FALSE,MyRowHidden(ROW()-1)=TRUE),0,(E293-E292)*unitsOfDHp+I292)</f>
        <v>-90790</v>
      </c>
      <c r="J293">
        <f>IF(AND(MyRowHidden(ROW())=FALSE,MyRowHidden(ROW()-1)=TRUE),0,(G293-G292)*unitsOfExo+J292)</f>
        <v>-2500992</v>
      </c>
      <c r="K293" s="9">
        <f t="shared" si="33"/>
        <v>2500992</v>
      </c>
      <c r="L293">
        <f t="shared" si="34"/>
        <v>-2591782</v>
      </c>
      <c r="M293">
        <f>IF(AND(MyRowHidden(ROW())=FALSE,MyRowHidden(ROW()-1)=TRUE),0,IF(MONTH(H293)&lt;&gt;MONTH(H292),M292+1,M292))</f>
        <v>12</v>
      </c>
      <c r="N293">
        <f>IF(AND(MyRowHidden(ROW())=FALSE,MyRowHidden(ROW()-1)=TRUE),0,IF(M293&lt;totalMonths,(totalMonths-M293)/totalMonths *(I293-I292)+N292,0))</f>
        <v>0</v>
      </c>
      <c r="P293">
        <f>IF(AND(MyRowHidden(ROW())=FALSE,MyRowHidden(ROW()-1)=TRUE),0,IF(M293&lt;totalMonths,(totalMonths-M293)/totalMonths *(J293-J292)+P292,0))</f>
        <v>0</v>
      </c>
      <c r="Q293">
        <f>IF(AND(MyRowHidden(ROW())=FALSE,MyRowHidden(ROW()-1)=TRUE),0,IF(M293&lt;totalMonths,(totalMonths-M293)/totalMonths *(K293-K292)+Q292,0))</f>
        <v>0</v>
      </c>
      <c r="R293">
        <f>IF(AND(MyRowHidden(ROW())=FALSE,MyRowHidden(ROW()-1)=TRUE),0,IF(M293&lt;totalMonths,(totalMonths-M293)/totalMonths *(L293-L292)+R292,0))</f>
        <v>0</v>
      </c>
    </row>
    <row r="294" spans="1:18" hidden="1" x14ac:dyDescent="0.25">
      <c r="A294" s="1"/>
      <c r="C294" s="1"/>
      <c r="D294" s="1">
        <v>41669</v>
      </c>
      <c r="E294" s="10">
        <v>-2018</v>
      </c>
      <c r="F294" s="1">
        <v>41669</v>
      </c>
      <c r="G294">
        <v>-3783</v>
      </c>
      <c r="H294" s="1">
        <f t="shared" si="32"/>
        <v>41669</v>
      </c>
      <c r="I294">
        <f>IF(AND(MyRowHidden(ROW())=FALSE,MyRowHidden(ROW()-1)=TRUE),0,(E294-E293)*unitsOfDHp+I293)</f>
        <v>-70630</v>
      </c>
      <c r="J294">
        <f>IF(AND(MyRowHidden(ROW())=FALSE,MyRowHidden(ROW()-1)=TRUE),0,(G294-G293)*unitsOfExo+J293)</f>
        <v>-2425392</v>
      </c>
      <c r="K294" s="9">
        <f t="shared" si="33"/>
        <v>2425392</v>
      </c>
      <c r="L294">
        <f t="shared" si="34"/>
        <v>-2496022</v>
      </c>
      <c r="M294">
        <f>IF(AND(MyRowHidden(ROW())=FALSE,MyRowHidden(ROW()-1)=TRUE),0,IF(MONTH(H294)&lt;&gt;MONTH(H293),M293+1,M293))</f>
        <v>12</v>
      </c>
      <c r="N294">
        <f>IF(AND(MyRowHidden(ROW())=FALSE,MyRowHidden(ROW()-1)=TRUE),0,IF(M294&lt;totalMonths,(totalMonths-M294)/totalMonths *(I294-I293)+N293,0))</f>
        <v>0</v>
      </c>
      <c r="P294">
        <f>IF(AND(MyRowHidden(ROW())=FALSE,MyRowHidden(ROW()-1)=TRUE),0,IF(M294&lt;totalMonths,(totalMonths-M294)/totalMonths *(J294-J293)+P293,0))</f>
        <v>0</v>
      </c>
      <c r="Q294">
        <f>IF(AND(MyRowHidden(ROW())=FALSE,MyRowHidden(ROW()-1)=TRUE),0,IF(M294&lt;totalMonths,(totalMonths-M294)/totalMonths *(K294-K293)+Q293,0))</f>
        <v>0</v>
      </c>
      <c r="R294">
        <f>IF(AND(MyRowHidden(ROW())=FALSE,MyRowHidden(ROW()-1)=TRUE),0,IF(M294&lt;totalMonths,(totalMonths-M294)/totalMonths *(L294-L293)+R293,0))</f>
        <v>0</v>
      </c>
    </row>
    <row r="295" spans="1:18" hidden="1" x14ac:dyDescent="0.25">
      <c r="A295" s="1"/>
      <c r="C295" s="1"/>
      <c r="D295" s="1">
        <v>41670</v>
      </c>
      <c r="E295" s="10">
        <v>-2193</v>
      </c>
      <c r="F295" s="1">
        <v>41670</v>
      </c>
      <c r="G295">
        <v>-3845.5</v>
      </c>
      <c r="H295" s="1">
        <f t="shared" si="32"/>
        <v>41670</v>
      </c>
      <c r="I295">
        <f>IF(AND(MyRowHidden(ROW())=FALSE,MyRowHidden(ROW()-1)=TRUE),0,(E295-E294)*unitsOfDHp+I294)</f>
        <v>-76755</v>
      </c>
      <c r="J295">
        <f>IF(AND(MyRowHidden(ROW())=FALSE,MyRowHidden(ROW()-1)=TRUE),0,(G295-G294)*unitsOfExo+J294)</f>
        <v>-2443392</v>
      </c>
      <c r="K295" s="9">
        <f t="shared" si="33"/>
        <v>2443392</v>
      </c>
      <c r="L295">
        <f t="shared" si="34"/>
        <v>-2520147</v>
      </c>
      <c r="M295">
        <f>IF(AND(MyRowHidden(ROW())=FALSE,MyRowHidden(ROW()-1)=TRUE),0,IF(MONTH(H295)&lt;&gt;MONTH(H294),M294+1,M294))</f>
        <v>12</v>
      </c>
      <c r="N295">
        <f>IF(AND(MyRowHidden(ROW())=FALSE,MyRowHidden(ROW()-1)=TRUE),0,IF(M295&lt;totalMonths,(totalMonths-M295)/totalMonths *(I295-I294)+N294,0))</f>
        <v>0</v>
      </c>
      <c r="P295">
        <f>IF(AND(MyRowHidden(ROW())=FALSE,MyRowHidden(ROW()-1)=TRUE),0,IF(M295&lt;totalMonths,(totalMonths-M295)/totalMonths *(J295-J294)+P294,0))</f>
        <v>0</v>
      </c>
      <c r="Q295">
        <f>IF(AND(MyRowHidden(ROW())=FALSE,MyRowHidden(ROW()-1)=TRUE),0,IF(M295&lt;totalMonths,(totalMonths-M295)/totalMonths *(K295-K294)+Q294,0))</f>
        <v>0</v>
      </c>
      <c r="R295">
        <f>IF(AND(MyRowHidden(ROW())=FALSE,MyRowHidden(ROW()-1)=TRUE),0,IF(M295&lt;totalMonths,(totalMonths-M295)/totalMonths *(L295-L294)+R294,0))</f>
        <v>0</v>
      </c>
    </row>
    <row r="296" spans="1:18" hidden="1" x14ac:dyDescent="0.25">
      <c r="A296" s="1"/>
      <c r="C296" s="1"/>
      <c r="D296" s="1">
        <v>41673</v>
      </c>
      <c r="E296" s="10">
        <v>-1952</v>
      </c>
      <c r="F296" s="1">
        <v>41673</v>
      </c>
      <c r="G296">
        <v>-3645</v>
      </c>
      <c r="H296" s="1">
        <f t="shared" si="32"/>
        <v>41673</v>
      </c>
      <c r="I296">
        <f>IF(AND(MyRowHidden(ROW())=FALSE,MyRowHidden(ROW()-1)=TRUE),0,(E296-E295)*unitsOfDHp+I295)</f>
        <v>-68320</v>
      </c>
      <c r="J296">
        <f>IF(AND(MyRowHidden(ROW())=FALSE,MyRowHidden(ROW()-1)=TRUE),0,(G296-G295)*unitsOfExo+J295)</f>
        <v>-2385648</v>
      </c>
      <c r="K296" s="9">
        <f t="shared" si="33"/>
        <v>2385648</v>
      </c>
      <c r="L296">
        <f t="shared" si="34"/>
        <v>-2453968</v>
      </c>
      <c r="M296">
        <f>IF(AND(MyRowHidden(ROW())=FALSE,MyRowHidden(ROW()-1)=TRUE),0,IF(MONTH(H296)&lt;&gt;MONTH(H295),M295+1,M295))</f>
        <v>13</v>
      </c>
      <c r="N296">
        <f>IF(AND(MyRowHidden(ROW())=FALSE,MyRowHidden(ROW()-1)=TRUE),0,IF(M296&lt;totalMonths,(totalMonths-M296)/totalMonths *(I296-I295)+N295,0))</f>
        <v>0</v>
      </c>
      <c r="P296">
        <f>IF(AND(MyRowHidden(ROW())=FALSE,MyRowHidden(ROW()-1)=TRUE),0,IF(M296&lt;totalMonths,(totalMonths-M296)/totalMonths *(J296-J295)+P295,0))</f>
        <v>0</v>
      </c>
      <c r="Q296">
        <f>IF(AND(MyRowHidden(ROW())=FALSE,MyRowHidden(ROW()-1)=TRUE),0,IF(M296&lt;totalMonths,(totalMonths-M296)/totalMonths *(K296-K295)+Q295,0))</f>
        <v>0</v>
      </c>
      <c r="R296">
        <f>IF(AND(MyRowHidden(ROW())=FALSE,MyRowHidden(ROW()-1)=TRUE),0,IF(M296&lt;totalMonths,(totalMonths-M296)/totalMonths *(L296-L295)+R295,0))</f>
        <v>0</v>
      </c>
    </row>
    <row r="297" spans="1:18" hidden="1" x14ac:dyDescent="0.25">
      <c r="A297" s="1"/>
      <c r="C297" s="1"/>
      <c r="D297" s="1">
        <v>41674</v>
      </c>
      <c r="E297" s="10">
        <v>-1427</v>
      </c>
      <c r="F297" s="1">
        <v>41674</v>
      </c>
      <c r="G297">
        <v>-3407.5</v>
      </c>
      <c r="H297" s="1">
        <f t="shared" si="32"/>
        <v>41674</v>
      </c>
      <c r="I297">
        <f>IF(AND(MyRowHidden(ROW())=FALSE,MyRowHidden(ROW()-1)=TRUE),0,(E297-E296)*unitsOfDHp+I296)</f>
        <v>-49945</v>
      </c>
      <c r="J297">
        <f>IF(AND(MyRowHidden(ROW())=FALSE,MyRowHidden(ROW()-1)=TRUE),0,(G297-G296)*unitsOfExo+J296)</f>
        <v>-2317248</v>
      </c>
      <c r="K297" s="9">
        <f t="shared" si="33"/>
        <v>2317248</v>
      </c>
      <c r="L297">
        <f t="shared" si="34"/>
        <v>-2367193</v>
      </c>
      <c r="M297">
        <f>IF(AND(MyRowHidden(ROW())=FALSE,MyRowHidden(ROW()-1)=TRUE),0,IF(MONTH(H297)&lt;&gt;MONTH(H296),M296+1,M296))</f>
        <v>13</v>
      </c>
      <c r="N297">
        <f>IF(AND(MyRowHidden(ROW())=FALSE,MyRowHidden(ROW()-1)=TRUE),0,IF(M297&lt;totalMonths,(totalMonths-M297)/totalMonths *(I297-I296)+N296,0))</f>
        <v>0</v>
      </c>
      <c r="P297">
        <f>IF(AND(MyRowHidden(ROW())=FALSE,MyRowHidden(ROW()-1)=TRUE),0,IF(M297&lt;totalMonths,(totalMonths-M297)/totalMonths *(J297-J296)+P296,0))</f>
        <v>0</v>
      </c>
      <c r="Q297">
        <f>IF(AND(MyRowHidden(ROW())=FALSE,MyRowHidden(ROW()-1)=TRUE),0,IF(M297&lt;totalMonths,(totalMonths-M297)/totalMonths *(K297-K296)+Q296,0))</f>
        <v>0</v>
      </c>
      <c r="R297">
        <f>IF(AND(MyRowHidden(ROW())=FALSE,MyRowHidden(ROW()-1)=TRUE),0,IF(M297&lt;totalMonths,(totalMonths-M297)/totalMonths *(L297-L296)+R296,0))</f>
        <v>0</v>
      </c>
    </row>
    <row r="298" spans="1:18" hidden="1" x14ac:dyDescent="0.25">
      <c r="A298" s="1"/>
      <c r="C298" s="1"/>
      <c r="D298" s="1">
        <v>41675</v>
      </c>
      <c r="E298" s="10">
        <v>-1402</v>
      </c>
      <c r="F298" s="1">
        <v>41675</v>
      </c>
      <c r="G298">
        <v>-3270</v>
      </c>
      <c r="H298" s="1">
        <f t="shared" si="32"/>
        <v>41675</v>
      </c>
      <c r="I298">
        <f>IF(AND(MyRowHidden(ROW())=FALSE,MyRowHidden(ROW()-1)=TRUE),0,(E298-E297)*unitsOfDHp+I297)</f>
        <v>-49070</v>
      </c>
      <c r="J298">
        <f>IF(AND(MyRowHidden(ROW())=FALSE,MyRowHidden(ROW()-1)=TRUE),0,(G298-G297)*unitsOfExo+J297)</f>
        <v>-2277648</v>
      </c>
      <c r="K298" s="9">
        <f t="shared" si="33"/>
        <v>2277648</v>
      </c>
      <c r="L298">
        <f t="shared" si="34"/>
        <v>-2326718</v>
      </c>
      <c r="M298">
        <f>IF(AND(MyRowHidden(ROW())=FALSE,MyRowHidden(ROW()-1)=TRUE),0,IF(MONTH(H298)&lt;&gt;MONTH(H297),M297+1,M297))</f>
        <v>13</v>
      </c>
      <c r="N298">
        <f>IF(AND(MyRowHidden(ROW())=FALSE,MyRowHidden(ROW()-1)=TRUE),0,IF(M298&lt;totalMonths,(totalMonths-M298)/totalMonths *(I298-I297)+N297,0))</f>
        <v>0</v>
      </c>
      <c r="P298">
        <f>IF(AND(MyRowHidden(ROW())=FALSE,MyRowHidden(ROW()-1)=TRUE),0,IF(M298&lt;totalMonths,(totalMonths-M298)/totalMonths *(J298-J297)+P297,0))</f>
        <v>0</v>
      </c>
      <c r="Q298">
        <f>IF(AND(MyRowHidden(ROW())=FALSE,MyRowHidden(ROW()-1)=TRUE),0,IF(M298&lt;totalMonths,(totalMonths-M298)/totalMonths *(K298-K297)+Q297,0))</f>
        <v>0</v>
      </c>
      <c r="R298">
        <f>IF(AND(MyRowHidden(ROW())=FALSE,MyRowHidden(ROW()-1)=TRUE),0,IF(M298&lt;totalMonths,(totalMonths-M298)/totalMonths *(L298-L297)+R297,0))</f>
        <v>0</v>
      </c>
    </row>
    <row r="299" spans="1:18" hidden="1" x14ac:dyDescent="0.25">
      <c r="A299" s="1"/>
      <c r="C299" s="1"/>
      <c r="D299" s="1">
        <v>41676</v>
      </c>
      <c r="E299" s="10">
        <v>-1502</v>
      </c>
      <c r="F299" s="1">
        <v>41676</v>
      </c>
      <c r="G299">
        <v>-3307.5</v>
      </c>
      <c r="H299" s="1">
        <f t="shared" si="32"/>
        <v>41676</v>
      </c>
      <c r="I299">
        <f>IF(AND(MyRowHidden(ROW())=FALSE,MyRowHidden(ROW()-1)=TRUE),0,(E299-E298)*unitsOfDHp+I298)</f>
        <v>-52570</v>
      </c>
      <c r="J299">
        <f>IF(AND(MyRowHidden(ROW())=FALSE,MyRowHidden(ROW()-1)=TRUE),0,(G299-G298)*unitsOfExo+J298)</f>
        <v>-2288448</v>
      </c>
      <c r="K299" s="9">
        <f t="shared" si="33"/>
        <v>2288448</v>
      </c>
      <c r="L299">
        <f t="shared" si="34"/>
        <v>-2341018</v>
      </c>
      <c r="M299">
        <f>IF(AND(MyRowHidden(ROW())=FALSE,MyRowHidden(ROW()-1)=TRUE),0,IF(MONTH(H299)&lt;&gt;MONTH(H298),M298+1,M298))</f>
        <v>13</v>
      </c>
      <c r="N299">
        <f>IF(AND(MyRowHidden(ROW())=FALSE,MyRowHidden(ROW()-1)=TRUE),0,IF(M299&lt;totalMonths,(totalMonths-M299)/totalMonths *(I299-I298)+N298,0))</f>
        <v>0</v>
      </c>
      <c r="P299">
        <f>IF(AND(MyRowHidden(ROW())=FALSE,MyRowHidden(ROW()-1)=TRUE),0,IF(M299&lt;totalMonths,(totalMonths-M299)/totalMonths *(J299-J298)+P298,0))</f>
        <v>0</v>
      </c>
      <c r="Q299">
        <f>IF(AND(MyRowHidden(ROW())=FALSE,MyRowHidden(ROW()-1)=TRUE),0,IF(M299&lt;totalMonths,(totalMonths-M299)/totalMonths *(K299-K298)+Q298,0))</f>
        <v>0</v>
      </c>
      <c r="R299">
        <f>IF(AND(MyRowHidden(ROW())=FALSE,MyRowHidden(ROW()-1)=TRUE),0,IF(M299&lt;totalMonths,(totalMonths-M299)/totalMonths *(L299-L298)+R298,0))</f>
        <v>0</v>
      </c>
    </row>
    <row r="300" spans="1:18" hidden="1" x14ac:dyDescent="0.25">
      <c r="A300" s="1"/>
      <c r="C300" s="1"/>
      <c r="D300" s="1">
        <v>41677</v>
      </c>
      <c r="E300" s="10">
        <v>-1351</v>
      </c>
      <c r="F300" s="1">
        <v>41677</v>
      </c>
      <c r="G300">
        <v>-3270</v>
      </c>
      <c r="H300" s="1">
        <f t="shared" si="32"/>
        <v>41677</v>
      </c>
      <c r="I300">
        <f>IF(AND(MyRowHidden(ROW())=FALSE,MyRowHidden(ROW()-1)=TRUE),0,(E300-E299)*unitsOfDHp+I299)</f>
        <v>-47285</v>
      </c>
      <c r="J300">
        <f>IF(AND(MyRowHidden(ROW())=FALSE,MyRowHidden(ROW()-1)=TRUE),0,(G300-G299)*unitsOfExo+J299)</f>
        <v>-2277648</v>
      </c>
      <c r="K300" s="9">
        <f t="shared" si="33"/>
        <v>2277648</v>
      </c>
      <c r="L300">
        <f t="shared" si="34"/>
        <v>-2324933</v>
      </c>
      <c r="M300">
        <f>IF(AND(MyRowHidden(ROW())=FALSE,MyRowHidden(ROW()-1)=TRUE),0,IF(MONTH(H300)&lt;&gt;MONTH(H299),M299+1,M299))</f>
        <v>13</v>
      </c>
      <c r="N300">
        <f>IF(AND(MyRowHidden(ROW())=FALSE,MyRowHidden(ROW()-1)=TRUE),0,IF(M300&lt;totalMonths,(totalMonths-M300)/totalMonths *(I300-I299)+N299,0))</f>
        <v>0</v>
      </c>
      <c r="P300">
        <f>IF(AND(MyRowHidden(ROW())=FALSE,MyRowHidden(ROW()-1)=TRUE),0,IF(M300&lt;totalMonths,(totalMonths-M300)/totalMonths *(J300-J299)+P299,0))</f>
        <v>0</v>
      </c>
      <c r="Q300">
        <f>IF(AND(MyRowHidden(ROW())=FALSE,MyRowHidden(ROW()-1)=TRUE),0,IF(M300&lt;totalMonths,(totalMonths-M300)/totalMonths *(K300-K299)+Q299,0))</f>
        <v>0</v>
      </c>
      <c r="R300">
        <f>IF(AND(MyRowHidden(ROW())=FALSE,MyRowHidden(ROW()-1)=TRUE),0,IF(M300&lt;totalMonths,(totalMonths-M300)/totalMonths *(L300-L299)+R299,0))</f>
        <v>0</v>
      </c>
    </row>
    <row r="301" spans="1:18" hidden="1" x14ac:dyDescent="0.25">
      <c r="A301" s="1"/>
      <c r="C301" s="1"/>
      <c r="D301" s="1">
        <v>41680</v>
      </c>
      <c r="E301" s="10">
        <v>-1238</v>
      </c>
      <c r="F301" s="1">
        <v>41680</v>
      </c>
      <c r="G301">
        <v>-3395</v>
      </c>
      <c r="H301" s="1">
        <f t="shared" si="32"/>
        <v>41680</v>
      </c>
      <c r="I301">
        <f>IF(AND(MyRowHidden(ROW())=FALSE,MyRowHidden(ROW()-1)=TRUE),0,(E301-E300)*unitsOfDHp+I300)</f>
        <v>-43330</v>
      </c>
      <c r="J301">
        <f>IF(AND(MyRowHidden(ROW())=FALSE,MyRowHidden(ROW()-1)=TRUE),0,(G301-G300)*unitsOfExo+J300)</f>
        <v>-2313648</v>
      </c>
      <c r="K301" s="9">
        <f t="shared" si="33"/>
        <v>2313648</v>
      </c>
      <c r="L301">
        <f t="shared" si="34"/>
        <v>-2356978</v>
      </c>
      <c r="M301">
        <f>IF(AND(MyRowHidden(ROW())=FALSE,MyRowHidden(ROW()-1)=TRUE),0,IF(MONTH(H301)&lt;&gt;MONTH(H300),M300+1,M300))</f>
        <v>13</v>
      </c>
      <c r="N301">
        <f>IF(AND(MyRowHidden(ROW())=FALSE,MyRowHidden(ROW()-1)=TRUE),0,IF(M301&lt;totalMonths,(totalMonths-M301)/totalMonths *(I301-I300)+N300,0))</f>
        <v>0</v>
      </c>
      <c r="P301">
        <f>IF(AND(MyRowHidden(ROW())=FALSE,MyRowHidden(ROW()-1)=TRUE),0,IF(M301&lt;totalMonths,(totalMonths-M301)/totalMonths *(J301-J300)+P300,0))</f>
        <v>0</v>
      </c>
      <c r="Q301">
        <f>IF(AND(MyRowHidden(ROW())=FALSE,MyRowHidden(ROW()-1)=TRUE),0,IF(M301&lt;totalMonths,(totalMonths-M301)/totalMonths *(K301-K300)+Q300,0))</f>
        <v>0</v>
      </c>
      <c r="R301">
        <f>IF(AND(MyRowHidden(ROW())=FALSE,MyRowHidden(ROW()-1)=TRUE),0,IF(M301&lt;totalMonths,(totalMonths-M301)/totalMonths *(L301-L300)+R300,0))</f>
        <v>0</v>
      </c>
    </row>
    <row r="302" spans="1:18" hidden="1" x14ac:dyDescent="0.25">
      <c r="A302" s="1"/>
      <c r="C302" s="1"/>
      <c r="D302" s="1">
        <v>41681</v>
      </c>
      <c r="E302" s="10">
        <v>-1413</v>
      </c>
      <c r="F302" s="1">
        <v>41681</v>
      </c>
      <c r="G302">
        <v>-3357.5</v>
      </c>
      <c r="H302" s="1">
        <f t="shared" si="32"/>
        <v>41681</v>
      </c>
      <c r="I302">
        <f>IF(AND(MyRowHidden(ROW())=FALSE,MyRowHidden(ROW()-1)=TRUE),0,(E302-E301)*unitsOfDHp+I301)</f>
        <v>-49455</v>
      </c>
      <c r="J302">
        <f>IF(AND(MyRowHidden(ROW())=FALSE,MyRowHidden(ROW()-1)=TRUE),0,(G302-G301)*unitsOfExo+J301)</f>
        <v>-2302848</v>
      </c>
      <c r="K302" s="9">
        <f t="shared" si="33"/>
        <v>2302848</v>
      </c>
      <c r="L302">
        <f t="shared" si="34"/>
        <v>-2352303</v>
      </c>
      <c r="M302">
        <f>IF(AND(MyRowHidden(ROW())=FALSE,MyRowHidden(ROW()-1)=TRUE),0,IF(MONTH(H302)&lt;&gt;MONTH(H301),M301+1,M301))</f>
        <v>13</v>
      </c>
      <c r="N302">
        <f>IF(AND(MyRowHidden(ROW())=FALSE,MyRowHidden(ROW()-1)=TRUE),0,IF(M302&lt;totalMonths,(totalMonths-M302)/totalMonths *(I302-I301)+N301,0))</f>
        <v>0</v>
      </c>
      <c r="P302">
        <f>IF(AND(MyRowHidden(ROW())=FALSE,MyRowHidden(ROW()-1)=TRUE),0,IF(M302&lt;totalMonths,(totalMonths-M302)/totalMonths *(J302-J301)+P301,0))</f>
        <v>0</v>
      </c>
      <c r="Q302">
        <f>IF(AND(MyRowHidden(ROW())=FALSE,MyRowHidden(ROW()-1)=TRUE),0,IF(M302&lt;totalMonths,(totalMonths-M302)/totalMonths *(K302-K301)+Q301,0))</f>
        <v>0</v>
      </c>
      <c r="R302">
        <f>IF(AND(MyRowHidden(ROW())=FALSE,MyRowHidden(ROW()-1)=TRUE),0,IF(M302&lt;totalMonths,(totalMonths-M302)/totalMonths *(L302-L301)+R301,0))</f>
        <v>0</v>
      </c>
    </row>
    <row r="303" spans="1:18" hidden="1" x14ac:dyDescent="0.25">
      <c r="A303" s="1"/>
      <c r="C303" s="1"/>
      <c r="D303" s="1">
        <v>41682</v>
      </c>
      <c r="E303" s="10">
        <v>-1199</v>
      </c>
      <c r="F303" s="1">
        <v>41682</v>
      </c>
      <c r="G303">
        <v>-3445</v>
      </c>
      <c r="H303" s="1">
        <f t="shared" si="32"/>
        <v>41682</v>
      </c>
      <c r="I303">
        <f>IF(AND(MyRowHidden(ROW())=FALSE,MyRowHidden(ROW()-1)=TRUE),0,(E303-E302)*unitsOfDHp+I302)</f>
        <v>-41965</v>
      </c>
      <c r="J303">
        <f>IF(AND(MyRowHidden(ROW())=FALSE,MyRowHidden(ROW()-1)=TRUE),0,(G303-G302)*unitsOfExo+J302)</f>
        <v>-2328048</v>
      </c>
      <c r="K303" s="9">
        <f t="shared" si="33"/>
        <v>2328048</v>
      </c>
      <c r="L303">
        <f t="shared" si="34"/>
        <v>-2370013</v>
      </c>
      <c r="M303">
        <f>IF(AND(MyRowHidden(ROW())=FALSE,MyRowHidden(ROW()-1)=TRUE),0,IF(MONTH(H303)&lt;&gt;MONTH(H302),M302+1,M302))</f>
        <v>13</v>
      </c>
      <c r="N303">
        <f>IF(AND(MyRowHidden(ROW())=FALSE,MyRowHidden(ROW()-1)=TRUE),0,IF(M303&lt;totalMonths,(totalMonths-M303)/totalMonths *(I303-I302)+N302,0))</f>
        <v>0</v>
      </c>
      <c r="P303">
        <f>IF(AND(MyRowHidden(ROW())=FALSE,MyRowHidden(ROW()-1)=TRUE),0,IF(M303&lt;totalMonths,(totalMonths-M303)/totalMonths *(J303-J302)+P302,0))</f>
        <v>0</v>
      </c>
      <c r="Q303">
        <f>IF(AND(MyRowHidden(ROW())=FALSE,MyRowHidden(ROW()-1)=TRUE),0,IF(M303&lt;totalMonths,(totalMonths-M303)/totalMonths *(K303-K302)+Q302,0))</f>
        <v>0</v>
      </c>
      <c r="R303">
        <f>IF(AND(MyRowHidden(ROW())=FALSE,MyRowHidden(ROW()-1)=TRUE),0,IF(M303&lt;totalMonths,(totalMonths-M303)/totalMonths *(L303-L302)+R302,0))</f>
        <v>0</v>
      </c>
    </row>
    <row r="304" spans="1:18" hidden="1" x14ac:dyDescent="0.25">
      <c r="A304" s="1"/>
      <c r="C304" s="1"/>
      <c r="D304" s="1">
        <v>41683</v>
      </c>
      <c r="E304" s="10">
        <v>-899</v>
      </c>
      <c r="F304" s="1">
        <v>41683</v>
      </c>
      <c r="G304">
        <v>-3482.5</v>
      </c>
      <c r="H304" s="1">
        <f t="shared" si="32"/>
        <v>41683</v>
      </c>
      <c r="I304">
        <f>IF(AND(MyRowHidden(ROW())=FALSE,MyRowHidden(ROW()-1)=TRUE),0,(E304-E303)*unitsOfDHp+I303)</f>
        <v>-31465</v>
      </c>
      <c r="J304">
        <f>IF(AND(MyRowHidden(ROW())=FALSE,MyRowHidden(ROW()-1)=TRUE),0,(G304-G303)*unitsOfExo+J303)</f>
        <v>-2338848</v>
      </c>
      <c r="K304" s="9">
        <f t="shared" si="33"/>
        <v>2338848</v>
      </c>
      <c r="L304">
        <f t="shared" si="34"/>
        <v>-2370313</v>
      </c>
      <c r="M304">
        <f>IF(AND(MyRowHidden(ROW())=FALSE,MyRowHidden(ROW()-1)=TRUE),0,IF(MONTH(H304)&lt;&gt;MONTH(H303),M303+1,M303))</f>
        <v>13</v>
      </c>
      <c r="N304">
        <f>IF(AND(MyRowHidden(ROW())=FALSE,MyRowHidden(ROW()-1)=TRUE),0,IF(M304&lt;totalMonths,(totalMonths-M304)/totalMonths *(I304-I303)+N303,0))</f>
        <v>0</v>
      </c>
      <c r="P304">
        <f>IF(AND(MyRowHidden(ROW())=FALSE,MyRowHidden(ROW()-1)=TRUE),0,IF(M304&lt;totalMonths,(totalMonths-M304)/totalMonths *(J304-J303)+P303,0))</f>
        <v>0</v>
      </c>
      <c r="Q304">
        <f>IF(AND(MyRowHidden(ROW())=FALSE,MyRowHidden(ROW()-1)=TRUE),0,IF(M304&lt;totalMonths,(totalMonths-M304)/totalMonths *(K304-K303)+Q303,0))</f>
        <v>0</v>
      </c>
      <c r="R304">
        <f>IF(AND(MyRowHidden(ROW())=FALSE,MyRowHidden(ROW()-1)=TRUE),0,IF(M304&lt;totalMonths,(totalMonths-M304)/totalMonths *(L304-L303)+R303,0))</f>
        <v>0</v>
      </c>
    </row>
    <row r="305" spans="1:18" hidden="1" x14ac:dyDescent="0.25">
      <c r="A305" s="1"/>
      <c r="C305" s="1"/>
      <c r="D305" s="1">
        <v>41684</v>
      </c>
      <c r="E305" s="10">
        <v>-471</v>
      </c>
      <c r="F305" s="1">
        <v>41684</v>
      </c>
      <c r="G305">
        <v>-3245</v>
      </c>
      <c r="H305" s="1">
        <f t="shared" si="32"/>
        <v>41684</v>
      </c>
      <c r="I305">
        <f>IF(AND(MyRowHidden(ROW())=FALSE,MyRowHidden(ROW()-1)=TRUE),0,(E305-E304)*unitsOfDHp+I304)</f>
        <v>-16485</v>
      </c>
      <c r="J305">
        <f>IF(AND(MyRowHidden(ROW())=FALSE,MyRowHidden(ROW()-1)=TRUE),0,(G305-G304)*unitsOfExo+J304)</f>
        <v>-2270448</v>
      </c>
      <c r="K305" s="9">
        <f t="shared" si="33"/>
        <v>2270448</v>
      </c>
      <c r="L305">
        <f t="shared" si="34"/>
        <v>-2286933</v>
      </c>
      <c r="M305">
        <f>IF(AND(MyRowHidden(ROW())=FALSE,MyRowHidden(ROW()-1)=TRUE),0,IF(MONTH(H305)&lt;&gt;MONTH(H304),M304+1,M304))</f>
        <v>13</v>
      </c>
      <c r="N305">
        <f>IF(AND(MyRowHidden(ROW())=FALSE,MyRowHidden(ROW()-1)=TRUE),0,IF(M305&lt;totalMonths,(totalMonths-M305)/totalMonths *(I305-I304)+N304,0))</f>
        <v>0</v>
      </c>
      <c r="P305">
        <f>IF(AND(MyRowHidden(ROW())=FALSE,MyRowHidden(ROW()-1)=TRUE),0,IF(M305&lt;totalMonths,(totalMonths-M305)/totalMonths *(J305-J304)+P304,0))</f>
        <v>0</v>
      </c>
      <c r="Q305">
        <f>IF(AND(MyRowHidden(ROW())=FALSE,MyRowHidden(ROW()-1)=TRUE),0,IF(M305&lt;totalMonths,(totalMonths-M305)/totalMonths *(K305-K304)+Q304,0))</f>
        <v>0</v>
      </c>
      <c r="R305">
        <f>IF(AND(MyRowHidden(ROW())=FALSE,MyRowHidden(ROW()-1)=TRUE),0,IF(M305&lt;totalMonths,(totalMonths-M305)/totalMonths *(L305-L304)+R304,0))</f>
        <v>0</v>
      </c>
    </row>
    <row r="306" spans="1:18" hidden="1" x14ac:dyDescent="0.25">
      <c r="A306" s="1"/>
      <c r="C306" s="1"/>
      <c r="D306" s="1">
        <v>41687</v>
      </c>
      <c r="E306" s="10">
        <v>-432</v>
      </c>
      <c r="F306" s="1">
        <v>41687</v>
      </c>
      <c r="G306">
        <v>-3182.5</v>
      </c>
      <c r="H306" s="1">
        <f t="shared" si="32"/>
        <v>41687</v>
      </c>
      <c r="I306">
        <f>IF(AND(MyRowHidden(ROW())=FALSE,MyRowHidden(ROW()-1)=TRUE),0,(E306-E305)*unitsOfDHp+I305)</f>
        <v>-15120</v>
      </c>
      <c r="J306">
        <f>IF(AND(MyRowHidden(ROW())=FALSE,MyRowHidden(ROW()-1)=TRUE),0,(G306-G305)*unitsOfExo+J305)</f>
        <v>-2252448</v>
      </c>
      <c r="K306" s="9">
        <f t="shared" si="33"/>
        <v>2252448</v>
      </c>
      <c r="L306">
        <f t="shared" si="34"/>
        <v>-2267568</v>
      </c>
      <c r="M306">
        <f>IF(AND(MyRowHidden(ROW())=FALSE,MyRowHidden(ROW()-1)=TRUE),0,IF(MONTH(H306)&lt;&gt;MONTH(H305),M305+1,M305))</f>
        <v>13</v>
      </c>
      <c r="N306">
        <f>IF(AND(MyRowHidden(ROW())=FALSE,MyRowHidden(ROW()-1)=TRUE),0,IF(M306&lt;totalMonths,(totalMonths-M306)/totalMonths *(I306-I305)+N305,0))</f>
        <v>0</v>
      </c>
      <c r="P306">
        <f>IF(AND(MyRowHidden(ROW())=FALSE,MyRowHidden(ROW()-1)=TRUE),0,IF(M306&lt;totalMonths,(totalMonths-M306)/totalMonths *(J306-J305)+P305,0))</f>
        <v>0</v>
      </c>
      <c r="Q306">
        <f>IF(AND(MyRowHidden(ROW())=FALSE,MyRowHidden(ROW()-1)=TRUE),0,IF(M306&lt;totalMonths,(totalMonths-M306)/totalMonths *(K306-K305)+Q305,0))</f>
        <v>0</v>
      </c>
      <c r="R306">
        <f>IF(AND(MyRowHidden(ROW())=FALSE,MyRowHidden(ROW()-1)=TRUE),0,IF(M306&lt;totalMonths,(totalMonths-M306)/totalMonths *(L306-L305)+R305,0))</f>
        <v>0</v>
      </c>
    </row>
    <row r="307" spans="1:18" hidden="1" x14ac:dyDescent="0.25">
      <c r="A307" s="1"/>
      <c r="C307" s="1"/>
      <c r="D307" s="1">
        <v>41688</v>
      </c>
      <c r="E307" s="10">
        <v>156</v>
      </c>
      <c r="F307" s="1">
        <v>41688</v>
      </c>
      <c r="G307">
        <v>-3032.5</v>
      </c>
      <c r="H307" s="1">
        <f t="shared" si="32"/>
        <v>41688</v>
      </c>
      <c r="I307">
        <f>IF(AND(MyRowHidden(ROW())=FALSE,MyRowHidden(ROW()-1)=TRUE),0,(E307-E306)*unitsOfDHp+I306)</f>
        <v>5460</v>
      </c>
      <c r="J307">
        <f>IF(AND(MyRowHidden(ROW())=FALSE,MyRowHidden(ROW()-1)=TRUE),0,(G307-G306)*unitsOfExo+J306)</f>
        <v>-2209248</v>
      </c>
      <c r="K307" s="9">
        <f t="shared" si="33"/>
        <v>2209248</v>
      </c>
      <c r="L307">
        <f t="shared" si="34"/>
        <v>-2203788</v>
      </c>
      <c r="M307">
        <f>IF(AND(MyRowHidden(ROW())=FALSE,MyRowHidden(ROW()-1)=TRUE),0,IF(MONTH(H307)&lt;&gt;MONTH(H306),M306+1,M306))</f>
        <v>13</v>
      </c>
      <c r="N307">
        <f>IF(AND(MyRowHidden(ROW())=FALSE,MyRowHidden(ROW()-1)=TRUE),0,IF(M307&lt;totalMonths,(totalMonths-M307)/totalMonths *(I307-I306)+N306,0))</f>
        <v>0</v>
      </c>
      <c r="P307">
        <f>IF(AND(MyRowHidden(ROW())=FALSE,MyRowHidden(ROW()-1)=TRUE),0,IF(M307&lt;totalMonths,(totalMonths-M307)/totalMonths *(J307-J306)+P306,0))</f>
        <v>0</v>
      </c>
      <c r="Q307">
        <f>IF(AND(MyRowHidden(ROW())=FALSE,MyRowHidden(ROW()-1)=TRUE),0,IF(M307&lt;totalMonths,(totalMonths-M307)/totalMonths *(K307-K306)+Q306,0))</f>
        <v>0</v>
      </c>
      <c r="R307">
        <f>IF(AND(MyRowHidden(ROW())=FALSE,MyRowHidden(ROW()-1)=TRUE),0,IF(M307&lt;totalMonths,(totalMonths-M307)/totalMonths *(L307-L306)+R306,0))</f>
        <v>0</v>
      </c>
    </row>
    <row r="308" spans="1:18" hidden="1" x14ac:dyDescent="0.25">
      <c r="A308" s="1"/>
      <c r="C308" s="1"/>
      <c r="D308" s="1">
        <v>41689</v>
      </c>
      <c r="E308" s="10">
        <v>648</v>
      </c>
      <c r="F308" s="1">
        <v>41689</v>
      </c>
      <c r="G308">
        <v>-2782.5</v>
      </c>
      <c r="H308" s="1">
        <f t="shared" si="32"/>
        <v>41689</v>
      </c>
      <c r="I308">
        <f>IF(AND(MyRowHidden(ROW())=FALSE,MyRowHidden(ROW()-1)=TRUE),0,(E308-E307)*unitsOfDHp+I307)</f>
        <v>22680</v>
      </c>
      <c r="J308">
        <f>IF(AND(MyRowHidden(ROW())=FALSE,MyRowHidden(ROW()-1)=TRUE),0,(G308-G307)*unitsOfExo+J307)</f>
        <v>-2137248</v>
      </c>
      <c r="K308" s="9">
        <f t="shared" si="33"/>
        <v>2137248</v>
      </c>
      <c r="L308">
        <f t="shared" si="34"/>
        <v>-2114568</v>
      </c>
      <c r="M308">
        <f>IF(AND(MyRowHidden(ROW())=FALSE,MyRowHidden(ROW()-1)=TRUE),0,IF(MONTH(H308)&lt;&gt;MONTH(H307),M307+1,M307))</f>
        <v>13</v>
      </c>
      <c r="N308">
        <f>IF(AND(MyRowHidden(ROW())=FALSE,MyRowHidden(ROW()-1)=TRUE),0,IF(M308&lt;totalMonths,(totalMonths-M308)/totalMonths *(I308-I307)+N307,0))</f>
        <v>0</v>
      </c>
      <c r="P308">
        <f>IF(AND(MyRowHidden(ROW())=FALSE,MyRowHidden(ROW()-1)=TRUE),0,IF(M308&lt;totalMonths,(totalMonths-M308)/totalMonths *(J308-J307)+P307,0))</f>
        <v>0</v>
      </c>
      <c r="Q308">
        <f>IF(AND(MyRowHidden(ROW())=FALSE,MyRowHidden(ROW()-1)=TRUE),0,IF(M308&lt;totalMonths,(totalMonths-M308)/totalMonths *(K308-K307)+Q307,0))</f>
        <v>0</v>
      </c>
      <c r="R308">
        <f>IF(AND(MyRowHidden(ROW())=FALSE,MyRowHidden(ROW()-1)=TRUE),0,IF(M308&lt;totalMonths,(totalMonths-M308)/totalMonths *(L308-L307)+R307,0))</f>
        <v>0</v>
      </c>
    </row>
    <row r="309" spans="1:18" hidden="1" x14ac:dyDescent="0.25">
      <c r="A309" s="1"/>
      <c r="C309" s="1"/>
      <c r="D309" s="1">
        <v>41690</v>
      </c>
      <c r="E309" s="10">
        <v>673</v>
      </c>
      <c r="F309" s="1">
        <v>41690</v>
      </c>
      <c r="G309">
        <v>-2682.5</v>
      </c>
      <c r="H309" s="1">
        <f t="shared" si="32"/>
        <v>41690</v>
      </c>
      <c r="I309">
        <f>IF(AND(MyRowHidden(ROW())=FALSE,MyRowHidden(ROW()-1)=TRUE),0,(E309-E308)*unitsOfDHp+I308)</f>
        <v>23555</v>
      </c>
      <c r="J309">
        <f>IF(AND(MyRowHidden(ROW())=FALSE,MyRowHidden(ROW()-1)=TRUE),0,(G309-G308)*unitsOfExo+J308)</f>
        <v>-2108448</v>
      </c>
      <c r="K309" s="9">
        <f t="shared" si="33"/>
        <v>2108448</v>
      </c>
      <c r="L309">
        <f t="shared" si="34"/>
        <v>-2084893</v>
      </c>
      <c r="M309">
        <f>IF(AND(MyRowHidden(ROW())=FALSE,MyRowHidden(ROW()-1)=TRUE),0,IF(MONTH(H309)&lt;&gt;MONTH(H308),M308+1,M308))</f>
        <v>13</v>
      </c>
      <c r="N309">
        <f>IF(AND(MyRowHidden(ROW())=FALSE,MyRowHidden(ROW()-1)=TRUE),0,IF(M309&lt;totalMonths,(totalMonths-M309)/totalMonths *(I309-I308)+N308,0))</f>
        <v>0</v>
      </c>
      <c r="P309">
        <f>IF(AND(MyRowHidden(ROW())=FALSE,MyRowHidden(ROW()-1)=TRUE),0,IF(M309&lt;totalMonths,(totalMonths-M309)/totalMonths *(J309-J308)+P308,0))</f>
        <v>0</v>
      </c>
      <c r="Q309">
        <f>IF(AND(MyRowHidden(ROW())=FALSE,MyRowHidden(ROW()-1)=TRUE),0,IF(M309&lt;totalMonths,(totalMonths-M309)/totalMonths *(K309-K308)+Q308,0))</f>
        <v>0</v>
      </c>
      <c r="R309">
        <f>IF(AND(MyRowHidden(ROW())=FALSE,MyRowHidden(ROW()-1)=TRUE),0,IF(M309&lt;totalMonths,(totalMonths-M309)/totalMonths *(L309-L308)+R308,0))</f>
        <v>0</v>
      </c>
    </row>
    <row r="310" spans="1:18" hidden="1" x14ac:dyDescent="0.25">
      <c r="A310" s="1"/>
      <c r="C310" s="1"/>
      <c r="D310" s="1">
        <v>41691</v>
      </c>
      <c r="E310" s="10">
        <v>336</v>
      </c>
      <c r="F310" s="1">
        <v>41691</v>
      </c>
      <c r="G310">
        <v>-2732.5</v>
      </c>
      <c r="H310" s="1">
        <f t="shared" si="32"/>
        <v>41691</v>
      </c>
      <c r="I310">
        <f>IF(AND(MyRowHidden(ROW())=FALSE,MyRowHidden(ROW()-1)=TRUE),0,(E310-E309)*unitsOfDHp+I309)</f>
        <v>11760</v>
      </c>
      <c r="J310">
        <f>IF(AND(MyRowHidden(ROW())=FALSE,MyRowHidden(ROW()-1)=TRUE),0,(G310-G309)*unitsOfExo+J309)</f>
        <v>-2122848</v>
      </c>
      <c r="K310" s="9">
        <f t="shared" si="33"/>
        <v>2122848</v>
      </c>
      <c r="L310">
        <f t="shared" si="34"/>
        <v>-2111088</v>
      </c>
      <c r="M310">
        <f>IF(AND(MyRowHidden(ROW())=FALSE,MyRowHidden(ROW()-1)=TRUE),0,IF(MONTH(H310)&lt;&gt;MONTH(H309),M309+1,M309))</f>
        <v>13</v>
      </c>
      <c r="N310">
        <f>IF(AND(MyRowHidden(ROW())=FALSE,MyRowHidden(ROW()-1)=TRUE),0,IF(M310&lt;totalMonths,(totalMonths-M310)/totalMonths *(I310-I309)+N309,0))</f>
        <v>0</v>
      </c>
      <c r="P310">
        <f>IF(AND(MyRowHidden(ROW())=FALSE,MyRowHidden(ROW()-1)=TRUE),0,IF(M310&lt;totalMonths,(totalMonths-M310)/totalMonths *(J310-J309)+P309,0))</f>
        <v>0</v>
      </c>
      <c r="Q310">
        <f>IF(AND(MyRowHidden(ROW())=FALSE,MyRowHidden(ROW()-1)=TRUE),0,IF(M310&lt;totalMonths,(totalMonths-M310)/totalMonths *(K310-K309)+Q309,0))</f>
        <v>0</v>
      </c>
      <c r="R310">
        <f>IF(AND(MyRowHidden(ROW())=FALSE,MyRowHidden(ROW()-1)=TRUE),0,IF(M310&lt;totalMonths,(totalMonths-M310)/totalMonths *(L310-L309)+R309,0))</f>
        <v>0</v>
      </c>
    </row>
    <row r="311" spans="1:18" hidden="1" x14ac:dyDescent="0.25">
      <c r="A311" s="1"/>
      <c r="C311" s="1"/>
      <c r="D311" s="1">
        <v>41694</v>
      </c>
      <c r="E311" s="10">
        <v>-352</v>
      </c>
      <c r="F311" s="1">
        <v>41694</v>
      </c>
      <c r="G311">
        <v>-2945</v>
      </c>
      <c r="H311" s="1">
        <f t="shared" si="32"/>
        <v>41694</v>
      </c>
      <c r="I311">
        <f>IF(AND(MyRowHidden(ROW())=FALSE,MyRowHidden(ROW()-1)=TRUE),0,(E311-E310)*unitsOfDHp+I310)</f>
        <v>-12320</v>
      </c>
      <c r="J311">
        <f>IF(AND(MyRowHidden(ROW())=FALSE,MyRowHidden(ROW()-1)=TRUE),0,(G311-G310)*unitsOfExo+J310)</f>
        <v>-2184048</v>
      </c>
      <c r="K311" s="9">
        <f t="shared" si="33"/>
        <v>2184048</v>
      </c>
      <c r="L311">
        <f t="shared" si="34"/>
        <v>-2196368</v>
      </c>
      <c r="M311">
        <f>IF(AND(MyRowHidden(ROW())=FALSE,MyRowHidden(ROW()-1)=TRUE),0,IF(MONTH(H311)&lt;&gt;MONTH(H310),M310+1,M310))</f>
        <v>13</v>
      </c>
      <c r="N311">
        <f>IF(AND(MyRowHidden(ROW())=FALSE,MyRowHidden(ROW()-1)=TRUE),0,IF(M311&lt;totalMonths,(totalMonths-M311)/totalMonths *(I311-I310)+N310,0))</f>
        <v>0</v>
      </c>
      <c r="P311">
        <f>IF(AND(MyRowHidden(ROW())=FALSE,MyRowHidden(ROW()-1)=TRUE),0,IF(M311&lt;totalMonths,(totalMonths-M311)/totalMonths *(J311-J310)+P310,0))</f>
        <v>0</v>
      </c>
      <c r="Q311">
        <f>IF(AND(MyRowHidden(ROW())=FALSE,MyRowHidden(ROW()-1)=TRUE),0,IF(M311&lt;totalMonths,(totalMonths-M311)/totalMonths *(K311-K310)+Q310,0))</f>
        <v>0</v>
      </c>
      <c r="R311">
        <f>IF(AND(MyRowHidden(ROW())=FALSE,MyRowHidden(ROW()-1)=TRUE),0,IF(M311&lt;totalMonths,(totalMonths-M311)/totalMonths *(L311-L310)+R310,0))</f>
        <v>0</v>
      </c>
    </row>
    <row r="312" spans="1:18" hidden="1" x14ac:dyDescent="0.25">
      <c r="A312" s="1"/>
      <c r="C312" s="1"/>
      <c r="D312" s="1">
        <v>41695</v>
      </c>
      <c r="E312" s="10">
        <v>23</v>
      </c>
      <c r="F312" s="1">
        <v>41695</v>
      </c>
      <c r="G312">
        <v>-2832.5</v>
      </c>
      <c r="H312" s="1">
        <f t="shared" si="32"/>
        <v>41695</v>
      </c>
      <c r="I312">
        <f>IF(AND(MyRowHidden(ROW())=FALSE,MyRowHidden(ROW()-1)=TRUE),0,(E312-E311)*unitsOfDHp+I311)</f>
        <v>805</v>
      </c>
      <c r="J312">
        <f>IF(AND(MyRowHidden(ROW())=FALSE,MyRowHidden(ROW()-1)=TRUE),0,(G312-G311)*unitsOfExo+J311)</f>
        <v>-2151648</v>
      </c>
      <c r="K312" s="9">
        <f t="shared" si="33"/>
        <v>2151648</v>
      </c>
      <c r="L312">
        <f t="shared" si="34"/>
        <v>-2150843</v>
      </c>
      <c r="M312">
        <f>IF(AND(MyRowHidden(ROW())=FALSE,MyRowHidden(ROW()-1)=TRUE),0,IF(MONTH(H312)&lt;&gt;MONTH(H311),M311+1,M311))</f>
        <v>13</v>
      </c>
      <c r="N312">
        <f>IF(AND(MyRowHidden(ROW())=FALSE,MyRowHidden(ROW()-1)=TRUE),0,IF(M312&lt;totalMonths,(totalMonths-M312)/totalMonths *(I312-I311)+N311,0))</f>
        <v>0</v>
      </c>
      <c r="P312">
        <f>IF(AND(MyRowHidden(ROW())=FALSE,MyRowHidden(ROW()-1)=TRUE),0,IF(M312&lt;totalMonths,(totalMonths-M312)/totalMonths *(J312-J311)+P311,0))</f>
        <v>0</v>
      </c>
      <c r="Q312">
        <f>IF(AND(MyRowHidden(ROW())=FALSE,MyRowHidden(ROW()-1)=TRUE),0,IF(M312&lt;totalMonths,(totalMonths-M312)/totalMonths *(K312-K311)+Q311,0))</f>
        <v>0</v>
      </c>
      <c r="R312">
        <f>IF(AND(MyRowHidden(ROW())=FALSE,MyRowHidden(ROW()-1)=TRUE),0,IF(M312&lt;totalMonths,(totalMonths-M312)/totalMonths *(L312-L311)+R311,0))</f>
        <v>0</v>
      </c>
    </row>
    <row r="313" spans="1:18" hidden="1" x14ac:dyDescent="0.25">
      <c r="A313" s="1"/>
      <c r="C313" s="1"/>
      <c r="D313" s="1">
        <v>41696</v>
      </c>
      <c r="E313" s="10">
        <v>1123</v>
      </c>
      <c r="F313" s="1">
        <v>41696</v>
      </c>
      <c r="G313">
        <v>-2595</v>
      </c>
      <c r="H313" s="1">
        <f t="shared" si="32"/>
        <v>41696</v>
      </c>
      <c r="I313">
        <f>IF(AND(MyRowHidden(ROW())=FALSE,MyRowHidden(ROW()-1)=TRUE),0,(E313-E312)*unitsOfDHp+I312)</f>
        <v>39305</v>
      </c>
      <c r="J313">
        <f>IF(AND(MyRowHidden(ROW())=FALSE,MyRowHidden(ROW()-1)=TRUE),0,(G313-G312)*unitsOfExo+J312)</f>
        <v>-2083248</v>
      </c>
      <c r="K313" s="9">
        <f t="shared" si="33"/>
        <v>2083248</v>
      </c>
      <c r="L313">
        <f t="shared" si="34"/>
        <v>-2043943</v>
      </c>
      <c r="M313">
        <f>IF(AND(MyRowHidden(ROW())=FALSE,MyRowHidden(ROW()-1)=TRUE),0,IF(MONTH(H313)&lt;&gt;MONTH(H312),M312+1,M312))</f>
        <v>13</v>
      </c>
      <c r="N313">
        <f>IF(AND(MyRowHidden(ROW())=FALSE,MyRowHidden(ROW()-1)=TRUE),0,IF(M313&lt;totalMonths,(totalMonths-M313)/totalMonths *(I313-I312)+N312,0))</f>
        <v>0</v>
      </c>
      <c r="P313">
        <f>IF(AND(MyRowHidden(ROW())=FALSE,MyRowHidden(ROW()-1)=TRUE),0,IF(M313&lt;totalMonths,(totalMonths-M313)/totalMonths *(J313-J312)+P312,0))</f>
        <v>0</v>
      </c>
      <c r="Q313">
        <f>IF(AND(MyRowHidden(ROW())=FALSE,MyRowHidden(ROW()-1)=TRUE),0,IF(M313&lt;totalMonths,(totalMonths-M313)/totalMonths *(K313-K312)+Q312,0))</f>
        <v>0</v>
      </c>
      <c r="R313">
        <f>IF(AND(MyRowHidden(ROW())=FALSE,MyRowHidden(ROW()-1)=TRUE),0,IF(M313&lt;totalMonths,(totalMonths-M313)/totalMonths *(L313-L312)+R312,0))</f>
        <v>0</v>
      </c>
    </row>
    <row r="314" spans="1:18" hidden="1" x14ac:dyDescent="0.25">
      <c r="A314" s="1"/>
      <c r="C314" s="1"/>
      <c r="D314" s="1">
        <v>41697</v>
      </c>
      <c r="E314" s="10">
        <v>-227</v>
      </c>
      <c r="F314" s="1">
        <v>41697</v>
      </c>
      <c r="G314">
        <v>-2920</v>
      </c>
      <c r="H314" s="1">
        <f t="shared" si="32"/>
        <v>41697</v>
      </c>
      <c r="I314">
        <f>IF(AND(MyRowHidden(ROW())=FALSE,MyRowHidden(ROW()-1)=TRUE),0,(E314-E313)*unitsOfDHp+I313)</f>
        <v>-7945</v>
      </c>
      <c r="J314">
        <f>IF(AND(MyRowHidden(ROW())=FALSE,MyRowHidden(ROW()-1)=TRUE),0,(G314-G313)*unitsOfExo+J313)</f>
        <v>-2176848</v>
      </c>
      <c r="K314" s="9">
        <f t="shared" si="33"/>
        <v>2176848</v>
      </c>
      <c r="L314">
        <f t="shared" si="34"/>
        <v>-2184793</v>
      </c>
      <c r="M314">
        <f>IF(AND(MyRowHidden(ROW())=FALSE,MyRowHidden(ROW()-1)=TRUE),0,IF(MONTH(H314)&lt;&gt;MONTH(H313),M313+1,M313))</f>
        <v>13</v>
      </c>
      <c r="N314">
        <f>IF(AND(MyRowHidden(ROW())=FALSE,MyRowHidden(ROW()-1)=TRUE),0,IF(M314&lt;totalMonths,(totalMonths-M314)/totalMonths *(I314-I313)+N313,0))</f>
        <v>0</v>
      </c>
      <c r="P314">
        <f>IF(AND(MyRowHidden(ROW())=FALSE,MyRowHidden(ROW()-1)=TRUE),0,IF(M314&lt;totalMonths,(totalMonths-M314)/totalMonths *(J314-J313)+P313,0))</f>
        <v>0</v>
      </c>
      <c r="Q314">
        <f>IF(AND(MyRowHidden(ROW())=FALSE,MyRowHidden(ROW()-1)=TRUE),0,IF(M314&lt;totalMonths,(totalMonths-M314)/totalMonths *(K314-K313)+Q313,0))</f>
        <v>0</v>
      </c>
      <c r="R314">
        <f>IF(AND(MyRowHidden(ROW())=FALSE,MyRowHidden(ROW()-1)=TRUE),0,IF(M314&lt;totalMonths,(totalMonths-M314)/totalMonths *(L314-L313)+R313,0))</f>
        <v>0</v>
      </c>
    </row>
    <row r="315" spans="1:18" hidden="1" x14ac:dyDescent="0.25">
      <c r="A315" s="1"/>
      <c r="C315" s="1"/>
      <c r="D315" s="1">
        <v>41698</v>
      </c>
      <c r="E315" s="10">
        <v>1686</v>
      </c>
      <c r="F315" s="1">
        <v>41698</v>
      </c>
      <c r="G315">
        <v>-2595</v>
      </c>
      <c r="H315" s="1">
        <f t="shared" si="32"/>
        <v>41698</v>
      </c>
      <c r="I315">
        <f>IF(AND(MyRowHidden(ROW())=FALSE,MyRowHidden(ROW()-1)=TRUE),0,(E315-E314)*unitsOfDHp+I314)</f>
        <v>59010</v>
      </c>
      <c r="J315">
        <f>IF(AND(MyRowHidden(ROW())=FALSE,MyRowHidden(ROW()-1)=TRUE),0,(G315-G314)*unitsOfExo+J314)</f>
        <v>-2083248</v>
      </c>
      <c r="K315" s="9">
        <f t="shared" si="33"/>
        <v>2083248</v>
      </c>
      <c r="L315">
        <f t="shared" si="34"/>
        <v>-2024238</v>
      </c>
      <c r="M315">
        <f>IF(AND(MyRowHidden(ROW())=FALSE,MyRowHidden(ROW()-1)=TRUE),0,IF(MONTH(H315)&lt;&gt;MONTH(H314),M314+1,M314))</f>
        <v>13</v>
      </c>
      <c r="N315">
        <f>IF(AND(MyRowHidden(ROW())=FALSE,MyRowHidden(ROW()-1)=TRUE),0,IF(M315&lt;totalMonths,(totalMonths-M315)/totalMonths *(I315-I314)+N314,0))</f>
        <v>0</v>
      </c>
      <c r="P315">
        <f>IF(AND(MyRowHidden(ROW())=FALSE,MyRowHidden(ROW()-1)=TRUE),0,IF(M315&lt;totalMonths,(totalMonths-M315)/totalMonths *(J315-J314)+P314,0))</f>
        <v>0</v>
      </c>
      <c r="Q315">
        <f>IF(AND(MyRowHidden(ROW())=FALSE,MyRowHidden(ROW()-1)=TRUE),0,IF(M315&lt;totalMonths,(totalMonths-M315)/totalMonths *(K315-K314)+Q314,0))</f>
        <v>0</v>
      </c>
      <c r="R315">
        <f>IF(AND(MyRowHidden(ROW())=FALSE,MyRowHidden(ROW()-1)=TRUE),0,IF(M315&lt;totalMonths,(totalMonths-M315)/totalMonths *(L315-L314)+R314,0))</f>
        <v>0</v>
      </c>
    </row>
    <row r="316" spans="1:18" hidden="1" x14ac:dyDescent="0.25">
      <c r="A316" s="1"/>
      <c r="C316" s="1"/>
      <c r="D316" s="1">
        <v>41701</v>
      </c>
      <c r="E316" s="10">
        <v>2027</v>
      </c>
      <c r="F316" s="1">
        <v>41701</v>
      </c>
      <c r="G316">
        <v>-2444.5</v>
      </c>
      <c r="H316" s="1">
        <f t="shared" si="32"/>
        <v>41701</v>
      </c>
      <c r="I316">
        <f>IF(AND(MyRowHidden(ROW())=FALSE,MyRowHidden(ROW()-1)=TRUE),0,(E316-E315)*unitsOfDHp+I315)</f>
        <v>70945</v>
      </c>
      <c r="J316">
        <f>IF(AND(MyRowHidden(ROW())=FALSE,MyRowHidden(ROW()-1)=TRUE),0,(G316-G315)*unitsOfExo+J315)</f>
        <v>-2039904</v>
      </c>
      <c r="K316" s="9">
        <f t="shared" si="33"/>
        <v>2039904</v>
      </c>
      <c r="L316">
        <f t="shared" si="34"/>
        <v>-1968959</v>
      </c>
      <c r="M316">
        <f>IF(AND(MyRowHidden(ROW())=FALSE,MyRowHidden(ROW()-1)=TRUE),0,IF(MONTH(H316)&lt;&gt;MONTH(H315),M315+1,M315))</f>
        <v>14</v>
      </c>
      <c r="N316">
        <f>IF(AND(MyRowHidden(ROW())=FALSE,MyRowHidden(ROW()-1)=TRUE),0,IF(M316&lt;totalMonths,(totalMonths-M316)/totalMonths *(I316-I315)+N315,0))</f>
        <v>0</v>
      </c>
      <c r="P316">
        <f>IF(AND(MyRowHidden(ROW())=FALSE,MyRowHidden(ROW()-1)=TRUE),0,IF(M316&lt;totalMonths,(totalMonths-M316)/totalMonths *(J316-J315)+P315,0))</f>
        <v>0</v>
      </c>
      <c r="Q316">
        <f>IF(AND(MyRowHidden(ROW())=FALSE,MyRowHidden(ROW()-1)=TRUE),0,IF(M316&lt;totalMonths,(totalMonths-M316)/totalMonths *(K316-K315)+Q315,0))</f>
        <v>0</v>
      </c>
      <c r="R316">
        <f>IF(AND(MyRowHidden(ROW())=FALSE,MyRowHidden(ROW()-1)=TRUE),0,IF(M316&lt;totalMonths,(totalMonths-M316)/totalMonths *(L316-L315)+R315,0))</f>
        <v>0</v>
      </c>
    </row>
    <row r="317" spans="1:18" hidden="1" x14ac:dyDescent="0.25">
      <c r="A317" s="1"/>
      <c r="C317" s="1"/>
      <c r="D317" s="1">
        <v>41702</v>
      </c>
      <c r="E317" s="10">
        <v>3034</v>
      </c>
      <c r="F317" s="1">
        <v>41702</v>
      </c>
      <c r="G317">
        <v>-1757</v>
      </c>
      <c r="H317" s="1">
        <f t="shared" si="32"/>
        <v>41702</v>
      </c>
      <c r="I317">
        <f>IF(AND(MyRowHidden(ROW())=FALSE,MyRowHidden(ROW()-1)=TRUE),0,(E317-E316)*unitsOfDHp+I316)</f>
        <v>106190</v>
      </c>
      <c r="J317">
        <f>IF(AND(MyRowHidden(ROW())=FALSE,MyRowHidden(ROW()-1)=TRUE),0,(G317-G316)*unitsOfExo+J316)</f>
        <v>-1841904</v>
      </c>
      <c r="K317" s="9">
        <f t="shared" si="33"/>
        <v>1841904</v>
      </c>
      <c r="L317">
        <f t="shared" si="34"/>
        <v>-1735714</v>
      </c>
      <c r="M317">
        <f>IF(AND(MyRowHidden(ROW())=FALSE,MyRowHidden(ROW()-1)=TRUE),0,IF(MONTH(H317)&lt;&gt;MONTH(H316),M316+1,M316))</f>
        <v>14</v>
      </c>
      <c r="N317">
        <f>IF(AND(MyRowHidden(ROW())=FALSE,MyRowHidden(ROW()-1)=TRUE),0,IF(M317&lt;totalMonths,(totalMonths-M317)/totalMonths *(I317-I316)+N316,0))</f>
        <v>0</v>
      </c>
      <c r="P317">
        <f>IF(AND(MyRowHidden(ROW())=FALSE,MyRowHidden(ROW()-1)=TRUE),0,IF(M317&lt;totalMonths,(totalMonths-M317)/totalMonths *(J317-J316)+P316,0))</f>
        <v>0</v>
      </c>
      <c r="Q317">
        <f>IF(AND(MyRowHidden(ROW())=FALSE,MyRowHidden(ROW()-1)=TRUE),0,IF(M317&lt;totalMonths,(totalMonths-M317)/totalMonths *(K317-K316)+Q316,0))</f>
        <v>0</v>
      </c>
      <c r="R317">
        <f>IF(AND(MyRowHidden(ROW())=FALSE,MyRowHidden(ROW()-1)=TRUE),0,IF(M317&lt;totalMonths,(totalMonths-M317)/totalMonths *(L317-L316)+R316,0))</f>
        <v>0</v>
      </c>
    </row>
    <row r="318" spans="1:18" hidden="1" x14ac:dyDescent="0.25">
      <c r="A318" s="1"/>
      <c r="C318" s="1"/>
      <c r="D318" s="1">
        <v>41703</v>
      </c>
      <c r="E318" s="10">
        <v>2723</v>
      </c>
      <c r="F318" s="1">
        <v>41703</v>
      </c>
      <c r="G318">
        <v>-1719.5</v>
      </c>
      <c r="H318" s="1">
        <f t="shared" si="32"/>
        <v>41703</v>
      </c>
      <c r="I318">
        <f>IF(AND(MyRowHidden(ROW())=FALSE,MyRowHidden(ROW()-1)=TRUE),0,(E318-E317)*unitsOfDHp+I317)</f>
        <v>95305</v>
      </c>
      <c r="J318">
        <f>IF(AND(MyRowHidden(ROW())=FALSE,MyRowHidden(ROW()-1)=TRUE),0,(G318-G317)*unitsOfExo+J317)</f>
        <v>-1831104</v>
      </c>
      <c r="K318" s="9">
        <f t="shared" si="33"/>
        <v>1831104</v>
      </c>
      <c r="L318">
        <f t="shared" si="34"/>
        <v>-1735799</v>
      </c>
      <c r="M318">
        <f>IF(AND(MyRowHidden(ROW())=FALSE,MyRowHidden(ROW()-1)=TRUE),0,IF(MONTH(H318)&lt;&gt;MONTH(H317),M317+1,M317))</f>
        <v>14</v>
      </c>
      <c r="N318">
        <f>IF(AND(MyRowHidden(ROW())=FALSE,MyRowHidden(ROW()-1)=TRUE),0,IF(M318&lt;totalMonths,(totalMonths-M318)/totalMonths *(I318-I317)+N317,0))</f>
        <v>0</v>
      </c>
      <c r="P318">
        <f>IF(AND(MyRowHidden(ROW())=FALSE,MyRowHidden(ROW()-1)=TRUE),0,IF(M318&lt;totalMonths,(totalMonths-M318)/totalMonths *(J318-J317)+P317,0))</f>
        <v>0</v>
      </c>
      <c r="Q318">
        <f>IF(AND(MyRowHidden(ROW())=FALSE,MyRowHidden(ROW()-1)=TRUE),0,IF(M318&lt;totalMonths,(totalMonths-M318)/totalMonths *(K318-K317)+Q317,0))</f>
        <v>0</v>
      </c>
      <c r="R318">
        <f>IF(AND(MyRowHidden(ROW())=FALSE,MyRowHidden(ROW()-1)=TRUE),0,IF(M318&lt;totalMonths,(totalMonths-M318)/totalMonths *(L318-L317)+R317,0))</f>
        <v>0</v>
      </c>
    </row>
    <row r="319" spans="1:18" hidden="1" x14ac:dyDescent="0.25">
      <c r="A319" s="1"/>
      <c r="C319" s="1"/>
      <c r="D319" s="1">
        <v>41704</v>
      </c>
      <c r="E319" s="10">
        <v>3126</v>
      </c>
      <c r="F319" s="1">
        <v>41704</v>
      </c>
      <c r="G319">
        <v>-1182</v>
      </c>
      <c r="H319" s="1">
        <f t="shared" si="32"/>
        <v>41704</v>
      </c>
      <c r="I319">
        <f>IF(AND(MyRowHidden(ROW())=FALSE,MyRowHidden(ROW()-1)=TRUE),0,(E319-E318)*unitsOfDHp+I318)</f>
        <v>109410</v>
      </c>
      <c r="J319">
        <f>IF(AND(MyRowHidden(ROW())=FALSE,MyRowHidden(ROW()-1)=TRUE),0,(G319-G318)*unitsOfExo+J318)</f>
        <v>-1676304</v>
      </c>
      <c r="K319" s="9">
        <f t="shared" si="33"/>
        <v>1676304</v>
      </c>
      <c r="L319">
        <f t="shared" si="34"/>
        <v>-1566894</v>
      </c>
      <c r="M319">
        <f>IF(AND(MyRowHidden(ROW())=FALSE,MyRowHidden(ROW()-1)=TRUE),0,IF(MONTH(H319)&lt;&gt;MONTH(H318),M318+1,M318))</f>
        <v>14</v>
      </c>
      <c r="N319">
        <f>IF(AND(MyRowHidden(ROW())=FALSE,MyRowHidden(ROW()-1)=TRUE),0,IF(M319&lt;totalMonths,(totalMonths-M319)/totalMonths *(I319-I318)+N318,0))</f>
        <v>0</v>
      </c>
      <c r="P319">
        <f>IF(AND(MyRowHidden(ROW())=FALSE,MyRowHidden(ROW()-1)=TRUE),0,IF(M319&lt;totalMonths,(totalMonths-M319)/totalMonths *(J319-J318)+P318,0))</f>
        <v>0</v>
      </c>
      <c r="Q319">
        <f>IF(AND(MyRowHidden(ROW())=FALSE,MyRowHidden(ROW()-1)=TRUE),0,IF(M319&lt;totalMonths,(totalMonths-M319)/totalMonths *(K319-K318)+Q318,0))</f>
        <v>0</v>
      </c>
      <c r="R319">
        <f>IF(AND(MyRowHidden(ROW())=FALSE,MyRowHidden(ROW()-1)=TRUE),0,IF(M319&lt;totalMonths,(totalMonths-M319)/totalMonths *(L319-L318)+R318,0))</f>
        <v>0</v>
      </c>
    </row>
    <row r="320" spans="1:18" hidden="1" x14ac:dyDescent="0.25">
      <c r="A320" s="1"/>
      <c r="C320" s="1"/>
      <c r="D320" s="1">
        <v>41705</v>
      </c>
      <c r="E320" s="10">
        <v>2942</v>
      </c>
      <c r="F320" s="1">
        <v>41705</v>
      </c>
      <c r="G320">
        <v>-1269.5</v>
      </c>
      <c r="H320" s="1">
        <f t="shared" si="32"/>
        <v>41705</v>
      </c>
      <c r="I320">
        <f>IF(AND(MyRowHidden(ROW())=FALSE,MyRowHidden(ROW()-1)=TRUE),0,(E320-E319)*unitsOfDHp+I319)</f>
        <v>102970</v>
      </c>
      <c r="J320">
        <f>IF(AND(MyRowHidden(ROW())=FALSE,MyRowHidden(ROW()-1)=TRUE),0,(G320-G319)*unitsOfExo+J319)</f>
        <v>-1701504</v>
      </c>
      <c r="K320" s="9">
        <f t="shared" si="33"/>
        <v>1701504</v>
      </c>
      <c r="L320">
        <f t="shared" si="34"/>
        <v>-1598534</v>
      </c>
      <c r="M320">
        <f>IF(AND(MyRowHidden(ROW())=FALSE,MyRowHidden(ROW()-1)=TRUE),0,IF(MONTH(H320)&lt;&gt;MONTH(H319),M319+1,M319))</f>
        <v>14</v>
      </c>
      <c r="N320">
        <f>IF(AND(MyRowHidden(ROW())=FALSE,MyRowHidden(ROW()-1)=TRUE),0,IF(M320&lt;totalMonths,(totalMonths-M320)/totalMonths *(I320-I319)+N319,0))</f>
        <v>0</v>
      </c>
      <c r="P320">
        <f>IF(AND(MyRowHidden(ROW())=FALSE,MyRowHidden(ROW()-1)=TRUE),0,IF(M320&lt;totalMonths,(totalMonths-M320)/totalMonths *(J320-J319)+P319,0))</f>
        <v>0</v>
      </c>
      <c r="Q320">
        <f>IF(AND(MyRowHidden(ROW())=FALSE,MyRowHidden(ROW()-1)=TRUE),0,IF(M320&lt;totalMonths,(totalMonths-M320)/totalMonths *(K320-K319)+Q319,0))</f>
        <v>0</v>
      </c>
      <c r="R320">
        <f>IF(AND(MyRowHidden(ROW())=FALSE,MyRowHidden(ROW()-1)=TRUE),0,IF(M320&lt;totalMonths,(totalMonths-M320)/totalMonths *(L320-L319)+R319,0))</f>
        <v>0</v>
      </c>
    </row>
    <row r="321" spans="1:18" hidden="1" x14ac:dyDescent="0.25">
      <c r="A321" s="1"/>
      <c r="C321" s="1"/>
      <c r="D321" s="1">
        <v>41708</v>
      </c>
      <c r="E321" s="10">
        <v>2880</v>
      </c>
      <c r="F321" s="1">
        <v>41708</v>
      </c>
      <c r="G321">
        <v>-1832</v>
      </c>
      <c r="H321" s="1">
        <f t="shared" si="32"/>
        <v>41708</v>
      </c>
      <c r="I321">
        <f>IF(AND(MyRowHidden(ROW())=FALSE,MyRowHidden(ROW()-1)=TRUE),0,(E321-E320)*unitsOfDHp+I320)</f>
        <v>100800</v>
      </c>
      <c r="J321">
        <f>IF(AND(MyRowHidden(ROW())=FALSE,MyRowHidden(ROW()-1)=TRUE),0,(G321-G320)*unitsOfExo+J320)</f>
        <v>-1863504</v>
      </c>
      <c r="K321" s="9">
        <f t="shared" si="33"/>
        <v>1863504</v>
      </c>
      <c r="L321">
        <f t="shared" si="34"/>
        <v>-1762704</v>
      </c>
      <c r="M321">
        <f>IF(AND(MyRowHidden(ROW())=FALSE,MyRowHidden(ROW()-1)=TRUE),0,IF(MONTH(H321)&lt;&gt;MONTH(H320),M320+1,M320))</f>
        <v>14</v>
      </c>
      <c r="N321">
        <f>IF(AND(MyRowHidden(ROW())=FALSE,MyRowHidden(ROW()-1)=TRUE),0,IF(M321&lt;totalMonths,(totalMonths-M321)/totalMonths *(I321-I320)+N320,0))</f>
        <v>0</v>
      </c>
      <c r="P321">
        <f>IF(AND(MyRowHidden(ROW())=FALSE,MyRowHidden(ROW()-1)=TRUE),0,IF(M321&lt;totalMonths,(totalMonths-M321)/totalMonths *(J321-J320)+P320,0))</f>
        <v>0</v>
      </c>
      <c r="Q321">
        <f>IF(AND(MyRowHidden(ROW())=FALSE,MyRowHidden(ROW()-1)=TRUE),0,IF(M321&lt;totalMonths,(totalMonths-M321)/totalMonths *(K321-K320)+Q320,0))</f>
        <v>0</v>
      </c>
      <c r="R321">
        <f>IF(AND(MyRowHidden(ROW())=FALSE,MyRowHidden(ROW()-1)=TRUE),0,IF(M321&lt;totalMonths,(totalMonths-M321)/totalMonths *(L321-L320)+R320,0))</f>
        <v>0</v>
      </c>
    </row>
    <row r="322" spans="1:18" hidden="1" x14ac:dyDescent="0.25">
      <c r="A322" s="1"/>
      <c r="C322" s="1"/>
      <c r="D322" s="1">
        <v>41709</v>
      </c>
      <c r="E322" s="10">
        <v>3092</v>
      </c>
      <c r="F322" s="1">
        <v>41709</v>
      </c>
      <c r="G322">
        <v>-1669.5</v>
      </c>
      <c r="H322" s="1">
        <f t="shared" si="32"/>
        <v>41709</v>
      </c>
      <c r="I322">
        <f>IF(AND(MyRowHidden(ROW())=FALSE,MyRowHidden(ROW()-1)=TRUE),0,(E322-E321)*unitsOfDHp+I321)</f>
        <v>108220</v>
      </c>
      <c r="J322">
        <f>IF(AND(MyRowHidden(ROW())=FALSE,MyRowHidden(ROW()-1)=TRUE),0,(G322-G321)*unitsOfExo+J321)</f>
        <v>-1816704</v>
      </c>
      <c r="K322" s="9">
        <f t="shared" si="33"/>
        <v>1816704</v>
      </c>
      <c r="L322">
        <f t="shared" si="34"/>
        <v>-1708484</v>
      </c>
      <c r="M322">
        <f>IF(AND(MyRowHidden(ROW())=FALSE,MyRowHidden(ROW()-1)=TRUE),0,IF(MONTH(H322)&lt;&gt;MONTH(H321),M321+1,M321))</f>
        <v>14</v>
      </c>
      <c r="N322">
        <f>IF(AND(MyRowHidden(ROW())=FALSE,MyRowHidden(ROW()-1)=TRUE),0,IF(M322&lt;totalMonths,(totalMonths-M322)/totalMonths *(I322-I321)+N321,0))</f>
        <v>0</v>
      </c>
      <c r="P322">
        <f>IF(AND(MyRowHidden(ROW())=FALSE,MyRowHidden(ROW()-1)=TRUE),0,IF(M322&lt;totalMonths,(totalMonths-M322)/totalMonths *(J322-J321)+P321,0))</f>
        <v>0</v>
      </c>
      <c r="Q322">
        <f>IF(AND(MyRowHidden(ROW())=FALSE,MyRowHidden(ROW()-1)=TRUE),0,IF(M322&lt;totalMonths,(totalMonths-M322)/totalMonths *(K322-K321)+Q321,0))</f>
        <v>0</v>
      </c>
      <c r="R322">
        <f>IF(AND(MyRowHidden(ROW())=FALSE,MyRowHidden(ROW()-1)=TRUE),0,IF(M322&lt;totalMonths,(totalMonths-M322)/totalMonths *(L322-L321)+R321,0))</f>
        <v>0</v>
      </c>
    </row>
    <row r="323" spans="1:18" hidden="1" x14ac:dyDescent="0.25">
      <c r="A323" s="1"/>
      <c r="C323" s="1"/>
      <c r="D323" s="1">
        <v>41710</v>
      </c>
      <c r="E323" s="10">
        <v>2942</v>
      </c>
      <c r="F323" s="1">
        <v>41710</v>
      </c>
      <c r="G323">
        <v>-1432</v>
      </c>
      <c r="H323" s="1">
        <f t="shared" si="32"/>
        <v>41710</v>
      </c>
      <c r="I323">
        <f>IF(AND(MyRowHidden(ROW())=FALSE,MyRowHidden(ROW()-1)=TRUE),0,(E323-E322)*unitsOfDHp+I322)</f>
        <v>102970</v>
      </c>
      <c r="J323">
        <f>IF(AND(MyRowHidden(ROW())=FALSE,MyRowHidden(ROW()-1)=TRUE),0,(G323-G322)*unitsOfExo+J322)</f>
        <v>-1748304</v>
      </c>
      <c r="K323" s="9">
        <f t="shared" si="33"/>
        <v>1748304</v>
      </c>
      <c r="L323">
        <f t="shared" si="34"/>
        <v>-1645334</v>
      </c>
      <c r="M323">
        <f>IF(AND(MyRowHidden(ROW())=FALSE,MyRowHidden(ROW()-1)=TRUE),0,IF(MONTH(H323)&lt;&gt;MONTH(H322),M322+1,M322))</f>
        <v>14</v>
      </c>
      <c r="N323">
        <f>IF(AND(MyRowHidden(ROW())=FALSE,MyRowHidden(ROW()-1)=TRUE),0,IF(M323&lt;totalMonths,(totalMonths-M323)/totalMonths *(I323-I322)+N322,0))</f>
        <v>0</v>
      </c>
      <c r="P323">
        <f>IF(AND(MyRowHidden(ROW())=FALSE,MyRowHidden(ROW()-1)=TRUE),0,IF(M323&lt;totalMonths,(totalMonths-M323)/totalMonths *(J323-J322)+P322,0))</f>
        <v>0</v>
      </c>
      <c r="Q323">
        <f>IF(AND(MyRowHidden(ROW())=FALSE,MyRowHidden(ROW()-1)=TRUE),0,IF(M323&lt;totalMonths,(totalMonths-M323)/totalMonths *(K323-K322)+Q322,0))</f>
        <v>0</v>
      </c>
      <c r="R323">
        <f>IF(AND(MyRowHidden(ROW())=FALSE,MyRowHidden(ROW()-1)=TRUE),0,IF(M323&lt;totalMonths,(totalMonths-M323)/totalMonths *(L323-L322)+R322,0))</f>
        <v>0</v>
      </c>
    </row>
    <row r="324" spans="1:18" hidden="1" x14ac:dyDescent="0.25">
      <c r="A324" s="1"/>
      <c r="C324" s="1"/>
      <c r="D324" s="1">
        <v>41711</v>
      </c>
      <c r="E324" s="10">
        <v>2817</v>
      </c>
      <c r="F324" s="1">
        <v>41711</v>
      </c>
      <c r="G324">
        <v>-1469.5</v>
      </c>
      <c r="H324" s="1">
        <f t="shared" si="32"/>
        <v>41711</v>
      </c>
      <c r="I324">
        <f>IF(AND(MyRowHidden(ROW())=FALSE,MyRowHidden(ROW()-1)=TRUE),0,(E324-E323)*unitsOfDHp+I323)</f>
        <v>98595</v>
      </c>
      <c r="J324">
        <f>IF(AND(MyRowHidden(ROW())=FALSE,MyRowHidden(ROW()-1)=TRUE),0,(G324-G323)*unitsOfExo+J323)</f>
        <v>-1759104</v>
      </c>
      <c r="K324" s="9">
        <f t="shared" si="33"/>
        <v>1759104</v>
      </c>
      <c r="L324">
        <f t="shared" si="34"/>
        <v>-1660509</v>
      </c>
      <c r="M324">
        <f>IF(AND(MyRowHidden(ROW())=FALSE,MyRowHidden(ROW()-1)=TRUE),0,IF(MONTH(H324)&lt;&gt;MONTH(H323),M323+1,M323))</f>
        <v>14</v>
      </c>
      <c r="N324">
        <f>IF(AND(MyRowHidden(ROW())=FALSE,MyRowHidden(ROW()-1)=TRUE),0,IF(M324&lt;totalMonths,(totalMonths-M324)/totalMonths *(I324-I323)+N323,0))</f>
        <v>0</v>
      </c>
      <c r="P324">
        <f>IF(AND(MyRowHidden(ROW())=FALSE,MyRowHidden(ROW()-1)=TRUE),0,IF(M324&lt;totalMonths,(totalMonths-M324)/totalMonths *(J324-J323)+P323,0))</f>
        <v>0</v>
      </c>
      <c r="Q324">
        <f>IF(AND(MyRowHidden(ROW())=FALSE,MyRowHidden(ROW()-1)=TRUE),0,IF(M324&lt;totalMonths,(totalMonths-M324)/totalMonths *(K324-K323)+Q323,0))</f>
        <v>0</v>
      </c>
      <c r="R324">
        <f>IF(AND(MyRowHidden(ROW())=FALSE,MyRowHidden(ROW()-1)=TRUE),0,IF(M324&lt;totalMonths,(totalMonths-M324)/totalMonths *(L324-L323)+R323,0))</f>
        <v>0</v>
      </c>
    </row>
    <row r="325" spans="1:18" hidden="1" x14ac:dyDescent="0.25">
      <c r="A325" s="1"/>
      <c r="C325" s="1"/>
      <c r="D325" s="1">
        <v>41712</v>
      </c>
      <c r="E325" s="10">
        <v>2880</v>
      </c>
      <c r="F325" s="1">
        <v>41712</v>
      </c>
      <c r="G325">
        <v>-1669.5</v>
      </c>
      <c r="H325" s="1">
        <f t="shared" si="32"/>
        <v>41712</v>
      </c>
      <c r="I325">
        <f>IF(AND(MyRowHidden(ROW())=FALSE,MyRowHidden(ROW()-1)=TRUE),0,(E325-E324)*unitsOfDHp+I324)</f>
        <v>100800</v>
      </c>
      <c r="J325">
        <f>IF(AND(MyRowHidden(ROW())=FALSE,MyRowHidden(ROW()-1)=TRUE),0,(G325-G324)*unitsOfExo+J324)</f>
        <v>-1816704</v>
      </c>
      <c r="K325" s="9">
        <f t="shared" si="33"/>
        <v>1816704</v>
      </c>
      <c r="L325">
        <f t="shared" si="34"/>
        <v>-1715904</v>
      </c>
      <c r="M325">
        <f>IF(AND(MyRowHidden(ROW())=FALSE,MyRowHidden(ROW()-1)=TRUE),0,IF(MONTH(H325)&lt;&gt;MONTH(H324),M324+1,M324))</f>
        <v>14</v>
      </c>
      <c r="N325">
        <f>IF(AND(MyRowHidden(ROW())=FALSE,MyRowHidden(ROW()-1)=TRUE),0,IF(M325&lt;totalMonths,(totalMonths-M325)/totalMonths *(I325-I324)+N324,0))</f>
        <v>0</v>
      </c>
      <c r="P325">
        <f>IF(AND(MyRowHidden(ROW())=FALSE,MyRowHidden(ROW()-1)=TRUE),0,IF(M325&lt;totalMonths,(totalMonths-M325)/totalMonths *(J325-J324)+P324,0))</f>
        <v>0</v>
      </c>
      <c r="Q325">
        <f>IF(AND(MyRowHidden(ROW())=FALSE,MyRowHidden(ROW()-1)=TRUE),0,IF(M325&lt;totalMonths,(totalMonths-M325)/totalMonths *(K325-K324)+Q324,0))</f>
        <v>0</v>
      </c>
      <c r="R325">
        <f>IF(AND(MyRowHidden(ROW())=FALSE,MyRowHidden(ROW()-1)=TRUE),0,IF(M325&lt;totalMonths,(totalMonths-M325)/totalMonths *(L325-L324)+R324,0))</f>
        <v>0</v>
      </c>
    </row>
    <row r="326" spans="1:18" hidden="1" x14ac:dyDescent="0.25">
      <c r="A326" s="1"/>
      <c r="C326" s="1"/>
      <c r="D326" s="1">
        <v>41715</v>
      </c>
      <c r="E326" s="10">
        <v>2855</v>
      </c>
      <c r="F326" s="1">
        <v>41715</v>
      </c>
      <c r="G326">
        <v>-1769.5</v>
      </c>
      <c r="H326" s="1">
        <f t="shared" si="32"/>
        <v>41715</v>
      </c>
      <c r="I326">
        <f>IF(AND(MyRowHidden(ROW())=FALSE,MyRowHidden(ROW()-1)=TRUE),0,(E326-E325)*unitsOfDHp+I325)</f>
        <v>99925</v>
      </c>
      <c r="J326">
        <f>IF(AND(MyRowHidden(ROW())=FALSE,MyRowHidden(ROW()-1)=TRUE),0,(G326-G325)*unitsOfExo+J325)</f>
        <v>-1845504</v>
      </c>
      <c r="K326" s="9">
        <f t="shared" si="33"/>
        <v>1845504</v>
      </c>
      <c r="L326">
        <f t="shared" si="34"/>
        <v>-1745579</v>
      </c>
      <c r="M326">
        <f>IF(AND(MyRowHidden(ROW())=FALSE,MyRowHidden(ROW()-1)=TRUE),0,IF(MONTH(H326)&lt;&gt;MONTH(H325),M325+1,M325))</f>
        <v>14</v>
      </c>
      <c r="N326">
        <f>IF(AND(MyRowHidden(ROW())=FALSE,MyRowHidden(ROW()-1)=TRUE),0,IF(M326&lt;totalMonths,(totalMonths-M326)/totalMonths *(I326-I325)+N325,0))</f>
        <v>0</v>
      </c>
      <c r="P326">
        <f>IF(AND(MyRowHidden(ROW())=FALSE,MyRowHidden(ROW()-1)=TRUE),0,IF(M326&lt;totalMonths,(totalMonths-M326)/totalMonths *(J326-J325)+P325,0))</f>
        <v>0</v>
      </c>
      <c r="Q326">
        <f>IF(AND(MyRowHidden(ROW())=FALSE,MyRowHidden(ROW()-1)=TRUE),0,IF(M326&lt;totalMonths,(totalMonths-M326)/totalMonths *(K326-K325)+Q325,0))</f>
        <v>0</v>
      </c>
      <c r="R326">
        <f>IF(AND(MyRowHidden(ROW())=FALSE,MyRowHidden(ROW()-1)=TRUE),0,IF(M326&lt;totalMonths,(totalMonths-M326)/totalMonths *(L326-L325)+R325,0))</f>
        <v>0</v>
      </c>
    </row>
    <row r="327" spans="1:18" hidden="1" x14ac:dyDescent="0.25">
      <c r="A327" s="1"/>
      <c r="C327" s="1"/>
      <c r="D327" s="1">
        <v>41716</v>
      </c>
      <c r="E327" s="10">
        <v>3005</v>
      </c>
      <c r="F327" s="1">
        <v>41716</v>
      </c>
      <c r="G327">
        <v>-1457</v>
      </c>
      <c r="H327" s="1">
        <f t="shared" si="32"/>
        <v>41716</v>
      </c>
      <c r="I327">
        <f>IF(AND(MyRowHidden(ROW())=FALSE,MyRowHidden(ROW()-1)=TRUE),0,(E327-E326)*unitsOfDHp+I326)</f>
        <v>105175</v>
      </c>
      <c r="J327">
        <f>IF(AND(MyRowHidden(ROW())=FALSE,MyRowHidden(ROW()-1)=TRUE),0,(G327-G326)*unitsOfExo+J326)</f>
        <v>-1755504</v>
      </c>
      <c r="K327" s="9">
        <f t="shared" si="33"/>
        <v>1755504</v>
      </c>
      <c r="L327">
        <f t="shared" si="34"/>
        <v>-1650329</v>
      </c>
      <c r="M327">
        <f>IF(AND(MyRowHidden(ROW())=FALSE,MyRowHidden(ROW()-1)=TRUE),0,IF(MONTH(H327)&lt;&gt;MONTH(H326),M326+1,M326))</f>
        <v>14</v>
      </c>
      <c r="N327">
        <f>IF(AND(MyRowHidden(ROW())=FALSE,MyRowHidden(ROW()-1)=TRUE),0,IF(M327&lt;totalMonths,(totalMonths-M327)/totalMonths *(I327-I326)+N326,0))</f>
        <v>0</v>
      </c>
      <c r="P327">
        <f>IF(AND(MyRowHidden(ROW())=FALSE,MyRowHidden(ROW()-1)=TRUE),0,IF(M327&lt;totalMonths,(totalMonths-M327)/totalMonths *(J327-J326)+P326,0))</f>
        <v>0</v>
      </c>
      <c r="Q327">
        <f>IF(AND(MyRowHidden(ROW())=FALSE,MyRowHidden(ROW()-1)=TRUE),0,IF(M327&lt;totalMonths,(totalMonths-M327)/totalMonths *(K327-K326)+Q326,0))</f>
        <v>0</v>
      </c>
      <c r="R327">
        <f>IF(AND(MyRowHidden(ROW())=FALSE,MyRowHidden(ROW()-1)=TRUE),0,IF(M327&lt;totalMonths,(totalMonths-M327)/totalMonths *(L327-L326)+R326,0))</f>
        <v>0</v>
      </c>
    </row>
    <row r="328" spans="1:18" hidden="1" x14ac:dyDescent="0.25">
      <c r="A328" s="1"/>
      <c r="C328" s="1"/>
      <c r="D328" s="1">
        <v>41717</v>
      </c>
      <c r="E328" s="10">
        <v>2992</v>
      </c>
      <c r="F328" s="1">
        <v>41717</v>
      </c>
      <c r="G328">
        <v>-1294.5</v>
      </c>
      <c r="H328" s="1">
        <f t="shared" si="32"/>
        <v>41717</v>
      </c>
      <c r="I328">
        <f>IF(AND(MyRowHidden(ROW())=FALSE,MyRowHidden(ROW()-1)=TRUE),0,(E328-E327)*unitsOfDHp+I327)</f>
        <v>104720</v>
      </c>
      <c r="J328">
        <f>IF(AND(MyRowHidden(ROW())=FALSE,MyRowHidden(ROW()-1)=TRUE),0,(G328-G327)*unitsOfExo+J327)</f>
        <v>-1708704</v>
      </c>
      <c r="K328" s="9">
        <f t="shared" si="33"/>
        <v>1708704</v>
      </c>
      <c r="L328">
        <f t="shared" si="34"/>
        <v>-1603984</v>
      </c>
      <c r="M328">
        <f>IF(AND(MyRowHidden(ROW())=FALSE,MyRowHidden(ROW()-1)=TRUE),0,IF(MONTH(H328)&lt;&gt;MONTH(H327),M327+1,M327))</f>
        <v>14</v>
      </c>
      <c r="N328">
        <f>IF(AND(MyRowHidden(ROW())=FALSE,MyRowHidden(ROW()-1)=TRUE),0,IF(M328&lt;totalMonths,(totalMonths-M328)/totalMonths *(I328-I327)+N327,0))</f>
        <v>0</v>
      </c>
      <c r="P328">
        <f>IF(AND(MyRowHidden(ROW())=FALSE,MyRowHidden(ROW()-1)=TRUE),0,IF(M328&lt;totalMonths,(totalMonths-M328)/totalMonths *(J328-J327)+P327,0))</f>
        <v>0</v>
      </c>
      <c r="Q328">
        <f>IF(AND(MyRowHidden(ROW())=FALSE,MyRowHidden(ROW()-1)=TRUE),0,IF(M328&lt;totalMonths,(totalMonths-M328)/totalMonths *(K328-K327)+Q327,0))</f>
        <v>0</v>
      </c>
      <c r="R328">
        <f>IF(AND(MyRowHidden(ROW())=FALSE,MyRowHidden(ROW()-1)=TRUE),0,IF(M328&lt;totalMonths,(totalMonths-M328)/totalMonths *(L328-L327)+R327,0))</f>
        <v>0</v>
      </c>
    </row>
    <row r="329" spans="1:18" hidden="1" x14ac:dyDescent="0.25">
      <c r="A329" s="1"/>
      <c r="C329" s="1"/>
      <c r="D329" s="1">
        <v>41718</v>
      </c>
      <c r="E329" s="10">
        <v>2995</v>
      </c>
      <c r="F329" s="1">
        <v>41718</v>
      </c>
      <c r="G329">
        <v>-1844.5</v>
      </c>
      <c r="H329" s="1">
        <f t="shared" si="32"/>
        <v>41718</v>
      </c>
      <c r="I329">
        <f>IF(AND(MyRowHidden(ROW())=FALSE,MyRowHidden(ROW()-1)=TRUE),0,(E329-E328)*unitsOfDHp+I328)</f>
        <v>104825</v>
      </c>
      <c r="J329">
        <f>IF(AND(MyRowHidden(ROW())=FALSE,MyRowHidden(ROW()-1)=TRUE),0,(G329-G328)*unitsOfExo+J328)</f>
        <v>-1867104</v>
      </c>
      <c r="K329" s="9">
        <f t="shared" si="33"/>
        <v>1867104</v>
      </c>
      <c r="L329">
        <f t="shared" si="34"/>
        <v>-1762279</v>
      </c>
      <c r="M329">
        <f>IF(AND(MyRowHidden(ROW())=FALSE,MyRowHidden(ROW()-1)=TRUE),0,IF(MONTH(H329)&lt;&gt;MONTH(H328),M328+1,M328))</f>
        <v>14</v>
      </c>
      <c r="N329">
        <f>IF(AND(MyRowHidden(ROW())=FALSE,MyRowHidden(ROW()-1)=TRUE),0,IF(M329&lt;totalMonths,(totalMonths-M329)/totalMonths *(I329-I328)+N328,0))</f>
        <v>0</v>
      </c>
      <c r="P329">
        <f>IF(AND(MyRowHidden(ROW())=FALSE,MyRowHidden(ROW()-1)=TRUE),0,IF(M329&lt;totalMonths,(totalMonths-M329)/totalMonths *(J329-J328)+P328,0))</f>
        <v>0</v>
      </c>
      <c r="Q329">
        <f>IF(AND(MyRowHidden(ROW())=FALSE,MyRowHidden(ROW()-1)=TRUE),0,IF(M329&lt;totalMonths,(totalMonths-M329)/totalMonths *(K329-K328)+Q328,0))</f>
        <v>0</v>
      </c>
      <c r="R329">
        <f>IF(AND(MyRowHidden(ROW())=FALSE,MyRowHidden(ROW()-1)=TRUE),0,IF(M329&lt;totalMonths,(totalMonths-M329)/totalMonths *(L329-L328)+R328,0))</f>
        <v>0</v>
      </c>
    </row>
    <row r="330" spans="1:18" hidden="1" x14ac:dyDescent="0.25">
      <c r="A330" s="1"/>
      <c r="C330" s="1"/>
      <c r="D330" s="1">
        <v>41719</v>
      </c>
      <c r="E330" s="10">
        <v>3095</v>
      </c>
      <c r="F330" s="1">
        <v>41719</v>
      </c>
      <c r="G330">
        <v>-1769.5</v>
      </c>
      <c r="H330" s="1">
        <f t="shared" si="32"/>
        <v>41719</v>
      </c>
      <c r="I330">
        <f>IF(AND(MyRowHidden(ROW())=FALSE,MyRowHidden(ROW()-1)=TRUE),0,(E330-E329)*unitsOfDHp+I329)</f>
        <v>108325</v>
      </c>
      <c r="J330">
        <f>IF(AND(MyRowHidden(ROW())=FALSE,MyRowHidden(ROW()-1)=TRUE),0,(G330-G329)*unitsOfExo+J329)</f>
        <v>-1845504</v>
      </c>
      <c r="K330" s="9">
        <f t="shared" si="33"/>
        <v>1845504</v>
      </c>
      <c r="L330">
        <f t="shared" si="34"/>
        <v>-1737179</v>
      </c>
      <c r="M330">
        <f>IF(AND(MyRowHidden(ROW())=FALSE,MyRowHidden(ROW()-1)=TRUE),0,IF(MONTH(H330)&lt;&gt;MONTH(H329),M329+1,M329))</f>
        <v>14</v>
      </c>
      <c r="N330">
        <f>IF(AND(MyRowHidden(ROW())=FALSE,MyRowHidden(ROW()-1)=TRUE),0,IF(M330&lt;totalMonths,(totalMonths-M330)/totalMonths *(I330-I329)+N329,0))</f>
        <v>0</v>
      </c>
      <c r="P330">
        <f>IF(AND(MyRowHidden(ROW())=FALSE,MyRowHidden(ROW()-1)=TRUE),0,IF(M330&lt;totalMonths,(totalMonths-M330)/totalMonths *(J330-J329)+P329,0))</f>
        <v>0</v>
      </c>
      <c r="Q330">
        <f>IF(AND(MyRowHidden(ROW())=FALSE,MyRowHidden(ROW()-1)=TRUE),0,IF(M330&lt;totalMonths,(totalMonths-M330)/totalMonths *(K330-K329)+Q329,0))</f>
        <v>0</v>
      </c>
      <c r="R330">
        <f>IF(AND(MyRowHidden(ROW())=FALSE,MyRowHidden(ROW()-1)=TRUE),0,IF(M330&lt;totalMonths,(totalMonths-M330)/totalMonths *(L330-L329)+R329,0))</f>
        <v>0</v>
      </c>
    </row>
    <row r="331" spans="1:18" hidden="1" x14ac:dyDescent="0.25">
      <c r="A331" s="1"/>
      <c r="C331" s="1"/>
      <c r="D331" s="1">
        <v>41722</v>
      </c>
      <c r="E331" s="10">
        <v>2808</v>
      </c>
      <c r="F331" s="1">
        <v>41722</v>
      </c>
      <c r="G331">
        <v>-1344.5</v>
      </c>
      <c r="H331" s="1">
        <f t="shared" si="32"/>
        <v>41722</v>
      </c>
      <c r="I331">
        <f>IF(AND(MyRowHidden(ROW())=FALSE,MyRowHidden(ROW()-1)=TRUE),0,(E331-E330)*unitsOfDHp+I330)</f>
        <v>98280</v>
      </c>
      <c r="J331">
        <f>IF(AND(MyRowHidden(ROW())=FALSE,MyRowHidden(ROW()-1)=TRUE),0,(G331-G330)*unitsOfExo+J330)</f>
        <v>-1723104</v>
      </c>
      <c r="K331" s="9">
        <f t="shared" si="33"/>
        <v>1723104</v>
      </c>
      <c r="L331">
        <f t="shared" si="34"/>
        <v>-1624824</v>
      </c>
      <c r="M331">
        <f>IF(AND(MyRowHidden(ROW())=FALSE,MyRowHidden(ROW()-1)=TRUE),0,IF(MONTH(H331)&lt;&gt;MONTH(H330),M330+1,M330))</f>
        <v>14</v>
      </c>
      <c r="N331">
        <f>IF(AND(MyRowHidden(ROW())=FALSE,MyRowHidden(ROW()-1)=TRUE),0,IF(M331&lt;totalMonths,(totalMonths-M331)/totalMonths *(I331-I330)+N330,0))</f>
        <v>0</v>
      </c>
      <c r="P331">
        <f>IF(AND(MyRowHidden(ROW())=FALSE,MyRowHidden(ROW()-1)=TRUE),0,IF(M331&lt;totalMonths,(totalMonths-M331)/totalMonths *(J331-J330)+P330,0))</f>
        <v>0</v>
      </c>
      <c r="Q331">
        <f>IF(AND(MyRowHidden(ROW())=FALSE,MyRowHidden(ROW()-1)=TRUE),0,IF(M331&lt;totalMonths,(totalMonths-M331)/totalMonths *(K331-K330)+Q330,0))</f>
        <v>0</v>
      </c>
      <c r="R331">
        <f>IF(AND(MyRowHidden(ROW())=FALSE,MyRowHidden(ROW()-1)=TRUE),0,IF(M331&lt;totalMonths,(totalMonths-M331)/totalMonths *(L331-L330)+R330,0))</f>
        <v>0</v>
      </c>
    </row>
    <row r="332" spans="1:18" hidden="1" x14ac:dyDescent="0.25">
      <c r="A332" s="1"/>
      <c r="C332" s="1"/>
      <c r="D332" s="1">
        <v>41723</v>
      </c>
      <c r="E332" s="10">
        <v>2870</v>
      </c>
      <c r="F332" s="1">
        <v>41723</v>
      </c>
      <c r="G332">
        <v>-1494.5</v>
      </c>
      <c r="H332" s="1">
        <f t="shared" si="32"/>
        <v>41723</v>
      </c>
      <c r="I332">
        <f>IF(AND(MyRowHidden(ROW())=FALSE,MyRowHidden(ROW()-1)=TRUE),0,(E332-E331)*unitsOfDHp+I331)</f>
        <v>100450</v>
      </c>
      <c r="J332">
        <f>IF(AND(MyRowHidden(ROW())=FALSE,MyRowHidden(ROW()-1)=TRUE),0,(G332-G331)*unitsOfExo+J331)</f>
        <v>-1766304</v>
      </c>
      <c r="K332" s="9">
        <f t="shared" si="33"/>
        <v>1766304</v>
      </c>
      <c r="L332">
        <f t="shared" si="34"/>
        <v>-1665854</v>
      </c>
      <c r="M332">
        <f>IF(AND(MyRowHidden(ROW())=FALSE,MyRowHidden(ROW()-1)=TRUE),0,IF(MONTH(H332)&lt;&gt;MONTH(H331),M331+1,M331))</f>
        <v>14</v>
      </c>
      <c r="N332">
        <f>IF(AND(MyRowHidden(ROW())=FALSE,MyRowHidden(ROW()-1)=TRUE),0,IF(M332&lt;totalMonths,(totalMonths-M332)/totalMonths *(I332-I331)+N331,0))</f>
        <v>0</v>
      </c>
      <c r="P332">
        <f>IF(AND(MyRowHidden(ROW())=FALSE,MyRowHidden(ROW()-1)=TRUE),0,IF(M332&lt;totalMonths,(totalMonths-M332)/totalMonths *(J332-J331)+P331,0))</f>
        <v>0</v>
      </c>
      <c r="Q332">
        <f>IF(AND(MyRowHidden(ROW())=FALSE,MyRowHidden(ROW()-1)=TRUE),0,IF(M332&lt;totalMonths,(totalMonths-M332)/totalMonths *(K332-K331)+Q331,0))</f>
        <v>0</v>
      </c>
      <c r="R332">
        <f>IF(AND(MyRowHidden(ROW())=FALSE,MyRowHidden(ROW()-1)=TRUE),0,IF(M332&lt;totalMonths,(totalMonths-M332)/totalMonths *(L332-L331)+R331,0))</f>
        <v>0</v>
      </c>
    </row>
    <row r="333" spans="1:18" hidden="1" x14ac:dyDescent="0.25">
      <c r="A333" s="1"/>
      <c r="C333" s="1"/>
      <c r="D333" s="1">
        <v>41724</v>
      </c>
      <c r="E333" s="10">
        <v>2870</v>
      </c>
      <c r="F333" s="1">
        <v>41724</v>
      </c>
      <c r="G333">
        <v>-1607</v>
      </c>
      <c r="H333" s="1">
        <f t="shared" si="32"/>
        <v>41724</v>
      </c>
      <c r="I333">
        <f>IF(AND(MyRowHidden(ROW())=FALSE,MyRowHidden(ROW()-1)=TRUE),0,(E333-E332)*unitsOfDHp+I332)</f>
        <v>100450</v>
      </c>
      <c r="J333">
        <f>IF(AND(MyRowHidden(ROW())=FALSE,MyRowHidden(ROW()-1)=TRUE),0,(G333-G332)*unitsOfExo+J332)</f>
        <v>-1798704</v>
      </c>
      <c r="K333" s="9">
        <f t="shared" si="33"/>
        <v>1798704</v>
      </c>
      <c r="L333">
        <f t="shared" si="34"/>
        <v>-1698254</v>
      </c>
      <c r="M333">
        <f>IF(AND(MyRowHidden(ROW())=FALSE,MyRowHidden(ROW()-1)=TRUE),0,IF(MONTH(H333)&lt;&gt;MONTH(H332),M332+1,M332))</f>
        <v>14</v>
      </c>
      <c r="N333">
        <f>IF(AND(MyRowHidden(ROW())=FALSE,MyRowHidden(ROW()-1)=TRUE),0,IF(M333&lt;totalMonths,(totalMonths-M333)/totalMonths *(I333-I332)+N332,0))</f>
        <v>0</v>
      </c>
      <c r="P333">
        <f>IF(AND(MyRowHidden(ROW())=FALSE,MyRowHidden(ROW()-1)=TRUE),0,IF(M333&lt;totalMonths,(totalMonths-M333)/totalMonths *(J333-J332)+P332,0))</f>
        <v>0</v>
      </c>
      <c r="Q333">
        <f>IF(AND(MyRowHidden(ROW())=FALSE,MyRowHidden(ROW()-1)=TRUE),0,IF(M333&lt;totalMonths,(totalMonths-M333)/totalMonths *(K333-K332)+Q332,0))</f>
        <v>0</v>
      </c>
      <c r="R333">
        <f>IF(AND(MyRowHidden(ROW())=FALSE,MyRowHidden(ROW()-1)=TRUE),0,IF(M333&lt;totalMonths,(totalMonths-M333)/totalMonths *(L333-L332)+R332,0))</f>
        <v>0</v>
      </c>
    </row>
    <row r="334" spans="1:18" hidden="1" x14ac:dyDescent="0.25">
      <c r="A334" s="1"/>
      <c r="C334" s="1"/>
      <c r="D334" s="1">
        <v>41725</v>
      </c>
      <c r="E334" s="10">
        <v>2445</v>
      </c>
      <c r="F334" s="1">
        <v>41725</v>
      </c>
      <c r="G334">
        <v>-1207</v>
      </c>
      <c r="H334" s="1">
        <f t="shared" si="32"/>
        <v>41725</v>
      </c>
      <c r="I334">
        <f>IF(AND(MyRowHidden(ROW())=FALSE,MyRowHidden(ROW()-1)=TRUE),0,(E334-E333)*unitsOfDHp+I333)</f>
        <v>85575</v>
      </c>
      <c r="J334">
        <f>IF(AND(MyRowHidden(ROW())=FALSE,MyRowHidden(ROW()-1)=TRUE),0,(G334-G333)*unitsOfExo+J333)</f>
        <v>-1683504</v>
      </c>
      <c r="K334" s="9">
        <f t="shared" si="33"/>
        <v>1683504</v>
      </c>
      <c r="L334">
        <f t="shared" si="34"/>
        <v>-1597929</v>
      </c>
      <c r="M334">
        <f>IF(AND(MyRowHidden(ROW())=FALSE,MyRowHidden(ROW()-1)=TRUE),0,IF(MONTH(H334)&lt;&gt;MONTH(H333),M333+1,M333))</f>
        <v>14</v>
      </c>
      <c r="N334">
        <f>IF(AND(MyRowHidden(ROW())=FALSE,MyRowHidden(ROW()-1)=TRUE),0,IF(M334&lt;totalMonths,(totalMonths-M334)/totalMonths *(I334-I333)+N333,0))</f>
        <v>0</v>
      </c>
      <c r="P334">
        <f>IF(AND(MyRowHidden(ROW())=FALSE,MyRowHidden(ROW()-1)=TRUE),0,IF(M334&lt;totalMonths,(totalMonths-M334)/totalMonths *(J334-J333)+P333,0))</f>
        <v>0</v>
      </c>
      <c r="Q334">
        <f>IF(AND(MyRowHidden(ROW())=FALSE,MyRowHidden(ROW()-1)=TRUE),0,IF(M334&lt;totalMonths,(totalMonths-M334)/totalMonths *(K334-K333)+Q333,0))</f>
        <v>0</v>
      </c>
      <c r="R334">
        <f>IF(AND(MyRowHidden(ROW())=FALSE,MyRowHidden(ROW()-1)=TRUE),0,IF(M334&lt;totalMonths,(totalMonths-M334)/totalMonths *(L334-L333)+R333,0))</f>
        <v>0</v>
      </c>
    </row>
    <row r="335" spans="1:18" hidden="1" x14ac:dyDescent="0.25">
      <c r="A335" s="1"/>
      <c r="C335" s="1"/>
      <c r="D335" s="1">
        <v>41726</v>
      </c>
      <c r="E335" s="10">
        <v>2170</v>
      </c>
      <c r="F335" s="1">
        <v>41726</v>
      </c>
      <c r="G335">
        <v>-1107</v>
      </c>
      <c r="H335" s="1">
        <f t="shared" si="32"/>
        <v>41726</v>
      </c>
      <c r="I335">
        <f>IF(AND(MyRowHidden(ROW())=FALSE,MyRowHidden(ROW()-1)=TRUE),0,(E335-E334)*unitsOfDHp+I334)</f>
        <v>75950</v>
      </c>
      <c r="J335">
        <f>IF(AND(MyRowHidden(ROW())=FALSE,MyRowHidden(ROW()-1)=TRUE),0,(G335-G334)*unitsOfExo+J334)</f>
        <v>-1654704</v>
      </c>
      <c r="K335" s="9">
        <f t="shared" si="33"/>
        <v>1654704</v>
      </c>
      <c r="L335">
        <f t="shared" si="34"/>
        <v>-1578754</v>
      </c>
      <c r="M335">
        <f>IF(AND(MyRowHidden(ROW())=FALSE,MyRowHidden(ROW()-1)=TRUE),0,IF(MONTH(H335)&lt;&gt;MONTH(H334),M334+1,M334))</f>
        <v>14</v>
      </c>
      <c r="N335">
        <f>IF(AND(MyRowHidden(ROW())=FALSE,MyRowHidden(ROW()-1)=TRUE),0,IF(M335&lt;totalMonths,(totalMonths-M335)/totalMonths *(I335-I334)+N334,0))</f>
        <v>0</v>
      </c>
      <c r="P335">
        <f>IF(AND(MyRowHidden(ROW())=FALSE,MyRowHidden(ROW()-1)=TRUE),0,IF(M335&lt;totalMonths,(totalMonths-M335)/totalMonths *(J335-J334)+P334,0))</f>
        <v>0</v>
      </c>
      <c r="Q335">
        <f>IF(AND(MyRowHidden(ROW())=FALSE,MyRowHidden(ROW()-1)=TRUE),0,IF(M335&lt;totalMonths,(totalMonths-M335)/totalMonths *(K335-K334)+Q334,0))</f>
        <v>0</v>
      </c>
      <c r="R335">
        <f>IF(AND(MyRowHidden(ROW())=FALSE,MyRowHidden(ROW()-1)=TRUE),0,IF(M335&lt;totalMonths,(totalMonths-M335)/totalMonths *(L335-L334)+R334,0))</f>
        <v>0</v>
      </c>
    </row>
    <row r="336" spans="1:18" hidden="1" x14ac:dyDescent="0.25">
      <c r="A336" s="1"/>
      <c r="C336" s="1"/>
      <c r="D336" s="1">
        <v>41729</v>
      </c>
      <c r="E336" s="10">
        <v>1852</v>
      </c>
      <c r="F336" s="1">
        <v>41729</v>
      </c>
      <c r="G336">
        <v>-732</v>
      </c>
      <c r="H336" s="1">
        <f t="shared" si="32"/>
        <v>41729</v>
      </c>
      <c r="I336">
        <f>IF(AND(MyRowHidden(ROW())=FALSE,MyRowHidden(ROW()-1)=TRUE),0,(E336-E335)*unitsOfDHp+I335)</f>
        <v>64820</v>
      </c>
      <c r="J336">
        <f>IF(AND(MyRowHidden(ROW())=FALSE,MyRowHidden(ROW()-1)=TRUE),0,(G336-G335)*unitsOfExo+J335)</f>
        <v>-1546704</v>
      </c>
      <c r="K336" s="9">
        <f t="shared" si="33"/>
        <v>1546704</v>
      </c>
      <c r="L336">
        <f t="shared" si="34"/>
        <v>-1481884</v>
      </c>
      <c r="M336">
        <f>IF(AND(MyRowHidden(ROW())=FALSE,MyRowHidden(ROW()-1)=TRUE),0,IF(MONTH(H336)&lt;&gt;MONTH(H335),M335+1,M335))</f>
        <v>14</v>
      </c>
      <c r="N336">
        <f>IF(AND(MyRowHidden(ROW())=FALSE,MyRowHidden(ROW()-1)=TRUE),0,IF(M336&lt;totalMonths,(totalMonths-M336)/totalMonths *(I336-I335)+N335,0))</f>
        <v>0</v>
      </c>
      <c r="P336">
        <f>IF(AND(MyRowHidden(ROW())=FALSE,MyRowHidden(ROW()-1)=TRUE),0,IF(M336&lt;totalMonths,(totalMonths-M336)/totalMonths *(J336-J335)+P335,0))</f>
        <v>0</v>
      </c>
      <c r="Q336">
        <f>IF(AND(MyRowHidden(ROW())=FALSE,MyRowHidden(ROW()-1)=TRUE),0,IF(M336&lt;totalMonths,(totalMonths-M336)/totalMonths *(K336-K335)+Q335,0))</f>
        <v>0</v>
      </c>
      <c r="R336">
        <f>IF(AND(MyRowHidden(ROW())=FALSE,MyRowHidden(ROW()-1)=TRUE),0,IF(M336&lt;totalMonths,(totalMonths-M336)/totalMonths *(L336-L335)+R335,0))</f>
        <v>0</v>
      </c>
    </row>
    <row r="337" spans="1:18" hidden="1" x14ac:dyDescent="0.25">
      <c r="A337" s="1"/>
      <c r="C337" s="1"/>
      <c r="D337" s="1">
        <v>41730</v>
      </c>
      <c r="E337" s="10">
        <v>1058</v>
      </c>
      <c r="F337" s="1">
        <v>41730</v>
      </c>
      <c r="G337">
        <v>-394.5</v>
      </c>
      <c r="H337" s="1">
        <f t="shared" ref="H337:H400" si="35">D337</f>
        <v>41730</v>
      </c>
      <c r="I337">
        <f>IF(AND(MyRowHidden(ROW())=FALSE,MyRowHidden(ROW()-1)=TRUE),0,(E337-E336)*unitsOfDHp+I336)</f>
        <v>37030</v>
      </c>
      <c r="J337">
        <f>IF(AND(MyRowHidden(ROW())=FALSE,MyRowHidden(ROW()-1)=TRUE),0,(G337-G336)*unitsOfExo+J336)</f>
        <v>-1449504</v>
      </c>
      <c r="K337" s="9">
        <f t="shared" ref="K337:K400" si="36">-(J337-J336)+K336</f>
        <v>1449504</v>
      </c>
      <c r="L337">
        <f t="shared" ref="L337:L400" si="37">I337+J337</f>
        <v>-1412474</v>
      </c>
      <c r="M337">
        <f>IF(AND(MyRowHidden(ROW())=FALSE,MyRowHidden(ROW()-1)=TRUE),0,IF(MONTH(H337)&lt;&gt;MONTH(H336),M336+1,M336))</f>
        <v>15</v>
      </c>
      <c r="N337">
        <f>IF(AND(MyRowHidden(ROW())=FALSE,MyRowHidden(ROW()-1)=TRUE),0,IF(M337&lt;totalMonths,(totalMonths-M337)/totalMonths *(I337-I336)+N336,0))</f>
        <v>0</v>
      </c>
      <c r="P337">
        <f>IF(AND(MyRowHidden(ROW())=FALSE,MyRowHidden(ROW()-1)=TRUE),0,IF(M337&lt;totalMonths,(totalMonths-M337)/totalMonths *(J337-J336)+P336,0))</f>
        <v>0</v>
      </c>
      <c r="Q337">
        <f>IF(AND(MyRowHidden(ROW())=FALSE,MyRowHidden(ROW()-1)=TRUE),0,IF(M337&lt;totalMonths,(totalMonths-M337)/totalMonths *(K337-K336)+Q336,0))</f>
        <v>0</v>
      </c>
      <c r="R337">
        <f>IF(AND(MyRowHidden(ROW())=FALSE,MyRowHidden(ROW()-1)=TRUE),0,IF(M337&lt;totalMonths,(totalMonths-M337)/totalMonths *(L337-L336)+R336,0))</f>
        <v>0</v>
      </c>
    </row>
    <row r="338" spans="1:18" hidden="1" x14ac:dyDescent="0.25">
      <c r="A338" s="1"/>
      <c r="C338" s="1"/>
      <c r="D338" s="1">
        <v>41731</v>
      </c>
      <c r="E338" s="10">
        <v>2308</v>
      </c>
      <c r="F338" s="1">
        <v>41731</v>
      </c>
      <c r="G338">
        <v>-1069.5</v>
      </c>
      <c r="H338" s="1">
        <f t="shared" si="35"/>
        <v>41731</v>
      </c>
      <c r="I338">
        <f>IF(AND(MyRowHidden(ROW())=FALSE,MyRowHidden(ROW()-1)=TRUE),0,(E338-E337)*unitsOfDHp+I337)</f>
        <v>80780</v>
      </c>
      <c r="J338">
        <f>IF(AND(MyRowHidden(ROW())=FALSE,MyRowHidden(ROW()-1)=TRUE),0,(G338-G337)*unitsOfExo+J337)</f>
        <v>-1643904</v>
      </c>
      <c r="K338" s="9">
        <f t="shared" si="36"/>
        <v>1643904</v>
      </c>
      <c r="L338">
        <f t="shared" si="37"/>
        <v>-1563124</v>
      </c>
      <c r="M338">
        <f>IF(AND(MyRowHidden(ROW())=FALSE,MyRowHidden(ROW()-1)=TRUE),0,IF(MONTH(H338)&lt;&gt;MONTH(H337),M337+1,M337))</f>
        <v>15</v>
      </c>
      <c r="N338">
        <f>IF(AND(MyRowHidden(ROW())=FALSE,MyRowHidden(ROW()-1)=TRUE),0,IF(M338&lt;totalMonths,(totalMonths-M338)/totalMonths *(I338-I337)+N337,0))</f>
        <v>0</v>
      </c>
      <c r="P338">
        <f>IF(AND(MyRowHidden(ROW())=FALSE,MyRowHidden(ROW()-1)=TRUE),0,IF(M338&lt;totalMonths,(totalMonths-M338)/totalMonths *(J338-J337)+P337,0))</f>
        <v>0</v>
      </c>
      <c r="Q338">
        <f>IF(AND(MyRowHidden(ROW())=FALSE,MyRowHidden(ROW()-1)=TRUE),0,IF(M338&lt;totalMonths,(totalMonths-M338)/totalMonths *(K338-K337)+Q337,0))</f>
        <v>0</v>
      </c>
      <c r="R338">
        <f>IF(AND(MyRowHidden(ROW())=FALSE,MyRowHidden(ROW()-1)=TRUE),0,IF(M338&lt;totalMonths,(totalMonths-M338)/totalMonths *(L338-L337)+R337,0))</f>
        <v>0</v>
      </c>
    </row>
    <row r="339" spans="1:18" hidden="1" x14ac:dyDescent="0.25">
      <c r="A339" s="1"/>
      <c r="C339" s="1"/>
      <c r="D339" s="1">
        <v>41732</v>
      </c>
      <c r="E339" s="10">
        <v>2170</v>
      </c>
      <c r="F339" s="1">
        <v>41732</v>
      </c>
      <c r="G339">
        <v>-932</v>
      </c>
      <c r="H339" s="1">
        <f t="shared" si="35"/>
        <v>41732</v>
      </c>
      <c r="I339">
        <f>IF(AND(MyRowHidden(ROW())=FALSE,MyRowHidden(ROW()-1)=TRUE),0,(E339-E338)*unitsOfDHp+I338)</f>
        <v>75950</v>
      </c>
      <c r="J339">
        <f>IF(AND(MyRowHidden(ROW())=FALSE,MyRowHidden(ROW()-1)=TRUE),0,(G339-G338)*unitsOfExo+J338)</f>
        <v>-1604304</v>
      </c>
      <c r="K339" s="9">
        <f t="shared" si="36"/>
        <v>1604304</v>
      </c>
      <c r="L339">
        <f t="shared" si="37"/>
        <v>-1528354</v>
      </c>
      <c r="M339">
        <f>IF(AND(MyRowHidden(ROW())=FALSE,MyRowHidden(ROW()-1)=TRUE),0,IF(MONTH(H339)&lt;&gt;MONTH(H338),M338+1,M338))</f>
        <v>15</v>
      </c>
      <c r="N339">
        <f>IF(AND(MyRowHidden(ROW())=FALSE,MyRowHidden(ROW()-1)=TRUE),0,IF(M339&lt;totalMonths,(totalMonths-M339)/totalMonths *(I339-I338)+N338,0))</f>
        <v>0</v>
      </c>
      <c r="P339">
        <f>IF(AND(MyRowHidden(ROW())=FALSE,MyRowHidden(ROW()-1)=TRUE),0,IF(M339&lt;totalMonths,(totalMonths-M339)/totalMonths *(J339-J338)+P338,0))</f>
        <v>0</v>
      </c>
      <c r="Q339">
        <f>IF(AND(MyRowHidden(ROW())=FALSE,MyRowHidden(ROW()-1)=TRUE),0,IF(M339&lt;totalMonths,(totalMonths-M339)/totalMonths *(K339-K338)+Q338,0))</f>
        <v>0</v>
      </c>
      <c r="R339">
        <f>IF(AND(MyRowHidden(ROW())=FALSE,MyRowHidden(ROW()-1)=TRUE),0,IF(M339&lt;totalMonths,(totalMonths-M339)/totalMonths *(L339-L338)+R338,0))</f>
        <v>0</v>
      </c>
    </row>
    <row r="340" spans="1:18" hidden="1" x14ac:dyDescent="0.25">
      <c r="A340" s="1"/>
      <c r="C340" s="1"/>
      <c r="D340" s="1">
        <v>41733</v>
      </c>
      <c r="E340" s="10">
        <v>2020</v>
      </c>
      <c r="F340" s="1">
        <v>41733</v>
      </c>
      <c r="G340">
        <v>-819.5</v>
      </c>
      <c r="H340" s="1">
        <f t="shared" si="35"/>
        <v>41733</v>
      </c>
      <c r="I340">
        <f>IF(AND(MyRowHidden(ROW())=FALSE,MyRowHidden(ROW()-1)=TRUE),0,(E340-E339)*unitsOfDHp+I339)</f>
        <v>70700</v>
      </c>
      <c r="J340">
        <f>IF(AND(MyRowHidden(ROW())=FALSE,MyRowHidden(ROW()-1)=TRUE),0,(G340-G339)*unitsOfExo+J339)</f>
        <v>-1571904</v>
      </c>
      <c r="K340" s="9">
        <f t="shared" si="36"/>
        <v>1571904</v>
      </c>
      <c r="L340">
        <f t="shared" si="37"/>
        <v>-1501204</v>
      </c>
      <c r="M340">
        <f>IF(AND(MyRowHidden(ROW())=FALSE,MyRowHidden(ROW()-1)=TRUE),0,IF(MONTH(H340)&lt;&gt;MONTH(H339),M339+1,M339))</f>
        <v>15</v>
      </c>
      <c r="N340">
        <f>IF(AND(MyRowHidden(ROW())=FALSE,MyRowHidden(ROW()-1)=TRUE),0,IF(M340&lt;totalMonths,(totalMonths-M340)/totalMonths *(I340-I339)+N339,0))</f>
        <v>0</v>
      </c>
      <c r="P340">
        <f>IF(AND(MyRowHidden(ROW())=FALSE,MyRowHidden(ROW()-1)=TRUE),0,IF(M340&lt;totalMonths,(totalMonths-M340)/totalMonths *(J340-J339)+P339,0))</f>
        <v>0</v>
      </c>
      <c r="Q340">
        <f>IF(AND(MyRowHidden(ROW())=FALSE,MyRowHidden(ROW()-1)=TRUE),0,IF(M340&lt;totalMonths,(totalMonths-M340)/totalMonths *(K340-K339)+Q339,0))</f>
        <v>0</v>
      </c>
      <c r="R340">
        <f>IF(AND(MyRowHidden(ROW())=FALSE,MyRowHidden(ROW()-1)=TRUE),0,IF(M340&lt;totalMonths,(totalMonths-M340)/totalMonths *(L340-L339)+R339,0))</f>
        <v>0</v>
      </c>
    </row>
    <row r="341" spans="1:18" hidden="1" x14ac:dyDescent="0.25">
      <c r="A341" s="1"/>
      <c r="C341" s="1"/>
      <c r="D341" s="1">
        <v>41736</v>
      </c>
      <c r="E341" s="10">
        <v>2220</v>
      </c>
      <c r="F341" s="1">
        <v>41736</v>
      </c>
      <c r="G341">
        <v>-882</v>
      </c>
      <c r="H341" s="1">
        <f t="shared" si="35"/>
        <v>41736</v>
      </c>
      <c r="I341">
        <f>IF(AND(MyRowHidden(ROW())=FALSE,MyRowHidden(ROW()-1)=TRUE),0,(E341-E340)*unitsOfDHp+I340)</f>
        <v>77700</v>
      </c>
      <c r="J341">
        <f>IF(AND(MyRowHidden(ROW())=FALSE,MyRowHidden(ROW()-1)=TRUE),0,(G341-G340)*unitsOfExo+J340)</f>
        <v>-1589904</v>
      </c>
      <c r="K341" s="9">
        <f t="shared" si="36"/>
        <v>1589904</v>
      </c>
      <c r="L341">
        <f t="shared" si="37"/>
        <v>-1512204</v>
      </c>
      <c r="M341">
        <f>IF(AND(MyRowHidden(ROW())=FALSE,MyRowHidden(ROW()-1)=TRUE),0,IF(MONTH(H341)&lt;&gt;MONTH(H340),M340+1,M340))</f>
        <v>15</v>
      </c>
      <c r="N341">
        <f>IF(AND(MyRowHidden(ROW())=FALSE,MyRowHidden(ROW()-1)=TRUE),0,IF(M341&lt;totalMonths,(totalMonths-M341)/totalMonths *(I341-I340)+N340,0))</f>
        <v>0</v>
      </c>
      <c r="P341">
        <f>IF(AND(MyRowHidden(ROW())=FALSE,MyRowHidden(ROW()-1)=TRUE),0,IF(M341&lt;totalMonths,(totalMonths-M341)/totalMonths *(J341-J340)+P340,0))</f>
        <v>0</v>
      </c>
      <c r="Q341">
        <f>IF(AND(MyRowHidden(ROW())=FALSE,MyRowHidden(ROW()-1)=TRUE),0,IF(M341&lt;totalMonths,(totalMonths-M341)/totalMonths *(K341-K340)+Q340,0))</f>
        <v>0</v>
      </c>
      <c r="R341">
        <f>IF(AND(MyRowHidden(ROW())=FALSE,MyRowHidden(ROW()-1)=TRUE),0,IF(M341&lt;totalMonths,(totalMonths-M341)/totalMonths *(L341-L340)+R340,0))</f>
        <v>0</v>
      </c>
    </row>
    <row r="342" spans="1:18" hidden="1" x14ac:dyDescent="0.25">
      <c r="A342" s="1"/>
      <c r="C342" s="1"/>
      <c r="D342" s="1">
        <v>41737</v>
      </c>
      <c r="E342" s="10">
        <v>1295</v>
      </c>
      <c r="F342" s="1">
        <v>41737</v>
      </c>
      <c r="G342">
        <v>-444.5</v>
      </c>
      <c r="H342" s="1">
        <f t="shared" si="35"/>
        <v>41737</v>
      </c>
      <c r="I342">
        <f>IF(AND(MyRowHidden(ROW())=FALSE,MyRowHidden(ROW()-1)=TRUE),0,(E342-E341)*unitsOfDHp+I341)</f>
        <v>45325</v>
      </c>
      <c r="J342">
        <f>IF(AND(MyRowHidden(ROW())=FALSE,MyRowHidden(ROW()-1)=TRUE),0,(G342-G341)*unitsOfExo+J341)</f>
        <v>-1463904</v>
      </c>
      <c r="K342" s="9">
        <f t="shared" si="36"/>
        <v>1463904</v>
      </c>
      <c r="L342">
        <f t="shared" si="37"/>
        <v>-1418579</v>
      </c>
      <c r="M342">
        <f>IF(AND(MyRowHidden(ROW())=FALSE,MyRowHidden(ROW()-1)=TRUE),0,IF(MONTH(H342)&lt;&gt;MONTH(H341),M341+1,M341))</f>
        <v>15</v>
      </c>
      <c r="N342">
        <f>IF(AND(MyRowHidden(ROW())=FALSE,MyRowHidden(ROW()-1)=TRUE),0,IF(M342&lt;totalMonths,(totalMonths-M342)/totalMonths *(I342-I341)+N341,0))</f>
        <v>0</v>
      </c>
      <c r="P342">
        <f>IF(AND(MyRowHidden(ROW())=FALSE,MyRowHidden(ROW()-1)=TRUE),0,IF(M342&lt;totalMonths,(totalMonths-M342)/totalMonths *(J342-J341)+P341,0))</f>
        <v>0</v>
      </c>
      <c r="Q342">
        <f>IF(AND(MyRowHidden(ROW())=FALSE,MyRowHidden(ROW()-1)=TRUE),0,IF(M342&lt;totalMonths,(totalMonths-M342)/totalMonths *(K342-K341)+Q341,0))</f>
        <v>0</v>
      </c>
      <c r="R342">
        <f>IF(AND(MyRowHidden(ROW())=FALSE,MyRowHidden(ROW()-1)=TRUE),0,IF(M342&lt;totalMonths,(totalMonths-M342)/totalMonths *(L342-L341)+R341,0))</f>
        <v>0</v>
      </c>
    </row>
    <row r="343" spans="1:18" hidden="1" x14ac:dyDescent="0.25">
      <c r="A343" s="1"/>
      <c r="C343" s="1"/>
      <c r="D343" s="1">
        <v>41738</v>
      </c>
      <c r="E343" s="10">
        <v>1520</v>
      </c>
      <c r="F343" s="1">
        <v>41738</v>
      </c>
      <c r="G343">
        <v>-569.5</v>
      </c>
      <c r="H343" s="1">
        <f t="shared" si="35"/>
        <v>41738</v>
      </c>
      <c r="I343">
        <f>IF(AND(MyRowHidden(ROW())=FALSE,MyRowHidden(ROW()-1)=TRUE),0,(E343-E342)*unitsOfDHp+I342)</f>
        <v>53200</v>
      </c>
      <c r="J343">
        <f>IF(AND(MyRowHidden(ROW())=FALSE,MyRowHidden(ROW()-1)=TRUE),0,(G343-G342)*unitsOfExo+J342)</f>
        <v>-1499904</v>
      </c>
      <c r="K343" s="9">
        <f t="shared" si="36"/>
        <v>1499904</v>
      </c>
      <c r="L343">
        <f t="shared" si="37"/>
        <v>-1446704</v>
      </c>
      <c r="M343">
        <f>IF(AND(MyRowHidden(ROW())=FALSE,MyRowHidden(ROW()-1)=TRUE),0,IF(MONTH(H343)&lt;&gt;MONTH(H342),M342+1,M342))</f>
        <v>15</v>
      </c>
      <c r="N343">
        <f>IF(AND(MyRowHidden(ROW())=FALSE,MyRowHidden(ROW()-1)=TRUE),0,IF(M343&lt;totalMonths,(totalMonths-M343)/totalMonths *(I343-I342)+N342,0))</f>
        <v>0</v>
      </c>
      <c r="P343">
        <f>IF(AND(MyRowHidden(ROW())=FALSE,MyRowHidden(ROW()-1)=TRUE),0,IF(M343&lt;totalMonths,(totalMonths-M343)/totalMonths *(J343-J342)+P342,0))</f>
        <v>0</v>
      </c>
      <c r="Q343">
        <f>IF(AND(MyRowHidden(ROW())=FALSE,MyRowHidden(ROW()-1)=TRUE),0,IF(M343&lt;totalMonths,(totalMonths-M343)/totalMonths *(K343-K342)+Q342,0))</f>
        <v>0</v>
      </c>
      <c r="R343">
        <f>IF(AND(MyRowHidden(ROW())=FALSE,MyRowHidden(ROW()-1)=TRUE),0,IF(M343&lt;totalMonths,(totalMonths-M343)/totalMonths *(L343-L342)+R342,0))</f>
        <v>0</v>
      </c>
    </row>
    <row r="344" spans="1:18" hidden="1" x14ac:dyDescent="0.25">
      <c r="A344" s="1"/>
      <c r="C344" s="1"/>
      <c r="D344" s="1">
        <v>41739</v>
      </c>
      <c r="E344" s="10">
        <v>1808</v>
      </c>
      <c r="F344" s="1">
        <v>41739</v>
      </c>
      <c r="G344">
        <v>-669.5</v>
      </c>
      <c r="H344" s="1">
        <f t="shared" si="35"/>
        <v>41739</v>
      </c>
      <c r="I344">
        <f>IF(AND(MyRowHidden(ROW())=FALSE,MyRowHidden(ROW()-1)=TRUE),0,(E344-E343)*unitsOfDHp+I343)</f>
        <v>63280</v>
      </c>
      <c r="J344">
        <f>IF(AND(MyRowHidden(ROW())=FALSE,MyRowHidden(ROW()-1)=TRUE),0,(G344-G343)*unitsOfExo+J343)</f>
        <v>-1528704</v>
      </c>
      <c r="K344" s="9">
        <f t="shared" si="36"/>
        <v>1528704</v>
      </c>
      <c r="L344">
        <f t="shared" si="37"/>
        <v>-1465424</v>
      </c>
      <c r="M344">
        <f>IF(AND(MyRowHidden(ROW())=FALSE,MyRowHidden(ROW()-1)=TRUE),0,IF(MONTH(H344)&lt;&gt;MONTH(H343),M343+1,M343))</f>
        <v>15</v>
      </c>
      <c r="N344">
        <f>IF(AND(MyRowHidden(ROW())=FALSE,MyRowHidden(ROW()-1)=TRUE),0,IF(M344&lt;totalMonths,(totalMonths-M344)/totalMonths *(I344-I343)+N343,0))</f>
        <v>0</v>
      </c>
      <c r="P344">
        <f>IF(AND(MyRowHidden(ROW())=FALSE,MyRowHidden(ROW()-1)=TRUE),0,IF(M344&lt;totalMonths,(totalMonths-M344)/totalMonths *(J344-J343)+P343,0))</f>
        <v>0</v>
      </c>
      <c r="Q344">
        <f>IF(AND(MyRowHidden(ROW())=FALSE,MyRowHidden(ROW()-1)=TRUE),0,IF(M344&lt;totalMonths,(totalMonths-M344)/totalMonths *(K344-K343)+Q343,0))</f>
        <v>0</v>
      </c>
      <c r="R344">
        <f>IF(AND(MyRowHidden(ROW())=FALSE,MyRowHidden(ROW()-1)=TRUE),0,IF(M344&lt;totalMonths,(totalMonths-M344)/totalMonths *(L344-L343)+R343,0))</f>
        <v>0</v>
      </c>
    </row>
    <row r="345" spans="1:18" hidden="1" x14ac:dyDescent="0.25">
      <c r="A345" s="1"/>
      <c r="C345" s="1"/>
      <c r="D345" s="1">
        <v>41740</v>
      </c>
      <c r="E345" s="10">
        <v>2220</v>
      </c>
      <c r="F345" s="1">
        <v>41740</v>
      </c>
      <c r="G345">
        <v>-832</v>
      </c>
      <c r="H345" s="1">
        <f t="shared" si="35"/>
        <v>41740</v>
      </c>
      <c r="I345">
        <f>IF(AND(MyRowHidden(ROW())=FALSE,MyRowHidden(ROW()-1)=TRUE),0,(E345-E344)*unitsOfDHp+I344)</f>
        <v>77700</v>
      </c>
      <c r="J345">
        <f>IF(AND(MyRowHidden(ROW())=FALSE,MyRowHidden(ROW()-1)=TRUE),0,(G345-G344)*unitsOfExo+J344)</f>
        <v>-1575504</v>
      </c>
      <c r="K345" s="9">
        <f t="shared" si="36"/>
        <v>1575504</v>
      </c>
      <c r="L345">
        <f t="shared" si="37"/>
        <v>-1497804</v>
      </c>
      <c r="M345">
        <f>IF(AND(MyRowHidden(ROW())=FALSE,MyRowHidden(ROW()-1)=TRUE),0,IF(MONTH(H345)&lt;&gt;MONTH(H344),M344+1,M344))</f>
        <v>15</v>
      </c>
      <c r="N345">
        <f>IF(AND(MyRowHidden(ROW())=FALSE,MyRowHidden(ROW()-1)=TRUE),0,IF(M345&lt;totalMonths,(totalMonths-M345)/totalMonths *(I345-I344)+N344,0))</f>
        <v>0</v>
      </c>
      <c r="P345">
        <f>IF(AND(MyRowHidden(ROW())=FALSE,MyRowHidden(ROW()-1)=TRUE),0,IF(M345&lt;totalMonths,(totalMonths-M345)/totalMonths *(J345-J344)+P344,0))</f>
        <v>0</v>
      </c>
      <c r="Q345">
        <f>IF(AND(MyRowHidden(ROW())=FALSE,MyRowHidden(ROW()-1)=TRUE),0,IF(M345&lt;totalMonths,(totalMonths-M345)/totalMonths *(K345-K344)+Q344,0))</f>
        <v>0</v>
      </c>
      <c r="R345">
        <f>IF(AND(MyRowHidden(ROW())=FALSE,MyRowHidden(ROW()-1)=TRUE),0,IF(M345&lt;totalMonths,(totalMonths-M345)/totalMonths *(L345-L344)+R344,0))</f>
        <v>0</v>
      </c>
    </row>
    <row r="346" spans="1:18" hidden="1" x14ac:dyDescent="0.25">
      <c r="A346" s="1"/>
      <c r="C346" s="1"/>
      <c r="D346" s="1">
        <v>41743</v>
      </c>
      <c r="E346" s="10">
        <v>1595</v>
      </c>
      <c r="F346" s="1">
        <v>41743</v>
      </c>
      <c r="G346">
        <v>-582</v>
      </c>
      <c r="H346" s="1">
        <f t="shared" si="35"/>
        <v>41743</v>
      </c>
      <c r="I346">
        <f>IF(AND(MyRowHidden(ROW())=FALSE,MyRowHidden(ROW()-1)=TRUE),0,(E346-E345)*unitsOfDHp+I345)</f>
        <v>55825</v>
      </c>
      <c r="J346">
        <f>IF(AND(MyRowHidden(ROW())=FALSE,MyRowHidden(ROW()-1)=TRUE),0,(G346-G345)*unitsOfExo+J345)</f>
        <v>-1503504</v>
      </c>
      <c r="K346" s="9">
        <f t="shared" si="36"/>
        <v>1503504</v>
      </c>
      <c r="L346">
        <f t="shared" si="37"/>
        <v>-1447679</v>
      </c>
      <c r="M346">
        <f>IF(AND(MyRowHidden(ROW())=FALSE,MyRowHidden(ROW()-1)=TRUE),0,IF(MONTH(H346)&lt;&gt;MONTH(H345),M345+1,M345))</f>
        <v>15</v>
      </c>
      <c r="N346">
        <f>IF(AND(MyRowHidden(ROW())=FALSE,MyRowHidden(ROW()-1)=TRUE),0,IF(M346&lt;totalMonths,(totalMonths-M346)/totalMonths *(I346-I345)+N345,0))</f>
        <v>0</v>
      </c>
      <c r="P346">
        <f>IF(AND(MyRowHidden(ROW())=FALSE,MyRowHidden(ROW()-1)=TRUE),0,IF(M346&lt;totalMonths,(totalMonths-M346)/totalMonths *(J346-J345)+P345,0))</f>
        <v>0</v>
      </c>
      <c r="Q346">
        <f>IF(AND(MyRowHidden(ROW())=FALSE,MyRowHidden(ROW()-1)=TRUE),0,IF(M346&lt;totalMonths,(totalMonths-M346)/totalMonths *(K346-K345)+Q345,0))</f>
        <v>0</v>
      </c>
      <c r="R346">
        <f>IF(AND(MyRowHidden(ROW())=FALSE,MyRowHidden(ROW()-1)=TRUE),0,IF(M346&lt;totalMonths,(totalMonths-M346)/totalMonths *(L346-L345)+R345,0))</f>
        <v>0</v>
      </c>
    </row>
    <row r="347" spans="1:18" hidden="1" x14ac:dyDescent="0.25">
      <c r="A347" s="1"/>
      <c r="C347" s="1"/>
      <c r="D347" s="1">
        <v>41744</v>
      </c>
      <c r="E347" s="10">
        <v>1708</v>
      </c>
      <c r="F347" s="1">
        <v>41744</v>
      </c>
      <c r="G347">
        <v>-644.5</v>
      </c>
      <c r="H347" s="1">
        <f t="shared" si="35"/>
        <v>41744</v>
      </c>
      <c r="I347">
        <f>IF(AND(MyRowHidden(ROW())=FALSE,MyRowHidden(ROW()-1)=TRUE),0,(E347-E346)*unitsOfDHp+I346)</f>
        <v>59780</v>
      </c>
      <c r="J347">
        <f>IF(AND(MyRowHidden(ROW())=FALSE,MyRowHidden(ROW()-1)=TRUE),0,(G347-G346)*unitsOfExo+J346)</f>
        <v>-1521504</v>
      </c>
      <c r="K347" s="9">
        <f t="shared" si="36"/>
        <v>1521504</v>
      </c>
      <c r="L347">
        <f t="shared" si="37"/>
        <v>-1461724</v>
      </c>
      <c r="M347">
        <f>IF(AND(MyRowHidden(ROW())=FALSE,MyRowHidden(ROW()-1)=TRUE),0,IF(MONTH(H347)&lt;&gt;MONTH(H346),M346+1,M346))</f>
        <v>15</v>
      </c>
      <c r="N347">
        <f>IF(AND(MyRowHidden(ROW())=FALSE,MyRowHidden(ROW()-1)=TRUE),0,IF(M347&lt;totalMonths,(totalMonths-M347)/totalMonths *(I347-I346)+N346,0))</f>
        <v>0</v>
      </c>
      <c r="P347">
        <f>IF(AND(MyRowHidden(ROW())=FALSE,MyRowHidden(ROW()-1)=TRUE),0,IF(M347&lt;totalMonths,(totalMonths-M347)/totalMonths *(J347-J346)+P346,0))</f>
        <v>0</v>
      </c>
      <c r="Q347">
        <f>IF(AND(MyRowHidden(ROW())=FALSE,MyRowHidden(ROW()-1)=TRUE),0,IF(M347&lt;totalMonths,(totalMonths-M347)/totalMonths *(K347-K346)+Q346,0))</f>
        <v>0</v>
      </c>
      <c r="R347">
        <f>IF(AND(MyRowHidden(ROW())=FALSE,MyRowHidden(ROW()-1)=TRUE),0,IF(M347&lt;totalMonths,(totalMonths-M347)/totalMonths *(L347-L346)+R346,0))</f>
        <v>0</v>
      </c>
    </row>
    <row r="348" spans="1:18" hidden="1" x14ac:dyDescent="0.25">
      <c r="A348" s="1"/>
      <c r="C348" s="1"/>
      <c r="D348" s="1">
        <v>41745</v>
      </c>
      <c r="E348" s="10">
        <v>2508</v>
      </c>
      <c r="F348" s="1">
        <v>41745</v>
      </c>
      <c r="G348">
        <v>-957</v>
      </c>
      <c r="H348" s="1">
        <f t="shared" si="35"/>
        <v>41745</v>
      </c>
      <c r="I348">
        <f>IF(AND(MyRowHidden(ROW())=FALSE,MyRowHidden(ROW()-1)=TRUE),0,(E348-E347)*unitsOfDHp+I347)</f>
        <v>87780</v>
      </c>
      <c r="J348">
        <f>IF(AND(MyRowHidden(ROW())=FALSE,MyRowHidden(ROW()-1)=TRUE),0,(G348-G347)*unitsOfExo+J347)</f>
        <v>-1611504</v>
      </c>
      <c r="K348" s="9">
        <f t="shared" si="36"/>
        <v>1611504</v>
      </c>
      <c r="L348">
        <f t="shared" si="37"/>
        <v>-1523724</v>
      </c>
      <c r="M348">
        <f>IF(AND(MyRowHidden(ROW())=FALSE,MyRowHidden(ROW()-1)=TRUE),0,IF(MONTH(H348)&lt;&gt;MONTH(H347),M347+1,M347))</f>
        <v>15</v>
      </c>
      <c r="N348">
        <f>IF(AND(MyRowHidden(ROW())=FALSE,MyRowHidden(ROW()-1)=TRUE),0,IF(M348&lt;totalMonths,(totalMonths-M348)/totalMonths *(I348-I347)+N347,0))</f>
        <v>0</v>
      </c>
      <c r="P348">
        <f>IF(AND(MyRowHidden(ROW())=FALSE,MyRowHidden(ROW()-1)=TRUE),0,IF(M348&lt;totalMonths,(totalMonths-M348)/totalMonths *(J348-J347)+P347,0))</f>
        <v>0</v>
      </c>
      <c r="Q348">
        <f>IF(AND(MyRowHidden(ROW())=FALSE,MyRowHidden(ROW()-1)=TRUE),0,IF(M348&lt;totalMonths,(totalMonths-M348)/totalMonths *(K348-K347)+Q347,0))</f>
        <v>0</v>
      </c>
      <c r="R348">
        <f>IF(AND(MyRowHidden(ROW())=FALSE,MyRowHidden(ROW()-1)=TRUE),0,IF(M348&lt;totalMonths,(totalMonths-M348)/totalMonths *(L348-L347)+R347,0))</f>
        <v>0</v>
      </c>
    </row>
    <row r="349" spans="1:18" hidden="1" x14ac:dyDescent="0.25">
      <c r="A349" s="1"/>
      <c r="C349" s="1"/>
      <c r="D349" s="1">
        <v>41746</v>
      </c>
      <c r="E349" s="10">
        <v>2908</v>
      </c>
      <c r="F349" s="1">
        <v>41746</v>
      </c>
      <c r="G349">
        <v>-1107</v>
      </c>
      <c r="H349" s="1">
        <f t="shared" si="35"/>
        <v>41746</v>
      </c>
      <c r="I349">
        <f>IF(AND(MyRowHidden(ROW())=FALSE,MyRowHidden(ROW()-1)=TRUE),0,(E349-E348)*unitsOfDHp+I348)</f>
        <v>101780</v>
      </c>
      <c r="J349">
        <f>IF(AND(MyRowHidden(ROW())=FALSE,MyRowHidden(ROW()-1)=TRUE),0,(G349-G348)*unitsOfExo+J348)</f>
        <v>-1654704</v>
      </c>
      <c r="K349" s="9">
        <f t="shared" si="36"/>
        <v>1654704</v>
      </c>
      <c r="L349">
        <f t="shared" si="37"/>
        <v>-1552924</v>
      </c>
      <c r="M349">
        <f>IF(AND(MyRowHidden(ROW())=FALSE,MyRowHidden(ROW()-1)=TRUE),0,IF(MONTH(H349)&lt;&gt;MONTH(H348),M348+1,M348))</f>
        <v>15</v>
      </c>
      <c r="N349">
        <f>IF(AND(MyRowHidden(ROW())=FALSE,MyRowHidden(ROW()-1)=TRUE),0,IF(M349&lt;totalMonths,(totalMonths-M349)/totalMonths *(I349-I348)+N348,0))</f>
        <v>0</v>
      </c>
      <c r="P349">
        <f>IF(AND(MyRowHidden(ROW())=FALSE,MyRowHidden(ROW()-1)=TRUE),0,IF(M349&lt;totalMonths,(totalMonths-M349)/totalMonths *(J349-J348)+P348,0))</f>
        <v>0</v>
      </c>
      <c r="Q349">
        <f>IF(AND(MyRowHidden(ROW())=FALSE,MyRowHidden(ROW()-1)=TRUE),0,IF(M349&lt;totalMonths,(totalMonths-M349)/totalMonths *(K349-K348)+Q348,0))</f>
        <v>0</v>
      </c>
      <c r="R349">
        <f>IF(AND(MyRowHidden(ROW())=FALSE,MyRowHidden(ROW()-1)=TRUE),0,IF(M349&lt;totalMonths,(totalMonths-M349)/totalMonths *(L349-L348)+R348,0))</f>
        <v>0</v>
      </c>
    </row>
    <row r="350" spans="1:18" hidden="1" x14ac:dyDescent="0.25">
      <c r="A350" s="1"/>
      <c r="C350" s="1"/>
      <c r="D350" s="1">
        <v>41747</v>
      </c>
      <c r="E350" s="10">
        <v>3046</v>
      </c>
      <c r="F350" s="1">
        <v>41747</v>
      </c>
      <c r="G350">
        <v>-1144.5</v>
      </c>
      <c r="H350" s="1">
        <f t="shared" si="35"/>
        <v>41747</v>
      </c>
      <c r="I350">
        <f>IF(AND(MyRowHidden(ROW())=FALSE,MyRowHidden(ROW()-1)=TRUE),0,(E350-E349)*unitsOfDHp+I349)</f>
        <v>106610</v>
      </c>
      <c r="J350">
        <f>IF(AND(MyRowHidden(ROW())=FALSE,MyRowHidden(ROW()-1)=TRUE),0,(G350-G349)*unitsOfExo+J349)</f>
        <v>-1665504</v>
      </c>
      <c r="K350" s="9">
        <f t="shared" si="36"/>
        <v>1665504</v>
      </c>
      <c r="L350">
        <f t="shared" si="37"/>
        <v>-1558894</v>
      </c>
      <c r="M350">
        <f>IF(AND(MyRowHidden(ROW())=FALSE,MyRowHidden(ROW()-1)=TRUE),0,IF(MONTH(H350)&lt;&gt;MONTH(H349),M349+1,M349))</f>
        <v>15</v>
      </c>
      <c r="N350">
        <f>IF(AND(MyRowHidden(ROW())=FALSE,MyRowHidden(ROW()-1)=TRUE),0,IF(M350&lt;totalMonths,(totalMonths-M350)/totalMonths *(I350-I349)+N349,0))</f>
        <v>0</v>
      </c>
      <c r="P350">
        <f>IF(AND(MyRowHidden(ROW())=FALSE,MyRowHidden(ROW()-1)=TRUE),0,IF(M350&lt;totalMonths,(totalMonths-M350)/totalMonths *(J350-J349)+P349,0))</f>
        <v>0</v>
      </c>
      <c r="Q350">
        <f>IF(AND(MyRowHidden(ROW())=FALSE,MyRowHidden(ROW()-1)=TRUE),0,IF(M350&lt;totalMonths,(totalMonths-M350)/totalMonths *(K350-K349)+Q349,0))</f>
        <v>0</v>
      </c>
      <c r="R350">
        <f>IF(AND(MyRowHidden(ROW())=FALSE,MyRowHidden(ROW()-1)=TRUE),0,IF(M350&lt;totalMonths,(totalMonths-M350)/totalMonths *(L350-L349)+R349,0))</f>
        <v>0</v>
      </c>
    </row>
    <row r="351" spans="1:18" hidden="1" x14ac:dyDescent="0.25">
      <c r="A351" s="1"/>
      <c r="C351" s="1"/>
      <c r="D351" s="1">
        <v>41750</v>
      </c>
      <c r="E351" s="10">
        <v>3597</v>
      </c>
      <c r="F351" s="1">
        <v>41750</v>
      </c>
      <c r="G351">
        <v>-1419.5</v>
      </c>
      <c r="H351" s="1">
        <f t="shared" si="35"/>
        <v>41750</v>
      </c>
      <c r="I351">
        <f>IF(AND(MyRowHidden(ROW())=FALSE,MyRowHidden(ROW()-1)=TRUE),0,(E351-E350)*unitsOfDHp+I350)</f>
        <v>125895</v>
      </c>
      <c r="J351">
        <f>IF(AND(MyRowHidden(ROW())=FALSE,MyRowHidden(ROW()-1)=TRUE),0,(G351-G350)*unitsOfExo+J350)</f>
        <v>-1744704</v>
      </c>
      <c r="K351" s="9">
        <f t="shared" si="36"/>
        <v>1744704</v>
      </c>
      <c r="L351">
        <f t="shared" si="37"/>
        <v>-1618809</v>
      </c>
      <c r="M351">
        <f>IF(AND(MyRowHidden(ROW())=FALSE,MyRowHidden(ROW()-1)=TRUE),0,IF(MONTH(H351)&lt;&gt;MONTH(H350),M350+1,M350))</f>
        <v>15</v>
      </c>
      <c r="N351">
        <f>IF(AND(MyRowHidden(ROW())=FALSE,MyRowHidden(ROW()-1)=TRUE),0,IF(M351&lt;totalMonths,(totalMonths-M351)/totalMonths *(I351-I350)+N350,0))</f>
        <v>0</v>
      </c>
      <c r="P351">
        <f>IF(AND(MyRowHidden(ROW())=FALSE,MyRowHidden(ROW()-1)=TRUE),0,IF(M351&lt;totalMonths,(totalMonths-M351)/totalMonths *(J351-J350)+P350,0))</f>
        <v>0</v>
      </c>
      <c r="Q351">
        <f>IF(AND(MyRowHidden(ROW())=FALSE,MyRowHidden(ROW()-1)=TRUE),0,IF(M351&lt;totalMonths,(totalMonths-M351)/totalMonths *(K351-K350)+Q350,0))</f>
        <v>0</v>
      </c>
      <c r="R351">
        <f>IF(AND(MyRowHidden(ROW())=FALSE,MyRowHidden(ROW()-1)=TRUE),0,IF(M351&lt;totalMonths,(totalMonths-M351)/totalMonths *(L351-L350)+R350,0))</f>
        <v>0</v>
      </c>
    </row>
    <row r="352" spans="1:18" hidden="1" x14ac:dyDescent="0.25">
      <c r="A352" s="1"/>
      <c r="C352" s="1"/>
      <c r="D352" s="1">
        <v>41751</v>
      </c>
      <c r="E352" s="10">
        <v>2047</v>
      </c>
      <c r="F352" s="1">
        <v>41751</v>
      </c>
      <c r="G352">
        <v>-882</v>
      </c>
      <c r="H352" s="1">
        <f t="shared" si="35"/>
        <v>41751</v>
      </c>
      <c r="I352">
        <f>IF(AND(MyRowHidden(ROW())=FALSE,MyRowHidden(ROW()-1)=TRUE),0,(E352-E351)*unitsOfDHp+I351)</f>
        <v>71645</v>
      </c>
      <c r="J352">
        <f>IF(AND(MyRowHidden(ROW())=FALSE,MyRowHidden(ROW()-1)=TRUE),0,(G352-G351)*unitsOfExo+J351)</f>
        <v>-1589904</v>
      </c>
      <c r="K352" s="9">
        <f t="shared" si="36"/>
        <v>1589904</v>
      </c>
      <c r="L352">
        <f t="shared" si="37"/>
        <v>-1518259</v>
      </c>
      <c r="M352">
        <f>IF(AND(MyRowHidden(ROW())=FALSE,MyRowHidden(ROW()-1)=TRUE),0,IF(MONTH(H352)&lt;&gt;MONTH(H351),M351+1,M351))</f>
        <v>15</v>
      </c>
      <c r="N352">
        <f>IF(AND(MyRowHidden(ROW())=FALSE,MyRowHidden(ROW()-1)=TRUE),0,IF(M352&lt;totalMonths,(totalMonths-M352)/totalMonths *(I352-I351)+N351,0))</f>
        <v>0</v>
      </c>
      <c r="P352">
        <f>IF(AND(MyRowHidden(ROW())=FALSE,MyRowHidden(ROW()-1)=TRUE),0,IF(M352&lt;totalMonths,(totalMonths-M352)/totalMonths *(J352-J351)+P351,0))</f>
        <v>0</v>
      </c>
      <c r="Q352">
        <f>IF(AND(MyRowHidden(ROW())=FALSE,MyRowHidden(ROW()-1)=TRUE),0,IF(M352&lt;totalMonths,(totalMonths-M352)/totalMonths *(K352-K351)+Q351,0))</f>
        <v>0</v>
      </c>
      <c r="R352">
        <f>IF(AND(MyRowHidden(ROW())=FALSE,MyRowHidden(ROW()-1)=TRUE),0,IF(M352&lt;totalMonths,(totalMonths-M352)/totalMonths *(L352-L351)+R351,0))</f>
        <v>0</v>
      </c>
    </row>
    <row r="353" spans="1:18" hidden="1" x14ac:dyDescent="0.25">
      <c r="A353" s="1"/>
      <c r="C353" s="1"/>
      <c r="D353" s="1">
        <v>41752</v>
      </c>
      <c r="E353" s="10">
        <v>1362</v>
      </c>
      <c r="F353" s="1">
        <v>41752</v>
      </c>
      <c r="G353">
        <v>-657</v>
      </c>
      <c r="H353" s="1">
        <f t="shared" si="35"/>
        <v>41752</v>
      </c>
      <c r="I353">
        <f>IF(AND(MyRowHidden(ROW())=FALSE,MyRowHidden(ROW()-1)=TRUE),0,(E353-E352)*unitsOfDHp+I352)</f>
        <v>47670</v>
      </c>
      <c r="J353">
        <f>IF(AND(MyRowHidden(ROW())=FALSE,MyRowHidden(ROW()-1)=TRUE),0,(G353-G352)*unitsOfExo+J352)</f>
        <v>-1525104</v>
      </c>
      <c r="K353" s="9">
        <f t="shared" si="36"/>
        <v>1525104</v>
      </c>
      <c r="L353">
        <f t="shared" si="37"/>
        <v>-1477434</v>
      </c>
      <c r="M353">
        <f>IF(AND(MyRowHidden(ROW())=FALSE,MyRowHidden(ROW()-1)=TRUE),0,IF(MONTH(H353)&lt;&gt;MONTH(H352),M352+1,M352))</f>
        <v>15</v>
      </c>
      <c r="N353">
        <f>IF(AND(MyRowHidden(ROW())=FALSE,MyRowHidden(ROW()-1)=TRUE),0,IF(M353&lt;totalMonths,(totalMonths-M353)/totalMonths *(I353-I352)+N352,0))</f>
        <v>0</v>
      </c>
      <c r="P353">
        <f>IF(AND(MyRowHidden(ROW())=FALSE,MyRowHidden(ROW()-1)=TRUE),0,IF(M353&lt;totalMonths,(totalMonths-M353)/totalMonths *(J353-J352)+P352,0))</f>
        <v>0</v>
      </c>
      <c r="Q353">
        <f>IF(AND(MyRowHidden(ROW())=FALSE,MyRowHidden(ROW()-1)=TRUE),0,IF(M353&lt;totalMonths,(totalMonths-M353)/totalMonths *(K353-K352)+Q352,0))</f>
        <v>0</v>
      </c>
      <c r="R353">
        <f>IF(AND(MyRowHidden(ROW())=FALSE,MyRowHidden(ROW()-1)=TRUE),0,IF(M353&lt;totalMonths,(totalMonths-M353)/totalMonths *(L353-L352)+R352,0))</f>
        <v>0</v>
      </c>
    </row>
    <row r="354" spans="1:18" hidden="1" x14ac:dyDescent="0.25">
      <c r="A354" s="1"/>
      <c r="C354" s="1"/>
      <c r="D354" s="1">
        <v>41753</v>
      </c>
      <c r="E354" s="10">
        <v>1194</v>
      </c>
      <c r="F354" s="1">
        <v>41753</v>
      </c>
      <c r="G354">
        <v>-744.5</v>
      </c>
      <c r="H354" s="1">
        <f t="shared" si="35"/>
        <v>41753</v>
      </c>
      <c r="I354">
        <f>IF(AND(MyRowHidden(ROW())=FALSE,MyRowHidden(ROW()-1)=TRUE),0,(E354-E353)*unitsOfDHp+I353)</f>
        <v>41790</v>
      </c>
      <c r="J354">
        <f>IF(AND(MyRowHidden(ROW())=FALSE,MyRowHidden(ROW()-1)=TRUE),0,(G354-G353)*unitsOfExo+J353)</f>
        <v>-1550304</v>
      </c>
      <c r="K354" s="9">
        <f t="shared" si="36"/>
        <v>1550304</v>
      </c>
      <c r="L354">
        <f t="shared" si="37"/>
        <v>-1508514</v>
      </c>
      <c r="M354">
        <f>IF(AND(MyRowHidden(ROW())=FALSE,MyRowHidden(ROW()-1)=TRUE),0,IF(MONTH(H354)&lt;&gt;MONTH(H353),M353+1,M353))</f>
        <v>15</v>
      </c>
      <c r="N354">
        <f>IF(AND(MyRowHidden(ROW())=FALSE,MyRowHidden(ROW()-1)=TRUE),0,IF(M354&lt;totalMonths,(totalMonths-M354)/totalMonths *(I354-I353)+N353,0))</f>
        <v>0</v>
      </c>
      <c r="P354">
        <f>IF(AND(MyRowHidden(ROW())=FALSE,MyRowHidden(ROW()-1)=TRUE),0,IF(M354&lt;totalMonths,(totalMonths-M354)/totalMonths *(J354-J353)+P353,0))</f>
        <v>0</v>
      </c>
      <c r="Q354">
        <f>IF(AND(MyRowHidden(ROW())=FALSE,MyRowHidden(ROW()-1)=TRUE),0,IF(M354&lt;totalMonths,(totalMonths-M354)/totalMonths *(K354-K353)+Q353,0))</f>
        <v>0</v>
      </c>
      <c r="R354">
        <f>IF(AND(MyRowHidden(ROW())=FALSE,MyRowHidden(ROW()-1)=TRUE),0,IF(M354&lt;totalMonths,(totalMonths-M354)/totalMonths *(L354-L353)+R353,0))</f>
        <v>0</v>
      </c>
    </row>
    <row r="355" spans="1:18" hidden="1" x14ac:dyDescent="0.25">
      <c r="A355" s="1"/>
      <c r="C355" s="1"/>
      <c r="D355" s="1">
        <v>41754</v>
      </c>
      <c r="E355" s="10">
        <v>1282</v>
      </c>
      <c r="F355" s="1">
        <v>41754</v>
      </c>
      <c r="G355">
        <v>-444.5</v>
      </c>
      <c r="H355" s="1">
        <f t="shared" si="35"/>
        <v>41754</v>
      </c>
      <c r="I355">
        <f>IF(AND(MyRowHidden(ROW())=FALSE,MyRowHidden(ROW()-1)=TRUE),0,(E355-E354)*unitsOfDHp+I354)</f>
        <v>44870</v>
      </c>
      <c r="J355">
        <f>IF(AND(MyRowHidden(ROW())=FALSE,MyRowHidden(ROW()-1)=TRUE),0,(G355-G354)*unitsOfExo+J354)</f>
        <v>-1463904</v>
      </c>
      <c r="K355" s="9">
        <f t="shared" si="36"/>
        <v>1463904</v>
      </c>
      <c r="L355">
        <f t="shared" si="37"/>
        <v>-1419034</v>
      </c>
      <c r="M355">
        <f>IF(AND(MyRowHidden(ROW())=FALSE,MyRowHidden(ROW()-1)=TRUE),0,IF(MONTH(H355)&lt;&gt;MONTH(H354),M354+1,M354))</f>
        <v>15</v>
      </c>
      <c r="N355">
        <f>IF(AND(MyRowHidden(ROW())=FALSE,MyRowHidden(ROW()-1)=TRUE),0,IF(M355&lt;totalMonths,(totalMonths-M355)/totalMonths *(I355-I354)+N354,0))</f>
        <v>0</v>
      </c>
      <c r="P355">
        <f>IF(AND(MyRowHidden(ROW())=FALSE,MyRowHidden(ROW()-1)=TRUE),0,IF(M355&lt;totalMonths,(totalMonths-M355)/totalMonths *(J355-J354)+P354,0))</f>
        <v>0</v>
      </c>
      <c r="Q355">
        <f>IF(AND(MyRowHidden(ROW())=FALSE,MyRowHidden(ROW()-1)=TRUE),0,IF(M355&lt;totalMonths,(totalMonths-M355)/totalMonths *(K355-K354)+Q354,0))</f>
        <v>0</v>
      </c>
      <c r="R355">
        <f>IF(AND(MyRowHidden(ROW())=FALSE,MyRowHidden(ROW()-1)=TRUE),0,IF(M355&lt;totalMonths,(totalMonths-M355)/totalMonths *(L355-L354)+R354,0))</f>
        <v>0</v>
      </c>
    </row>
    <row r="356" spans="1:18" hidden="1" x14ac:dyDescent="0.25">
      <c r="A356" s="1"/>
      <c r="C356" s="1"/>
      <c r="D356" s="1">
        <v>41757</v>
      </c>
      <c r="E356" s="10">
        <v>1357</v>
      </c>
      <c r="F356" s="1">
        <v>41757</v>
      </c>
      <c r="G356">
        <v>-382</v>
      </c>
      <c r="H356" s="1">
        <f t="shared" si="35"/>
        <v>41757</v>
      </c>
      <c r="I356">
        <f>IF(AND(MyRowHidden(ROW())=FALSE,MyRowHidden(ROW()-1)=TRUE),0,(E356-E355)*unitsOfDHp+I355)</f>
        <v>47495</v>
      </c>
      <c r="J356">
        <f>IF(AND(MyRowHidden(ROW())=FALSE,MyRowHidden(ROW()-1)=TRUE),0,(G356-G355)*unitsOfExo+J355)</f>
        <v>-1445904</v>
      </c>
      <c r="K356" s="9">
        <f t="shared" si="36"/>
        <v>1445904</v>
      </c>
      <c r="L356">
        <f t="shared" si="37"/>
        <v>-1398409</v>
      </c>
      <c r="M356">
        <f>IF(AND(MyRowHidden(ROW())=FALSE,MyRowHidden(ROW()-1)=TRUE),0,IF(MONTH(H356)&lt;&gt;MONTH(H355),M355+1,M355))</f>
        <v>15</v>
      </c>
      <c r="N356">
        <f>IF(AND(MyRowHidden(ROW())=FALSE,MyRowHidden(ROW()-1)=TRUE),0,IF(M356&lt;totalMonths,(totalMonths-M356)/totalMonths *(I356-I355)+N355,0))</f>
        <v>0</v>
      </c>
      <c r="P356">
        <f>IF(AND(MyRowHidden(ROW())=FALSE,MyRowHidden(ROW()-1)=TRUE),0,IF(M356&lt;totalMonths,(totalMonths-M356)/totalMonths *(J356-J355)+P355,0))</f>
        <v>0</v>
      </c>
      <c r="Q356">
        <f>IF(AND(MyRowHidden(ROW())=FALSE,MyRowHidden(ROW()-1)=TRUE),0,IF(M356&lt;totalMonths,(totalMonths-M356)/totalMonths *(K356-K355)+Q355,0))</f>
        <v>0</v>
      </c>
      <c r="R356">
        <f>IF(AND(MyRowHidden(ROW())=FALSE,MyRowHidden(ROW()-1)=TRUE),0,IF(M356&lt;totalMonths,(totalMonths-M356)/totalMonths *(L356-L355)+R355,0))</f>
        <v>0</v>
      </c>
    </row>
    <row r="357" spans="1:18" hidden="1" x14ac:dyDescent="0.25">
      <c r="A357" s="1"/>
      <c r="C357" s="1"/>
      <c r="D357" s="1">
        <v>41758</v>
      </c>
      <c r="E357" s="10">
        <v>1482</v>
      </c>
      <c r="F357" s="1">
        <v>41758</v>
      </c>
      <c r="G357">
        <v>-82</v>
      </c>
      <c r="H357" s="1">
        <f t="shared" si="35"/>
        <v>41758</v>
      </c>
      <c r="I357">
        <f>IF(AND(MyRowHidden(ROW())=FALSE,MyRowHidden(ROW()-1)=TRUE),0,(E357-E356)*unitsOfDHp+I356)</f>
        <v>51870</v>
      </c>
      <c r="J357">
        <f>IF(AND(MyRowHidden(ROW())=FALSE,MyRowHidden(ROW()-1)=TRUE),0,(G357-G356)*unitsOfExo+J356)</f>
        <v>-1359504</v>
      </c>
      <c r="K357" s="9">
        <f t="shared" si="36"/>
        <v>1359504</v>
      </c>
      <c r="L357">
        <f t="shared" si="37"/>
        <v>-1307634</v>
      </c>
      <c r="M357">
        <f>IF(AND(MyRowHidden(ROW())=FALSE,MyRowHidden(ROW()-1)=TRUE),0,IF(MONTH(H357)&lt;&gt;MONTH(H356),M356+1,M356))</f>
        <v>15</v>
      </c>
      <c r="N357">
        <f>IF(AND(MyRowHidden(ROW())=FALSE,MyRowHidden(ROW()-1)=TRUE),0,IF(M357&lt;totalMonths,(totalMonths-M357)/totalMonths *(I357-I356)+N356,0))</f>
        <v>0</v>
      </c>
      <c r="P357">
        <f>IF(AND(MyRowHidden(ROW())=FALSE,MyRowHidden(ROW()-1)=TRUE),0,IF(M357&lt;totalMonths,(totalMonths-M357)/totalMonths *(J357-J356)+P356,0))</f>
        <v>0</v>
      </c>
      <c r="Q357">
        <f>IF(AND(MyRowHidden(ROW())=FALSE,MyRowHidden(ROW()-1)=TRUE),0,IF(M357&lt;totalMonths,(totalMonths-M357)/totalMonths *(K357-K356)+Q356,0))</f>
        <v>0</v>
      </c>
      <c r="R357">
        <f>IF(AND(MyRowHidden(ROW())=FALSE,MyRowHidden(ROW()-1)=TRUE),0,IF(M357&lt;totalMonths,(totalMonths-M357)/totalMonths *(L357-L356)+R356,0))</f>
        <v>0</v>
      </c>
    </row>
    <row r="358" spans="1:18" hidden="1" x14ac:dyDescent="0.25">
      <c r="A358" s="1"/>
      <c r="C358" s="1"/>
      <c r="D358" s="1">
        <v>41759</v>
      </c>
      <c r="E358" s="10">
        <v>1582</v>
      </c>
      <c r="F358" s="1">
        <v>41759</v>
      </c>
      <c r="G358">
        <v>-194.5</v>
      </c>
      <c r="H358" s="1">
        <f t="shared" si="35"/>
        <v>41759</v>
      </c>
      <c r="I358">
        <f>IF(AND(MyRowHidden(ROW())=FALSE,MyRowHidden(ROW()-1)=TRUE),0,(E358-E357)*unitsOfDHp+I357)</f>
        <v>55370</v>
      </c>
      <c r="J358">
        <f>IF(AND(MyRowHidden(ROW())=FALSE,MyRowHidden(ROW()-1)=TRUE),0,(G358-G357)*unitsOfExo+J357)</f>
        <v>-1391904</v>
      </c>
      <c r="K358" s="9">
        <f t="shared" si="36"/>
        <v>1391904</v>
      </c>
      <c r="L358">
        <f t="shared" si="37"/>
        <v>-1336534</v>
      </c>
      <c r="M358">
        <f>IF(AND(MyRowHidden(ROW())=FALSE,MyRowHidden(ROW()-1)=TRUE),0,IF(MONTH(H358)&lt;&gt;MONTH(H357),M357+1,M357))</f>
        <v>15</v>
      </c>
      <c r="N358">
        <f>IF(AND(MyRowHidden(ROW())=FALSE,MyRowHidden(ROW()-1)=TRUE),0,IF(M358&lt;totalMonths,(totalMonths-M358)/totalMonths *(I358-I357)+N357,0))</f>
        <v>0</v>
      </c>
      <c r="P358">
        <f>IF(AND(MyRowHidden(ROW())=FALSE,MyRowHidden(ROW()-1)=TRUE),0,IF(M358&lt;totalMonths,(totalMonths-M358)/totalMonths *(J358-J357)+P357,0))</f>
        <v>0</v>
      </c>
      <c r="Q358">
        <f>IF(AND(MyRowHidden(ROW())=FALSE,MyRowHidden(ROW()-1)=TRUE),0,IF(M358&lt;totalMonths,(totalMonths-M358)/totalMonths *(K358-K357)+Q357,0))</f>
        <v>0</v>
      </c>
      <c r="R358">
        <f>IF(AND(MyRowHidden(ROW())=FALSE,MyRowHidden(ROW()-1)=TRUE),0,IF(M358&lt;totalMonths,(totalMonths-M358)/totalMonths *(L358-L357)+R357,0))</f>
        <v>0</v>
      </c>
    </row>
    <row r="359" spans="1:18" hidden="1" x14ac:dyDescent="0.25">
      <c r="A359" s="1"/>
      <c r="C359" s="1"/>
      <c r="D359" s="1">
        <v>41760</v>
      </c>
      <c r="E359" s="10">
        <v>1333</v>
      </c>
      <c r="F359" s="1">
        <v>41760</v>
      </c>
      <c r="G359">
        <v>-744</v>
      </c>
      <c r="H359" s="1">
        <f t="shared" si="35"/>
        <v>41760</v>
      </c>
      <c r="I359">
        <f>IF(AND(MyRowHidden(ROW())=FALSE,MyRowHidden(ROW()-1)=TRUE),0,(E359-E358)*unitsOfDHp+I358)</f>
        <v>46655</v>
      </c>
      <c r="J359">
        <f>IF(AND(MyRowHidden(ROW())=FALSE,MyRowHidden(ROW()-1)=TRUE),0,(G359-G358)*unitsOfExo+J358)</f>
        <v>-1550160</v>
      </c>
      <c r="K359" s="9">
        <f t="shared" si="36"/>
        <v>1550160</v>
      </c>
      <c r="L359">
        <f t="shared" si="37"/>
        <v>-1503505</v>
      </c>
      <c r="M359">
        <f>IF(AND(MyRowHidden(ROW())=FALSE,MyRowHidden(ROW()-1)=TRUE),0,IF(MONTH(H359)&lt;&gt;MONTH(H358),M358+1,M358))</f>
        <v>16</v>
      </c>
      <c r="N359">
        <f>IF(AND(MyRowHidden(ROW())=FALSE,MyRowHidden(ROW()-1)=TRUE),0,IF(M359&lt;totalMonths,(totalMonths-M359)/totalMonths *(I359-I358)+N358,0))</f>
        <v>0</v>
      </c>
      <c r="P359">
        <f>IF(AND(MyRowHidden(ROW())=FALSE,MyRowHidden(ROW()-1)=TRUE),0,IF(M359&lt;totalMonths,(totalMonths-M359)/totalMonths *(J359-J358)+P358,0))</f>
        <v>0</v>
      </c>
      <c r="Q359">
        <f>IF(AND(MyRowHidden(ROW())=FALSE,MyRowHidden(ROW()-1)=TRUE),0,IF(M359&lt;totalMonths,(totalMonths-M359)/totalMonths *(K359-K358)+Q358,0))</f>
        <v>0</v>
      </c>
      <c r="R359">
        <f>IF(AND(MyRowHidden(ROW())=FALSE,MyRowHidden(ROW()-1)=TRUE),0,IF(M359&lt;totalMonths,(totalMonths-M359)/totalMonths *(L359-L358)+R358,0))</f>
        <v>0</v>
      </c>
    </row>
    <row r="360" spans="1:18" hidden="1" x14ac:dyDescent="0.25">
      <c r="A360" s="1"/>
      <c r="C360" s="1"/>
      <c r="D360" s="1">
        <v>41761</v>
      </c>
      <c r="E360" s="10">
        <v>1000</v>
      </c>
      <c r="F360" s="1">
        <v>41761</v>
      </c>
      <c r="G360">
        <v>-1206.5</v>
      </c>
      <c r="H360" s="1">
        <f t="shared" si="35"/>
        <v>41761</v>
      </c>
      <c r="I360">
        <f>IF(AND(MyRowHidden(ROW())=FALSE,MyRowHidden(ROW()-1)=TRUE),0,(E360-E359)*unitsOfDHp+I359)</f>
        <v>35000</v>
      </c>
      <c r="J360">
        <f>IF(AND(MyRowHidden(ROW())=FALSE,MyRowHidden(ROW()-1)=TRUE),0,(G360-G359)*unitsOfExo+J359)</f>
        <v>-1683360</v>
      </c>
      <c r="K360" s="9">
        <f t="shared" si="36"/>
        <v>1683360</v>
      </c>
      <c r="L360">
        <f t="shared" si="37"/>
        <v>-1648360</v>
      </c>
      <c r="M360">
        <f>IF(AND(MyRowHidden(ROW())=FALSE,MyRowHidden(ROW()-1)=TRUE),0,IF(MONTH(H360)&lt;&gt;MONTH(H359),M359+1,M359))</f>
        <v>16</v>
      </c>
      <c r="N360">
        <f>IF(AND(MyRowHidden(ROW())=FALSE,MyRowHidden(ROW()-1)=TRUE),0,IF(M360&lt;totalMonths,(totalMonths-M360)/totalMonths *(I360-I359)+N359,0))</f>
        <v>0</v>
      </c>
      <c r="P360">
        <f>IF(AND(MyRowHidden(ROW())=FALSE,MyRowHidden(ROW()-1)=TRUE),0,IF(M360&lt;totalMonths,(totalMonths-M360)/totalMonths *(J360-J359)+P359,0))</f>
        <v>0</v>
      </c>
      <c r="Q360">
        <f>IF(AND(MyRowHidden(ROW())=FALSE,MyRowHidden(ROW()-1)=TRUE),0,IF(M360&lt;totalMonths,(totalMonths-M360)/totalMonths *(K360-K359)+Q359,0))</f>
        <v>0</v>
      </c>
      <c r="R360">
        <f>IF(AND(MyRowHidden(ROW())=FALSE,MyRowHidden(ROW()-1)=TRUE),0,IF(M360&lt;totalMonths,(totalMonths-M360)/totalMonths *(L360-L359)+R359,0))</f>
        <v>0</v>
      </c>
    </row>
    <row r="361" spans="1:18" hidden="1" x14ac:dyDescent="0.25">
      <c r="A361" s="1"/>
      <c r="C361" s="1"/>
      <c r="D361" s="1">
        <v>41764</v>
      </c>
      <c r="E361" s="10">
        <v>756</v>
      </c>
      <c r="F361" s="1">
        <v>41764</v>
      </c>
      <c r="G361">
        <v>-669</v>
      </c>
      <c r="H361" s="1">
        <f t="shared" si="35"/>
        <v>41764</v>
      </c>
      <c r="I361">
        <f>IF(AND(MyRowHidden(ROW())=FALSE,MyRowHidden(ROW()-1)=TRUE),0,(E361-E360)*unitsOfDHp+I360)</f>
        <v>26460</v>
      </c>
      <c r="J361">
        <f>IF(AND(MyRowHidden(ROW())=FALSE,MyRowHidden(ROW()-1)=TRUE),0,(G361-G360)*unitsOfExo+J360)</f>
        <v>-1528560</v>
      </c>
      <c r="K361" s="9">
        <f t="shared" si="36"/>
        <v>1528560</v>
      </c>
      <c r="L361">
        <f t="shared" si="37"/>
        <v>-1502100</v>
      </c>
      <c r="M361">
        <f>IF(AND(MyRowHidden(ROW())=FALSE,MyRowHidden(ROW()-1)=TRUE),0,IF(MONTH(H361)&lt;&gt;MONTH(H360),M360+1,M360))</f>
        <v>16</v>
      </c>
      <c r="N361">
        <f>IF(AND(MyRowHidden(ROW())=FALSE,MyRowHidden(ROW()-1)=TRUE),0,IF(M361&lt;totalMonths,(totalMonths-M361)/totalMonths *(I361-I360)+N360,0))</f>
        <v>0</v>
      </c>
      <c r="P361">
        <f>IF(AND(MyRowHidden(ROW())=FALSE,MyRowHidden(ROW()-1)=TRUE),0,IF(M361&lt;totalMonths,(totalMonths-M361)/totalMonths *(J361-J360)+P360,0))</f>
        <v>0</v>
      </c>
      <c r="Q361">
        <f>IF(AND(MyRowHidden(ROW())=FALSE,MyRowHidden(ROW()-1)=TRUE),0,IF(M361&lt;totalMonths,(totalMonths-M361)/totalMonths *(K361-K360)+Q360,0))</f>
        <v>0</v>
      </c>
      <c r="R361">
        <f>IF(AND(MyRowHidden(ROW())=FALSE,MyRowHidden(ROW()-1)=TRUE),0,IF(M361&lt;totalMonths,(totalMonths-M361)/totalMonths *(L361-L360)+R360,0))</f>
        <v>0</v>
      </c>
    </row>
    <row r="362" spans="1:18" hidden="1" x14ac:dyDescent="0.25">
      <c r="A362" s="1"/>
      <c r="C362" s="1"/>
      <c r="D362" s="1">
        <v>41765</v>
      </c>
      <c r="E362" s="10">
        <v>481</v>
      </c>
      <c r="F362" s="1">
        <v>41765</v>
      </c>
      <c r="G362">
        <v>-231.5</v>
      </c>
      <c r="H362" s="1">
        <f t="shared" si="35"/>
        <v>41765</v>
      </c>
      <c r="I362">
        <f>IF(AND(MyRowHidden(ROW())=FALSE,MyRowHidden(ROW()-1)=TRUE),0,(E362-E361)*unitsOfDHp+I361)</f>
        <v>16835</v>
      </c>
      <c r="J362">
        <f>IF(AND(MyRowHidden(ROW())=FALSE,MyRowHidden(ROW()-1)=TRUE),0,(G362-G361)*unitsOfExo+J361)</f>
        <v>-1402560</v>
      </c>
      <c r="K362" s="9">
        <f t="shared" si="36"/>
        <v>1402560</v>
      </c>
      <c r="L362">
        <f t="shared" si="37"/>
        <v>-1385725</v>
      </c>
      <c r="M362">
        <f>IF(AND(MyRowHidden(ROW())=FALSE,MyRowHidden(ROW()-1)=TRUE),0,IF(MONTH(H362)&lt;&gt;MONTH(H361),M361+1,M361))</f>
        <v>16</v>
      </c>
      <c r="N362">
        <f>IF(AND(MyRowHidden(ROW())=FALSE,MyRowHidden(ROW()-1)=TRUE),0,IF(M362&lt;totalMonths,(totalMonths-M362)/totalMonths *(I362-I361)+N361,0))</f>
        <v>0</v>
      </c>
      <c r="P362">
        <f>IF(AND(MyRowHidden(ROW())=FALSE,MyRowHidden(ROW()-1)=TRUE),0,IF(M362&lt;totalMonths,(totalMonths-M362)/totalMonths *(J362-J361)+P361,0))</f>
        <v>0</v>
      </c>
      <c r="Q362">
        <f>IF(AND(MyRowHidden(ROW())=FALSE,MyRowHidden(ROW()-1)=TRUE),0,IF(M362&lt;totalMonths,(totalMonths-M362)/totalMonths *(K362-K361)+Q361,0))</f>
        <v>0</v>
      </c>
      <c r="R362">
        <f>IF(AND(MyRowHidden(ROW())=FALSE,MyRowHidden(ROW()-1)=TRUE),0,IF(M362&lt;totalMonths,(totalMonths-M362)/totalMonths *(L362-L361)+R361,0))</f>
        <v>0</v>
      </c>
    </row>
    <row r="363" spans="1:18" hidden="1" x14ac:dyDescent="0.25">
      <c r="A363" s="1"/>
      <c r="C363" s="1"/>
      <c r="D363" s="1">
        <v>41766</v>
      </c>
      <c r="E363" s="10">
        <v>694</v>
      </c>
      <c r="F363" s="1">
        <v>41766</v>
      </c>
      <c r="G363">
        <v>-569</v>
      </c>
      <c r="H363" s="1">
        <f t="shared" si="35"/>
        <v>41766</v>
      </c>
      <c r="I363">
        <f>IF(AND(MyRowHidden(ROW())=FALSE,MyRowHidden(ROW()-1)=TRUE),0,(E363-E362)*unitsOfDHp+I362)</f>
        <v>24290</v>
      </c>
      <c r="J363">
        <f>IF(AND(MyRowHidden(ROW())=FALSE,MyRowHidden(ROW()-1)=TRUE),0,(G363-G362)*unitsOfExo+J362)</f>
        <v>-1499760</v>
      </c>
      <c r="K363" s="9">
        <f t="shared" si="36"/>
        <v>1499760</v>
      </c>
      <c r="L363">
        <f t="shared" si="37"/>
        <v>-1475470</v>
      </c>
      <c r="M363">
        <f>IF(AND(MyRowHidden(ROW())=FALSE,MyRowHidden(ROW()-1)=TRUE),0,IF(MONTH(H363)&lt;&gt;MONTH(H362),M362+1,M362))</f>
        <v>16</v>
      </c>
      <c r="N363">
        <f>IF(AND(MyRowHidden(ROW())=FALSE,MyRowHidden(ROW()-1)=TRUE),0,IF(M363&lt;totalMonths,(totalMonths-M363)/totalMonths *(I363-I362)+N362,0))</f>
        <v>0</v>
      </c>
      <c r="P363">
        <f>IF(AND(MyRowHidden(ROW())=FALSE,MyRowHidden(ROW()-1)=TRUE),0,IF(M363&lt;totalMonths,(totalMonths-M363)/totalMonths *(J363-J362)+P362,0))</f>
        <v>0</v>
      </c>
      <c r="Q363">
        <f>IF(AND(MyRowHidden(ROW())=FALSE,MyRowHidden(ROW()-1)=TRUE),0,IF(M363&lt;totalMonths,(totalMonths-M363)/totalMonths *(K363-K362)+Q362,0))</f>
        <v>0</v>
      </c>
      <c r="R363">
        <f>IF(AND(MyRowHidden(ROW())=FALSE,MyRowHidden(ROW()-1)=TRUE),0,IF(M363&lt;totalMonths,(totalMonths-M363)/totalMonths *(L363-L362)+R362,0))</f>
        <v>0</v>
      </c>
    </row>
    <row r="364" spans="1:18" hidden="1" x14ac:dyDescent="0.25">
      <c r="A364" s="1"/>
      <c r="C364" s="1"/>
      <c r="D364" s="1">
        <v>41767</v>
      </c>
      <c r="E364" s="10">
        <v>694</v>
      </c>
      <c r="F364" s="1">
        <v>41767</v>
      </c>
      <c r="G364">
        <v>-306.5</v>
      </c>
      <c r="H364" s="1">
        <f t="shared" si="35"/>
        <v>41767</v>
      </c>
      <c r="I364">
        <f>IF(AND(MyRowHidden(ROW())=FALSE,MyRowHidden(ROW()-1)=TRUE),0,(E364-E363)*unitsOfDHp+I363)</f>
        <v>24290</v>
      </c>
      <c r="J364">
        <f>IF(AND(MyRowHidden(ROW())=FALSE,MyRowHidden(ROW()-1)=TRUE),0,(G364-G363)*unitsOfExo+J363)</f>
        <v>-1424160</v>
      </c>
      <c r="K364" s="9">
        <f t="shared" si="36"/>
        <v>1424160</v>
      </c>
      <c r="L364">
        <f t="shared" si="37"/>
        <v>-1399870</v>
      </c>
      <c r="M364">
        <f>IF(AND(MyRowHidden(ROW())=FALSE,MyRowHidden(ROW()-1)=TRUE),0,IF(MONTH(H364)&lt;&gt;MONTH(H363),M363+1,M363))</f>
        <v>16</v>
      </c>
      <c r="N364">
        <f>IF(AND(MyRowHidden(ROW())=FALSE,MyRowHidden(ROW()-1)=TRUE),0,IF(M364&lt;totalMonths,(totalMonths-M364)/totalMonths *(I364-I363)+N363,0))</f>
        <v>0</v>
      </c>
      <c r="P364">
        <f>IF(AND(MyRowHidden(ROW())=FALSE,MyRowHidden(ROW()-1)=TRUE),0,IF(M364&lt;totalMonths,(totalMonths-M364)/totalMonths *(J364-J363)+P363,0))</f>
        <v>0</v>
      </c>
      <c r="Q364">
        <f>IF(AND(MyRowHidden(ROW())=FALSE,MyRowHidden(ROW()-1)=TRUE),0,IF(M364&lt;totalMonths,(totalMonths-M364)/totalMonths *(K364-K363)+Q363,0))</f>
        <v>0</v>
      </c>
      <c r="R364">
        <f>IF(AND(MyRowHidden(ROW())=FALSE,MyRowHidden(ROW()-1)=TRUE),0,IF(M364&lt;totalMonths,(totalMonths-M364)/totalMonths *(L364-L363)+R363,0))</f>
        <v>0</v>
      </c>
    </row>
    <row r="365" spans="1:18" hidden="1" x14ac:dyDescent="0.25">
      <c r="A365" s="1"/>
      <c r="C365" s="1"/>
      <c r="D365" s="1">
        <v>41768</v>
      </c>
      <c r="E365" s="10">
        <v>694</v>
      </c>
      <c r="F365" s="1">
        <v>41768</v>
      </c>
      <c r="G365">
        <v>-594</v>
      </c>
      <c r="H365" s="1">
        <f t="shared" si="35"/>
        <v>41768</v>
      </c>
      <c r="I365">
        <f>IF(AND(MyRowHidden(ROW())=FALSE,MyRowHidden(ROW()-1)=TRUE),0,(E365-E364)*unitsOfDHp+I364)</f>
        <v>24290</v>
      </c>
      <c r="J365">
        <f>IF(AND(MyRowHidden(ROW())=FALSE,MyRowHidden(ROW()-1)=TRUE),0,(G365-G364)*unitsOfExo+J364)</f>
        <v>-1506960</v>
      </c>
      <c r="K365" s="9">
        <f t="shared" si="36"/>
        <v>1506960</v>
      </c>
      <c r="L365">
        <f t="shared" si="37"/>
        <v>-1482670</v>
      </c>
      <c r="M365">
        <f>IF(AND(MyRowHidden(ROW())=FALSE,MyRowHidden(ROW()-1)=TRUE),0,IF(MONTH(H365)&lt;&gt;MONTH(H364),M364+1,M364))</f>
        <v>16</v>
      </c>
      <c r="N365">
        <f>IF(AND(MyRowHidden(ROW())=FALSE,MyRowHidden(ROW()-1)=TRUE),0,IF(M365&lt;totalMonths,(totalMonths-M365)/totalMonths *(I365-I364)+N364,0))</f>
        <v>0</v>
      </c>
      <c r="P365">
        <f>IF(AND(MyRowHidden(ROW())=FALSE,MyRowHidden(ROW()-1)=TRUE),0,IF(M365&lt;totalMonths,(totalMonths-M365)/totalMonths *(J365-J364)+P364,0))</f>
        <v>0</v>
      </c>
      <c r="Q365">
        <f>IF(AND(MyRowHidden(ROW())=FALSE,MyRowHidden(ROW()-1)=TRUE),0,IF(M365&lt;totalMonths,(totalMonths-M365)/totalMonths *(K365-K364)+Q364,0))</f>
        <v>0</v>
      </c>
      <c r="R365">
        <f>IF(AND(MyRowHidden(ROW())=FALSE,MyRowHidden(ROW()-1)=TRUE),0,IF(M365&lt;totalMonths,(totalMonths-M365)/totalMonths *(L365-L364)+R364,0))</f>
        <v>0</v>
      </c>
    </row>
    <row r="366" spans="1:18" hidden="1" x14ac:dyDescent="0.25">
      <c r="A366" s="1"/>
      <c r="C366" s="1"/>
      <c r="D366" s="1">
        <v>41771</v>
      </c>
      <c r="E366" s="10">
        <v>694</v>
      </c>
      <c r="F366" s="1">
        <v>41771</v>
      </c>
      <c r="G366">
        <v>-1144</v>
      </c>
      <c r="H366" s="1">
        <f t="shared" si="35"/>
        <v>41771</v>
      </c>
      <c r="I366">
        <f>IF(AND(MyRowHidden(ROW())=FALSE,MyRowHidden(ROW()-1)=TRUE),0,(E366-E365)*unitsOfDHp+I365)</f>
        <v>24290</v>
      </c>
      <c r="J366">
        <f>IF(AND(MyRowHidden(ROW())=FALSE,MyRowHidden(ROW()-1)=TRUE),0,(G366-G365)*unitsOfExo+J365)</f>
        <v>-1665360</v>
      </c>
      <c r="K366" s="9">
        <f t="shared" si="36"/>
        <v>1665360</v>
      </c>
      <c r="L366">
        <f t="shared" si="37"/>
        <v>-1641070</v>
      </c>
      <c r="M366">
        <f>IF(AND(MyRowHidden(ROW())=FALSE,MyRowHidden(ROW()-1)=TRUE),0,IF(MONTH(H366)&lt;&gt;MONTH(H365),M365+1,M365))</f>
        <v>16</v>
      </c>
      <c r="N366">
        <f>IF(AND(MyRowHidden(ROW())=FALSE,MyRowHidden(ROW()-1)=TRUE),0,IF(M366&lt;totalMonths,(totalMonths-M366)/totalMonths *(I366-I365)+N365,0))</f>
        <v>0</v>
      </c>
      <c r="P366">
        <f>IF(AND(MyRowHidden(ROW())=FALSE,MyRowHidden(ROW()-1)=TRUE),0,IF(M366&lt;totalMonths,(totalMonths-M366)/totalMonths *(J366-J365)+P365,0))</f>
        <v>0</v>
      </c>
      <c r="Q366">
        <f>IF(AND(MyRowHidden(ROW())=FALSE,MyRowHidden(ROW()-1)=TRUE),0,IF(M366&lt;totalMonths,(totalMonths-M366)/totalMonths *(K366-K365)+Q365,0))</f>
        <v>0</v>
      </c>
      <c r="R366">
        <f>IF(AND(MyRowHidden(ROW())=FALSE,MyRowHidden(ROW()-1)=TRUE),0,IF(M366&lt;totalMonths,(totalMonths-M366)/totalMonths *(L366-L365)+R365,0))</f>
        <v>0</v>
      </c>
    </row>
    <row r="367" spans="1:18" hidden="1" x14ac:dyDescent="0.25">
      <c r="A367" s="1"/>
      <c r="C367" s="1"/>
      <c r="D367" s="1">
        <v>41772</v>
      </c>
      <c r="E367" s="10">
        <v>694</v>
      </c>
      <c r="F367" s="1">
        <v>41772</v>
      </c>
      <c r="G367">
        <v>-1044</v>
      </c>
      <c r="H367" s="1">
        <f t="shared" si="35"/>
        <v>41772</v>
      </c>
      <c r="I367">
        <f>IF(AND(MyRowHidden(ROW())=FALSE,MyRowHidden(ROW()-1)=TRUE),0,(E367-E366)*unitsOfDHp+I366)</f>
        <v>24290</v>
      </c>
      <c r="J367">
        <f>IF(AND(MyRowHidden(ROW())=FALSE,MyRowHidden(ROW()-1)=TRUE),0,(G367-G366)*unitsOfExo+J366)</f>
        <v>-1636560</v>
      </c>
      <c r="K367" s="9">
        <f t="shared" si="36"/>
        <v>1636560</v>
      </c>
      <c r="L367">
        <f t="shared" si="37"/>
        <v>-1612270</v>
      </c>
      <c r="M367">
        <f>IF(AND(MyRowHidden(ROW())=FALSE,MyRowHidden(ROW()-1)=TRUE),0,IF(MONTH(H367)&lt;&gt;MONTH(H366),M366+1,M366))</f>
        <v>16</v>
      </c>
      <c r="N367">
        <f>IF(AND(MyRowHidden(ROW())=FALSE,MyRowHidden(ROW()-1)=TRUE),0,IF(M367&lt;totalMonths,(totalMonths-M367)/totalMonths *(I367-I366)+N366,0))</f>
        <v>0</v>
      </c>
      <c r="P367">
        <f>IF(AND(MyRowHidden(ROW())=FALSE,MyRowHidden(ROW()-1)=TRUE),0,IF(M367&lt;totalMonths,(totalMonths-M367)/totalMonths *(J367-J366)+P366,0))</f>
        <v>0</v>
      </c>
      <c r="Q367">
        <f>IF(AND(MyRowHidden(ROW())=FALSE,MyRowHidden(ROW()-1)=TRUE),0,IF(M367&lt;totalMonths,(totalMonths-M367)/totalMonths *(K367-K366)+Q366,0))</f>
        <v>0</v>
      </c>
      <c r="R367">
        <f>IF(AND(MyRowHidden(ROW())=FALSE,MyRowHidden(ROW()-1)=TRUE),0,IF(M367&lt;totalMonths,(totalMonths-M367)/totalMonths *(L367-L366)+R366,0))</f>
        <v>0</v>
      </c>
    </row>
    <row r="368" spans="1:18" hidden="1" x14ac:dyDescent="0.25">
      <c r="A368" s="1"/>
      <c r="C368" s="1"/>
      <c r="D368" s="1">
        <v>41773</v>
      </c>
      <c r="E368" s="10">
        <v>1382</v>
      </c>
      <c r="F368" s="1">
        <v>41773</v>
      </c>
      <c r="G368">
        <v>-1306.5</v>
      </c>
      <c r="H368" s="1">
        <f t="shared" si="35"/>
        <v>41773</v>
      </c>
      <c r="I368">
        <f>IF(AND(MyRowHidden(ROW())=FALSE,MyRowHidden(ROW()-1)=TRUE),0,(E368-E367)*unitsOfDHp+I367)</f>
        <v>48370</v>
      </c>
      <c r="J368">
        <f>IF(AND(MyRowHidden(ROW())=FALSE,MyRowHidden(ROW()-1)=TRUE),0,(G368-G367)*unitsOfExo+J367)</f>
        <v>-1712160</v>
      </c>
      <c r="K368" s="9">
        <f t="shared" si="36"/>
        <v>1712160</v>
      </c>
      <c r="L368">
        <f t="shared" si="37"/>
        <v>-1663790</v>
      </c>
      <c r="M368">
        <f>IF(AND(MyRowHidden(ROW())=FALSE,MyRowHidden(ROW()-1)=TRUE),0,IF(MONTH(H368)&lt;&gt;MONTH(H367),M367+1,M367))</f>
        <v>16</v>
      </c>
      <c r="N368">
        <f>IF(AND(MyRowHidden(ROW())=FALSE,MyRowHidden(ROW()-1)=TRUE),0,IF(M368&lt;totalMonths,(totalMonths-M368)/totalMonths *(I368-I367)+N367,0))</f>
        <v>0</v>
      </c>
      <c r="P368">
        <f>IF(AND(MyRowHidden(ROW())=FALSE,MyRowHidden(ROW()-1)=TRUE),0,IF(M368&lt;totalMonths,(totalMonths-M368)/totalMonths *(J368-J367)+P367,0))</f>
        <v>0</v>
      </c>
      <c r="Q368">
        <f>IF(AND(MyRowHidden(ROW())=FALSE,MyRowHidden(ROW()-1)=TRUE),0,IF(M368&lt;totalMonths,(totalMonths-M368)/totalMonths *(K368-K367)+Q367,0))</f>
        <v>0</v>
      </c>
      <c r="R368">
        <f>IF(AND(MyRowHidden(ROW())=FALSE,MyRowHidden(ROW()-1)=TRUE),0,IF(M368&lt;totalMonths,(totalMonths-M368)/totalMonths *(L368-L367)+R367,0))</f>
        <v>0</v>
      </c>
    </row>
    <row r="369" spans="1:18" hidden="1" x14ac:dyDescent="0.25">
      <c r="A369" s="1"/>
      <c r="C369" s="1"/>
      <c r="D369" s="1">
        <v>41774</v>
      </c>
      <c r="E369" s="10">
        <v>2996</v>
      </c>
      <c r="F369" s="1">
        <v>41774</v>
      </c>
      <c r="G369">
        <v>-1906.5</v>
      </c>
      <c r="H369" s="1">
        <f t="shared" si="35"/>
        <v>41774</v>
      </c>
      <c r="I369">
        <f>IF(AND(MyRowHidden(ROW())=FALSE,MyRowHidden(ROW()-1)=TRUE),0,(E369-E368)*unitsOfDHp+I368)</f>
        <v>104860</v>
      </c>
      <c r="J369">
        <f>IF(AND(MyRowHidden(ROW())=FALSE,MyRowHidden(ROW()-1)=TRUE),0,(G369-G368)*unitsOfExo+J368)</f>
        <v>-1884960</v>
      </c>
      <c r="K369" s="9">
        <f t="shared" si="36"/>
        <v>1884960</v>
      </c>
      <c r="L369">
        <f t="shared" si="37"/>
        <v>-1780100</v>
      </c>
      <c r="M369">
        <f>IF(AND(MyRowHidden(ROW())=FALSE,MyRowHidden(ROW()-1)=TRUE),0,IF(MONTH(H369)&lt;&gt;MONTH(H368),M368+1,M368))</f>
        <v>16</v>
      </c>
      <c r="N369">
        <f>IF(AND(MyRowHidden(ROW())=FALSE,MyRowHidden(ROW()-1)=TRUE),0,IF(M369&lt;totalMonths,(totalMonths-M369)/totalMonths *(I369-I368)+N368,0))</f>
        <v>0</v>
      </c>
      <c r="P369">
        <f>IF(AND(MyRowHidden(ROW())=FALSE,MyRowHidden(ROW()-1)=TRUE),0,IF(M369&lt;totalMonths,(totalMonths-M369)/totalMonths *(J369-J368)+P368,0))</f>
        <v>0</v>
      </c>
      <c r="Q369">
        <f>IF(AND(MyRowHidden(ROW())=FALSE,MyRowHidden(ROW()-1)=TRUE),0,IF(M369&lt;totalMonths,(totalMonths-M369)/totalMonths *(K369-K368)+Q368,0))</f>
        <v>0</v>
      </c>
      <c r="R369">
        <f>IF(AND(MyRowHidden(ROW())=FALSE,MyRowHidden(ROW()-1)=TRUE),0,IF(M369&lt;totalMonths,(totalMonths-M369)/totalMonths *(L369-L368)+R368,0))</f>
        <v>0</v>
      </c>
    </row>
    <row r="370" spans="1:18" hidden="1" x14ac:dyDescent="0.25">
      <c r="A370" s="1"/>
      <c r="C370" s="1"/>
      <c r="D370" s="1">
        <v>41775</v>
      </c>
      <c r="E370" s="10">
        <v>2946</v>
      </c>
      <c r="F370" s="1">
        <v>41775</v>
      </c>
      <c r="G370">
        <v>-2006.5</v>
      </c>
      <c r="H370" s="1">
        <f t="shared" si="35"/>
        <v>41775</v>
      </c>
      <c r="I370">
        <f>IF(AND(MyRowHidden(ROW())=FALSE,MyRowHidden(ROW()-1)=TRUE),0,(E370-E369)*unitsOfDHp+I369)</f>
        <v>103110</v>
      </c>
      <c r="J370">
        <f>IF(AND(MyRowHidden(ROW())=FALSE,MyRowHidden(ROW()-1)=TRUE),0,(G370-G369)*unitsOfExo+J369)</f>
        <v>-1913760</v>
      </c>
      <c r="K370" s="9">
        <f t="shared" si="36"/>
        <v>1913760</v>
      </c>
      <c r="L370">
        <f t="shared" si="37"/>
        <v>-1810650</v>
      </c>
      <c r="M370">
        <f>IF(AND(MyRowHidden(ROW())=FALSE,MyRowHidden(ROW()-1)=TRUE),0,IF(MONTH(H370)&lt;&gt;MONTH(H369),M369+1,M369))</f>
        <v>16</v>
      </c>
      <c r="N370">
        <f>IF(AND(MyRowHidden(ROW())=FALSE,MyRowHidden(ROW()-1)=TRUE),0,IF(M370&lt;totalMonths,(totalMonths-M370)/totalMonths *(I370-I369)+N369,0))</f>
        <v>0</v>
      </c>
      <c r="P370">
        <f>IF(AND(MyRowHidden(ROW())=FALSE,MyRowHidden(ROW()-1)=TRUE),0,IF(M370&lt;totalMonths,(totalMonths-M370)/totalMonths *(J370-J369)+P369,0))</f>
        <v>0</v>
      </c>
      <c r="Q370">
        <f>IF(AND(MyRowHidden(ROW())=FALSE,MyRowHidden(ROW()-1)=TRUE),0,IF(M370&lt;totalMonths,(totalMonths-M370)/totalMonths *(K370-K369)+Q369,0))</f>
        <v>0</v>
      </c>
      <c r="R370">
        <f>IF(AND(MyRowHidden(ROW())=FALSE,MyRowHidden(ROW()-1)=TRUE),0,IF(M370&lt;totalMonths,(totalMonths-M370)/totalMonths *(L370-L369)+R369,0))</f>
        <v>0</v>
      </c>
    </row>
    <row r="371" spans="1:18" hidden="1" x14ac:dyDescent="0.25">
      <c r="A371" s="1"/>
      <c r="C371" s="1"/>
      <c r="D371" s="1">
        <v>41778</v>
      </c>
      <c r="E371" s="10">
        <v>3436</v>
      </c>
      <c r="F371" s="1">
        <v>41778</v>
      </c>
      <c r="G371">
        <v>-2256.5</v>
      </c>
      <c r="H371" s="1">
        <f t="shared" si="35"/>
        <v>41778</v>
      </c>
      <c r="I371">
        <f>IF(AND(MyRowHidden(ROW())=FALSE,MyRowHidden(ROW()-1)=TRUE),0,(E371-E370)*unitsOfDHp+I370)</f>
        <v>120260</v>
      </c>
      <c r="J371">
        <f>IF(AND(MyRowHidden(ROW())=FALSE,MyRowHidden(ROW()-1)=TRUE),0,(G371-G370)*unitsOfExo+J370)</f>
        <v>-1985760</v>
      </c>
      <c r="K371" s="9">
        <f t="shared" si="36"/>
        <v>1985760</v>
      </c>
      <c r="L371">
        <f t="shared" si="37"/>
        <v>-1865500</v>
      </c>
      <c r="M371">
        <f>IF(AND(MyRowHidden(ROW())=FALSE,MyRowHidden(ROW()-1)=TRUE),0,IF(MONTH(H371)&lt;&gt;MONTH(H370),M370+1,M370))</f>
        <v>16</v>
      </c>
      <c r="N371">
        <f>IF(AND(MyRowHidden(ROW())=FALSE,MyRowHidden(ROW()-1)=TRUE),0,IF(M371&lt;totalMonths,(totalMonths-M371)/totalMonths *(I371-I370)+N370,0))</f>
        <v>0</v>
      </c>
      <c r="P371">
        <f>IF(AND(MyRowHidden(ROW())=FALSE,MyRowHidden(ROW()-1)=TRUE),0,IF(M371&lt;totalMonths,(totalMonths-M371)/totalMonths *(J371-J370)+P370,0))</f>
        <v>0</v>
      </c>
      <c r="Q371">
        <f>IF(AND(MyRowHidden(ROW())=FALSE,MyRowHidden(ROW()-1)=TRUE),0,IF(M371&lt;totalMonths,(totalMonths-M371)/totalMonths *(K371-K370)+Q370,0))</f>
        <v>0</v>
      </c>
      <c r="R371">
        <f>IF(AND(MyRowHidden(ROW())=FALSE,MyRowHidden(ROW()-1)=TRUE),0,IF(M371&lt;totalMonths,(totalMonths-M371)/totalMonths *(L371-L370)+R370,0))</f>
        <v>0</v>
      </c>
    </row>
    <row r="372" spans="1:18" hidden="1" x14ac:dyDescent="0.25">
      <c r="A372" s="1"/>
      <c r="C372" s="1"/>
      <c r="D372" s="1">
        <v>41779</v>
      </c>
      <c r="E372" s="10">
        <v>3655</v>
      </c>
      <c r="F372" s="1">
        <v>41779</v>
      </c>
      <c r="G372">
        <v>-2406.5</v>
      </c>
      <c r="H372" s="1">
        <f t="shared" si="35"/>
        <v>41779</v>
      </c>
      <c r="I372">
        <f>IF(AND(MyRowHidden(ROW())=FALSE,MyRowHidden(ROW()-1)=TRUE),0,(E372-E371)*unitsOfDHp+I371)</f>
        <v>127925</v>
      </c>
      <c r="J372">
        <f>IF(AND(MyRowHidden(ROW())=FALSE,MyRowHidden(ROW()-1)=TRUE),0,(G372-G371)*unitsOfExo+J371)</f>
        <v>-2028960</v>
      </c>
      <c r="K372" s="9">
        <f t="shared" si="36"/>
        <v>2028960</v>
      </c>
      <c r="L372">
        <f t="shared" si="37"/>
        <v>-1901035</v>
      </c>
      <c r="M372">
        <f>IF(AND(MyRowHidden(ROW())=FALSE,MyRowHidden(ROW()-1)=TRUE),0,IF(MONTH(H372)&lt;&gt;MONTH(H371),M371+1,M371))</f>
        <v>16</v>
      </c>
      <c r="N372">
        <f>IF(AND(MyRowHidden(ROW())=FALSE,MyRowHidden(ROW()-1)=TRUE),0,IF(M372&lt;totalMonths,(totalMonths-M372)/totalMonths *(I372-I371)+N371,0))</f>
        <v>0</v>
      </c>
      <c r="P372">
        <f>IF(AND(MyRowHidden(ROW())=FALSE,MyRowHidden(ROW()-1)=TRUE),0,IF(M372&lt;totalMonths,(totalMonths-M372)/totalMonths *(J372-J371)+P371,0))</f>
        <v>0</v>
      </c>
      <c r="Q372">
        <f>IF(AND(MyRowHidden(ROW())=FALSE,MyRowHidden(ROW()-1)=TRUE),0,IF(M372&lt;totalMonths,(totalMonths-M372)/totalMonths *(K372-K371)+Q371,0))</f>
        <v>0</v>
      </c>
      <c r="R372">
        <f>IF(AND(MyRowHidden(ROW())=FALSE,MyRowHidden(ROW()-1)=TRUE),0,IF(M372&lt;totalMonths,(totalMonths-M372)/totalMonths *(L372-L371)+R371,0))</f>
        <v>0</v>
      </c>
    </row>
    <row r="373" spans="1:18" hidden="1" x14ac:dyDescent="0.25">
      <c r="A373" s="1"/>
      <c r="C373" s="1"/>
      <c r="D373" s="1">
        <v>41780</v>
      </c>
      <c r="E373" s="10">
        <v>3544</v>
      </c>
      <c r="F373" s="1">
        <v>41780</v>
      </c>
      <c r="G373">
        <v>-2394</v>
      </c>
      <c r="H373" s="1">
        <f t="shared" si="35"/>
        <v>41780</v>
      </c>
      <c r="I373">
        <f>IF(AND(MyRowHidden(ROW())=FALSE,MyRowHidden(ROW()-1)=TRUE),0,(E373-E372)*unitsOfDHp+I372)</f>
        <v>124040</v>
      </c>
      <c r="J373">
        <f>IF(AND(MyRowHidden(ROW())=FALSE,MyRowHidden(ROW()-1)=TRUE),0,(G373-G372)*unitsOfExo+J372)</f>
        <v>-2025360</v>
      </c>
      <c r="K373" s="9">
        <f t="shared" si="36"/>
        <v>2025360</v>
      </c>
      <c r="L373">
        <f t="shared" si="37"/>
        <v>-1901320</v>
      </c>
      <c r="M373">
        <f>IF(AND(MyRowHidden(ROW())=FALSE,MyRowHidden(ROW()-1)=TRUE),0,IF(MONTH(H373)&lt;&gt;MONTH(H372),M372+1,M372))</f>
        <v>16</v>
      </c>
      <c r="N373">
        <f>IF(AND(MyRowHidden(ROW())=FALSE,MyRowHidden(ROW()-1)=TRUE),0,IF(M373&lt;totalMonths,(totalMonths-M373)/totalMonths *(I373-I372)+N372,0))</f>
        <v>0</v>
      </c>
      <c r="P373">
        <f>IF(AND(MyRowHidden(ROW())=FALSE,MyRowHidden(ROW()-1)=TRUE),0,IF(M373&lt;totalMonths,(totalMonths-M373)/totalMonths *(J373-J372)+P372,0))</f>
        <v>0</v>
      </c>
      <c r="Q373">
        <f>IF(AND(MyRowHidden(ROW())=FALSE,MyRowHidden(ROW()-1)=TRUE),0,IF(M373&lt;totalMonths,(totalMonths-M373)/totalMonths *(K373-K372)+Q372,0))</f>
        <v>0</v>
      </c>
      <c r="R373">
        <f>IF(AND(MyRowHidden(ROW())=FALSE,MyRowHidden(ROW()-1)=TRUE),0,IF(M373&lt;totalMonths,(totalMonths-M373)/totalMonths *(L373-L372)+R372,0))</f>
        <v>0</v>
      </c>
    </row>
    <row r="374" spans="1:18" hidden="1" x14ac:dyDescent="0.25">
      <c r="A374" s="1"/>
      <c r="C374" s="1"/>
      <c r="D374" s="1">
        <v>41781</v>
      </c>
      <c r="E374" s="10">
        <v>3332</v>
      </c>
      <c r="F374" s="1">
        <v>41781</v>
      </c>
      <c r="G374">
        <v>-2331.5</v>
      </c>
      <c r="H374" s="1">
        <f t="shared" si="35"/>
        <v>41781</v>
      </c>
      <c r="I374">
        <f>IF(AND(MyRowHidden(ROW())=FALSE,MyRowHidden(ROW()-1)=TRUE),0,(E374-E373)*unitsOfDHp+I373)</f>
        <v>116620</v>
      </c>
      <c r="J374">
        <f>IF(AND(MyRowHidden(ROW())=FALSE,MyRowHidden(ROW()-1)=TRUE),0,(G374-G373)*unitsOfExo+J373)</f>
        <v>-2007360</v>
      </c>
      <c r="K374" s="9">
        <f t="shared" si="36"/>
        <v>2007360</v>
      </c>
      <c r="L374">
        <f t="shared" si="37"/>
        <v>-1890740</v>
      </c>
      <c r="M374">
        <f>IF(AND(MyRowHidden(ROW())=FALSE,MyRowHidden(ROW()-1)=TRUE),0,IF(MONTH(H374)&lt;&gt;MONTH(H373),M373+1,M373))</f>
        <v>16</v>
      </c>
      <c r="N374">
        <f>IF(AND(MyRowHidden(ROW())=FALSE,MyRowHidden(ROW()-1)=TRUE),0,IF(M374&lt;totalMonths,(totalMonths-M374)/totalMonths *(I374-I373)+N373,0))</f>
        <v>0</v>
      </c>
      <c r="P374">
        <f>IF(AND(MyRowHidden(ROW())=FALSE,MyRowHidden(ROW()-1)=TRUE),0,IF(M374&lt;totalMonths,(totalMonths-M374)/totalMonths *(J374-J373)+P373,0))</f>
        <v>0</v>
      </c>
      <c r="Q374">
        <f>IF(AND(MyRowHidden(ROW())=FALSE,MyRowHidden(ROW()-1)=TRUE),0,IF(M374&lt;totalMonths,(totalMonths-M374)/totalMonths *(K374-K373)+Q373,0))</f>
        <v>0</v>
      </c>
      <c r="R374">
        <f>IF(AND(MyRowHidden(ROW())=FALSE,MyRowHidden(ROW()-1)=TRUE),0,IF(M374&lt;totalMonths,(totalMonths-M374)/totalMonths *(L374-L373)+R373,0))</f>
        <v>0</v>
      </c>
    </row>
    <row r="375" spans="1:18" hidden="1" x14ac:dyDescent="0.25">
      <c r="A375" s="1"/>
      <c r="C375" s="1"/>
      <c r="D375" s="1">
        <v>41782</v>
      </c>
      <c r="E375" s="10">
        <v>3457</v>
      </c>
      <c r="F375" s="1">
        <v>41782</v>
      </c>
      <c r="G375">
        <v>-2244</v>
      </c>
      <c r="H375" s="1">
        <f t="shared" si="35"/>
        <v>41782</v>
      </c>
      <c r="I375">
        <f>IF(AND(MyRowHidden(ROW())=FALSE,MyRowHidden(ROW()-1)=TRUE),0,(E375-E374)*unitsOfDHp+I374)</f>
        <v>120995</v>
      </c>
      <c r="J375">
        <f>IF(AND(MyRowHidden(ROW())=FALSE,MyRowHidden(ROW()-1)=TRUE),0,(G375-G374)*unitsOfExo+J374)</f>
        <v>-1982160</v>
      </c>
      <c r="K375" s="9">
        <f t="shared" si="36"/>
        <v>1982160</v>
      </c>
      <c r="L375">
        <f t="shared" si="37"/>
        <v>-1861165</v>
      </c>
      <c r="M375">
        <f>IF(AND(MyRowHidden(ROW())=FALSE,MyRowHidden(ROW()-1)=TRUE),0,IF(MONTH(H375)&lt;&gt;MONTH(H374),M374+1,M374))</f>
        <v>16</v>
      </c>
      <c r="N375">
        <f>IF(AND(MyRowHidden(ROW())=FALSE,MyRowHidden(ROW()-1)=TRUE),0,IF(M375&lt;totalMonths,(totalMonths-M375)/totalMonths *(I375-I374)+N374,0))</f>
        <v>0</v>
      </c>
      <c r="P375">
        <f>IF(AND(MyRowHidden(ROW())=FALSE,MyRowHidden(ROW()-1)=TRUE),0,IF(M375&lt;totalMonths,(totalMonths-M375)/totalMonths *(J375-J374)+P374,0))</f>
        <v>0</v>
      </c>
      <c r="Q375">
        <f>IF(AND(MyRowHidden(ROW())=FALSE,MyRowHidden(ROW()-1)=TRUE),0,IF(M375&lt;totalMonths,(totalMonths-M375)/totalMonths *(K375-K374)+Q374,0))</f>
        <v>0</v>
      </c>
      <c r="R375">
        <f>IF(AND(MyRowHidden(ROW())=FALSE,MyRowHidden(ROW()-1)=TRUE),0,IF(M375&lt;totalMonths,(totalMonths-M375)/totalMonths *(L375-L374)+R374,0))</f>
        <v>0</v>
      </c>
    </row>
    <row r="376" spans="1:18" hidden="1" x14ac:dyDescent="0.25">
      <c r="A376" s="1"/>
      <c r="C376" s="1"/>
      <c r="D376" s="1">
        <v>41785</v>
      </c>
      <c r="E376" s="10">
        <v>3436</v>
      </c>
      <c r="F376" s="1">
        <v>41785</v>
      </c>
      <c r="G376">
        <v>-2206.5</v>
      </c>
      <c r="H376" s="1">
        <f t="shared" si="35"/>
        <v>41785</v>
      </c>
      <c r="I376">
        <f>IF(AND(MyRowHidden(ROW())=FALSE,MyRowHidden(ROW()-1)=TRUE),0,(E376-E375)*unitsOfDHp+I375)</f>
        <v>120260</v>
      </c>
      <c r="J376">
        <f>IF(AND(MyRowHidden(ROW())=FALSE,MyRowHidden(ROW()-1)=TRUE),0,(G376-G375)*unitsOfExo+J375)</f>
        <v>-1971360</v>
      </c>
      <c r="K376" s="9">
        <f t="shared" si="36"/>
        <v>1971360</v>
      </c>
      <c r="L376">
        <f t="shared" si="37"/>
        <v>-1851100</v>
      </c>
      <c r="M376">
        <f>IF(AND(MyRowHidden(ROW())=FALSE,MyRowHidden(ROW()-1)=TRUE),0,IF(MONTH(H376)&lt;&gt;MONTH(H375),M375+1,M375))</f>
        <v>16</v>
      </c>
      <c r="N376">
        <f>IF(AND(MyRowHidden(ROW())=FALSE,MyRowHidden(ROW()-1)=TRUE),0,IF(M376&lt;totalMonths,(totalMonths-M376)/totalMonths *(I376-I375)+N375,0))</f>
        <v>0</v>
      </c>
      <c r="P376">
        <f>IF(AND(MyRowHidden(ROW())=FALSE,MyRowHidden(ROW()-1)=TRUE),0,IF(M376&lt;totalMonths,(totalMonths-M376)/totalMonths *(J376-J375)+P375,0))</f>
        <v>0</v>
      </c>
      <c r="Q376">
        <f>IF(AND(MyRowHidden(ROW())=FALSE,MyRowHidden(ROW()-1)=TRUE),0,IF(M376&lt;totalMonths,(totalMonths-M376)/totalMonths *(K376-K375)+Q375,0))</f>
        <v>0</v>
      </c>
      <c r="R376">
        <f>IF(AND(MyRowHidden(ROW())=FALSE,MyRowHidden(ROW()-1)=TRUE),0,IF(M376&lt;totalMonths,(totalMonths-M376)/totalMonths *(L376-L375)+R375,0))</f>
        <v>0</v>
      </c>
    </row>
    <row r="377" spans="1:18" hidden="1" x14ac:dyDescent="0.25">
      <c r="A377" s="1"/>
      <c r="C377" s="1"/>
      <c r="D377" s="1">
        <v>41786</v>
      </c>
      <c r="E377" s="10">
        <v>3490</v>
      </c>
      <c r="F377" s="1">
        <v>41786</v>
      </c>
      <c r="G377">
        <v>-2594</v>
      </c>
      <c r="H377" s="1">
        <f t="shared" si="35"/>
        <v>41786</v>
      </c>
      <c r="I377">
        <f>IF(AND(MyRowHidden(ROW())=FALSE,MyRowHidden(ROW()-1)=TRUE),0,(E377-E376)*unitsOfDHp+I376)</f>
        <v>122150</v>
      </c>
      <c r="J377">
        <f>IF(AND(MyRowHidden(ROW())=FALSE,MyRowHidden(ROW()-1)=TRUE),0,(G377-G376)*unitsOfExo+J376)</f>
        <v>-2082960</v>
      </c>
      <c r="K377" s="9">
        <f t="shared" si="36"/>
        <v>2082960</v>
      </c>
      <c r="L377">
        <f t="shared" si="37"/>
        <v>-1960810</v>
      </c>
      <c r="M377">
        <f>IF(AND(MyRowHidden(ROW())=FALSE,MyRowHidden(ROW()-1)=TRUE),0,IF(MONTH(H377)&lt;&gt;MONTH(H376),M376+1,M376))</f>
        <v>16</v>
      </c>
      <c r="N377">
        <f>IF(AND(MyRowHidden(ROW())=FALSE,MyRowHidden(ROW()-1)=TRUE),0,IF(M377&lt;totalMonths,(totalMonths-M377)/totalMonths *(I377-I376)+N376,0))</f>
        <v>0</v>
      </c>
      <c r="P377">
        <f>IF(AND(MyRowHidden(ROW())=FALSE,MyRowHidden(ROW()-1)=TRUE),0,IF(M377&lt;totalMonths,(totalMonths-M377)/totalMonths *(J377-J376)+P376,0))</f>
        <v>0</v>
      </c>
      <c r="Q377">
        <f>IF(AND(MyRowHidden(ROW())=FALSE,MyRowHidden(ROW()-1)=TRUE),0,IF(M377&lt;totalMonths,(totalMonths-M377)/totalMonths *(K377-K376)+Q376,0))</f>
        <v>0</v>
      </c>
      <c r="R377">
        <f>IF(AND(MyRowHidden(ROW())=FALSE,MyRowHidden(ROW()-1)=TRUE),0,IF(M377&lt;totalMonths,(totalMonths-M377)/totalMonths *(L377-L376)+R376,0))</f>
        <v>0</v>
      </c>
    </row>
    <row r="378" spans="1:18" hidden="1" x14ac:dyDescent="0.25">
      <c r="A378" s="1"/>
      <c r="C378" s="1"/>
      <c r="D378" s="1">
        <v>41787</v>
      </c>
      <c r="E378" s="10">
        <v>3328</v>
      </c>
      <c r="F378" s="1">
        <v>41787</v>
      </c>
      <c r="G378">
        <v>-2519</v>
      </c>
      <c r="H378" s="1">
        <f t="shared" si="35"/>
        <v>41787</v>
      </c>
      <c r="I378">
        <f>IF(AND(MyRowHidden(ROW())=FALSE,MyRowHidden(ROW()-1)=TRUE),0,(E378-E377)*unitsOfDHp+I377)</f>
        <v>116480</v>
      </c>
      <c r="J378">
        <f>IF(AND(MyRowHidden(ROW())=FALSE,MyRowHidden(ROW()-1)=TRUE),0,(G378-G377)*unitsOfExo+J377)</f>
        <v>-2061360</v>
      </c>
      <c r="K378" s="9">
        <f t="shared" si="36"/>
        <v>2061360</v>
      </c>
      <c r="L378">
        <f t="shared" si="37"/>
        <v>-1944880</v>
      </c>
      <c r="M378">
        <f>IF(AND(MyRowHidden(ROW())=FALSE,MyRowHidden(ROW()-1)=TRUE),0,IF(MONTH(H378)&lt;&gt;MONTH(H377),M377+1,M377))</f>
        <v>16</v>
      </c>
      <c r="N378">
        <f>IF(AND(MyRowHidden(ROW())=FALSE,MyRowHidden(ROW()-1)=TRUE),0,IF(M378&lt;totalMonths,(totalMonths-M378)/totalMonths *(I378-I377)+N377,0))</f>
        <v>0</v>
      </c>
      <c r="P378">
        <f>IF(AND(MyRowHidden(ROW())=FALSE,MyRowHidden(ROW()-1)=TRUE),0,IF(M378&lt;totalMonths,(totalMonths-M378)/totalMonths *(J378-J377)+P377,0))</f>
        <v>0</v>
      </c>
      <c r="Q378">
        <f>IF(AND(MyRowHidden(ROW())=FALSE,MyRowHidden(ROW()-1)=TRUE),0,IF(M378&lt;totalMonths,(totalMonths-M378)/totalMonths *(K378-K377)+Q377,0))</f>
        <v>0</v>
      </c>
      <c r="R378">
        <f>IF(AND(MyRowHidden(ROW())=FALSE,MyRowHidden(ROW()-1)=TRUE),0,IF(M378&lt;totalMonths,(totalMonths-M378)/totalMonths *(L378-L377)+R377,0))</f>
        <v>0</v>
      </c>
    </row>
    <row r="379" spans="1:18" hidden="1" x14ac:dyDescent="0.25">
      <c r="A379" s="1"/>
      <c r="C379" s="1"/>
      <c r="D379" s="1">
        <v>41788</v>
      </c>
      <c r="E379" s="10">
        <v>3792</v>
      </c>
      <c r="F379" s="1">
        <v>41788</v>
      </c>
      <c r="G379">
        <v>-2681.5</v>
      </c>
      <c r="H379" s="1">
        <f t="shared" si="35"/>
        <v>41788</v>
      </c>
      <c r="I379">
        <f>IF(AND(MyRowHidden(ROW())=FALSE,MyRowHidden(ROW()-1)=TRUE),0,(E379-E378)*unitsOfDHp+I378)</f>
        <v>132720</v>
      </c>
      <c r="J379">
        <f>IF(AND(MyRowHidden(ROW())=FALSE,MyRowHidden(ROW()-1)=TRUE),0,(G379-G378)*unitsOfExo+J378)</f>
        <v>-2108160</v>
      </c>
      <c r="K379" s="9">
        <f t="shared" si="36"/>
        <v>2108160</v>
      </c>
      <c r="L379">
        <f t="shared" si="37"/>
        <v>-1975440</v>
      </c>
      <c r="M379">
        <f>IF(AND(MyRowHidden(ROW())=FALSE,MyRowHidden(ROW()-1)=TRUE),0,IF(MONTH(H379)&lt;&gt;MONTH(H378),M378+1,M378))</f>
        <v>16</v>
      </c>
      <c r="N379">
        <f>IF(AND(MyRowHidden(ROW())=FALSE,MyRowHidden(ROW()-1)=TRUE),0,IF(M379&lt;totalMonths,(totalMonths-M379)/totalMonths *(I379-I378)+N378,0))</f>
        <v>0</v>
      </c>
      <c r="P379">
        <f>IF(AND(MyRowHidden(ROW())=FALSE,MyRowHidden(ROW()-1)=TRUE),0,IF(M379&lt;totalMonths,(totalMonths-M379)/totalMonths *(J379-J378)+P378,0))</f>
        <v>0</v>
      </c>
      <c r="Q379">
        <f>IF(AND(MyRowHidden(ROW())=FALSE,MyRowHidden(ROW()-1)=TRUE),0,IF(M379&lt;totalMonths,(totalMonths-M379)/totalMonths *(K379-K378)+Q378,0))</f>
        <v>0</v>
      </c>
      <c r="R379">
        <f>IF(AND(MyRowHidden(ROW())=FALSE,MyRowHidden(ROW()-1)=TRUE),0,IF(M379&lt;totalMonths,(totalMonths-M379)/totalMonths *(L379-L378)+R378,0))</f>
        <v>0</v>
      </c>
    </row>
    <row r="380" spans="1:18" hidden="1" x14ac:dyDescent="0.25">
      <c r="A380" s="1"/>
      <c r="C380" s="1"/>
      <c r="D380" s="1">
        <v>41789</v>
      </c>
      <c r="E380" s="10">
        <v>3880</v>
      </c>
      <c r="F380" s="1">
        <v>41789</v>
      </c>
      <c r="G380">
        <v>-2769</v>
      </c>
      <c r="H380" s="1">
        <f t="shared" si="35"/>
        <v>41789</v>
      </c>
      <c r="I380">
        <f>IF(AND(MyRowHidden(ROW())=FALSE,MyRowHidden(ROW()-1)=TRUE),0,(E380-E379)*unitsOfDHp+I379)</f>
        <v>135800</v>
      </c>
      <c r="J380">
        <f>IF(AND(MyRowHidden(ROW())=FALSE,MyRowHidden(ROW()-1)=TRUE),0,(G380-G379)*unitsOfExo+J379)</f>
        <v>-2133360</v>
      </c>
      <c r="K380" s="9">
        <f t="shared" si="36"/>
        <v>2133360</v>
      </c>
      <c r="L380">
        <f t="shared" si="37"/>
        <v>-1997560</v>
      </c>
      <c r="M380">
        <f>IF(AND(MyRowHidden(ROW())=FALSE,MyRowHidden(ROW()-1)=TRUE),0,IF(MONTH(H380)&lt;&gt;MONTH(H379),M379+1,M379))</f>
        <v>16</v>
      </c>
      <c r="N380">
        <f>IF(AND(MyRowHidden(ROW())=FALSE,MyRowHidden(ROW()-1)=TRUE),0,IF(M380&lt;totalMonths,(totalMonths-M380)/totalMonths *(I380-I379)+N379,0))</f>
        <v>0</v>
      </c>
      <c r="P380">
        <f>IF(AND(MyRowHidden(ROW())=FALSE,MyRowHidden(ROW()-1)=TRUE),0,IF(M380&lt;totalMonths,(totalMonths-M380)/totalMonths *(J380-J379)+P379,0))</f>
        <v>0</v>
      </c>
      <c r="Q380">
        <f>IF(AND(MyRowHidden(ROW())=FALSE,MyRowHidden(ROW()-1)=TRUE),0,IF(M380&lt;totalMonths,(totalMonths-M380)/totalMonths *(K380-K379)+Q379,0))</f>
        <v>0</v>
      </c>
      <c r="R380">
        <f>IF(AND(MyRowHidden(ROW())=FALSE,MyRowHidden(ROW()-1)=TRUE),0,IF(M380&lt;totalMonths,(totalMonths-M380)/totalMonths *(L380-L379)+R379,0))</f>
        <v>0</v>
      </c>
    </row>
    <row r="381" spans="1:18" hidden="1" x14ac:dyDescent="0.25">
      <c r="A381" s="1"/>
      <c r="C381" s="1"/>
      <c r="D381" s="1">
        <v>41792</v>
      </c>
      <c r="E381" s="10">
        <v>4099</v>
      </c>
      <c r="F381" s="1">
        <v>41792</v>
      </c>
      <c r="G381">
        <v>-2769</v>
      </c>
      <c r="H381" s="1">
        <f t="shared" si="35"/>
        <v>41792</v>
      </c>
      <c r="I381">
        <f>IF(AND(MyRowHidden(ROW())=FALSE,MyRowHidden(ROW()-1)=TRUE),0,(E381-E380)*unitsOfDHp+I380)</f>
        <v>143465</v>
      </c>
      <c r="J381">
        <f>IF(AND(MyRowHidden(ROW())=FALSE,MyRowHidden(ROW()-1)=TRUE),0,(G381-G380)*unitsOfExo+J380)</f>
        <v>-2133360</v>
      </c>
      <c r="K381" s="9">
        <f t="shared" si="36"/>
        <v>2133360</v>
      </c>
      <c r="L381">
        <f t="shared" si="37"/>
        <v>-1989895</v>
      </c>
      <c r="M381">
        <f>IF(AND(MyRowHidden(ROW())=FALSE,MyRowHidden(ROW()-1)=TRUE),0,IF(MONTH(H381)&lt;&gt;MONTH(H380),M380+1,M380))</f>
        <v>17</v>
      </c>
      <c r="N381">
        <f>IF(AND(MyRowHidden(ROW())=FALSE,MyRowHidden(ROW()-1)=TRUE),0,IF(M381&lt;totalMonths,(totalMonths-M381)/totalMonths *(I381-I380)+N380,0))</f>
        <v>0</v>
      </c>
      <c r="P381">
        <f>IF(AND(MyRowHidden(ROW())=FALSE,MyRowHidden(ROW()-1)=TRUE),0,IF(M381&lt;totalMonths,(totalMonths-M381)/totalMonths *(J381-J380)+P380,0))</f>
        <v>0</v>
      </c>
      <c r="Q381">
        <f>IF(AND(MyRowHidden(ROW())=FALSE,MyRowHidden(ROW()-1)=TRUE),0,IF(M381&lt;totalMonths,(totalMonths-M381)/totalMonths *(K381-K380)+Q380,0))</f>
        <v>0</v>
      </c>
      <c r="R381">
        <f>IF(AND(MyRowHidden(ROW())=FALSE,MyRowHidden(ROW()-1)=TRUE),0,IF(M381&lt;totalMonths,(totalMonths-M381)/totalMonths *(L381-L380)+R380,0))</f>
        <v>0</v>
      </c>
    </row>
    <row r="382" spans="1:18" hidden="1" x14ac:dyDescent="0.25">
      <c r="A382" s="1"/>
      <c r="C382" s="1"/>
      <c r="D382" s="1">
        <v>41793</v>
      </c>
      <c r="E382" s="10">
        <v>4062</v>
      </c>
      <c r="F382" s="1">
        <v>41793</v>
      </c>
      <c r="G382">
        <v>-3244</v>
      </c>
      <c r="H382" s="1">
        <f t="shared" si="35"/>
        <v>41793</v>
      </c>
      <c r="I382">
        <f>IF(AND(MyRowHidden(ROW())=FALSE,MyRowHidden(ROW()-1)=TRUE),0,(E382-E381)*unitsOfDHp+I381)</f>
        <v>142170</v>
      </c>
      <c r="J382">
        <f>IF(AND(MyRowHidden(ROW())=FALSE,MyRowHidden(ROW()-1)=TRUE),0,(G382-G381)*unitsOfExo+J381)</f>
        <v>-2270160</v>
      </c>
      <c r="K382" s="9">
        <f t="shared" si="36"/>
        <v>2270160</v>
      </c>
      <c r="L382">
        <f t="shared" si="37"/>
        <v>-2127990</v>
      </c>
      <c r="M382">
        <f>IF(AND(MyRowHidden(ROW())=FALSE,MyRowHidden(ROW()-1)=TRUE),0,IF(MONTH(H382)&lt;&gt;MONTH(H381),M381+1,M381))</f>
        <v>17</v>
      </c>
      <c r="N382">
        <f>IF(AND(MyRowHidden(ROW())=FALSE,MyRowHidden(ROW()-1)=TRUE),0,IF(M382&lt;totalMonths,(totalMonths-M382)/totalMonths *(I382-I381)+N381,0))</f>
        <v>0</v>
      </c>
      <c r="P382">
        <f>IF(AND(MyRowHidden(ROW())=FALSE,MyRowHidden(ROW()-1)=TRUE),0,IF(M382&lt;totalMonths,(totalMonths-M382)/totalMonths *(J382-J381)+P381,0))</f>
        <v>0</v>
      </c>
      <c r="Q382">
        <f>IF(AND(MyRowHidden(ROW())=FALSE,MyRowHidden(ROW()-1)=TRUE),0,IF(M382&lt;totalMonths,(totalMonths-M382)/totalMonths *(K382-K381)+Q381,0))</f>
        <v>0</v>
      </c>
      <c r="R382">
        <f>IF(AND(MyRowHidden(ROW())=FALSE,MyRowHidden(ROW()-1)=TRUE),0,IF(M382&lt;totalMonths,(totalMonths-M382)/totalMonths *(L382-L381)+R381,0))</f>
        <v>0</v>
      </c>
    </row>
    <row r="383" spans="1:18" hidden="1" x14ac:dyDescent="0.25">
      <c r="A383" s="1"/>
      <c r="C383" s="1"/>
      <c r="D383" s="1">
        <v>41794</v>
      </c>
      <c r="E383" s="10">
        <v>4097</v>
      </c>
      <c r="F383" s="1">
        <v>41794</v>
      </c>
      <c r="G383">
        <v>-3294</v>
      </c>
      <c r="H383" s="1">
        <f t="shared" si="35"/>
        <v>41794</v>
      </c>
      <c r="I383">
        <f>IF(AND(MyRowHidden(ROW())=FALSE,MyRowHidden(ROW()-1)=TRUE),0,(E383-E382)*unitsOfDHp+I382)</f>
        <v>143395</v>
      </c>
      <c r="J383">
        <f>IF(AND(MyRowHidden(ROW())=FALSE,MyRowHidden(ROW()-1)=TRUE),0,(G383-G382)*unitsOfExo+J382)</f>
        <v>-2284560</v>
      </c>
      <c r="K383" s="9">
        <f t="shared" si="36"/>
        <v>2284560</v>
      </c>
      <c r="L383">
        <f t="shared" si="37"/>
        <v>-2141165</v>
      </c>
      <c r="M383">
        <f>IF(AND(MyRowHidden(ROW())=FALSE,MyRowHidden(ROW()-1)=TRUE),0,IF(MONTH(H383)&lt;&gt;MONTH(H382),M382+1,M382))</f>
        <v>17</v>
      </c>
      <c r="N383">
        <f>IF(AND(MyRowHidden(ROW())=FALSE,MyRowHidden(ROW()-1)=TRUE),0,IF(M383&lt;totalMonths,(totalMonths-M383)/totalMonths *(I383-I382)+N382,0))</f>
        <v>0</v>
      </c>
      <c r="P383">
        <f>IF(AND(MyRowHidden(ROW())=FALSE,MyRowHidden(ROW()-1)=TRUE),0,IF(M383&lt;totalMonths,(totalMonths-M383)/totalMonths *(J383-J382)+P382,0))</f>
        <v>0</v>
      </c>
      <c r="Q383">
        <f>IF(AND(MyRowHidden(ROW())=FALSE,MyRowHidden(ROW()-1)=TRUE),0,IF(M383&lt;totalMonths,(totalMonths-M383)/totalMonths *(K383-K382)+Q382,0))</f>
        <v>0</v>
      </c>
      <c r="R383">
        <f>IF(AND(MyRowHidden(ROW())=FALSE,MyRowHidden(ROW()-1)=TRUE),0,IF(M383&lt;totalMonths,(totalMonths-M383)/totalMonths *(L383-L382)+R382,0))</f>
        <v>0</v>
      </c>
    </row>
    <row r="384" spans="1:18" hidden="1" x14ac:dyDescent="0.25">
      <c r="A384" s="1"/>
      <c r="C384" s="1"/>
      <c r="D384" s="1">
        <v>41795</v>
      </c>
      <c r="E384" s="10">
        <v>3997</v>
      </c>
      <c r="F384" s="1">
        <v>41795</v>
      </c>
      <c r="G384">
        <v>-3594</v>
      </c>
      <c r="H384" s="1">
        <f t="shared" si="35"/>
        <v>41795</v>
      </c>
      <c r="I384">
        <f>IF(AND(MyRowHidden(ROW())=FALSE,MyRowHidden(ROW()-1)=TRUE),0,(E384-E383)*unitsOfDHp+I383)</f>
        <v>139895</v>
      </c>
      <c r="J384">
        <f>IF(AND(MyRowHidden(ROW())=FALSE,MyRowHidden(ROW()-1)=TRUE),0,(G384-G383)*unitsOfExo+J383)</f>
        <v>-2370960</v>
      </c>
      <c r="K384" s="9">
        <f t="shared" si="36"/>
        <v>2370960</v>
      </c>
      <c r="L384">
        <f t="shared" si="37"/>
        <v>-2231065</v>
      </c>
      <c r="M384">
        <f>IF(AND(MyRowHidden(ROW())=FALSE,MyRowHidden(ROW()-1)=TRUE),0,IF(MONTH(H384)&lt;&gt;MONTH(H383),M383+1,M383))</f>
        <v>17</v>
      </c>
      <c r="N384">
        <f>IF(AND(MyRowHidden(ROW())=FALSE,MyRowHidden(ROW()-1)=TRUE),0,IF(M384&lt;totalMonths,(totalMonths-M384)/totalMonths *(I384-I383)+N383,0))</f>
        <v>0</v>
      </c>
      <c r="P384">
        <f>IF(AND(MyRowHidden(ROW())=FALSE,MyRowHidden(ROW()-1)=TRUE),0,IF(M384&lt;totalMonths,(totalMonths-M384)/totalMonths *(J384-J383)+P383,0))</f>
        <v>0</v>
      </c>
      <c r="Q384">
        <f>IF(AND(MyRowHidden(ROW())=FALSE,MyRowHidden(ROW()-1)=TRUE),0,IF(M384&lt;totalMonths,(totalMonths-M384)/totalMonths *(K384-K383)+Q383,0))</f>
        <v>0</v>
      </c>
      <c r="R384">
        <f>IF(AND(MyRowHidden(ROW())=FALSE,MyRowHidden(ROW()-1)=TRUE),0,IF(M384&lt;totalMonths,(totalMonths-M384)/totalMonths *(L384-L383)+R383,0))</f>
        <v>0</v>
      </c>
    </row>
    <row r="385" spans="1:18" hidden="1" x14ac:dyDescent="0.25">
      <c r="A385" s="1"/>
      <c r="C385" s="1"/>
      <c r="D385" s="1">
        <v>41796</v>
      </c>
      <c r="E385" s="10">
        <v>4102</v>
      </c>
      <c r="F385" s="1">
        <v>41796</v>
      </c>
      <c r="G385">
        <v>-3269</v>
      </c>
      <c r="H385" s="1">
        <f t="shared" si="35"/>
        <v>41796</v>
      </c>
      <c r="I385">
        <f>IF(AND(MyRowHidden(ROW())=FALSE,MyRowHidden(ROW()-1)=TRUE),0,(E385-E384)*unitsOfDHp+I384)</f>
        <v>143570</v>
      </c>
      <c r="J385">
        <f>IF(AND(MyRowHidden(ROW())=FALSE,MyRowHidden(ROW()-1)=TRUE),0,(G385-G384)*unitsOfExo+J384)</f>
        <v>-2277360</v>
      </c>
      <c r="K385" s="9">
        <f t="shared" si="36"/>
        <v>2277360</v>
      </c>
      <c r="L385">
        <f t="shared" si="37"/>
        <v>-2133790</v>
      </c>
      <c r="M385">
        <f>IF(AND(MyRowHidden(ROW())=FALSE,MyRowHidden(ROW()-1)=TRUE),0,IF(MONTH(H385)&lt;&gt;MONTH(H384),M384+1,M384))</f>
        <v>17</v>
      </c>
      <c r="N385">
        <f>IF(AND(MyRowHidden(ROW())=FALSE,MyRowHidden(ROW()-1)=TRUE),0,IF(M385&lt;totalMonths,(totalMonths-M385)/totalMonths *(I385-I384)+N384,0))</f>
        <v>0</v>
      </c>
      <c r="P385">
        <f>IF(AND(MyRowHidden(ROW())=FALSE,MyRowHidden(ROW()-1)=TRUE),0,IF(M385&lt;totalMonths,(totalMonths-M385)/totalMonths *(J385-J384)+P384,0))</f>
        <v>0</v>
      </c>
      <c r="Q385">
        <f>IF(AND(MyRowHidden(ROW())=FALSE,MyRowHidden(ROW()-1)=TRUE),0,IF(M385&lt;totalMonths,(totalMonths-M385)/totalMonths *(K385-K384)+Q384,0))</f>
        <v>0</v>
      </c>
      <c r="R385">
        <f>IF(AND(MyRowHidden(ROW())=FALSE,MyRowHidden(ROW()-1)=TRUE),0,IF(M385&lt;totalMonths,(totalMonths-M385)/totalMonths *(L385-L384)+R384,0))</f>
        <v>0</v>
      </c>
    </row>
    <row r="386" spans="1:18" hidden="1" x14ac:dyDescent="0.25">
      <c r="A386" s="1"/>
      <c r="C386" s="1"/>
      <c r="D386" s="1">
        <v>41799</v>
      </c>
      <c r="E386" s="10">
        <v>3802</v>
      </c>
      <c r="F386" s="1">
        <v>41799</v>
      </c>
      <c r="G386">
        <v>-3744</v>
      </c>
      <c r="H386" s="1">
        <f t="shared" si="35"/>
        <v>41799</v>
      </c>
      <c r="I386">
        <f>IF(AND(MyRowHidden(ROW())=FALSE,MyRowHidden(ROW()-1)=TRUE),0,(E386-E385)*unitsOfDHp+I385)</f>
        <v>133070</v>
      </c>
      <c r="J386">
        <f>IF(AND(MyRowHidden(ROW())=FALSE,MyRowHidden(ROW()-1)=TRUE),0,(G386-G385)*unitsOfExo+J385)</f>
        <v>-2414160</v>
      </c>
      <c r="K386" s="9">
        <f t="shared" si="36"/>
        <v>2414160</v>
      </c>
      <c r="L386">
        <f t="shared" si="37"/>
        <v>-2281090</v>
      </c>
      <c r="M386">
        <f>IF(AND(MyRowHidden(ROW())=FALSE,MyRowHidden(ROW()-1)=TRUE),0,IF(MONTH(H386)&lt;&gt;MONTH(H385),M385+1,M385))</f>
        <v>17</v>
      </c>
      <c r="N386">
        <f>IF(AND(MyRowHidden(ROW())=FALSE,MyRowHidden(ROW()-1)=TRUE),0,IF(M386&lt;totalMonths,(totalMonths-M386)/totalMonths *(I386-I385)+N385,0))</f>
        <v>0</v>
      </c>
      <c r="P386">
        <f>IF(AND(MyRowHidden(ROW())=FALSE,MyRowHidden(ROW()-1)=TRUE),0,IF(M386&lt;totalMonths,(totalMonths-M386)/totalMonths *(J386-J385)+P385,0))</f>
        <v>0</v>
      </c>
      <c r="Q386">
        <f>IF(AND(MyRowHidden(ROW())=FALSE,MyRowHidden(ROW()-1)=TRUE),0,IF(M386&lt;totalMonths,(totalMonths-M386)/totalMonths *(K386-K385)+Q385,0))</f>
        <v>0</v>
      </c>
      <c r="R386">
        <f>IF(AND(MyRowHidden(ROW())=FALSE,MyRowHidden(ROW()-1)=TRUE),0,IF(M386&lt;totalMonths,(totalMonths-M386)/totalMonths *(L386-L385)+R385,0))</f>
        <v>0</v>
      </c>
    </row>
    <row r="387" spans="1:18" hidden="1" x14ac:dyDescent="0.25">
      <c r="A387" s="1"/>
      <c r="C387" s="1"/>
      <c r="D387" s="1">
        <v>41800</v>
      </c>
      <c r="E387" s="10">
        <v>3805</v>
      </c>
      <c r="F387" s="1">
        <v>41800</v>
      </c>
      <c r="G387">
        <v>-3794</v>
      </c>
      <c r="H387" s="1">
        <f t="shared" si="35"/>
        <v>41800</v>
      </c>
      <c r="I387">
        <f>IF(AND(MyRowHidden(ROW())=FALSE,MyRowHidden(ROW()-1)=TRUE),0,(E387-E386)*unitsOfDHp+I386)</f>
        <v>133175</v>
      </c>
      <c r="J387">
        <f>IF(AND(MyRowHidden(ROW())=FALSE,MyRowHidden(ROW()-1)=TRUE),0,(G387-G386)*unitsOfExo+J386)</f>
        <v>-2428560</v>
      </c>
      <c r="K387" s="9">
        <f t="shared" si="36"/>
        <v>2428560</v>
      </c>
      <c r="L387">
        <f t="shared" si="37"/>
        <v>-2295385</v>
      </c>
      <c r="M387">
        <f>IF(AND(MyRowHidden(ROW())=FALSE,MyRowHidden(ROW()-1)=TRUE),0,IF(MONTH(H387)&lt;&gt;MONTH(H386),M386+1,M386))</f>
        <v>17</v>
      </c>
      <c r="N387">
        <f>IF(AND(MyRowHidden(ROW())=FALSE,MyRowHidden(ROW()-1)=TRUE),0,IF(M387&lt;totalMonths,(totalMonths-M387)/totalMonths *(I387-I386)+N386,0))</f>
        <v>0</v>
      </c>
      <c r="P387">
        <f>IF(AND(MyRowHidden(ROW())=FALSE,MyRowHidden(ROW()-1)=TRUE),0,IF(M387&lt;totalMonths,(totalMonths-M387)/totalMonths *(J387-J386)+P386,0))</f>
        <v>0</v>
      </c>
      <c r="Q387">
        <f>IF(AND(MyRowHidden(ROW())=FALSE,MyRowHidden(ROW()-1)=TRUE),0,IF(M387&lt;totalMonths,(totalMonths-M387)/totalMonths *(K387-K386)+Q386,0))</f>
        <v>0</v>
      </c>
      <c r="R387">
        <f>IF(AND(MyRowHidden(ROW())=FALSE,MyRowHidden(ROW()-1)=TRUE),0,IF(M387&lt;totalMonths,(totalMonths-M387)/totalMonths *(L387-L386)+R386,0))</f>
        <v>0</v>
      </c>
    </row>
    <row r="388" spans="1:18" hidden="1" x14ac:dyDescent="0.25">
      <c r="A388" s="1"/>
      <c r="C388" s="1"/>
      <c r="D388" s="1">
        <v>41801</v>
      </c>
      <c r="E388" s="10">
        <v>3392</v>
      </c>
      <c r="F388" s="1">
        <v>41801</v>
      </c>
      <c r="G388">
        <v>-4106.5</v>
      </c>
      <c r="H388" s="1">
        <f t="shared" si="35"/>
        <v>41801</v>
      </c>
      <c r="I388">
        <f>IF(AND(MyRowHidden(ROW())=FALSE,MyRowHidden(ROW()-1)=TRUE),0,(E388-E387)*unitsOfDHp+I387)</f>
        <v>118720</v>
      </c>
      <c r="J388">
        <f>IF(AND(MyRowHidden(ROW())=FALSE,MyRowHidden(ROW()-1)=TRUE),0,(G388-G387)*unitsOfExo+J387)</f>
        <v>-2518560</v>
      </c>
      <c r="K388" s="9">
        <f t="shared" si="36"/>
        <v>2518560</v>
      </c>
      <c r="L388">
        <f t="shared" si="37"/>
        <v>-2399840</v>
      </c>
      <c r="M388">
        <f>IF(AND(MyRowHidden(ROW())=FALSE,MyRowHidden(ROW()-1)=TRUE),0,IF(MONTH(H388)&lt;&gt;MONTH(H387),M387+1,M387))</f>
        <v>17</v>
      </c>
      <c r="N388">
        <f>IF(AND(MyRowHidden(ROW())=FALSE,MyRowHidden(ROW()-1)=TRUE),0,IF(M388&lt;totalMonths,(totalMonths-M388)/totalMonths *(I388-I387)+N387,0))</f>
        <v>0</v>
      </c>
      <c r="P388">
        <f>IF(AND(MyRowHidden(ROW())=FALSE,MyRowHidden(ROW()-1)=TRUE),0,IF(M388&lt;totalMonths,(totalMonths-M388)/totalMonths *(J388-J387)+P387,0))</f>
        <v>0</v>
      </c>
      <c r="Q388">
        <f>IF(AND(MyRowHidden(ROW())=FALSE,MyRowHidden(ROW()-1)=TRUE),0,IF(M388&lt;totalMonths,(totalMonths-M388)/totalMonths *(K388-K387)+Q387,0))</f>
        <v>0</v>
      </c>
      <c r="R388">
        <f>IF(AND(MyRowHidden(ROW())=FALSE,MyRowHidden(ROW()-1)=TRUE),0,IF(M388&lt;totalMonths,(totalMonths-M388)/totalMonths *(L388-L387)+R387,0))</f>
        <v>0</v>
      </c>
    </row>
    <row r="389" spans="1:18" hidden="1" x14ac:dyDescent="0.25">
      <c r="A389" s="1"/>
      <c r="C389" s="1"/>
      <c r="D389" s="1">
        <v>41802</v>
      </c>
      <c r="E389" s="10">
        <v>3617</v>
      </c>
      <c r="F389" s="1">
        <v>41802</v>
      </c>
      <c r="G389">
        <v>-3994</v>
      </c>
      <c r="H389" s="1">
        <f t="shared" si="35"/>
        <v>41802</v>
      </c>
      <c r="I389">
        <f>IF(AND(MyRowHidden(ROW())=FALSE,MyRowHidden(ROW()-1)=TRUE),0,(E389-E388)*unitsOfDHp+I388)</f>
        <v>126595</v>
      </c>
      <c r="J389">
        <f>IF(AND(MyRowHidden(ROW())=FALSE,MyRowHidden(ROW()-1)=TRUE),0,(G389-G388)*unitsOfExo+J388)</f>
        <v>-2486160</v>
      </c>
      <c r="K389" s="9">
        <f t="shared" si="36"/>
        <v>2486160</v>
      </c>
      <c r="L389">
        <f t="shared" si="37"/>
        <v>-2359565</v>
      </c>
      <c r="M389">
        <f>IF(AND(MyRowHidden(ROW())=FALSE,MyRowHidden(ROW()-1)=TRUE),0,IF(MONTH(H389)&lt;&gt;MONTH(H388),M388+1,M388))</f>
        <v>17</v>
      </c>
      <c r="N389">
        <f>IF(AND(MyRowHidden(ROW())=FALSE,MyRowHidden(ROW()-1)=TRUE),0,IF(M389&lt;totalMonths,(totalMonths-M389)/totalMonths *(I389-I388)+N388,0))</f>
        <v>0</v>
      </c>
      <c r="P389">
        <f>IF(AND(MyRowHidden(ROW())=FALSE,MyRowHidden(ROW()-1)=TRUE),0,IF(M389&lt;totalMonths,(totalMonths-M389)/totalMonths *(J389-J388)+P388,0))</f>
        <v>0</v>
      </c>
      <c r="Q389">
        <f>IF(AND(MyRowHidden(ROW())=FALSE,MyRowHidden(ROW()-1)=TRUE),0,IF(M389&lt;totalMonths,(totalMonths-M389)/totalMonths *(K389-K388)+Q388,0))</f>
        <v>0</v>
      </c>
      <c r="R389">
        <f>IF(AND(MyRowHidden(ROW())=FALSE,MyRowHidden(ROW()-1)=TRUE),0,IF(M389&lt;totalMonths,(totalMonths-M389)/totalMonths *(L389-L388)+R388,0))</f>
        <v>0</v>
      </c>
    </row>
    <row r="390" spans="1:18" hidden="1" x14ac:dyDescent="0.25">
      <c r="A390" s="1"/>
      <c r="C390" s="1"/>
      <c r="D390" s="1">
        <v>41803</v>
      </c>
      <c r="E390" s="10">
        <v>3817</v>
      </c>
      <c r="F390" s="1">
        <v>41803</v>
      </c>
      <c r="G390">
        <v>-3869</v>
      </c>
      <c r="H390" s="1">
        <f t="shared" si="35"/>
        <v>41803</v>
      </c>
      <c r="I390">
        <f>IF(AND(MyRowHidden(ROW())=FALSE,MyRowHidden(ROW()-1)=TRUE),0,(E390-E389)*unitsOfDHp+I389)</f>
        <v>133595</v>
      </c>
      <c r="J390">
        <f>IF(AND(MyRowHidden(ROW())=FALSE,MyRowHidden(ROW()-1)=TRUE),0,(G390-G389)*unitsOfExo+J389)</f>
        <v>-2450160</v>
      </c>
      <c r="K390" s="9">
        <f t="shared" si="36"/>
        <v>2450160</v>
      </c>
      <c r="L390">
        <f t="shared" si="37"/>
        <v>-2316565</v>
      </c>
      <c r="M390">
        <f>IF(AND(MyRowHidden(ROW())=FALSE,MyRowHidden(ROW()-1)=TRUE),0,IF(MONTH(H390)&lt;&gt;MONTH(H389),M389+1,M389))</f>
        <v>17</v>
      </c>
      <c r="N390">
        <f>IF(AND(MyRowHidden(ROW())=FALSE,MyRowHidden(ROW()-1)=TRUE),0,IF(M390&lt;totalMonths,(totalMonths-M390)/totalMonths *(I390-I389)+N389,0))</f>
        <v>0</v>
      </c>
      <c r="P390">
        <f>IF(AND(MyRowHidden(ROW())=FALSE,MyRowHidden(ROW()-1)=TRUE),0,IF(M390&lt;totalMonths,(totalMonths-M390)/totalMonths *(J390-J389)+P389,0))</f>
        <v>0</v>
      </c>
      <c r="Q390">
        <f>IF(AND(MyRowHidden(ROW())=FALSE,MyRowHidden(ROW()-1)=TRUE),0,IF(M390&lt;totalMonths,(totalMonths-M390)/totalMonths *(K390-K389)+Q389,0))</f>
        <v>0</v>
      </c>
      <c r="R390">
        <f>IF(AND(MyRowHidden(ROW())=FALSE,MyRowHidden(ROW()-1)=TRUE),0,IF(M390&lt;totalMonths,(totalMonths-M390)/totalMonths *(L390-L389)+R389,0))</f>
        <v>0</v>
      </c>
    </row>
    <row r="391" spans="1:18" hidden="1" x14ac:dyDescent="0.25">
      <c r="A391" s="1"/>
      <c r="C391" s="1"/>
      <c r="D391" s="1">
        <v>41806</v>
      </c>
      <c r="E391" s="10">
        <v>3554</v>
      </c>
      <c r="F391" s="1">
        <v>41806</v>
      </c>
      <c r="G391">
        <v>-4044</v>
      </c>
      <c r="H391" s="1">
        <f t="shared" si="35"/>
        <v>41806</v>
      </c>
      <c r="I391">
        <f>IF(AND(MyRowHidden(ROW())=FALSE,MyRowHidden(ROW()-1)=TRUE),0,(E391-E390)*unitsOfDHp+I390)</f>
        <v>124390</v>
      </c>
      <c r="J391">
        <f>IF(AND(MyRowHidden(ROW())=FALSE,MyRowHidden(ROW()-1)=TRUE),0,(G391-G390)*unitsOfExo+J390)</f>
        <v>-2500560</v>
      </c>
      <c r="K391" s="9">
        <f t="shared" si="36"/>
        <v>2500560</v>
      </c>
      <c r="L391">
        <f t="shared" si="37"/>
        <v>-2376170</v>
      </c>
      <c r="M391">
        <f>IF(AND(MyRowHidden(ROW())=FALSE,MyRowHidden(ROW()-1)=TRUE),0,IF(MONTH(H391)&lt;&gt;MONTH(H390),M390+1,M390))</f>
        <v>17</v>
      </c>
      <c r="N391">
        <f>IF(AND(MyRowHidden(ROW())=FALSE,MyRowHidden(ROW()-1)=TRUE),0,IF(M391&lt;totalMonths,(totalMonths-M391)/totalMonths *(I391-I390)+N390,0))</f>
        <v>0</v>
      </c>
      <c r="P391">
        <f>IF(AND(MyRowHidden(ROW())=FALSE,MyRowHidden(ROW()-1)=TRUE),0,IF(M391&lt;totalMonths,(totalMonths-M391)/totalMonths *(J391-J390)+P390,0))</f>
        <v>0</v>
      </c>
      <c r="Q391">
        <f>IF(AND(MyRowHidden(ROW())=FALSE,MyRowHidden(ROW()-1)=TRUE),0,IF(M391&lt;totalMonths,(totalMonths-M391)/totalMonths *(K391-K390)+Q390,0))</f>
        <v>0</v>
      </c>
      <c r="R391">
        <f>IF(AND(MyRowHidden(ROW())=FALSE,MyRowHidden(ROW()-1)=TRUE),0,IF(M391&lt;totalMonths,(totalMonths-M391)/totalMonths *(L391-L390)+R390,0))</f>
        <v>0</v>
      </c>
    </row>
    <row r="392" spans="1:18" hidden="1" x14ac:dyDescent="0.25">
      <c r="A392" s="1"/>
      <c r="C392" s="1"/>
      <c r="D392" s="1">
        <v>41807</v>
      </c>
      <c r="E392" s="10">
        <v>3342</v>
      </c>
      <c r="F392" s="1">
        <v>41807</v>
      </c>
      <c r="G392">
        <v>-4169</v>
      </c>
      <c r="H392" s="1">
        <f t="shared" si="35"/>
        <v>41807</v>
      </c>
      <c r="I392">
        <f>IF(AND(MyRowHidden(ROW())=FALSE,MyRowHidden(ROW()-1)=TRUE),0,(E392-E391)*unitsOfDHp+I391)</f>
        <v>116970</v>
      </c>
      <c r="J392">
        <f>IF(AND(MyRowHidden(ROW())=FALSE,MyRowHidden(ROW()-1)=TRUE),0,(G392-G391)*unitsOfExo+J391)</f>
        <v>-2536560</v>
      </c>
      <c r="K392" s="9">
        <f t="shared" si="36"/>
        <v>2536560</v>
      </c>
      <c r="L392">
        <f t="shared" si="37"/>
        <v>-2419590</v>
      </c>
      <c r="M392">
        <f>IF(AND(MyRowHidden(ROW())=FALSE,MyRowHidden(ROW()-1)=TRUE),0,IF(MONTH(H392)&lt;&gt;MONTH(H391),M391+1,M391))</f>
        <v>17</v>
      </c>
      <c r="N392">
        <f>IF(AND(MyRowHidden(ROW())=FALSE,MyRowHidden(ROW()-1)=TRUE),0,IF(M392&lt;totalMonths,(totalMonths-M392)/totalMonths *(I392-I391)+N391,0))</f>
        <v>0</v>
      </c>
      <c r="P392">
        <f>IF(AND(MyRowHidden(ROW())=FALSE,MyRowHidden(ROW()-1)=TRUE),0,IF(M392&lt;totalMonths,(totalMonths-M392)/totalMonths *(J392-J391)+P391,0))</f>
        <v>0</v>
      </c>
      <c r="Q392">
        <f>IF(AND(MyRowHidden(ROW())=FALSE,MyRowHidden(ROW()-1)=TRUE),0,IF(M392&lt;totalMonths,(totalMonths-M392)/totalMonths *(K392-K391)+Q391,0))</f>
        <v>0</v>
      </c>
      <c r="R392">
        <f>IF(AND(MyRowHidden(ROW())=FALSE,MyRowHidden(ROW()-1)=TRUE),0,IF(M392&lt;totalMonths,(totalMonths-M392)/totalMonths *(L392-L391)+R391,0))</f>
        <v>0</v>
      </c>
    </row>
    <row r="393" spans="1:18" hidden="1" x14ac:dyDescent="0.25">
      <c r="A393" s="1"/>
      <c r="C393" s="1"/>
      <c r="D393" s="1">
        <v>41808</v>
      </c>
      <c r="E393" s="10">
        <v>3656</v>
      </c>
      <c r="F393" s="1">
        <v>41808</v>
      </c>
      <c r="G393">
        <v>-3994</v>
      </c>
      <c r="H393" s="1">
        <f t="shared" si="35"/>
        <v>41808</v>
      </c>
      <c r="I393">
        <f>IF(AND(MyRowHidden(ROW())=FALSE,MyRowHidden(ROW()-1)=TRUE),0,(E393-E392)*unitsOfDHp+I392)</f>
        <v>127960</v>
      </c>
      <c r="J393">
        <f>IF(AND(MyRowHidden(ROW())=FALSE,MyRowHidden(ROW()-1)=TRUE),0,(G393-G392)*unitsOfExo+J392)</f>
        <v>-2486160</v>
      </c>
      <c r="K393" s="9">
        <f t="shared" si="36"/>
        <v>2486160</v>
      </c>
      <c r="L393">
        <f t="shared" si="37"/>
        <v>-2358200</v>
      </c>
      <c r="M393">
        <f>IF(AND(MyRowHidden(ROW())=FALSE,MyRowHidden(ROW()-1)=TRUE),0,IF(MONTH(H393)&lt;&gt;MONTH(H392),M392+1,M392))</f>
        <v>17</v>
      </c>
      <c r="N393">
        <f>IF(AND(MyRowHidden(ROW())=FALSE,MyRowHidden(ROW()-1)=TRUE),0,IF(M393&lt;totalMonths,(totalMonths-M393)/totalMonths *(I393-I392)+N392,0))</f>
        <v>0</v>
      </c>
      <c r="P393">
        <f>IF(AND(MyRowHidden(ROW())=FALSE,MyRowHidden(ROW()-1)=TRUE),0,IF(M393&lt;totalMonths,(totalMonths-M393)/totalMonths *(J393-J392)+P392,0))</f>
        <v>0</v>
      </c>
      <c r="Q393">
        <f>IF(AND(MyRowHidden(ROW())=FALSE,MyRowHidden(ROW()-1)=TRUE),0,IF(M393&lt;totalMonths,(totalMonths-M393)/totalMonths *(K393-K392)+Q392,0))</f>
        <v>0</v>
      </c>
      <c r="R393">
        <f>IF(AND(MyRowHidden(ROW())=FALSE,MyRowHidden(ROW()-1)=TRUE),0,IF(M393&lt;totalMonths,(totalMonths-M393)/totalMonths *(L393-L392)+R392,0))</f>
        <v>0</v>
      </c>
    </row>
    <row r="394" spans="1:18" hidden="1" x14ac:dyDescent="0.25">
      <c r="A394" s="1"/>
      <c r="C394" s="1"/>
      <c r="D394" s="1">
        <v>41809</v>
      </c>
      <c r="E394" s="10">
        <v>3707</v>
      </c>
      <c r="F394" s="1">
        <v>41809</v>
      </c>
      <c r="G394">
        <v>-3669</v>
      </c>
      <c r="H394" s="1">
        <f t="shared" si="35"/>
        <v>41809</v>
      </c>
      <c r="I394">
        <f>IF(AND(MyRowHidden(ROW())=FALSE,MyRowHidden(ROW()-1)=TRUE),0,(E394-E393)*unitsOfDHp+I393)</f>
        <v>129745</v>
      </c>
      <c r="J394">
        <f>IF(AND(MyRowHidden(ROW())=FALSE,MyRowHidden(ROW()-1)=TRUE),0,(G394-G393)*unitsOfExo+J393)</f>
        <v>-2392560</v>
      </c>
      <c r="K394" s="9">
        <f t="shared" si="36"/>
        <v>2392560</v>
      </c>
      <c r="L394">
        <f t="shared" si="37"/>
        <v>-2262815</v>
      </c>
      <c r="M394">
        <f>IF(AND(MyRowHidden(ROW())=FALSE,MyRowHidden(ROW()-1)=TRUE),0,IF(MONTH(H394)&lt;&gt;MONTH(H393),M393+1,M393))</f>
        <v>17</v>
      </c>
      <c r="N394">
        <f>IF(AND(MyRowHidden(ROW())=FALSE,MyRowHidden(ROW()-1)=TRUE),0,IF(M394&lt;totalMonths,(totalMonths-M394)/totalMonths *(I394-I393)+N393,0))</f>
        <v>0</v>
      </c>
      <c r="P394">
        <f>IF(AND(MyRowHidden(ROW())=FALSE,MyRowHidden(ROW()-1)=TRUE),0,IF(M394&lt;totalMonths,(totalMonths-M394)/totalMonths *(J394-J393)+P393,0))</f>
        <v>0</v>
      </c>
      <c r="Q394">
        <f>IF(AND(MyRowHidden(ROW())=FALSE,MyRowHidden(ROW()-1)=TRUE),0,IF(M394&lt;totalMonths,(totalMonths-M394)/totalMonths *(K394-K393)+Q393,0))</f>
        <v>0</v>
      </c>
      <c r="R394">
        <f>IF(AND(MyRowHidden(ROW())=FALSE,MyRowHidden(ROW()-1)=TRUE),0,IF(M394&lt;totalMonths,(totalMonths-M394)/totalMonths *(L394-L393)+R393,0))</f>
        <v>0</v>
      </c>
    </row>
    <row r="395" spans="1:18" hidden="1" x14ac:dyDescent="0.25">
      <c r="A395" s="1"/>
      <c r="C395" s="1"/>
      <c r="D395" s="1">
        <v>41810</v>
      </c>
      <c r="E395" s="10">
        <v>3708</v>
      </c>
      <c r="F395" s="1">
        <v>41810</v>
      </c>
      <c r="G395">
        <v>-3469</v>
      </c>
      <c r="H395" s="1">
        <f t="shared" si="35"/>
        <v>41810</v>
      </c>
      <c r="I395">
        <f>IF(AND(MyRowHidden(ROW())=FALSE,MyRowHidden(ROW()-1)=TRUE),0,(E395-E394)*unitsOfDHp+I394)</f>
        <v>129780</v>
      </c>
      <c r="J395">
        <f>IF(AND(MyRowHidden(ROW())=FALSE,MyRowHidden(ROW()-1)=TRUE),0,(G395-G394)*unitsOfExo+J394)</f>
        <v>-2334960</v>
      </c>
      <c r="K395" s="9">
        <f t="shared" si="36"/>
        <v>2334960</v>
      </c>
      <c r="L395">
        <f t="shared" si="37"/>
        <v>-2205180</v>
      </c>
      <c r="M395">
        <f>IF(AND(MyRowHidden(ROW())=FALSE,MyRowHidden(ROW()-1)=TRUE),0,IF(MONTH(H395)&lt;&gt;MONTH(H394),M394+1,M394))</f>
        <v>17</v>
      </c>
      <c r="N395">
        <f>IF(AND(MyRowHidden(ROW())=FALSE,MyRowHidden(ROW()-1)=TRUE),0,IF(M395&lt;totalMonths,(totalMonths-M395)/totalMonths *(I395-I394)+N394,0))</f>
        <v>0</v>
      </c>
      <c r="P395">
        <f>IF(AND(MyRowHidden(ROW())=FALSE,MyRowHidden(ROW()-1)=TRUE),0,IF(M395&lt;totalMonths,(totalMonths-M395)/totalMonths *(J395-J394)+P394,0))</f>
        <v>0</v>
      </c>
      <c r="Q395">
        <f>IF(AND(MyRowHidden(ROW())=FALSE,MyRowHidden(ROW()-1)=TRUE),0,IF(M395&lt;totalMonths,(totalMonths-M395)/totalMonths *(K395-K394)+Q394,0))</f>
        <v>0</v>
      </c>
      <c r="R395">
        <f>IF(AND(MyRowHidden(ROW())=FALSE,MyRowHidden(ROW()-1)=TRUE),0,IF(M395&lt;totalMonths,(totalMonths-M395)/totalMonths *(L395-L394)+R394,0))</f>
        <v>0</v>
      </c>
    </row>
    <row r="396" spans="1:18" hidden="1" x14ac:dyDescent="0.25">
      <c r="A396" s="1"/>
      <c r="C396" s="1"/>
      <c r="D396" s="1">
        <v>41813</v>
      </c>
      <c r="E396" s="10">
        <v>3708</v>
      </c>
      <c r="F396" s="1">
        <v>41813</v>
      </c>
      <c r="G396">
        <v>-3831.5</v>
      </c>
      <c r="H396" s="1">
        <f t="shared" si="35"/>
        <v>41813</v>
      </c>
      <c r="I396">
        <f>IF(AND(MyRowHidden(ROW())=FALSE,MyRowHidden(ROW()-1)=TRUE),0,(E396-E395)*unitsOfDHp+I395)</f>
        <v>129780</v>
      </c>
      <c r="J396">
        <f>IF(AND(MyRowHidden(ROW())=FALSE,MyRowHidden(ROW()-1)=TRUE),0,(G396-G395)*unitsOfExo+J395)</f>
        <v>-2439360</v>
      </c>
      <c r="K396" s="9">
        <f t="shared" si="36"/>
        <v>2439360</v>
      </c>
      <c r="L396">
        <f t="shared" si="37"/>
        <v>-2309580</v>
      </c>
      <c r="M396">
        <f>IF(AND(MyRowHidden(ROW())=FALSE,MyRowHidden(ROW()-1)=TRUE),0,IF(MONTH(H396)&lt;&gt;MONTH(H395),M395+1,M395))</f>
        <v>17</v>
      </c>
      <c r="N396">
        <f>IF(AND(MyRowHidden(ROW())=FALSE,MyRowHidden(ROW()-1)=TRUE),0,IF(M396&lt;totalMonths,(totalMonths-M396)/totalMonths *(I396-I395)+N395,0))</f>
        <v>0</v>
      </c>
      <c r="P396">
        <f>IF(AND(MyRowHidden(ROW())=FALSE,MyRowHidden(ROW()-1)=TRUE),0,IF(M396&lt;totalMonths,(totalMonths-M396)/totalMonths *(J396-J395)+P395,0))</f>
        <v>0</v>
      </c>
      <c r="Q396">
        <f>IF(AND(MyRowHidden(ROW())=FALSE,MyRowHidden(ROW()-1)=TRUE),0,IF(M396&lt;totalMonths,(totalMonths-M396)/totalMonths *(K396-K395)+Q395,0))</f>
        <v>0</v>
      </c>
      <c r="R396">
        <f>IF(AND(MyRowHidden(ROW())=FALSE,MyRowHidden(ROW()-1)=TRUE),0,IF(M396&lt;totalMonths,(totalMonths-M396)/totalMonths *(L396-L395)+R395,0))</f>
        <v>0</v>
      </c>
    </row>
    <row r="397" spans="1:18" hidden="1" x14ac:dyDescent="0.25">
      <c r="A397" s="1"/>
      <c r="C397" s="1"/>
      <c r="D397" s="1">
        <v>41814</v>
      </c>
      <c r="E397" s="10">
        <v>3708</v>
      </c>
      <c r="F397" s="1">
        <v>41814</v>
      </c>
      <c r="G397">
        <v>-4019</v>
      </c>
      <c r="H397" s="1">
        <f t="shared" si="35"/>
        <v>41814</v>
      </c>
      <c r="I397">
        <f>IF(AND(MyRowHidden(ROW())=FALSE,MyRowHidden(ROW()-1)=TRUE),0,(E397-E396)*unitsOfDHp+I396)</f>
        <v>129780</v>
      </c>
      <c r="J397">
        <f>IF(AND(MyRowHidden(ROW())=FALSE,MyRowHidden(ROW()-1)=TRUE),0,(G397-G396)*unitsOfExo+J396)</f>
        <v>-2493360</v>
      </c>
      <c r="K397" s="9">
        <f t="shared" si="36"/>
        <v>2493360</v>
      </c>
      <c r="L397">
        <f t="shared" si="37"/>
        <v>-2363580</v>
      </c>
      <c r="M397">
        <f>IF(AND(MyRowHidden(ROW())=FALSE,MyRowHidden(ROW()-1)=TRUE),0,IF(MONTH(H397)&lt;&gt;MONTH(H396),M396+1,M396))</f>
        <v>17</v>
      </c>
      <c r="N397">
        <f>IF(AND(MyRowHidden(ROW())=FALSE,MyRowHidden(ROW()-1)=TRUE),0,IF(M397&lt;totalMonths,(totalMonths-M397)/totalMonths *(I397-I396)+N396,0))</f>
        <v>0</v>
      </c>
      <c r="P397">
        <f>IF(AND(MyRowHidden(ROW())=FALSE,MyRowHidden(ROW()-1)=TRUE),0,IF(M397&lt;totalMonths,(totalMonths-M397)/totalMonths *(J397-J396)+P396,0))</f>
        <v>0</v>
      </c>
      <c r="Q397">
        <f>IF(AND(MyRowHidden(ROW())=FALSE,MyRowHidden(ROW()-1)=TRUE),0,IF(M397&lt;totalMonths,(totalMonths-M397)/totalMonths *(K397-K396)+Q396,0))</f>
        <v>0</v>
      </c>
      <c r="R397">
        <f>IF(AND(MyRowHidden(ROW())=FALSE,MyRowHidden(ROW()-1)=TRUE),0,IF(M397&lt;totalMonths,(totalMonths-M397)/totalMonths *(L397-L396)+R396,0))</f>
        <v>0</v>
      </c>
    </row>
    <row r="398" spans="1:18" hidden="1" x14ac:dyDescent="0.25">
      <c r="A398" s="1"/>
      <c r="C398" s="1"/>
      <c r="D398" s="1">
        <v>41815</v>
      </c>
      <c r="E398" s="10">
        <v>3733</v>
      </c>
      <c r="F398" s="1">
        <v>41815</v>
      </c>
      <c r="G398">
        <v>-4069</v>
      </c>
      <c r="H398" s="1">
        <f t="shared" si="35"/>
        <v>41815</v>
      </c>
      <c r="I398">
        <f>IF(AND(MyRowHidden(ROW())=FALSE,MyRowHidden(ROW()-1)=TRUE),0,(E398-E397)*unitsOfDHp+I397)</f>
        <v>130655</v>
      </c>
      <c r="J398">
        <f>IF(AND(MyRowHidden(ROW())=FALSE,MyRowHidden(ROW()-1)=TRUE),0,(G398-G397)*unitsOfExo+J397)</f>
        <v>-2507760</v>
      </c>
      <c r="K398" s="9">
        <f t="shared" si="36"/>
        <v>2507760</v>
      </c>
      <c r="L398">
        <f t="shared" si="37"/>
        <v>-2377105</v>
      </c>
      <c r="M398">
        <f>IF(AND(MyRowHidden(ROW())=FALSE,MyRowHidden(ROW()-1)=TRUE),0,IF(MONTH(H398)&lt;&gt;MONTH(H397),M397+1,M397))</f>
        <v>17</v>
      </c>
      <c r="N398">
        <f>IF(AND(MyRowHidden(ROW())=FALSE,MyRowHidden(ROW()-1)=TRUE),0,IF(M398&lt;totalMonths,(totalMonths-M398)/totalMonths *(I398-I397)+N397,0))</f>
        <v>0</v>
      </c>
      <c r="P398">
        <f>IF(AND(MyRowHidden(ROW())=FALSE,MyRowHidden(ROW()-1)=TRUE),0,IF(M398&lt;totalMonths,(totalMonths-M398)/totalMonths *(J398-J397)+P397,0))</f>
        <v>0</v>
      </c>
      <c r="Q398">
        <f>IF(AND(MyRowHidden(ROW())=FALSE,MyRowHidden(ROW()-1)=TRUE),0,IF(M398&lt;totalMonths,(totalMonths-M398)/totalMonths *(K398-K397)+Q397,0))</f>
        <v>0</v>
      </c>
      <c r="R398">
        <f>IF(AND(MyRowHidden(ROW())=FALSE,MyRowHidden(ROW()-1)=TRUE),0,IF(M398&lt;totalMonths,(totalMonths-M398)/totalMonths *(L398-L397)+R397,0))</f>
        <v>0</v>
      </c>
    </row>
    <row r="399" spans="1:18" hidden="1" x14ac:dyDescent="0.25">
      <c r="A399" s="1"/>
      <c r="C399" s="1"/>
      <c r="D399" s="1">
        <v>41816</v>
      </c>
      <c r="E399" s="10">
        <v>3846</v>
      </c>
      <c r="F399" s="1">
        <v>41816</v>
      </c>
      <c r="G399">
        <v>-3794</v>
      </c>
      <c r="H399" s="1">
        <f t="shared" si="35"/>
        <v>41816</v>
      </c>
      <c r="I399">
        <f>IF(AND(MyRowHidden(ROW())=FALSE,MyRowHidden(ROW()-1)=TRUE),0,(E399-E398)*unitsOfDHp+I398)</f>
        <v>134610</v>
      </c>
      <c r="J399">
        <f>IF(AND(MyRowHidden(ROW())=FALSE,MyRowHidden(ROW()-1)=TRUE),0,(G399-G398)*unitsOfExo+J398)</f>
        <v>-2428560</v>
      </c>
      <c r="K399" s="9">
        <f t="shared" si="36"/>
        <v>2428560</v>
      </c>
      <c r="L399">
        <f t="shared" si="37"/>
        <v>-2293950</v>
      </c>
      <c r="M399">
        <f>IF(AND(MyRowHidden(ROW())=FALSE,MyRowHidden(ROW()-1)=TRUE),0,IF(MONTH(H399)&lt;&gt;MONTH(H398),M398+1,M398))</f>
        <v>17</v>
      </c>
      <c r="N399">
        <f>IF(AND(MyRowHidden(ROW())=FALSE,MyRowHidden(ROW()-1)=TRUE),0,IF(M399&lt;totalMonths,(totalMonths-M399)/totalMonths *(I399-I398)+N398,0))</f>
        <v>0</v>
      </c>
      <c r="P399">
        <f>IF(AND(MyRowHidden(ROW())=FALSE,MyRowHidden(ROW()-1)=TRUE),0,IF(M399&lt;totalMonths,(totalMonths-M399)/totalMonths *(J399-J398)+P398,0))</f>
        <v>0</v>
      </c>
      <c r="Q399">
        <f>IF(AND(MyRowHidden(ROW())=FALSE,MyRowHidden(ROW()-1)=TRUE),0,IF(M399&lt;totalMonths,(totalMonths-M399)/totalMonths *(K399-K398)+Q398,0))</f>
        <v>0</v>
      </c>
      <c r="R399">
        <f>IF(AND(MyRowHidden(ROW())=FALSE,MyRowHidden(ROW()-1)=TRUE),0,IF(M399&lt;totalMonths,(totalMonths-M399)/totalMonths *(L399-L398)+R398,0))</f>
        <v>0</v>
      </c>
    </row>
    <row r="400" spans="1:18" hidden="1" x14ac:dyDescent="0.25">
      <c r="A400" s="1"/>
      <c r="C400" s="1"/>
      <c r="D400" s="1">
        <v>41817</v>
      </c>
      <c r="E400" s="10">
        <v>3821</v>
      </c>
      <c r="F400" s="1">
        <v>41817</v>
      </c>
      <c r="G400">
        <v>-3769</v>
      </c>
      <c r="H400" s="1">
        <f t="shared" si="35"/>
        <v>41817</v>
      </c>
      <c r="I400">
        <f>IF(AND(MyRowHidden(ROW())=FALSE,MyRowHidden(ROW()-1)=TRUE),0,(E400-E399)*unitsOfDHp+I399)</f>
        <v>133735</v>
      </c>
      <c r="J400">
        <f>IF(AND(MyRowHidden(ROW())=FALSE,MyRowHidden(ROW()-1)=TRUE),0,(G400-G399)*unitsOfExo+J399)</f>
        <v>-2421360</v>
      </c>
      <c r="K400" s="9">
        <f t="shared" si="36"/>
        <v>2421360</v>
      </c>
      <c r="L400">
        <f t="shared" si="37"/>
        <v>-2287625</v>
      </c>
      <c r="M400">
        <f>IF(AND(MyRowHidden(ROW())=FALSE,MyRowHidden(ROW()-1)=TRUE),0,IF(MONTH(H400)&lt;&gt;MONTH(H399),M399+1,M399))</f>
        <v>17</v>
      </c>
      <c r="N400">
        <f>IF(AND(MyRowHidden(ROW())=FALSE,MyRowHidden(ROW()-1)=TRUE),0,IF(M400&lt;totalMonths,(totalMonths-M400)/totalMonths *(I400-I399)+N399,0))</f>
        <v>0</v>
      </c>
      <c r="P400">
        <f>IF(AND(MyRowHidden(ROW())=FALSE,MyRowHidden(ROW()-1)=TRUE),0,IF(M400&lt;totalMonths,(totalMonths-M400)/totalMonths *(J400-J399)+P399,0))</f>
        <v>0</v>
      </c>
      <c r="Q400">
        <f>IF(AND(MyRowHidden(ROW())=FALSE,MyRowHidden(ROW()-1)=TRUE),0,IF(M400&lt;totalMonths,(totalMonths-M400)/totalMonths *(K400-K399)+Q399,0))</f>
        <v>0</v>
      </c>
      <c r="R400">
        <f>IF(AND(MyRowHidden(ROW())=FALSE,MyRowHidden(ROW()-1)=TRUE),0,IF(M400&lt;totalMonths,(totalMonths-M400)/totalMonths *(L400-L399)+R399,0))</f>
        <v>0</v>
      </c>
    </row>
    <row r="401" spans="1:18" hidden="1" x14ac:dyDescent="0.25">
      <c r="A401" s="1"/>
      <c r="C401" s="1"/>
      <c r="D401" s="1">
        <v>41820</v>
      </c>
      <c r="E401" s="10">
        <v>3185</v>
      </c>
      <c r="F401" s="1">
        <v>41820</v>
      </c>
      <c r="G401">
        <v>-4844</v>
      </c>
      <c r="H401" s="1">
        <f t="shared" ref="H401:H464" si="38">D401</f>
        <v>41820</v>
      </c>
      <c r="I401">
        <f>IF(AND(MyRowHidden(ROW())=FALSE,MyRowHidden(ROW()-1)=TRUE),0,(E401-E400)*unitsOfDHp+I400)</f>
        <v>111475</v>
      </c>
      <c r="J401">
        <f>IF(AND(MyRowHidden(ROW())=FALSE,MyRowHidden(ROW()-1)=TRUE),0,(G401-G400)*unitsOfExo+J400)</f>
        <v>-2730960</v>
      </c>
      <c r="K401" s="9">
        <f t="shared" ref="K401:K464" si="39">-(J401-J400)+K400</f>
        <v>2730960</v>
      </c>
      <c r="L401">
        <f t="shared" ref="L401:L464" si="40">I401+J401</f>
        <v>-2619485</v>
      </c>
      <c r="M401">
        <f>IF(AND(MyRowHidden(ROW())=FALSE,MyRowHidden(ROW()-1)=TRUE),0,IF(MONTH(H401)&lt;&gt;MONTH(H400),M400+1,M400))</f>
        <v>17</v>
      </c>
      <c r="N401">
        <f>IF(AND(MyRowHidden(ROW())=FALSE,MyRowHidden(ROW()-1)=TRUE),0,IF(M401&lt;totalMonths,(totalMonths-M401)/totalMonths *(I401-I400)+N400,0))</f>
        <v>0</v>
      </c>
      <c r="P401">
        <f>IF(AND(MyRowHidden(ROW())=FALSE,MyRowHidden(ROW()-1)=TRUE),0,IF(M401&lt;totalMonths,(totalMonths-M401)/totalMonths *(J401-J400)+P400,0))</f>
        <v>0</v>
      </c>
      <c r="Q401">
        <f>IF(AND(MyRowHidden(ROW())=FALSE,MyRowHidden(ROW()-1)=TRUE),0,IF(M401&lt;totalMonths,(totalMonths-M401)/totalMonths *(K401-K400)+Q400,0))</f>
        <v>0</v>
      </c>
      <c r="R401">
        <f>IF(AND(MyRowHidden(ROW())=FALSE,MyRowHidden(ROW()-1)=TRUE),0,IF(M401&lt;totalMonths,(totalMonths-M401)/totalMonths *(L401-L400)+R400,0))</f>
        <v>0</v>
      </c>
    </row>
    <row r="402" spans="1:18" hidden="1" x14ac:dyDescent="0.25">
      <c r="A402" s="1"/>
      <c r="C402" s="1"/>
      <c r="D402" s="1">
        <v>41821</v>
      </c>
      <c r="E402" s="10">
        <v>3298</v>
      </c>
      <c r="F402" s="1">
        <v>41821</v>
      </c>
      <c r="G402">
        <v>-5081</v>
      </c>
      <c r="H402" s="1">
        <f t="shared" si="38"/>
        <v>41821</v>
      </c>
      <c r="I402">
        <f>IF(AND(MyRowHidden(ROW())=FALSE,MyRowHidden(ROW()-1)=TRUE),0,(E402-E401)*unitsOfDHp+I401)</f>
        <v>115430</v>
      </c>
      <c r="J402">
        <f>IF(AND(MyRowHidden(ROW())=FALSE,MyRowHidden(ROW()-1)=TRUE),0,(G402-G401)*unitsOfExo+J401)</f>
        <v>-2799216</v>
      </c>
      <c r="K402" s="9">
        <f t="shared" si="39"/>
        <v>2799216</v>
      </c>
      <c r="L402">
        <f t="shared" si="40"/>
        <v>-2683786</v>
      </c>
      <c r="M402">
        <f>IF(AND(MyRowHidden(ROW())=FALSE,MyRowHidden(ROW()-1)=TRUE),0,IF(MONTH(H402)&lt;&gt;MONTH(H401),M401+1,M401))</f>
        <v>18</v>
      </c>
      <c r="N402">
        <f>IF(AND(MyRowHidden(ROW())=FALSE,MyRowHidden(ROW()-1)=TRUE),0,IF(M402&lt;totalMonths,(totalMonths-M402)/totalMonths *(I402-I401)+N401,0))</f>
        <v>0</v>
      </c>
      <c r="P402">
        <f>IF(AND(MyRowHidden(ROW())=FALSE,MyRowHidden(ROW()-1)=TRUE),0,IF(M402&lt;totalMonths,(totalMonths-M402)/totalMonths *(J402-J401)+P401,0))</f>
        <v>0</v>
      </c>
      <c r="Q402">
        <f>IF(AND(MyRowHidden(ROW())=FALSE,MyRowHidden(ROW()-1)=TRUE),0,IF(M402&lt;totalMonths,(totalMonths-M402)/totalMonths *(K402-K401)+Q401,0))</f>
        <v>0</v>
      </c>
      <c r="R402">
        <f>IF(AND(MyRowHidden(ROW())=FALSE,MyRowHidden(ROW()-1)=TRUE),0,IF(M402&lt;totalMonths,(totalMonths-M402)/totalMonths *(L402-L401)+R401,0))</f>
        <v>0</v>
      </c>
    </row>
    <row r="403" spans="1:18" hidden="1" x14ac:dyDescent="0.25">
      <c r="A403" s="1"/>
      <c r="C403" s="1"/>
      <c r="D403" s="1">
        <v>41822</v>
      </c>
      <c r="E403" s="10">
        <v>3410</v>
      </c>
      <c r="F403" s="1">
        <v>41822</v>
      </c>
      <c r="G403">
        <v>-5231</v>
      </c>
      <c r="H403" s="1">
        <f t="shared" si="38"/>
        <v>41822</v>
      </c>
      <c r="I403">
        <f>IF(AND(MyRowHidden(ROW())=FALSE,MyRowHidden(ROW()-1)=TRUE),0,(E403-E402)*unitsOfDHp+I402)</f>
        <v>119350</v>
      </c>
      <c r="J403">
        <f>IF(AND(MyRowHidden(ROW())=FALSE,MyRowHidden(ROW()-1)=TRUE),0,(G403-G402)*unitsOfExo+J402)</f>
        <v>-2842416</v>
      </c>
      <c r="K403" s="9">
        <f t="shared" si="39"/>
        <v>2842416</v>
      </c>
      <c r="L403">
        <f t="shared" si="40"/>
        <v>-2723066</v>
      </c>
      <c r="M403">
        <f>IF(AND(MyRowHidden(ROW())=FALSE,MyRowHidden(ROW()-1)=TRUE),0,IF(MONTH(H403)&lt;&gt;MONTH(H402),M402+1,M402))</f>
        <v>18</v>
      </c>
      <c r="N403">
        <f>IF(AND(MyRowHidden(ROW())=FALSE,MyRowHidden(ROW()-1)=TRUE),0,IF(M403&lt;totalMonths,(totalMonths-M403)/totalMonths *(I403-I402)+N402,0))</f>
        <v>0</v>
      </c>
      <c r="P403">
        <f>IF(AND(MyRowHidden(ROW())=FALSE,MyRowHidden(ROW()-1)=TRUE),0,IF(M403&lt;totalMonths,(totalMonths-M403)/totalMonths *(J403-J402)+P402,0))</f>
        <v>0</v>
      </c>
      <c r="Q403">
        <f>IF(AND(MyRowHidden(ROW())=FALSE,MyRowHidden(ROW()-1)=TRUE),0,IF(M403&lt;totalMonths,(totalMonths-M403)/totalMonths *(K403-K402)+Q402,0))</f>
        <v>0</v>
      </c>
      <c r="R403">
        <f>IF(AND(MyRowHidden(ROW())=FALSE,MyRowHidden(ROW()-1)=TRUE),0,IF(M403&lt;totalMonths,(totalMonths-M403)/totalMonths *(L403-L402)+R402,0))</f>
        <v>0</v>
      </c>
    </row>
    <row r="404" spans="1:18" hidden="1" x14ac:dyDescent="0.25">
      <c r="A404" s="1"/>
      <c r="C404" s="1"/>
      <c r="D404" s="1">
        <v>41823</v>
      </c>
      <c r="E404" s="10">
        <v>3385</v>
      </c>
      <c r="F404" s="1">
        <v>41823</v>
      </c>
      <c r="G404">
        <v>-5356</v>
      </c>
      <c r="H404" s="1">
        <f t="shared" si="38"/>
        <v>41823</v>
      </c>
      <c r="I404">
        <f>IF(AND(MyRowHidden(ROW())=FALSE,MyRowHidden(ROW()-1)=TRUE),0,(E404-E403)*unitsOfDHp+I403)</f>
        <v>118475</v>
      </c>
      <c r="J404">
        <f>IF(AND(MyRowHidden(ROW())=FALSE,MyRowHidden(ROW()-1)=TRUE),0,(G404-G403)*unitsOfExo+J403)</f>
        <v>-2878416</v>
      </c>
      <c r="K404" s="9">
        <f t="shared" si="39"/>
        <v>2878416</v>
      </c>
      <c r="L404">
        <f t="shared" si="40"/>
        <v>-2759941</v>
      </c>
      <c r="M404">
        <f>IF(AND(MyRowHidden(ROW())=FALSE,MyRowHidden(ROW()-1)=TRUE),0,IF(MONTH(H404)&lt;&gt;MONTH(H403),M403+1,M403))</f>
        <v>18</v>
      </c>
      <c r="N404">
        <f>IF(AND(MyRowHidden(ROW())=FALSE,MyRowHidden(ROW()-1)=TRUE),0,IF(M404&lt;totalMonths,(totalMonths-M404)/totalMonths *(I404-I403)+N403,0))</f>
        <v>0</v>
      </c>
      <c r="P404">
        <f>IF(AND(MyRowHidden(ROW())=FALSE,MyRowHidden(ROW()-1)=TRUE),0,IF(M404&lt;totalMonths,(totalMonths-M404)/totalMonths *(J404-J403)+P403,0))</f>
        <v>0</v>
      </c>
      <c r="Q404">
        <f>IF(AND(MyRowHidden(ROW())=FALSE,MyRowHidden(ROW()-1)=TRUE),0,IF(M404&lt;totalMonths,(totalMonths-M404)/totalMonths *(K404-K403)+Q403,0))</f>
        <v>0</v>
      </c>
      <c r="R404">
        <f>IF(AND(MyRowHidden(ROW())=FALSE,MyRowHidden(ROW()-1)=TRUE),0,IF(M404&lt;totalMonths,(totalMonths-M404)/totalMonths *(L404-L403)+R403,0))</f>
        <v>0</v>
      </c>
    </row>
    <row r="405" spans="1:18" hidden="1" x14ac:dyDescent="0.25">
      <c r="A405" s="1"/>
      <c r="C405" s="1"/>
      <c r="D405" s="1">
        <v>41824</v>
      </c>
      <c r="E405" s="10">
        <v>3022</v>
      </c>
      <c r="F405" s="1">
        <v>41824</v>
      </c>
      <c r="G405">
        <v>-5718.5</v>
      </c>
      <c r="H405" s="1">
        <f t="shared" si="38"/>
        <v>41824</v>
      </c>
      <c r="I405">
        <f>IF(AND(MyRowHidden(ROW())=FALSE,MyRowHidden(ROW()-1)=TRUE),0,(E405-E404)*unitsOfDHp+I404)</f>
        <v>105770</v>
      </c>
      <c r="J405">
        <f>IF(AND(MyRowHidden(ROW())=FALSE,MyRowHidden(ROW()-1)=TRUE),0,(G405-G404)*unitsOfExo+J404)</f>
        <v>-2982816</v>
      </c>
      <c r="K405" s="9">
        <f t="shared" si="39"/>
        <v>2982816</v>
      </c>
      <c r="L405">
        <f t="shared" si="40"/>
        <v>-2877046</v>
      </c>
      <c r="M405">
        <f>IF(AND(MyRowHidden(ROW())=FALSE,MyRowHidden(ROW()-1)=TRUE),0,IF(MONTH(H405)&lt;&gt;MONTH(H404),M404+1,M404))</f>
        <v>18</v>
      </c>
      <c r="N405">
        <f>IF(AND(MyRowHidden(ROW())=FALSE,MyRowHidden(ROW()-1)=TRUE),0,IF(M405&lt;totalMonths,(totalMonths-M405)/totalMonths *(I405-I404)+N404,0))</f>
        <v>0</v>
      </c>
      <c r="P405">
        <f>IF(AND(MyRowHidden(ROW())=FALSE,MyRowHidden(ROW()-1)=TRUE),0,IF(M405&lt;totalMonths,(totalMonths-M405)/totalMonths *(J405-J404)+P404,0))</f>
        <v>0</v>
      </c>
      <c r="Q405">
        <f>IF(AND(MyRowHidden(ROW())=FALSE,MyRowHidden(ROW()-1)=TRUE),0,IF(M405&lt;totalMonths,(totalMonths-M405)/totalMonths *(K405-K404)+Q404,0))</f>
        <v>0</v>
      </c>
      <c r="R405">
        <f>IF(AND(MyRowHidden(ROW())=FALSE,MyRowHidden(ROW()-1)=TRUE),0,IF(M405&lt;totalMonths,(totalMonths-M405)/totalMonths *(L405-L404)+R404,0))</f>
        <v>0</v>
      </c>
    </row>
    <row r="406" spans="1:18" hidden="1" x14ac:dyDescent="0.25">
      <c r="A406" s="1"/>
      <c r="C406" s="1"/>
      <c r="D406" s="1">
        <v>41827</v>
      </c>
      <c r="E406" s="10">
        <v>2884</v>
      </c>
      <c r="F406" s="1">
        <v>41827</v>
      </c>
      <c r="G406">
        <v>-5793.5</v>
      </c>
      <c r="H406" s="1">
        <f t="shared" si="38"/>
        <v>41827</v>
      </c>
      <c r="I406">
        <f>IF(AND(MyRowHidden(ROW())=FALSE,MyRowHidden(ROW()-1)=TRUE),0,(E406-E405)*unitsOfDHp+I405)</f>
        <v>100940</v>
      </c>
      <c r="J406">
        <f>IF(AND(MyRowHidden(ROW())=FALSE,MyRowHidden(ROW()-1)=TRUE),0,(G406-G405)*unitsOfExo+J405)</f>
        <v>-3004416</v>
      </c>
      <c r="K406" s="9">
        <f t="shared" si="39"/>
        <v>3004416</v>
      </c>
      <c r="L406">
        <f t="shared" si="40"/>
        <v>-2903476</v>
      </c>
      <c r="M406">
        <f>IF(AND(MyRowHidden(ROW())=FALSE,MyRowHidden(ROW()-1)=TRUE),0,IF(MONTH(H406)&lt;&gt;MONTH(H405),M405+1,M405))</f>
        <v>18</v>
      </c>
      <c r="N406">
        <f>IF(AND(MyRowHidden(ROW())=FALSE,MyRowHidden(ROW()-1)=TRUE),0,IF(M406&lt;totalMonths,(totalMonths-M406)/totalMonths *(I406-I405)+N405,0))</f>
        <v>0</v>
      </c>
      <c r="P406">
        <f>IF(AND(MyRowHidden(ROW())=FALSE,MyRowHidden(ROW()-1)=TRUE),0,IF(M406&lt;totalMonths,(totalMonths-M406)/totalMonths *(J406-J405)+P405,0))</f>
        <v>0</v>
      </c>
      <c r="Q406">
        <f>IF(AND(MyRowHidden(ROW())=FALSE,MyRowHidden(ROW()-1)=TRUE),0,IF(M406&lt;totalMonths,(totalMonths-M406)/totalMonths *(K406-K405)+Q405,0))</f>
        <v>0</v>
      </c>
      <c r="R406">
        <f>IF(AND(MyRowHidden(ROW())=FALSE,MyRowHidden(ROW()-1)=TRUE),0,IF(M406&lt;totalMonths,(totalMonths-M406)/totalMonths *(L406-L405)+R405,0))</f>
        <v>0</v>
      </c>
    </row>
    <row r="407" spans="1:18" hidden="1" x14ac:dyDescent="0.25">
      <c r="A407" s="1"/>
      <c r="C407" s="1"/>
      <c r="D407" s="1">
        <v>41828</v>
      </c>
      <c r="E407" s="10">
        <v>2734</v>
      </c>
      <c r="F407" s="1">
        <v>41828</v>
      </c>
      <c r="G407">
        <v>-5956</v>
      </c>
      <c r="H407" s="1">
        <f t="shared" si="38"/>
        <v>41828</v>
      </c>
      <c r="I407">
        <f>IF(AND(MyRowHidden(ROW())=FALSE,MyRowHidden(ROW()-1)=TRUE),0,(E407-E406)*unitsOfDHp+I406)</f>
        <v>95690</v>
      </c>
      <c r="J407">
        <f>IF(AND(MyRowHidden(ROW())=FALSE,MyRowHidden(ROW()-1)=TRUE),0,(G407-G406)*unitsOfExo+J406)</f>
        <v>-3051216</v>
      </c>
      <c r="K407" s="9">
        <f t="shared" si="39"/>
        <v>3051216</v>
      </c>
      <c r="L407">
        <f t="shared" si="40"/>
        <v>-2955526</v>
      </c>
      <c r="M407">
        <f>IF(AND(MyRowHidden(ROW())=FALSE,MyRowHidden(ROW()-1)=TRUE),0,IF(MONTH(H407)&lt;&gt;MONTH(H406),M406+1,M406))</f>
        <v>18</v>
      </c>
      <c r="N407">
        <f>IF(AND(MyRowHidden(ROW())=FALSE,MyRowHidden(ROW()-1)=TRUE),0,IF(M407&lt;totalMonths,(totalMonths-M407)/totalMonths *(I407-I406)+N406,0))</f>
        <v>0</v>
      </c>
      <c r="P407">
        <f>IF(AND(MyRowHidden(ROW())=FALSE,MyRowHidden(ROW()-1)=TRUE),0,IF(M407&lt;totalMonths,(totalMonths-M407)/totalMonths *(J407-J406)+P406,0))</f>
        <v>0</v>
      </c>
      <c r="Q407">
        <f>IF(AND(MyRowHidden(ROW())=FALSE,MyRowHidden(ROW()-1)=TRUE),0,IF(M407&lt;totalMonths,(totalMonths-M407)/totalMonths *(K407-K406)+Q406,0))</f>
        <v>0</v>
      </c>
      <c r="R407">
        <f>IF(AND(MyRowHidden(ROW())=FALSE,MyRowHidden(ROW()-1)=TRUE),0,IF(M407&lt;totalMonths,(totalMonths-M407)/totalMonths *(L407-L406)+R406,0))</f>
        <v>0</v>
      </c>
    </row>
    <row r="408" spans="1:18" hidden="1" x14ac:dyDescent="0.25">
      <c r="A408" s="1"/>
      <c r="C408" s="1"/>
      <c r="D408" s="1">
        <v>41829</v>
      </c>
      <c r="E408" s="10">
        <v>2622</v>
      </c>
      <c r="F408" s="1">
        <v>41829</v>
      </c>
      <c r="G408">
        <v>-6331</v>
      </c>
      <c r="H408" s="1">
        <f t="shared" si="38"/>
        <v>41829</v>
      </c>
      <c r="I408">
        <f>IF(AND(MyRowHidden(ROW())=FALSE,MyRowHidden(ROW()-1)=TRUE),0,(E408-E407)*unitsOfDHp+I407)</f>
        <v>91770</v>
      </c>
      <c r="J408">
        <f>IF(AND(MyRowHidden(ROW())=FALSE,MyRowHidden(ROW()-1)=TRUE),0,(G408-G407)*unitsOfExo+J407)</f>
        <v>-3159216</v>
      </c>
      <c r="K408" s="9">
        <f t="shared" si="39"/>
        <v>3159216</v>
      </c>
      <c r="L408">
        <f t="shared" si="40"/>
        <v>-3067446</v>
      </c>
      <c r="M408">
        <f>IF(AND(MyRowHidden(ROW())=FALSE,MyRowHidden(ROW()-1)=TRUE),0,IF(MONTH(H408)&lt;&gt;MONTH(H407),M407+1,M407))</f>
        <v>18</v>
      </c>
      <c r="N408">
        <f>IF(AND(MyRowHidden(ROW())=FALSE,MyRowHidden(ROW()-1)=TRUE),0,IF(M408&lt;totalMonths,(totalMonths-M408)/totalMonths *(I408-I407)+N407,0))</f>
        <v>0</v>
      </c>
      <c r="P408">
        <f>IF(AND(MyRowHidden(ROW())=FALSE,MyRowHidden(ROW()-1)=TRUE),0,IF(M408&lt;totalMonths,(totalMonths-M408)/totalMonths *(J408-J407)+P407,0))</f>
        <v>0</v>
      </c>
      <c r="Q408">
        <f>IF(AND(MyRowHidden(ROW())=FALSE,MyRowHidden(ROW()-1)=TRUE),0,IF(M408&lt;totalMonths,(totalMonths-M408)/totalMonths *(K408-K407)+Q407,0))</f>
        <v>0</v>
      </c>
      <c r="R408">
        <f>IF(AND(MyRowHidden(ROW())=FALSE,MyRowHidden(ROW()-1)=TRUE),0,IF(M408&lt;totalMonths,(totalMonths-M408)/totalMonths *(L408-L407)+R407,0))</f>
        <v>0</v>
      </c>
    </row>
    <row r="409" spans="1:18" hidden="1" x14ac:dyDescent="0.25">
      <c r="A409" s="1"/>
      <c r="C409" s="1"/>
      <c r="D409" s="1">
        <v>41830</v>
      </c>
      <c r="E409" s="10">
        <v>2460</v>
      </c>
      <c r="F409" s="1">
        <v>41830</v>
      </c>
      <c r="G409">
        <v>-6531</v>
      </c>
      <c r="H409" s="1">
        <f t="shared" si="38"/>
        <v>41830</v>
      </c>
      <c r="I409">
        <f>IF(AND(MyRowHidden(ROW())=FALSE,MyRowHidden(ROW()-1)=TRUE),0,(E409-E408)*unitsOfDHp+I408)</f>
        <v>86100</v>
      </c>
      <c r="J409">
        <f>IF(AND(MyRowHidden(ROW())=FALSE,MyRowHidden(ROW()-1)=TRUE),0,(G409-G408)*unitsOfExo+J408)</f>
        <v>-3216816</v>
      </c>
      <c r="K409" s="9">
        <f t="shared" si="39"/>
        <v>3216816</v>
      </c>
      <c r="L409">
        <f t="shared" si="40"/>
        <v>-3130716</v>
      </c>
      <c r="M409">
        <f>IF(AND(MyRowHidden(ROW())=FALSE,MyRowHidden(ROW()-1)=TRUE),0,IF(MONTH(H409)&lt;&gt;MONTH(H408),M408+1,M408))</f>
        <v>18</v>
      </c>
      <c r="N409">
        <f>IF(AND(MyRowHidden(ROW())=FALSE,MyRowHidden(ROW()-1)=TRUE),0,IF(M409&lt;totalMonths,(totalMonths-M409)/totalMonths *(I409-I408)+N408,0))</f>
        <v>0</v>
      </c>
      <c r="P409">
        <f>IF(AND(MyRowHidden(ROW())=FALSE,MyRowHidden(ROW()-1)=TRUE),0,IF(M409&lt;totalMonths,(totalMonths-M409)/totalMonths *(J409-J408)+P408,0))</f>
        <v>0</v>
      </c>
      <c r="Q409">
        <f>IF(AND(MyRowHidden(ROW())=FALSE,MyRowHidden(ROW()-1)=TRUE),0,IF(M409&lt;totalMonths,(totalMonths-M409)/totalMonths *(K409-K408)+Q408,0))</f>
        <v>0</v>
      </c>
      <c r="R409">
        <f>IF(AND(MyRowHidden(ROW())=FALSE,MyRowHidden(ROW()-1)=TRUE),0,IF(M409&lt;totalMonths,(totalMonths-M409)/totalMonths *(L409-L408)+R408,0))</f>
        <v>0</v>
      </c>
    </row>
    <row r="410" spans="1:18" hidden="1" x14ac:dyDescent="0.25">
      <c r="A410" s="1"/>
      <c r="C410" s="1"/>
      <c r="D410" s="1">
        <v>41831</v>
      </c>
      <c r="E410" s="10">
        <v>2274</v>
      </c>
      <c r="F410" s="1">
        <v>41831</v>
      </c>
      <c r="G410">
        <v>-6881</v>
      </c>
      <c r="H410" s="1">
        <f t="shared" si="38"/>
        <v>41831</v>
      </c>
      <c r="I410">
        <f>IF(AND(MyRowHidden(ROW())=FALSE,MyRowHidden(ROW()-1)=TRUE),0,(E410-E409)*unitsOfDHp+I409)</f>
        <v>79590</v>
      </c>
      <c r="J410">
        <f>IF(AND(MyRowHidden(ROW())=FALSE,MyRowHidden(ROW()-1)=TRUE),0,(G410-G409)*unitsOfExo+J409)</f>
        <v>-3317616</v>
      </c>
      <c r="K410" s="9">
        <f t="shared" si="39"/>
        <v>3317616</v>
      </c>
      <c r="L410">
        <f t="shared" si="40"/>
        <v>-3238026</v>
      </c>
      <c r="M410">
        <f>IF(AND(MyRowHidden(ROW())=FALSE,MyRowHidden(ROW()-1)=TRUE),0,IF(MONTH(H410)&lt;&gt;MONTH(H409),M409+1,M409))</f>
        <v>18</v>
      </c>
      <c r="N410">
        <f>IF(AND(MyRowHidden(ROW())=FALSE,MyRowHidden(ROW()-1)=TRUE),0,IF(M410&lt;totalMonths,(totalMonths-M410)/totalMonths *(I410-I409)+N409,0))</f>
        <v>0</v>
      </c>
      <c r="P410">
        <f>IF(AND(MyRowHidden(ROW())=FALSE,MyRowHidden(ROW()-1)=TRUE),0,IF(M410&lt;totalMonths,(totalMonths-M410)/totalMonths *(J410-J409)+P409,0))</f>
        <v>0</v>
      </c>
      <c r="Q410">
        <f>IF(AND(MyRowHidden(ROW())=FALSE,MyRowHidden(ROW()-1)=TRUE),0,IF(M410&lt;totalMonths,(totalMonths-M410)/totalMonths *(K410-K409)+Q409,0))</f>
        <v>0</v>
      </c>
      <c r="R410">
        <f>IF(AND(MyRowHidden(ROW())=FALSE,MyRowHidden(ROW()-1)=TRUE),0,IF(M410&lt;totalMonths,(totalMonths-M410)/totalMonths *(L410-L409)+R409,0))</f>
        <v>0</v>
      </c>
    </row>
    <row r="411" spans="1:18" hidden="1" x14ac:dyDescent="0.25">
      <c r="A411" s="1"/>
      <c r="C411" s="1"/>
      <c r="D411" s="1">
        <v>41834</v>
      </c>
      <c r="E411" s="10">
        <v>2349</v>
      </c>
      <c r="F411" s="1">
        <v>41834</v>
      </c>
      <c r="G411">
        <v>-6781</v>
      </c>
      <c r="H411" s="1">
        <f t="shared" si="38"/>
        <v>41834</v>
      </c>
      <c r="I411">
        <f>IF(AND(MyRowHidden(ROW())=FALSE,MyRowHidden(ROW()-1)=TRUE),0,(E411-E410)*unitsOfDHp+I410)</f>
        <v>82215</v>
      </c>
      <c r="J411">
        <f>IF(AND(MyRowHidden(ROW())=FALSE,MyRowHidden(ROW()-1)=TRUE),0,(G411-G410)*unitsOfExo+J410)</f>
        <v>-3288816</v>
      </c>
      <c r="K411" s="9">
        <f t="shared" si="39"/>
        <v>3288816</v>
      </c>
      <c r="L411">
        <f t="shared" si="40"/>
        <v>-3206601</v>
      </c>
      <c r="M411">
        <f>IF(AND(MyRowHidden(ROW())=FALSE,MyRowHidden(ROW()-1)=TRUE),0,IF(MONTH(H411)&lt;&gt;MONTH(H410),M410+1,M410))</f>
        <v>18</v>
      </c>
      <c r="N411">
        <f>IF(AND(MyRowHidden(ROW())=FALSE,MyRowHidden(ROW()-1)=TRUE),0,IF(M411&lt;totalMonths,(totalMonths-M411)/totalMonths *(I411-I410)+N410,0))</f>
        <v>0</v>
      </c>
      <c r="P411">
        <f>IF(AND(MyRowHidden(ROW())=FALSE,MyRowHidden(ROW()-1)=TRUE),0,IF(M411&lt;totalMonths,(totalMonths-M411)/totalMonths *(J411-J410)+P410,0))</f>
        <v>0</v>
      </c>
      <c r="Q411">
        <f>IF(AND(MyRowHidden(ROW())=FALSE,MyRowHidden(ROW()-1)=TRUE),0,IF(M411&lt;totalMonths,(totalMonths-M411)/totalMonths *(K411-K410)+Q410,0))</f>
        <v>0</v>
      </c>
      <c r="R411">
        <f>IF(AND(MyRowHidden(ROW())=FALSE,MyRowHidden(ROW()-1)=TRUE),0,IF(M411&lt;totalMonths,(totalMonths-M411)/totalMonths *(L411-L410)+R410,0))</f>
        <v>0</v>
      </c>
    </row>
    <row r="412" spans="1:18" hidden="1" x14ac:dyDescent="0.25">
      <c r="A412" s="1"/>
      <c r="C412" s="1"/>
      <c r="D412" s="1">
        <v>41835</v>
      </c>
      <c r="E412" s="10">
        <v>2162</v>
      </c>
      <c r="F412" s="1">
        <v>41835</v>
      </c>
      <c r="G412">
        <v>-7093.5</v>
      </c>
      <c r="H412" s="1">
        <f t="shared" si="38"/>
        <v>41835</v>
      </c>
      <c r="I412">
        <f>IF(AND(MyRowHidden(ROW())=FALSE,MyRowHidden(ROW()-1)=TRUE),0,(E412-E411)*unitsOfDHp+I411)</f>
        <v>75670</v>
      </c>
      <c r="J412">
        <f>IF(AND(MyRowHidden(ROW())=FALSE,MyRowHidden(ROW()-1)=TRUE),0,(G412-G411)*unitsOfExo+J411)</f>
        <v>-3378816</v>
      </c>
      <c r="K412" s="9">
        <f t="shared" si="39"/>
        <v>3378816</v>
      </c>
      <c r="L412">
        <f t="shared" si="40"/>
        <v>-3303146</v>
      </c>
      <c r="M412">
        <f>IF(AND(MyRowHidden(ROW())=FALSE,MyRowHidden(ROW()-1)=TRUE),0,IF(MONTH(H412)&lt;&gt;MONTH(H411),M411+1,M411))</f>
        <v>18</v>
      </c>
      <c r="N412">
        <f>IF(AND(MyRowHidden(ROW())=FALSE,MyRowHidden(ROW()-1)=TRUE),0,IF(M412&lt;totalMonths,(totalMonths-M412)/totalMonths *(I412-I411)+N411,0))</f>
        <v>0</v>
      </c>
      <c r="P412">
        <f>IF(AND(MyRowHidden(ROW())=FALSE,MyRowHidden(ROW()-1)=TRUE),0,IF(M412&lt;totalMonths,(totalMonths-M412)/totalMonths *(J412-J411)+P411,0))</f>
        <v>0</v>
      </c>
      <c r="Q412">
        <f>IF(AND(MyRowHidden(ROW())=FALSE,MyRowHidden(ROW()-1)=TRUE),0,IF(M412&lt;totalMonths,(totalMonths-M412)/totalMonths *(K412-K411)+Q411,0))</f>
        <v>0</v>
      </c>
      <c r="R412">
        <f>IF(AND(MyRowHidden(ROW())=FALSE,MyRowHidden(ROW()-1)=TRUE),0,IF(M412&lt;totalMonths,(totalMonths-M412)/totalMonths *(L412-L411)+R411,0))</f>
        <v>0</v>
      </c>
    </row>
    <row r="413" spans="1:18" hidden="1" x14ac:dyDescent="0.25">
      <c r="A413" s="1"/>
      <c r="C413" s="1"/>
      <c r="D413" s="1">
        <v>41836</v>
      </c>
      <c r="E413" s="10">
        <v>2200</v>
      </c>
      <c r="F413" s="1">
        <v>41836</v>
      </c>
      <c r="G413">
        <v>-7031</v>
      </c>
      <c r="H413" s="1">
        <f t="shared" si="38"/>
        <v>41836</v>
      </c>
      <c r="I413">
        <f>IF(AND(MyRowHidden(ROW())=FALSE,MyRowHidden(ROW()-1)=TRUE),0,(E413-E412)*unitsOfDHp+I412)</f>
        <v>77000</v>
      </c>
      <c r="J413">
        <f>IF(AND(MyRowHidden(ROW())=FALSE,MyRowHidden(ROW()-1)=TRUE),0,(G413-G412)*unitsOfExo+J412)</f>
        <v>-3360816</v>
      </c>
      <c r="K413" s="9">
        <f t="shared" si="39"/>
        <v>3360816</v>
      </c>
      <c r="L413">
        <f t="shared" si="40"/>
        <v>-3283816</v>
      </c>
      <c r="M413">
        <f>IF(AND(MyRowHidden(ROW())=FALSE,MyRowHidden(ROW()-1)=TRUE),0,IF(MONTH(H413)&lt;&gt;MONTH(H412),M412+1,M412))</f>
        <v>18</v>
      </c>
      <c r="N413">
        <f>IF(AND(MyRowHidden(ROW())=FALSE,MyRowHidden(ROW()-1)=TRUE),0,IF(M413&lt;totalMonths,(totalMonths-M413)/totalMonths *(I413-I412)+N412,0))</f>
        <v>0</v>
      </c>
      <c r="P413">
        <f>IF(AND(MyRowHidden(ROW())=FALSE,MyRowHidden(ROW()-1)=TRUE),0,IF(M413&lt;totalMonths,(totalMonths-M413)/totalMonths *(J413-J412)+P412,0))</f>
        <v>0</v>
      </c>
      <c r="Q413">
        <f>IF(AND(MyRowHidden(ROW())=FALSE,MyRowHidden(ROW()-1)=TRUE),0,IF(M413&lt;totalMonths,(totalMonths-M413)/totalMonths *(K413-K412)+Q412,0))</f>
        <v>0</v>
      </c>
      <c r="R413">
        <f>IF(AND(MyRowHidden(ROW())=FALSE,MyRowHidden(ROW()-1)=TRUE),0,IF(M413&lt;totalMonths,(totalMonths-M413)/totalMonths *(L413-L412)+R412,0))</f>
        <v>0</v>
      </c>
    </row>
    <row r="414" spans="1:18" hidden="1" x14ac:dyDescent="0.25">
      <c r="A414" s="1"/>
      <c r="C414" s="1"/>
      <c r="D414" s="1">
        <v>41837</v>
      </c>
      <c r="E414" s="10">
        <v>2312</v>
      </c>
      <c r="F414" s="1">
        <v>41837</v>
      </c>
      <c r="G414">
        <v>-6856</v>
      </c>
      <c r="H414" s="1">
        <f t="shared" si="38"/>
        <v>41837</v>
      </c>
      <c r="I414">
        <f>IF(AND(MyRowHidden(ROW())=FALSE,MyRowHidden(ROW()-1)=TRUE),0,(E414-E413)*unitsOfDHp+I413)</f>
        <v>80920</v>
      </c>
      <c r="J414">
        <f>IF(AND(MyRowHidden(ROW())=FALSE,MyRowHidden(ROW()-1)=TRUE),0,(G414-G413)*unitsOfExo+J413)</f>
        <v>-3310416</v>
      </c>
      <c r="K414" s="9">
        <f t="shared" si="39"/>
        <v>3310416</v>
      </c>
      <c r="L414">
        <f t="shared" si="40"/>
        <v>-3229496</v>
      </c>
      <c r="M414">
        <f>IF(AND(MyRowHidden(ROW())=FALSE,MyRowHidden(ROW()-1)=TRUE),0,IF(MONTH(H414)&lt;&gt;MONTH(H413),M413+1,M413))</f>
        <v>18</v>
      </c>
      <c r="N414">
        <f>IF(AND(MyRowHidden(ROW())=FALSE,MyRowHidden(ROW()-1)=TRUE),0,IF(M414&lt;totalMonths,(totalMonths-M414)/totalMonths *(I414-I413)+N413,0))</f>
        <v>0</v>
      </c>
      <c r="P414">
        <f>IF(AND(MyRowHidden(ROW())=FALSE,MyRowHidden(ROW()-1)=TRUE),0,IF(M414&lt;totalMonths,(totalMonths-M414)/totalMonths *(J414-J413)+P413,0))</f>
        <v>0</v>
      </c>
      <c r="Q414">
        <f>IF(AND(MyRowHidden(ROW())=FALSE,MyRowHidden(ROW()-1)=TRUE),0,IF(M414&lt;totalMonths,(totalMonths-M414)/totalMonths *(K414-K413)+Q413,0))</f>
        <v>0</v>
      </c>
      <c r="R414">
        <f>IF(AND(MyRowHidden(ROW())=FALSE,MyRowHidden(ROW()-1)=TRUE),0,IF(M414&lt;totalMonths,(totalMonths-M414)/totalMonths *(L414-L413)+R413,0))</f>
        <v>0</v>
      </c>
    </row>
    <row r="415" spans="1:18" hidden="1" x14ac:dyDescent="0.25">
      <c r="A415" s="1"/>
      <c r="C415" s="1"/>
      <c r="D415" s="1">
        <v>41838</v>
      </c>
      <c r="E415" s="10">
        <v>2050</v>
      </c>
      <c r="F415" s="1">
        <v>41838</v>
      </c>
      <c r="G415">
        <v>-7231</v>
      </c>
      <c r="H415" s="1">
        <f t="shared" si="38"/>
        <v>41838</v>
      </c>
      <c r="I415">
        <f>IF(AND(MyRowHidden(ROW())=FALSE,MyRowHidden(ROW()-1)=TRUE),0,(E415-E414)*unitsOfDHp+I414)</f>
        <v>71750</v>
      </c>
      <c r="J415">
        <f>IF(AND(MyRowHidden(ROW())=FALSE,MyRowHidden(ROW()-1)=TRUE),0,(G415-G414)*unitsOfExo+J414)</f>
        <v>-3418416</v>
      </c>
      <c r="K415" s="9">
        <f t="shared" si="39"/>
        <v>3418416</v>
      </c>
      <c r="L415">
        <f t="shared" si="40"/>
        <v>-3346666</v>
      </c>
      <c r="M415">
        <f>IF(AND(MyRowHidden(ROW())=FALSE,MyRowHidden(ROW()-1)=TRUE),0,IF(MONTH(H415)&lt;&gt;MONTH(H414),M414+1,M414))</f>
        <v>18</v>
      </c>
      <c r="N415">
        <f>IF(AND(MyRowHidden(ROW())=FALSE,MyRowHidden(ROW()-1)=TRUE),0,IF(M415&lt;totalMonths,(totalMonths-M415)/totalMonths *(I415-I414)+N414,0))</f>
        <v>0</v>
      </c>
      <c r="P415">
        <f>IF(AND(MyRowHidden(ROW())=FALSE,MyRowHidden(ROW()-1)=TRUE),0,IF(M415&lt;totalMonths,(totalMonths-M415)/totalMonths *(J415-J414)+P414,0))</f>
        <v>0</v>
      </c>
      <c r="Q415">
        <f>IF(AND(MyRowHidden(ROW())=FALSE,MyRowHidden(ROW()-1)=TRUE),0,IF(M415&lt;totalMonths,(totalMonths-M415)/totalMonths *(K415-K414)+Q414,0))</f>
        <v>0</v>
      </c>
      <c r="R415">
        <f>IF(AND(MyRowHidden(ROW())=FALSE,MyRowHidden(ROW()-1)=TRUE),0,IF(M415&lt;totalMonths,(totalMonths-M415)/totalMonths *(L415-L414)+R414,0))</f>
        <v>0</v>
      </c>
    </row>
    <row r="416" spans="1:18" hidden="1" x14ac:dyDescent="0.25">
      <c r="A416" s="1"/>
      <c r="C416" s="1"/>
      <c r="D416" s="1">
        <v>41841</v>
      </c>
      <c r="E416" s="10">
        <v>1750</v>
      </c>
      <c r="F416" s="1">
        <v>41841</v>
      </c>
      <c r="G416">
        <v>-7581</v>
      </c>
      <c r="H416" s="1">
        <f t="shared" si="38"/>
        <v>41841</v>
      </c>
      <c r="I416">
        <f>IF(AND(MyRowHidden(ROW())=FALSE,MyRowHidden(ROW()-1)=TRUE),0,(E416-E415)*unitsOfDHp+I415)</f>
        <v>61250</v>
      </c>
      <c r="J416">
        <f>IF(AND(MyRowHidden(ROW())=FALSE,MyRowHidden(ROW()-1)=TRUE),0,(G416-G415)*unitsOfExo+J415)</f>
        <v>-3519216</v>
      </c>
      <c r="K416" s="9">
        <f t="shared" si="39"/>
        <v>3519216</v>
      </c>
      <c r="L416">
        <f t="shared" si="40"/>
        <v>-3457966</v>
      </c>
      <c r="M416">
        <f>IF(AND(MyRowHidden(ROW())=FALSE,MyRowHidden(ROW()-1)=TRUE),0,IF(MONTH(H416)&lt;&gt;MONTH(H415),M415+1,M415))</f>
        <v>18</v>
      </c>
      <c r="N416">
        <f>IF(AND(MyRowHidden(ROW())=FALSE,MyRowHidden(ROW()-1)=TRUE),0,IF(M416&lt;totalMonths,(totalMonths-M416)/totalMonths *(I416-I415)+N415,0))</f>
        <v>0</v>
      </c>
      <c r="P416">
        <f>IF(AND(MyRowHidden(ROW())=FALSE,MyRowHidden(ROW()-1)=TRUE),0,IF(M416&lt;totalMonths,(totalMonths-M416)/totalMonths *(J416-J415)+P415,0))</f>
        <v>0</v>
      </c>
      <c r="Q416">
        <f>IF(AND(MyRowHidden(ROW())=FALSE,MyRowHidden(ROW()-1)=TRUE),0,IF(M416&lt;totalMonths,(totalMonths-M416)/totalMonths *(K416-K415)+Q415,0))</f>
        <v>0</v>
      </c>
      <c r="R416">
        <f>IF(AND(MyRowHidden(ROW())=FALSE,MyRowHidden(ROW()-1)=TRUE),0,IF(M416&lt;totalMonths,(totalMonths-M416)/totalMonths *(L416-L415)+R415,0))</f>
        <v>0</v>
      </c>
    </row>
    <row r="417" spans="1:18" hidden="1" x14ac:dyDescent="0.25">
      <c r="A417" s="1"/>
      <c r="C417" s="1"/>
      <c r="D417" s="1">
        <v>41842</v>
      </c>
      <c r="E417" s="10">
        <v>1588</v>
      </c>
      <c r="F417" s="1">
        <v>41842</v>
      </c>
      <c r="G417">
        <v>-7781</v>
      </c>
      <c r="H417" s="1">
        <f t="shared" si="38"/>
        <v>41842</v>
      </c>
      <c r="I417">
        <f>IF(AND(MyRowHidden(ROW())=FALSE,MyRowHidden(ROW()-1)=TRUE),0,(E417-E416)*unitsOfDHp+I416)</f>
        <v>55580</v>
      </c>
      <c r="J417">
        <f>IF(AND(MyRowHidden(ROW())=FALSE,MyRowHidden(ROW()-1)=TRUE),0,(G417-G416)*unitsOfExo+J416)</f>
        <v>-3576816</v>
      </c>
      <c r="K417" s="9">
        <f t="shared" si="39"/>
        <v>3576816</v>
      </c>
      <c r="L417">
        <f t="shared" si="40"/>
        <v>-3521236</v>
      </c>
      <c r="M417">
        <f>IF(AND(MyRowHidden(ROW())=FALSE,MyRowHidden(ROW()-1)=TRUE),0,IF(MONTH(H417)&lt;&gt;MONTH(H416),M416+1,M416))</f>
        <v>18</v>
      </c>
      <c r="N417">
        <f>IF(AND(MyRowHidden(ROW())=FALSE,MyRowHidden(ROW()-1)=TRUE),0,IF(M417&lt;totalMonths,(totalMonths-M417)/totalMonths *(I417-I416)+N416,0))</f>
        <v>0</v>
      </c>
      <c r="P417">
        <f>IF(AND(MyRowHidden(ROW())=FALSE,MyRowHidden(ROW()-1)=TRUE),0,IF(M417&lt;totalMonths,(totalMonths-M417)/totalMonths *(J417-J416)+P416,0))</f>
        <v>0</v>
      </c>
      <c r="Q417">
        <f>IF(AND(MyRowHidden(ROW())=FALSE,MyRowHidden(ROW()-1)=TRUE),0,IF(M417&lt;totalMonths,(totalMonths-M417)/totalMonths *(K417-K416)+Q416,0))</f>
        <v>0</v>
      </c>
      <c r="R417">
        <f>IF(AND(MyRowHidden(ROW())=FALSE,MyRowHidden(ROW()-1)=TRUE),0,IF(M417&lt;totalMonths,(totalMonths-M417)/totalMonths *(L417-L416)+R416,0))</f>
        <v>0</v>
      </c>
    </row>
    <row r="418" spans="1:18" hidden="1" x14ac:dyDescent="0.25">
      <c r="A418" s="1"/>
      <c r="C418" s="1"/>
      <c r="D418" s="1">
        <v>41843</v>
      </c>
      <c r="E418" s="10">
        <v>1588</v>
      </c>
      <c r="F418" s="1">
        <v>41843</v>
      </c>
      <c r="G418">
        <v>-7731</v>
      </c>
      <c r="H418" s="1">
        <f t="shared" si="38"/>
        <v>41843</v>
      </c>
      <c r="I418">
        <f>IF(AND(MyRowHidden(ROW())=FALSE,MyRowHidden(ROW()-1)=TRUE),0,(E418-E417)*unitsOfDHp+I417)</f>
        <v>55580</v>
      </c>
      <c r="J418">
        <f>IF(AND(MyRowHidden(ROW())=FALSE,MyRowHidden(ROW()-1)=TRUE),0,(G418-G417)*unitsOfExo+J417)</f>
        <v>-3562416</v>
      </c>
      <c r="K418" s="9">
        <f t="shared" si="39"/>
        <v>3562416</v>
      </c>
      <c r="L418">
        <f t="shared" si="40"/>
        <v>-3506836</v>
      </c>
      <c r="M418">
        <f>IF(AND(MyRowHidden(ROW())=FALSE,MyRowHidden(ROW()-1)=TRUE),0,IF(MONTH(H418)&lt;&gt;MONTH(H417),M417+1,M417))</f>
        <v>18</v>
      </c>
      <c r="N418">
        <f>IF(AND(MyRowHidden(ROW())=FALSE,MyRowHidden(ROW()-1)=TRUE),0,IF(M418&lt;totalMonths,(totalMonths-M418)/totalMonths *(I418-I417)+N417,0))</f>
        <v>0</v>
      </c>
      <c r="P418">
        <f>IF(AND(MyRowHidden(ROW())=FALSE,MyRowHidden(ROW()-1)=TRUE),0,IF(M418&lt;totalMonths,(totalMonths-M418)/totalMonths *(J418-J417)+P417,0))</f>
        <v>0</v>
      </c>
      <c r="Q418">
        <f>IF(AND(MyRowHidden(ROW())=FALSE,MyRowHidden(ROW()-1)=TRUE),0,IF(M418&lt;totalMonths,(totalMonths-M418)/totalMonths *(K418-K417)+Q417,0))</f>
        <v>0</v>
      </c>
      <c r="R418">
        <f>IF(AND(MyRowHidden(ROW())=FALSE,MyRowHidden(ROW()-1)=TRUE),0,IF(M418&lt;totalMonths,(totalMonths-M418)/totalMonths *(L418-L417)+R417,0))</f>
        <v>0</v>
      </c>
    </row>
    <row r="419" spans="1:18" hidden="1" x14ac:dyDescent="0.25">
      <c r="A419" s="1"/>
      <c r="C419" s="1"/>
      <c r="D419" s="1">
        <v>41844</v>
      </c>
      <c r="E419" s="10">
        <v>1550</v>
      </c>
      <c r="F419" s="1">
        <v>41844</v>
      </c>
      <c r="G419">
        <v>-7806</v>
      </c>
      <c r="H419" s="1">
        <f t="shared" si="38"/>
        <v>41844</v>
      </c>
      <c r="I419">
        <f>IF(AND(MyRowHidden(ROW())=FALSE,MyRowHidden(ROW()-1)=TRUE),0,(E419-E418)*unitsOfDHp+I418)</f>
        <v>54250</v>
      </c>
      <c r="J419">
        <f>IF(AND(MyRowHidden(ROW())=FALSE,MyRowHidden(ROW()-1)=TRUE),0,(G419-G418)*unitsOfExo+J418)</f>
        <v>-3584016</v>
      </c>
      <c r="K419" s="9">
        <f t="shared" si="39"/>
        <v>3584016</v>
      </c>
      <c r="L419">
        <f t="shared" si="40"/>
        <v>-3529766</v>
      </c>
      <c r="M419">
        <f>IF(AND(MyRowHidden(ROW())=FALSE,MyRowHidden(ROW()-1)=TRUE),0,IF(MONTH(H419)&lt;&gt;MONTH(H418),M418+1,M418))</f>
        <v>18</v>
      </c>
      <c r="N419">
        <f>IF(AND(MyRowHidden(ROW())=FALSE,MyRowHidden(ROW()-1)=TRUE),0,IF(M419&lt;totalMonths,(totalMonths-M419)/totalMonths *(I419-I418)+N418,0))</f>
        <v>0</v>
      </c>
      <c r="P419">
        <f>IF(AND(MyRowHidden(ROW())=FALSE,MyRowHidden(ROW()-1)=TRUE),0,IF(M419&lt;totalMonths,(totalMonths-M419)/totalMonths *(J419-J418)+P418,0))</f>
        <v>0</v>
      </c>
      <c r="Q419">
        <f>IF(AND(MyRowHidden(ROW())=FALSE,MyRowHidden(ROW()-1)=TRUE),0,IF(M419&lt;totalMonths,(totalMonths-M419)/totalMonths *(K419-K418)+Q418,0))</f>
        <v>0</v>
      </c>
      <c r="R419">
        <f>IF(AND(MyRowHidden(ROW())=FALSE,MyRowHidden(ROW()-1)=TRUE),0,IF(M419&lt;totalMonths,(totalMonths-M419)/totalMonths *(L419-L418)+R418,0))</f>
        <v>0</v>
      </c>
    </row>
    <row r="420" spans="1:18" hidden="1" x14ac:dyDescent="0.25">
      <c r="A420" s="1"/>
      <c r="C420" s="1"/>
      <c r="D420" s="1">
        <v>41845</v>
      </c>
      <c r="E420" s="10">
        <v>1625</v>
      </c>
      <c r="F420" s="1">
        <v>41845</v>
      </c>
      <c r="G420">
        <v>-7718.5</v>
      </c>
      <c r="H420" s="1">
        <f t="shared" si="38"/>
        <v>41845</v>
      </c>
      <c r="I420">
        <f>IF(AND(MyRowHidden(ROW())=FALSE,MyRowHidden(ROW()-1)=TRUE),0,(E420-E419)*unitsOfDHp+I419)</f>
        <v>56875</v>
      </c>
      <c r="J420">
        <f>IF(AND(MyRowHidden(ROW())=FALSE,MyRowHidden(ROW()-1)=TRUE),0,(G420-G419)*unitsOfExo+J419)</f>
        <v>-3558816</v>
      </c>
      <c r="K420" s="9">
        <f t="shared" si="39"/>
        <v>3558816</v>
      </c>
      <c r="L420">
        <f t="shared" si="40"/>
        <v>-3501941</v>
      </c>
      <c r="M420">
        <f>IF(AND(MyRowHidden(ROW())=FALSE,MyRowHidden(ROW()-1)=TRUE),0,IF(MONTH(H420)&lt;&gt;MONTH(H419),M419+1,M419))</f>
        <v>18</v>
      </c>
      <c r="N420">
        <f>IF(AND(MyRowHidden(ROW())=FALSE,MyRowHidden(ROW()-1)=TRUE),0,IF(M420&lt;totalMonths,(totalMonths-M420)/totalMonths *(I420-I419)+N419,0))</f>
        <v>0</v>
      </c>
      <c r="P420">
        <f>IF(AND(MyRowHidden(ROW())=FALSE,MyRowHidden(ROW()-1)=TRUE),0,IF(M420&lt;totalMonths,(totalMonths-M420)/totalMonths *(J420-J419)+P419,0))</f>
        <v>0</v>
      </c>
      <c r="Q420">
        <f>IF(AND(MyRowHidden(ROW())=FALSE,MyRowHidden(ROW()-1)=TRUE),0,IF(M420&lt;totalMonths,(totalMonths-M420)/totalMonths *(K420-K419)+Q419,0))</f>
        <v>0</v>
      </c>
      <c r="R420">
        <f>IF(AND(MyRowHidden(ROW())=FALSE,MyRowHidden(ROW()-1)=TRUE),0,IF(M420&lt;totalMonths,(totalMonths-M420)/totalMonths *(L420-L419)+R419,0))</f>
        <v>0</v>
      </c>
    </row>
    <row r="421" spans="1:18" hidden="1" x14ac:dyDescent="0.25">
      <c r="A421" s="1"/>
      <c r="C421" s="1"/>
      <c r="D421" s="1">
        <v>41848</v>
      </c>
      <c r="E421" s="10">
        <v>1838</v>
      </c>
      <c r="F421" s="1">
        <v>41848</v>
      </c>
      <c r="G421">
        <v>-7431</v>
      </c>
      <c r="H421" s="1">
        <f t="shared" si="38"/>
        <v>41848</v>
      </c>
      <c r="I421">
        <f>IF(AND(MyRowHidden(ROW())=FALSE,MyRowHidden(ROW()-1)=TRUE),0,(E421-E420)*unitsOfDHp+I420)</f>
        <v>64330</v>
      </c>
      <c r="J421">
        <f>IF(AND(MyRowHidden(ROW())=FALSE,MyRowHidden(ROW()-1)=TRUE),0,(G421-G420)*unitsOfExo+J420)</f>
        <v>-3476016</v>
      </c>
      <c r="K421" s="9">
        <f t="shared" si="39"/>
        <v>3476016</v>
      </c>
      <c r="L421">
        <f t="shared" si="40"/>
        <v>-3411686</v>
      </c>
      <c r="M421">
        <f>IF(AND(MyRowHidden(ROW())=FALSE,MyRowHidden(ROW()-1)=TRUE),0,IF(MONTH(H421)&lt;&gt;MONTH(H420),M420+1,M420))</f>
        <v>18</v>
      </c>
      <c r="N421">
        <f>IF(AND(MyRowHidden(ROW())=FALSE,MyRowHidden(ROW()-1)=TRUE),0,IF(M421&lt;totalMonths,(totalMonths-M421)/totalMonths *(I421-I420)+N420,0))</f>
        <v>0</v>
      </c>
      <c r="P421">
        <f>IF(AND(MyRowHidden(ROW())=FALSE,MyRowHidden(ROW()-1)=TRUE),0,IF(M421&lt;totalMonths,(totalMonths-M421)/totalMonths *(J421-J420)+P420,0))</f>
        <v>0</v>
      </c>
      <c r="Q421">
        <f>IF(AND(MyRowHidden(ROW())=FALSE,MyRowHidden(ROW()-1)=TRUE),0,IF(M421&lt;totalMonths,(totalMonths-M421)/totalMonths *(K421-K420)+Q420,0))</f>
        <v>0</v>
      </c>
      <c r="R421">
        <f>IF(AND(MyRowHidden(ROW())=FALSE,MyRowHidden(ROW()-1)=TRUE),0,IF(M421&lt;totalMonths,(totalMonths-M421)/totalMonths *(L421-L420)+R420,0))</f>
        <v>0</v>
      </c>
    </row>
    <row r="422" spans="1:18" hidden="1" x14ac:dyDescent="0.25">
      <c r="A422" s="1"/>
      <c r="C422" s="1"/>
      <c r="D422" s="1">
        <v>41849</v>
      </c>
      <c r="E422" s="10">
        <v>1563</v>
      </c>
      <c r="F422" s="1">
        <v>41849</v>
      </c>
      <c r="G422">
        <v>-7781</v>
      </c>
      <c r="H422" s="1">
        <f t="shared" si="38"/>
        <v>41849</v>
      </c>
      <c r="I422">
        <f>IF(AND(MyRowHidden(ROW())=FALSE,MyRowHidden(ROW()-1)=TRUE),0,(E422-E421)*unitsOfDHp+I421)</f>
        <v>54705</v>
      </c>
      <c r="J422">
        <f>IF(AND(MyRowHidden(ROW())=FALSE,MyRowHidden(ROW()-1)=TRUE),0,(G422-G421)*unitsOfExo+J421)</f>
        <v>-3576816</v>
      </c>
      <c r="K422" s="9">
        <f t="shared" si="39"/>
        <v>3576816</v>
      </c>
      <c r="L422">
        <f t="shared" si="40"/>
        <v>-3522111</v>
      </c>
      <c r="M422">
        <f>IF(AND(MyRowHidden(ROW())=FALSE,MyRowHidden(ROW()-1)=TRUE),0,IF(MONTH(H422)&lt;&gt;MONTH(H421),M421+1,M421))</f>
        <v>18</v>
      </c>
      <c r="N422">
        <f>IF(AND(MyRowHidden(ROW())=FALSE,MyRowHidden(ROW()-1)=TRUE),0,IF(M422&lt;totalMonths,(totalMonths-M422)/totalMonths *(I422-I421)+N421,0))</f>
        <v>0</v>
      </c>
      <c r="P422">
        <f>IF(AND(MyRowHidden(ROW())=FALSE,MyRowHidden(ROW()-1)=TRUE),0,IF(M422&lt;totalMonths,(totalMonths-M422)/totalMonths *(J422-J421)+P421,0))</f>
        <v>0</v>
      </c>
      <c r="Q422">
        <f>IF(AND(MyRowHidden(ROW())=FALSE,MyRowHidden(ROW()-1)=TRUE),0,IF(M422&lt;totalMonths,(totalMonths-M422)/totalMonths *(K422-K421)+Q421,0))</f>
        <v>0</v>
      </c>
      <c r="R422">
        <f>IF(AND(MyRowHidden(ROW())=FALSE,MyRowHidden(ROW()-1)=TRUE),0,IF(M422&lt;totalMonths,(totalMonths-M422)/totalMonths *(L422-L421)+R421,0))</f>
        <v>0</v>
      </c>
    </row>
    <row r="423" spans="1:18" hidden="1" x14ac:dyDescent="0.25">
      <c r="A423" s="1"/>
      <c r="C423" s="1"/>
      <c r="D423" s="1">
        <v>41850</v>
      </c>
      <c r="E423" s="10">
        <v>1476</v>
      </c>
      <c r="F423" s="1">
        <v>41850</v>
      </c>
      <c r="G423">
        <v>-7806</v>
      </c>
      <c r="H423" s="1">
        <f t="shared" si="38"/>
        <v>41850</v>
      </c>
      <c r="I423">
        <f>IF(AND(MyRowHidden(ROW())=FALSE,MyRowHidden(ROW()-1)=TRUE),0,(E423-E422)*unitsOfDHp+I422)</f>
        <v>51660</v>
      </c>
      <c r="J423">
        <f>IF(AND(MyRowHidden(ROW())=FALSE,MyRowHidden(ROW()-1)=TRUE),0,(G423-G422)*unitsOfExo+J422)</f>
        <v>-3584016</v>
      </c>
      <c r="K423" s="9">
        <f t="shared" si="39"/>
        <v>3584016</v>
      </c>
      <c r="L423">
        <f t="shared" si="40"/>
        <v>-3532356</v>
      </c>
      <c r="M423">
        <f>IF(AND(MyRowHidden(ROW())=FALSE,MyRowHidden(ROW()-1)=TRUE),0,IF(MONTH(H423)&lt;&gt;MONTH(H422),M422+1,M422))</f>
        <v>18</v>
      </c>
      <c r="N423">
        <f>IF(AND(MyRowHidden(ROW())=FALSE,MyRowHidden(ROW()-1)=TRUE),0,IF(M423&lt;totalMonths,(totalMonths-M423)/totalMonths *(I423-I422)+N422,0))</f>
        <v>0</v>
      </c>
      <c r="P423">
        <f>IF(AND(MyRowHidden(ROW())=FALSE,MyRowHidden(ROW()-1)=TRUE),0,IF(M423&lt;totalMonths,(totalMonths-M423)/totalMonths *(J423-J422)+P422,0))</f>
        <v>0</v>
      </c>
      <c r="Q423">
        <f>IF(AND(MyRowHidden(ROW())=FALSE,MyRowHidden(ROW()-1)=TRUE),0,IF(M423&lt;totalMonths,(totalMonths-M423)/totalMonths *(K423-K422)+Q422,0))</f>
        <v>0</v>
      </c>
      <c r="R423">
        <f>IF(AND(MyRowHidden(ROW())=FALSE,MyRowHidden(ROW()-1)=TRUE),0,IF(M423&lt;totalMonths,(totalMonths-M423)/totalMonths *(L423-L422)+R422,0))</f>
        <v>0</v>
      </c>
    </row>
    <row r="424" spans="1:18" hidden="1" x14ac:dyDescent="0.25">
      <c r="A424" s="1"/>
      <c r="C424" s="1"/>
      <c r="D424" s="1">
        <v>41851</v>
      </c>
      <c r="E424" s="10">
        <v>1364</v>
      </c>
      <c r="F424" s="1">
        <v>41851</v>
      </c>
      <c r="G424">
        <v>-7943.5</v>
      </c>
      <c r="H424" s="1">
        <f t="shared" si="38"/>
        <v>41851</v>
      </c>
      <c r="I424">
        <f>IF(AND(MyRowHidden(ROW())=FALSE,MyRowHidden(ROW()-1)=TRUE),0,(E424-E423)*unitsOfDHp+I423)</f>
        <v>47740</v>
      </c>
      <c r="J424">
        <f>IF(AND(MyRowHidden(ROW())=FALSE,MyRowHidden(ROW()-1)=TRUE),0,(G424-G423)*unitsOfExo+J423)</f>
        <v>-3623616</v>
      </c>
      <c r="K424" s="9">
        <f t="shared" si="39"/>
        <v>3623616</v>
      </c>
      <c r="L424">
        <f t="shared" si="40"/>
        <v>-3575876</v>
      </c>
      <c r="M424">
        <f>IF(AND(MyRowHidden(ROW())=FALSE,MyRowHidden(ROW()-1)=TRUE),0,IF(MONTH(H424)&lt;&gt;MONTH(H423),M423+1,M423))</f>
        <v>18</v>
      </c>
      <c r="N424">
        <f>IF(AND(MyRowHidden(ROW())=FALSE,MyRowHidden(ROW()-1)=TRUE),0,IF(M424&lt;totalMonths,(totalMonths-M424)/totalMonths *(I424-I423)+N423,0))</f>
        <v>0</v>
      </c>
      <c r="P424">
        <f>IF(AND(MyRowHidden(ROW())=FALSE,MyRowHidden(ROW()-1)=TRUE),0,IF(M424&lt;totalMonths,(totalMonths-M424)/totalMonths *(J424-J423)+P423,0))</f>
        <v>0</v>
      </c>
      <c r="Q424">
        <f>IF(AND(MyRowHidden(ROW())=FALSE,MyRowHidden(ROW()-1)=TRUE),0,IF(M424&lt;totalMonths,(totalMonths-M424)/totalMonths *(K424-K423)+Q423,0))</f>
        <v>0</v>
      </c>
      <c r="R424">
        <f>IF(AND(MyRowHidden(ROW())=FALSE,MyRowHidden(ROW()-1)=TRUE),0,IF(M424&lt;totalMonths,(totalMonths-M424)/totalMonths *(L424-L423)+R423,0))</f>
        <v>0</v>
      </c>
    </row>
    <row r="425" spans="1:18" hidden="1" x14ac:dyDescent="0.25">
      <c r="A425" s="1"/>
      <c r="C425" s="1"/>
      <c r="D425" s="1">
        <v>41852</v>
      </c>
      <c r="E425" s="10">
        <v>1214</v>
      </c>
      <c r="F425" s="1">
        <v>41852</v>
      </c>
      <c r="G425">
        <v>-8131</v>
      </c>
      <c r="H425" s="1">
        <f t="shared" si="38"/>
        <v>41852</v>
      </c>
      <c r="I425">
        <f>IF(AND(MyRowHidden(ROW())=FALSE,MyRowHidden(ROW()-1)=TRUE),0,(E425-E424)*unitsOfDHp+I424)</f>
        <v>42490</v>
      </c>
      <c r="J425">
        <f>IF(AND(MyRowHidden(ROW())=FALSE,MyRowHidden(ROW()-1)=TRUE),0,(G425-G424)*unitsOfExo+J424)</f>
        <v>-3677616</v>
      </c>
      <c r="K425" s="9">
        <f t="shared" si="39"/>
        <v>3677616</v>
      </c>
      <c r="L425">
        <f t="shared" si="40"/>
        <v>-3635126</v>
      </c>
      <c r="M425">
        <f>IF(AND(MyRowHidden(ROW())=FALSE,MyRowHidden(ROW()-1)=TRUE),0,IF(MONTH(H425)&lt;&gt;MONTH(H424),M424+1,M424))</f>
        <v>19</v>
      </c>
      <c r="N425">
        <f>IF(AND(MyRowHidden(ROW())=FALSE,MyRowHidden(ROW()-1)=TRUE),0,IF(M425&lt;totalMonths,(totalMonths-M425)/totalMonths *(I425-I424)+N424,0))</f>
        <v>0</v>
      </c>
      <c r="P425">
        <f>IF(AND(MyRowHidden(ROW())=FALSE,MyRowHidden(ROW()-1)=TRUE),0,IF(M425&lt;totalMonths,(totalMonths-M425)/totalMonths *(J425-J424)+P424,0))</f>
        <v>0</v>
      </c>
      <c r="Q425">
        <f>IF(AND(MyRowHidden(ROW())=FALSE,MyRowHidden(ROW()-1)=TRUE),0,IF(M425&lt;totalMonths,(totalMonths-M425)/totalMonths *(K425-K424)+Q424,0))</f>
        <v>0</v>
      </c>
      <c r="R425">
        <f>IF(AND(MyRowHidden(ROW())=FALSE,MyRowHidden(ROW()-1)=TRUE),0,IF(M425&lt;totalMonths,(totalMonths-M425)/totalMonths *(L425-L424)+R424,0))</f>
        <v>0</v>
      </c>
    </row>
    <row r="426" spans="1:18" hidden="1" x14ac:dyDescent="0.25">
      <c r="A426" s="1"/>
      <c r="C426" s="1"/>
      <c r="D426" s="1">
        <v>41855</v>
      </c>
      <c r="E426" s="10">
        <v>1376</v>
      </c>
      <c r="F426" s="1">
        <v>41855</v>
      </c>
      <c r="G426">
        <v>-7868.5</v>
      </c>
      <c r="H426" s="1">
        <f t="shared" si="38"/>
        <v>41855</v>
      </c>
      <c r="I426">
        <f>IF(AND(MyRowHidden(ROW())=FALSE,MyRowHidden(ROW()-1)=TRUE),0,(E426-E425)*unitsOfDHp+I425)</f>
        <v>48160</v>
      </c>
      <c r="J426">
        <f>IF(AND(MyRowHidden(ROW())=FALSE,MyRowHidden(ROW()-1)=TRUE),0,(G426-G425)*unitsOfExo+J425)</f>
        <v>-3602016</v>
      </c>
      <c r="K426" s="9">
        <f t="shared" si="39"/>
        <v>3602016</v>
      </c>
      <c r="L426">
        <f t="shared" si="40"/>
        <v>-3553856</v>
      </c>
      <c r="M426">
        <f>IF(AND(MyRowHidden(ROW())=FALSE,MyRowHidden(ROW()-1)=TRUE),0,IF(MONTH(H426)&lt;&gt;MONTH(H425),M425+1,M425))</f>
        <v>19</v>
      </c>
      <c r="N426">
        <f>IF(AND(MyRowHidden(ROW())=FALSE,MyRowHidden(ROW()-1)=TRUE),0,IF(M426&lt;totalMonths,(totalMonths-M426)/totalMonths *(I426-I425)+N425,0))</f>
        <v>0</v>
      </c>
      <c r="P426">
        <f>IF(AND(MyRowHidden(ROW())=FALSE,MyRowHidden(ROW()-1)=TRUE),0,IF(M426&lt;totalMonths,(totalMonths-M426)/totalMonths *(J426-J425)+P425,0))</f>
        <v>0</v>
      </c>
      <c r="Q426">
        <f>IF(AND(MyRowHidden(ROW())=FALSE,MyRowHidden(ROW()-1)=TRUE),0,IF(M426&lt;totalMonths,(totalMonths-M426)/totalMonths *(K426-K425)+Q425,0))</f>
        <v>0</v>
      </c>
      <c r="R426">
        <f>IF(AND(MyRowHidden(ROW())=FALSE,MyRowHidden(ROW()-1)=TRUE),0,IF(M426&lt;totalMonths,(totalMonths-M426)/totalMonths *(L426-L425)+R425,0))</f>
        <v>0</v>
      </c>
    </row>
    <row r="427" spans="1:18" hidden="1" x14ac:dyDescent="0.25">
      <c r="A427" s="1"/>
      <c r="C427" s="1"/>
      <c r="D427" s="1">
        <v>41856</v>
      </c>
      <c r="E427" s="10">
        <v>1376</v>
      </c>
      <c r="F427" s="1">
        <v>41856</v>
      </c>
      <c r="G427">
        <v>-8093.5</v>
      </c>
      <c r="H427" s="1">
        <f t="shared" si="38"/>
        <v>41856</v>
      </c>
      <c r="I427">
        <f>IF(AND(MyRowHidden(ROW())=FALSE,MyRowHidden(ROW()-1)=TRUE),0,(E427-E426)*unitsOfDHp+I426)</f>
        <v>48160</v>
      </c>
      <c r="J427">
        <f>IF(AND(MyRowHidden(ROW())=FALSE,MyRowHidden(ROW()-1)=TRUE),0,(G427-G426)*unitsOfExo+J426)</f>
        <v>-3666816</v>
      </c>
      <c r="K427" s="9">
        <f t="shared" si="39"/>
        <v>3666816</v>
      </c>
      <c r="L427">
        <f t="shared" si="40"/>
        <v>-3618656</v>
      </c>
      <c r="M427">
        <f>IF(AND(MyRowHidden(ROW())=FALSE,MyRowHidden(ROW()-1)=TRUE),0,IF(MONTH(H427)&lt;&gt;MONTH(H426),M426+1,M426))</f>
        <v>19</v>
      </c>
      <c r="N427">
        <f>IF(AND(MyRowHidden(ROW())=FALSE,MyRowHidden(ROW()-1)=TRUE),0,IF(M427&lt;totalMonths,(totalMonths-M427)/totalMonths *(I427-I426)+N426,0))</f>
        <v>0</v>
      </c>
      <c r="P427">
        <f>IF(AND(MyRowHidden(ROW())=FALSE,MyRowHidden(ROW()-1)=TRUE),0,IF(M427&lt;totalMonths,(totalMonths-M427)/totalMonths *(J427-J426)+P426,0))</f>
        <v>0</v>
      </c>
      <c r="Q427">
        <f>IF(AND(MyRowHidden(ROW())=FALSE,MyRowHidden(ROW()-1)=TRUE),0,IF(M427&lt;totalMonths,(totalMonths-M427)/totalMonths *(K427-K426)+Q426,0))</f>
        <v>0</v>
      </c>
      <c r="R427">
        <f>IF(AND(MyRowHidden(ROW())=FALSE,MyRowHidden(ROW()-1)=TRUE),0,IF(M427&lt;totalMonths,(totalMonths-M427)/totalMonths *(L427-L426)+R426,0))</f>
        <v>0</v>
      </c>
    </row>
    <row r="428" spans="1:18" hidden="1" x14ac:dyDescent="0.25">
      <c r="A428" s="1"/>
      <c r="C428" s="1"/>
      <c r="D428" s="1">
        <v>41857</v>
      </c>
      <c r="E428" s="10">
        <v>1376</v>
      </c>
      <c r="F428" s="1">
        <v>41857</v>
      </c>
      <c r="G428">
        <v>-7743.5</v>
      </c>
      <c r="H428" s="1">
        <f t="shared" si="38"/>
        <v>41857</v>
      </c>
      <c r="I428">
        <f>IF(AND(MyRowHidden(ROW())=FALSE,MyRowHidden(ROW()-1)=TRUE),0,(E428-E427)*unitsOfDHp+I427)</f>
        <v>48160</v>
      </c>
      <c r="J428">
        <f>IF(AND(MyRowHidden(ROW())=FALSE,MyRowHidden(ROW()-1)=TRUE),0,(G428-G427)*unitsOfExo+J427)</f>
        <v>-3566016</v>
      </c>
      <c r="K428" s="9">
        <f t="shared" si="39"/>
        <v>3566016</v>
      </c>
      <c r="L428">
        <f t="shared" si="40"/>
        <v>-3517856</v>
      </c>
      <c r="M428">
        <f>IF(AND(MyRowHidden(ROW())=FALSE,MyRowHidden(ROW()-1)=TRUE),0,IF(MONTH(H428)&lt;&gt;MONTH(H427),M427+1,M427))</f>
        <v>19</v>
      </c>
      <c r="N428">
        <f>IF(AND(MyRowHidden(ROW())=FALSE,MyRowHidden(ROW()-1)=TRUE),0,IF(M428&lt;totalMonths,(totalMonths-M428)/totalMonths *(I428-I427)+N427,0))</f>
        <v>0</v>
      </c>
      <c r="P428">
        <f>IF(AND(MyRowHidden(ROW())=FALSE,MyRowHidden(ROW()-1)=TRUE),0,IF(M428&lt;totalMonths,(totalMonths-M428)/totalMonths *(J428-J427)+P427,0))</f>
        <v>0</v>
      </c>
      <c r="Q428">
        <f>IF(AND(MyRowHidden(ROW())=FALSE,MyRowHidden(ROW()-1)=TRUE),0,IF(M428&lt;totalMonths,(totalMonths-M428)/totalMonths *(K428-K427)+Q427,0))</f>
        <v>0</v>
      </c>
      <c r="R428">
        <f>IF(AND(MyRowHidden(ROW())=FALSE,MyRowHidden(ROW()-1)=TRUE),0,IF(M428&lt;totalMonths,(totalMonths-M428)/totalMonths *(L428-L427)+R427,0))</f>
        <v>0</v>
      </c>
    </row>
    <row r="429" spans="1:18" hidden="1" x14ac:dyDescent="0.25">
      <c r="A429" s="1"/>
      <c r="C429" s="1"/>
      <c r="D429" s="1">
        <v>41858</v>
      </c>
      <c r="E429" s="10">
        <v>1376</v>
      </c>
      <c r="F429" s="1">
        <v>41858</v>
      </c>
      <c r="G429">
        <v>-7943.5</v>
      </c>
      <c r="H429" s="1">
        <f t="shared" si="38"/>
        <v>41858</v>
      </c>
      <c r="I429">
        <f>IF(AND(MyRowHidden(ROW())=FALSE,MyRowHidden(ROW()-1)=TRUE),0,(E429-E428)*unitsOfDHp+I428)</f>
        <v>48160</v>
      </c>
      <c r="J429">
        <f>IF(AND(MyRowHidden(ROW())=FALSE,MyRowHidden(ROW()-1)=TRUE),0,(G429-G428)*unitsOfExo+J428)</f>
        <v>-3623616</v>
      </c>
      <c r="K429" s="9">
        <f t="shared" si="39"/>
        <v>3623616</v>
      </c>
      <c r="L429">
        <f t="shared" si="40"/>
        <v>-3575456</v>
      </c>
      <c r="M429">
        <f>IF(AND(MyRowHidden(ROW())=FALSE,MyRowHidden(ROW()-1)=TRUE),0,IF(MONTH(H429)&lt;&gt;MONTH(H428),M428+1,M428))</f>
        <v>19</v>
      </c>
      <c r="N429">
        <f>IF(AND(MyRowHidden(ROW())=FALSE,MyRowHidden(ROW()-1)=TRUE),0,IF(M429&lt;totalMonths,(totalMonths-M429)/totalMonths *(I429-I428)+N428,0))</f>
        <v>0</v>
      </c>
      <c r="P429">
        <f>IF(AND(MyRowHidden(ROW())=FALSE,MyRowHidden(ROW()-1)=TRUE),0,IF(M429&lt;totalMonths,(totalMonths-M429)/totalMonths *(J429-J428)+P428,0))</f>
        <v>0</v>
      </c>
      <c r="Q429">
        <f>IF(AND(MyRowHidden(ROW())=FALSE,MyRowHidden(ROW()-1)=TRUE),0,IF(M429&lt;totalMonths,(totalMonths-M429)/totalMonths *(K429-K428)+Q428,0))</f>
        <v>0</v>
      </c>
      <c r="R429">
        <f>IF(AND(MyRowHidden(ROW())=FALSE,MyRowHidden(ROW()-1)=TRUE),0,IF(M429&lt;totalMonths,(totalMonths-M429)/totalMonths *(L429-L428)+R428,0))</f>
        <v>0</v>
      </c>
    </row>
    <row r="430" spans="1:18" hidden="1" x14ac:dyDescent="0.25">
      <c r="A430" s="1"/>
      <c r="C430" s="1"/>
      <c r="D430" s="1">
        <v>41859</v>
      </c>
      <c r="E430" s="10">
        <v>1376</v>
      </c>
      <c r="F430" s="1">
        <v>41859</v>
      </c>
      <c r="G430">
        <v>-8231</v>
      </c>
      <c r="H430" s="1">
        <f t="shared" si="38"/>
        <v>41859</v>
      </c>
      <c r="I430">
        <f>IF(AND(MyRowHidden(ROW())=FALSE,MyRowHidden(ROW()-1)=TRUE),0,(E430-E429)*unitsOfDHp+I429)</f>
        <v>48160</v>
      </c>
      <c r="J430">
        <f>IF(AND(MyRowHidden(ROW())=FALSE,MyRowHidden(ROW()-1)=TRUE),0,(G430-G429)*unitsOfExo+J429)</f>
        <v>-3706416</v>
      </c>
      <c r="K430" s="9">
        <f t="shared" si="39"/>
        <v>3706416</v>
      </c>
      <c r="L430">
        <f t="shared" si="40"/>
        <v>-3658256</v>
      </c>
      <c r="M430">
        <f>IF(AND(MyRowHidden(ROW())=FALSE,MyRowHidden(ROW()-1)=TRUE),0,IF(MONTH(H430)&lt;&gt;MONTH(H429),M429+1,M429))</f>
        <v>19</v>
      </c>
      <c r="N430">
        <f>IF(AND(MyRowHidden(ROW())=FALSE,MyRowHidden(ROW()-1)=TRUE),0,IF(M430&lt;totalMonths,(totalMonths-M430)/totalMonths *(I430-I429)+N429,0))</f>
        <v>0</v>
      </c>
      <c r="P430">
        <f>IF(AND(MyRowHidden(ROW())=FALSE,MyRowHidden(ROW()-1)=TRUE),0,IF(M430&lt;totalMonths,(totalMonths-M430)/totalMonths *(J430-J429)+P429,0))</f>
        <v>0</v>
      </c>
      <c r="Q430">
        <f>IF(AND(MyRowHidden(ROW())=FALSE,MyRowHidden(ROW()-1)=TRUE),0,IF(M430&lt;totalMonths,(totalMonths-M430)/totalMonths *(K430-K429)+Q429,0))</f>
        <v>0</v>
      </c>
      <c r="R430">
        <f>IF(AND(MyRowHidden(ROW())=FALSE,MyRowHidden(ROW()-1)=TRUE),0,IF(M430&lt;totalMonths,(totalMonths-M430)/totalMonths *(L430-L429)+R429,0))</f>
        <v>0</v>
      </c>
    </row>
    <row r="431" spans="1:18" hidden="1" x14ac:dyDescent="0.25">
      <c r="A431" s="1"/>
      <c r="C431" s="1"/>
      <c r="D431" s="1">
        <v>41862</v>
      </c>
      <c r="E431" s="10">
        <v>1376</v>
      </c>
      <c r="F431" s="1">
        <v>41862</v>
      </c>
      <c r="G431">
        <v>-8056</v>
      </c>
      <c r="H431" s="1">
        <f t="shared" si="38"/>
        <v>41862</v>
      </c>
      <c r="I431">
        <f>IF(AND(MyRowHidden(ROW())=FALSE,MyRowHidden(ROW()-1)=TRUE),0,(E431-E430)*unitsOfDHp+I430)</f>
        <v>48160</v>
      </c>
      <c r="J431">
        <f>IF(AND(MyRowHidden(ROW())=FALSE,MyRowHidden(ROW()-1)=TRUE),0,(G431-G430)*unitsOfExo+J430)</f>
        <v>-3656016</v>
      </c>
      <c r="K431" s="9">
        <f t="shared" si="39"/>
        <v>3656016</v>
      </c>
      <c r="L431">
        <f t="shared" si="40"/>
        <v>-3607856</v>
      </c>
      <c r="M431">
        <f>IF(AND(MyRowHidden(ROW())=FALSE,MyRowHidden(ROW()-1)=TRUE),0,IF(MONTH(H431)&lt;&gt;MONTH(H430),M430+1,M430))</f>
        <v>19</v>
      </c>
      <c r="N431">
        <f>IF(AND(MyRowHidden(ROW())=FALSE,MyRowHidden(ROW()-1)=TRUE),0,IF(M431&lt;totalMonths,(totalMonths-M431)/totalMonths *(I431-I430)+N430,0))</f>
        <v>0</v>
      </c>
      <c r="P431">
        <f>IF(AND(MyRowHidden(ROW())=FALSE,MyRowHidden(ROW()-1)=TRUE),0,IF(M431&lt;totalMonths,(totalMonths-M431)/totalMonths *(J431-J430)+P430,0))</f>
        <v>0</v>
      </c>
      <c r="Q431">
        <f>IF(AND(MyRowHidden(ROW())=FALSE,MyRowHidden(ROW()-1)=TRUE),0,IF(M431&lt;totalMonths,(totalMonths-M431)/totalMonths *(K431-K430)+Q430,0))</f>
        <v>0</v>
      </c>
      <c r="R431">
        <f>IF(AND(MyRowHidden(ROW())=FALSE,MyRowHidden(ROW()-1)=TRUE),0,IF(M431&lt;totalMonths,(totalMonths-M431)/totalMonths *(L431-L430)+R430,0))</f>
        <v>0</v>
      </c>
    </row>
    <row r="432" spans="1:18" hidden="1" x14ac:dyDescent="0.25">
      <c r="A432" s="1"/>
      <c r="C432" s="1"/>
      <c r="D432" s="1">
        <v>41863</v>
      </c>
      <c r="E432" s="10">
        <v>1376</v>
      </c>
      <c r="F432" s="1">
        <v>41863</v>
      </c>
      <c r="G432">
        <v>-7881</v>
      </c>
      <c r="H432" s="1">
        <f t="shared" si="38"/>
        <v>41863</v>
      </c>
      <c r="I432">
        <f>IF(AND(MyRowHidden(ROW())=FALSE,MyRowHidden(ROW()-1)=TRUE),0,(E432-E431)*unitsOfDHp+I431)</f>
        <v>48160</v>
      </c>
      <c r="J432">
        <f>IF(AND(MyRowHidden(ROW())=FALSE,MyRowHidden(ROW()-1)=TRUE),0,(G432-G431)*unitsOfExo+J431)</f>
        <v>-3605616</v>
      </c>
      <c r="K432" s="9">
        <f t="shared" si="39"/>
        <v>3605616</v>
      </c>
      <c r="L432">
        <f t="shared" si="40"/>
        <v>-3557456</v>
      </c>
      <c r="M432">
        <f>IF(AND(MyRowHidden(ROW())=FALSE,MyRowHidden(ROW()-1)=TRUE),0,IF(MONTH(H432)&lt;&gt;MONTH(H431),M431+1,M431))</f>
        <v>19</v>
      </c>
      <c r="N432">
        <f>IF(AND(MyRowHidden(ROW())=FALSE,MyRowHidden(ROW()-1)=TRUE),0,IF(M432&lt;totalMonths,(totalMonths-M432)/totalMonths *(I432-I431)+N431,0))</f>
        <v>0</v>
      </c>
      <c r="P432">
        <f>IF(AND(MyRowHidden(ROW())=FALSE,MyRowHidden(ROW()-1)=TRUE),0,IF(M432&lt;totalMonths,(totalMonths-M432)/totalMonths *(J432-J431)+P431,0))</f>
        <v>0</v>
      </c>
      <c r="Q432">
        <f>IF(AND(MyRowHidden(ROW())=FALSE,MyRowHidden(ROW()-1)=TRUE),0,IF(M432&lt;totalMonths,(totalMonths-M432)/totalMonths *(K432-K431)+Q431,0))</f>
        <v>0</v>
      </c>
      <c r="R432">
        <f>IF(AND(MyRowHidden(ROW())=FALSE,MyRowHidden(ROW()-1)=TRUE),0,IF(M432&lt;totalMonths,(totalMonths-M432)/totalMonths *(L432-L431)+R431,0))</f>
        <v>0</v>
      </c>
    </row>
    <row r="433" spans="1:18" hidden="1" x14ac:dyDescent="0.25">
      <c r="A433" s="1"/>
      <c r="C433" s="1"/>
      <c r="D433" s="1">
        <v>41864</v>
      </c>
      <c r="E433" s="10">
        <v>1376</v>
      </c>
      <c r="F433" s="1">
        <v>41864</v>
      </c>
      <c r="G433">
        <v>-7918.5</v>
      </c>
      <c r="H433" s="1">
        <f t="shared" si="38"/>
        <v>41864</v>
      </c>
      <c r="I433">
        <f>IF(AND(MyRowHidden(ROW())=FALSE,MyRowHidden(ROW()-1)=TRUE),0,(E433-E432)*unitsOfDHp+I432)</f>
        <v>48160</v>
      </c>
      <c r="J433">
        <f>IF(AND(MyRowHidden(ROW())=FALSE,MyRowHidden(ROW()-1)=TRUE),0,(G433-G432)*unitsOfExo+J432)</f>
        <v>-3616416</v>
      </c>
      <c r="K433" s="9">
        <f t="shared" si="39"/>
        <v>3616416</v>
      </c>
      <c r="L433">
        <f t="shared" si="40"/>
        <v>-3568256</v>
      </c>
      <c r="M433">
        <f>IF(AND(MyRowHidden(ROW())=FALSE,MyRowHidden(ROW()-1)=TRUE),0,IF(MONTH(H433)&lt;&gt;MONTH(H432),M432+1,M432))</f>
        <v>19</v>
      </c>
      <c r="N433">
        <f>IF(AND(MyRowHidden(ROW())=FALSE,MyRowHidden(ROW()-1)=TRUE),0,IF(M433&lt;totalMonths,(totalMonths-M433)/totalMonths *(I433-I432)+N432,0))</f>
        <v>0</v>
      </c>
      <c r="P433">
        <f>IF(AND(MyRowHidden(ROW())=FALSE,MyRowHidden(ROW()-1)=TRUE),0,IF(M433&lt;totalMonths,(totalMonths-M433)/totalMonths *(J433-J432)+P432,0))</f>
        <v>0</v>
      </c>
      <c r="Q433">
        <f>IF(AND(MyRowHidden(ROW())=FALSE,MyRowHidden(ROW()-1)=TRUE),0,IF(M433&lt;totalMonths,(totalMonths-M433)/totalMonths *(K433-K432)+Q432,0))</f>
        <v>0</v>
      </c>
      <c r="R433">
        <f>IF(AND(MyRowHidden(ROW())=FALSE,MyRowHidden(ROW()-1)=TRUE),0,IF(M433&lt;totalMonths,(totalMonths-M433)/totalMonths *(L433-L432)+R432,0))</f>
        <v>0</v>
      </c>
    </row>
    <row r="434" spans="1:18" hidden="1" x14ac:dyDescent="0.25">
      <c r="A434" s="1"/>
      <c r="C434" s="1"/>
      <c r="D434" s="1">
        <v>41865</v>
      </c>
      <c r="E434" s="10">
        <v>1376</v>
      </c>
      <c r="F434" s="1">
        <v>41865</v>
      </c>
      <c r="G434">
        <v>-7731</v>
      </c>
      <c r="H434" s="1">
        <f t="shared" si="38"/>
        <v>41865</v>
      </c>
      <c r="I434">
        <f>IF(AND(MyRowHidden(ROW())=FALSE,MyRowHidden(ROW()-1)=TRUE),0,(E434-E433)*unitsOfDHp+I433)</f>
        <v>48160</v>
      </c>
      <c r="J434">
        <f>IF(AND(MyRowHidden(ROW())=FALSE,MyRowHidden(ROW()-1)=TRUE),0,(G434-G433)*unitsOfExo+J433)</f>
        <v>-3562416</v>
      </c>
      <c r="K434" s="9">
        <f t="shared" si="39"/>
        <v>3562416</v>
      </c>
      <c r="L434">
        <f t="shared" si="40"/>
        <v>-3514256</v>
      </c>
      <c r="M434">
        <f>IF(AND(MyRowHidden(ROW())=FALSE,MyRowHidden(ROW()-1)=TRUE),0,IF(MONTH(H434)&lt;&gt;MONTH(H433),M433+1,M433))</f>
        <v>19</v>
      </c>
      <c r="N434">
        <f>IF(AND(MyRowHidden(ROW())=FALSE,MyRowHidden(ROW()-1)=TRUE),0,IF(M434&lt;totalMonths,(totalMonths-M434)/totalMonths *(I434-I433)+N433,0))</f>
        <v>0</v>
      </c>
      <c r="P434">
        <f>IF(AND(MyRowHidden(ROW())=FALSE,MyRowHidden(ROW()-1)=TRUE),0,IF(M434&lt;totalMonths,(totalMonths-M434)/totalMonths *(J434-J433)+P433,0))</f>
        <v>0</v>
      </c>
      <c r="Q434">
        <f>IF(AND(MyRowHidden(ROW())=FALSE,MyRowHidden(ROW()-1)=TRUE),0,IF(M434&lt;totalMonths,(totalMonths-M434)/totalMonths *(K434-K433)+Q433,0))</f>
        <v>0</v>
      </c>
      <c r="R434">
        <f>IF(AND(MyRowHidden(ROW())=FALSE,MyRowHidden(ROW()-1)=TRUE),0,IF(M434&lt;totalMonths,(totalMonths-M434)/totalMonths *(L434-L433)+R433,0))</f>
        <v>0</v>
      </c>
    </row>
    <row r="435" spans="1:18" hidden="1" x14ac:dyDescent="0.25">
      <c r="A435" s="1"/>
      <c r="C435" s="1"/>
      <c r="D435" s="1">
        <v>41866</v>
      </c>
      <c r="E435" s="10">
        <v>1376</v>
      </c>
      <c r="F435" s="1">
        <v>41866</v>
      </c>
      <c r="G435">
        <v>-7543.5</v>
      </c>
      <c r="H435" s="1">
        <f t="shared" si="38"/>
        <v>41866</v>
      </c>
      <c r="I435">
        <f>IF(AND(MyRowHidden(ROW())=FALSE,MyRowHidden(ROW()-1)=TRUE),0,(E435-E434)*unitsOfDHp+I434)</f>
        <v>48160</v>
      </c>
      <c r="J435">
        <f>IF(AND(MyRowHidden(ROW())=FALSE,MyRowHidden(ROW()-1)=TRUE),0,(G435-G434)*unitsOfExo+J434)</f>
        <v>-3508416</v>
      </c>
      <c r="K435" s="9">
        <f t="shared" si="39"/>
        <v>3508416</v>
      </c>
      <c r="L435">
        <f t="shared" si="40"/>
        <v>-3460256</v>
      </c>
      <c r="M435">
        <f>IF(AND(MyRowHidden(ROW())=FALSE,MyRowHidden(ROW()-1)=TRUE),0,IF(MONTH(H435)&lt;&gt;MONTH(H434),M434+1,M434))</f>
        <v>19</v>
      </c>
      <c r="N435">
        <f>IF(AND(MyRowHidden(ROW())=FALSE,MyRowHidden(ROW()-1)=TRUE),0,IF(M435&lt;totalMonths,(totalMonths-M435)/totalMonths *(I435-I434)+N434,0))</f>
        <v>0</v>
      </c>
      <c r="P435">
        <f>IF(AND(MyRowHidden(ROW())=FALSE,MyRowHidden(ROW()-1)=TRUE),0,IF(M435&lt;totalMonths,(totalMonths-M435)/totalMonths *(J435-J434)+P434,0))</f>
        <v>0</v>
      </c>
      <c r="Q435">
        <f>IF(AND(MyRowHidden(ROW())=FALSE,MyRowHidden(ROW()-1)=TRUE),0,IF(M435&lt;totalMonths,(totalMonths-M435)/totalMonths *(K435-K434)+Q434,0))</f>
        <v>0</v>
      </c>
      <c r="R435">
        <f>IF(AND(MyRowHidden(ROW())=FALSE,MyRowHidden(ROW()-1)=TRUE),0,IF(M435&lt;totalMonths,(totalMonths-M435)/totalMonths *(L435-L434)+R434,0))</f>
        <v>0</v>
      </c>
    </row>
    <row r="436" spans="1:18" hidden="1" x14ac:dyDescent="0.25">
      <c r="A436" s="1"/>
      <c r="C436" s="1"/>
      <c r="D436" s="1">
        <v>41869</v>
      </c>
      <c r="E436" s="10">
        <v>1376</v>
      </c>
      <c r="F436" s="1">
        <v>41869</v>
      </c>
      <c r="G436">
        <v>-7768.5</v>
      </c>
      <c r="H436" s="1">
        <f t="shared" si="38"/>
        <v>41869</v>
      </c>
      <c r="I436">
        <f>IF(AND(MyRowHidden(ROW())=FALSE,MyRowHidden(ROW()-1)=TRUE),0,(E436-E435)*unitsOfDHp+I435)</f>
        <v>48160</v>
      </c>
      <c r="J436">
        <f>IF(AND(MyRowHidden(ROW())=FALSE,MyRowHidden(ROW()-1)=TRUE),0,(G436-G435)*unitsOfExo+J435)</f>
        <v>-3573216</v>
      </c>
      <c r="K436" s="9">
        <f t="shared" si="39"/>
        <v>3573216</v>
      </c>
      <c r="L436">
        <f t="shared" si="40"/>
        <v>-3525056</v>
      </c>
      <c r="M436">
        <f>IF(AND(MyRowHidden(ROW())=FALSE,MyRowHidden(ROW()-1)=TRUE),0,IF(MONTH(H436)&lt;&gt;MONTH(H435),M435+1,M435))</f>
        <v>19</v>
      </c>
      <c r="N436">
        <f>IF(AND(MyRowHidden(ROW())=FALSE,MyRowHidden(ROW()-1)=TRUE),0,IF(M436&lt;totalMonths,(totalMonths-M436)/totalMonths *(I436-I435)+N435,0))</f>
        <v>0</v>
      </c>
      <c r="P436">
        <f>IF(AND(MyRowHidden(ROW())=FALSE,MyRowHidden(ROW()-1)=TRUE),0,IF(M436&lt;totalMonths,(totalMonths-M436)/totalMonths *(J436-J435)+P435,0))</f>
        <v>0</v>
      </c>
      <c r="Q436">
        <f>IF(AND(MyRowHidden(ROW())=FALSE,MyRowHidden(ROW()-1)=TRUE),0,IF(M436&lt;totalMonths,(totalMonths-M436)/totalMonths *(K436-K435)+Q435,0))</f>
        <v>0</v>
      </c>
      <c r="R436">
        <f>IF(AND(MyRowHidden(ROW())=FALSE,MyRowHidden(ROW()-1)=TRUE),0,IF(M436&lt;totalMonths,(totalMonths-M436)/totalMonths *(L436-L435)+R435,0))</f>
        <v>0</v>
      </c>
    </row>
    <row r="437" spans="1:18" hidden="1" x14ac:dyDescent="0.25">
      <c r="A437" s="1"/>
      <c r="C437" s="1"/>
      <c r="D437" s="1">
        <v>41870</v>
      </c>
      <c r="E437" s="10">
        <v>1401</v>
      </c>
      <c r="F437" s="1">
        <v>41870</v>
      </c>
      <c r="G437">
        <v>-7756</v>
      </c>
      <c r="H437" s="1">
        <f t="shared" si="38"/>
        <v>41870</v>
      </c>
      <c r="I437">
        <f>IF(AND(MyRowHidden(ROW())=FALSE,MyRowHidden(ROW()-1)=TRUE),0,(E437-E436)*unitsOfDHp+I436)</f>
        <v>49035</v>
      </c>
      <c r="J437">
        <f>IF(AND(MyRowHidden(ROW())=FALSE,MyRowHidden(ROW()-1)=TRUE),0,(G437-G436)*unitsOfExo+J436)</f>
        <v>-3569616</v>
      </c>
      <c r="K437" s="9">
        <f t="shared" si="39"/>
        <v>3569616</v>
      </c>
      <c r="L437">
        <f t="shared" si="40"/>
        <v>-3520581</v>
      </c>
      <c r="M437">
        <f>IF(AND(MyRowHidden(ROW())=FALSE,MyRowHidden(ROW()-1)=TRUE),0,IF(MONTH(H437)&lt;&gt;MONTH(H436),M436+1,M436))</f>
        <v>19</v>
      </c>
      <c r="N437">
        <f>IF(AND(MyRowHidden(ROW())=FALSE,MyRowHidden(ROW()-1)=TRUE),0,IF(M437&lt;totalMonths,(totalMonths-M437)/totalMonths *(I437-I436)+N436,0))</f>
        <v>0</v>
      </c>
      <c r="P437">
        <f>IF(AND(MyRowHidden(ROW())=FALSE,MyRowHidden(ROW()-1)=TRUE),0,IF(M437&lt;totalMonths,(totalMonths-M437)/totalMonths *(J437-J436)+P436,0))</f>
        <v>0</v>
      </c>
      <c r="Q437">
        <f>IF(AND(MyRowHidden(ROW())=FALSE,MyRowHidden(ROW()-1)=TRUE),0,IF(M437&lt;totalMonths,(totalMonths-M437)/totalMonths *(K437-K436)+Q436,0))</f>
        <v>0</v>
      </c>
      <c r="R437">
        <f>IF(AND(MyRowHidden(ROW())=FALSE,MyRowHidden(ROW()-1)=TRUE),0,IF(M437&lt;totalMonths,(totalMonths-M437)/totalMonths *(L437-L436)+R436,0))</f>
        <v>0</v>
      </c>
    </row>
    <row r="438" spans="1:18" hidden="1" x14ac:dyDescent="0.25">
      <c r="A438" s="1"/>
      <c r="C438" s="1"/>
      <c r="D438" s="1">
        <v>41871</v>
      </c>
      <c r="E438" s="10">
        <v>1203</v>
      </c>
      <c r="F438" s="1">
        <v>41871</v>
      </c>
      <c r="G438">
        <v>-7906</v>
      </c>
      <c r="H438" s="1">
        <f t="shared" si="38"/>
        <v>41871</v>
      </c>
      <c r="I438">
        <f>IF(AND(MyRowHidden(ROW())=FALSE,MyRowHidden(ROW()-1)=TRUE),0,(E438-E437)*unitsOfDHp+I437)</f>
        <v>42105</v>
      </c>
      <c r="J438">
        <f>IF(AND(MyRowHidden(ROW())=FALSE,MyRowHidden(ROW()-1)=TRUE),0,(G438-G437)*unitsOfExo+J437)</f>
        <v>-3612816</v>
      </c>
      <c r="K438" s="9">
        <f t="shared" si="39"/>
        <v>3612816</v>
      </c>
      <c r="L438">
        <f t="shared" si="40"/>
        <v>-3570711</v>
      </c>
      <c r="M438">
        <f>IF(AND(MyRowHidden(ROW())=FALSE,MyRowHidden(ROW()-1)=TRUE),0,IF(MONTH(H438)&lt;&gt;MONTH(H437),M437+1,M437))</f>
        <v>19</v>
      </c>
      <c r="N438">
        <f>IF(AND(MyRowHidden(ROW())=FALSE,MyRowHidden(ROW()-1)=TRUE),0,IF(M438&lt;totalMonths,(totalMonths-M438)/totalMonths *(I438-I437)+N437,0))</f>
        <v>0</v>
      </c>
      <c r="P438">
        <f>IF(AND(MyRowHidden(ROW())=FALSE,MyRowHidden(ROW()-1)=TRUE),0,IF(M438&lt;totalMonths,(totalMonths-M438)/totalMonths *(J438-J437)+P437,0))</f>
        <v>0</v>
      </c>
      <c r="Q438">
        <f>IF(AND(MyRowHidden(ROW())=FALSE,MyRowHidden(ROW()-1)=TRUE),0,IF(M438&lt;totalMonths,(totalMonths-M438)/totalMonths *(K438-K437)+Q437,0))</f>
        <v>0</v>
      </c>
      <c r="R438">
        <f>IF(AND(MyRowHidden(ROW())=FALSE,MyRowHidden(ROW()-1)=TRUE),0,IF(M438&lt;totalMonths,(totalMonths-M438)/totalMonths *(L438-L437)+R437,0))</f>
        <v>0</v>
      </c>
    </row>
    <row r="439" spans="1:18" hidden="1" x14ac:dyDescent="0.25">
      <c r="A439" s="1"/>
      <c r="C439" s="1"/>
      <c r="D439" s="1">
        <v>41872</v>
      </c>
      <c r="E439" s="10">
        <v>1384</v>
      </c>
      <c r="F439" s="1">
        <v>41872</v>
      </c>
      <c r="G439">
        <v>-7768.5</v>
      </c>
      <c r="H439" s="1">
        <f t="shared" si="38"/>
        <v>41872</v>
      </c>
      <c r="I439">
        <f>IF(AND(MyRowHidden(ROW())=FALSE,MyRowHidden(ROW()-1)=TRUE),0,(E439-E438)*unitsOfDHp+I438)</f>
        <v>48440</v>
      </c>
      <c r="J439">
        <f>IF(AND(MyRowHidden(ROW())=FALSE,MyRowHidden(ROW()-1)=TRUE),0,(G439-G438)*unitsOfExo+J438)</f>
        <v>-3573216</v>
      </c>
      <c r="K439" s="9">
        <f t="shared" si="39"/>
        <v>3573216</v>
      </c>
      <c r="L439">
        <f t="shared" si="40"/>
        <v>-3524776</v>
      </c>
      <c r="M439">
        <f>IF(AND(MyRowHidden(ROW())=FALSE,MyRowHidden(ROW()-1)=TRUE),0,IF(MONTH(H439)&lt;&gt;MONTH(H438),M438+1,M438))</f>
        <v>19</v>
      </c>
      <c r="N439">
        <f>IF(AND(MyRowHidden(ROW())=FALSE,MyRowHidden(ROW()-1)=TRUE),0,IF(M439&lt;totalMonths,(totalMonths-M439)/totalMonths *(I439-I438)+N438,0))</f>
        <v>0</v>
      </c>
      <c r="P439">
        <f>IF(AND(MyRowHidden(ROW())=FALSE,MyRowHidden(ROW()-1)=TRUE),0,IF(M439&lt;totalMonths,(totalMonths-M439)/totalMonths *(J439-J438)+P438,0))</f>
        <v>0</v>
      </c>
      <c r="Q439">
        <f>IF(AND(MyRowHidden(ROW())=FALSE,MyRowHidden(ROW()-1)=TRUE),0,IF(M439&lt;totalMonths,(totalMonths-M439)/totalMonths *(K439-K438)+Q438,0))</f>
        <v>0</v>
      </c>
      <c r="R439">
        <f>IF(AND(MyRowHidden(ROW())=FALSE,MyRowHidden(ROW()-1)=TRUE),0,IF(M439&lt;totalMonths,(totalMonths-M439)/totalMonths *(L439-L438)+R438,0))</f>
        <v>0</v>
      </c>
    </row>
    <row r="440" spans="1:18" hidden="1" x14ac:dyDescent="0.25">
      <c r="A440" s="1"/>
      <c r="C440" s="1"/>
      <c r="D440" s="1">
        <v>41873</v>
      </c>
      <c r="E440" s="10">
        <v>1384</v>
      </c>
      <c r="F440" s="1">
        <v>41873</v>
      </c>
      <c r="G440">
        <v>-7631</v>
      </c>
      <c r="H440" s="1">
        <f t="shared" si="38"/>
        <v>41873</v>
      </c>
      <c r="I440">
        <f>IF(AND(MyRowHidden(ROW())=FALSE,MyRowHidden(ROW()-1)=TRUE),0,(E440-E439)*unitsOfDHp+I439)</f>
        <v>48440</v>
      </c>
      <c r="J440">
        <f>IF(AND(MyRowHidden(ROW())=FALSE,MyRowHidden(ROW()-1)=TRUE),0,(G440-G439)*unitsOfExo+J439)</f>
        <v>-3533616</v>
      </c>
      <c r="K440" s="9">
        <f t="shared" si="39"/>
        <v>3533616</v>
      </c>
      <c r="L440">
        <f t="shared" si="40"/>
        <v>-3485176</v>
      </c>
      <c r="M440">
        <f>IF(AND(MyRowHidden(ROW())=FALSE,MyRowHidden(ROW()-1)=TRUE),0,IF(MONTH(H440)&lt;&gt;MONTH(H439),M439+1,M439))</f>
        <v>19</v>
      </c>
      <c r="N440">
        <f>IF(AND(MyRowHidden(ROW())=FALSE,MyRowHidden(ROW()-1)=TRUE),0,IF(M440&lt;totalMonths,(totalMonths-M440)/totalMonths *(I440-I439)+N439,0))</f>
        <v>0</v>
      </c>
      <c r="P440">
        <f>IF(AND(MyRowHidden(ROW())=FALSE,MyRowHidden(ROW()-1)=TRUE),0,IF(M440&lt;totalMonths,(totalMonths-M440)/totalMonths *(J440-J439)+P439,0))</f>
        <v>0</v>
      </c>
      <c r="Q440">
        <f>IF(AND(MyRowHidden(ROW())=FALSE,MyRowHidden(ROW()-1)=TRUE),0,IF(M440&lt;totalMonths,(totalMonths-M440)/totalMonths *(K440-K439)+Q439,0))</f>
        <v>0</v>
      </c>
      <c r="R440">
        <f>IF(AND(MyRowHidden(ROW())=FALSE,MyRowHidden(ROW()-1)=TRUE),0,IF(M440&lt;totalMonths,(totalMonths-M440)/totalMonths *(L440-L439)+R439,0))</f>
        <v>0</v>
      </c>
    </row>
    <row r="441" spans="1:18" hidden="1" x14ac:dyDescent="0.25">
      <c r="A441" s="1"/>
      <c r="C441" s="1"/>
      <c r="D441" s="1">
        <v>41876</v>
      </c>
      <c r="E441" s="10">
        <v>1384</v>
      </c>
      <c r="F441" s="1">
        <v>41876</v>
      </c>
      <c r="G441">
        <v>-7856</v>
      </c>
      <c r="H441" s="1">
        <f t="shared" si="38"/>
        <v>41876</v>
      </c>
      <c r="I441">
        <f>IF(AND(MyRowHidden(ROW())=FALSE,MyRowHidden(ROW()-1)=TRUE),0,(E441-E440)*unitsOfDHp+I440)</f>
        <v>48440</v>
      </c>
      <c r="J441">
        <f>IF(AND(MyRowHidden(ROW())=FALSE,MyRowHidden(ROW()-1)=TRUE),0,(G441-G440)*unitsOfExo+J440)</f>
        <v>-3598416</v>
      </c>
      <c r="K441" s="9">
        <f t="shared" si="39"/>
        <v>3598416</v>
      </c>
      <c r="L441">
        <f t="shared" si="40"/>
        <v>-3549976</v>
      </c>
      <c r="M441">
        <f>IF(AND(MyRowHidden(ROW())=FALSE,MyRowHidden(ROW()-1)=TRUE),0,IF(MONTH(H441)&lt;&gt;MONTH(H440),M440+1,M440))</f>
        <v>19</v>
      </c>
      <c r="N441">
        <f>IF(AND(MyRowHidden(ROW())=FALSE,MyRowHidden(ROW()-1)=TRUE),0,IF(M441&lt;totalMonths,(totalMonths-M441)/totalMonths *(I441-I440)+N440,0))</f>
        <v>0</v>
      </c>
      <c r="P441">
        <f>IF(AND(MyRowHidden(ROW())=FALSE,MyRowHidden(ROW()-1)=TRUE),0,IF(M441&lt;totalMonths,(totalMonths-M441)/totalMonths *(J441-J440)+P440,0))</f>
        <v>0</v>
      </c>
      <c r="Q441">
        <f>IF(AND(MyRowHidden(ROW())=FALSE,MyRowHidden(ROW()-1)=TRUE),0,IF(M441&lt;totalMonths,(totalMonths-M441)/totalMonths *(K441-K440)+Q440,0))</f>
        <v>0</v>
      </c>
      <c r="R441">
        <f>IF(AND(MyRowHidden(ROW())=FALSE,MyRowHidden(ROW()-1)=TRUE),0,IF(M441&lt;totalMonths,(totalMonths-M441)/totalMonths *(L441-L440)+R440,0))</f>
        <v>0</v>
      </c>
    </row>
    <row r="442" spans="1:18" hidden="1" x14ac:dyDescent="0.25">
      <c r="A442" s="1"/>
      <c r="C442" s="1"/>
      <c r="D442" s="1">
        <v>41877</v>
      </c>
      <c r="E442" s="10">
        <v>1384</v>
      </c>
      <c r="F442" s="1">
        <v>41877</v>
      </c>
      <c r="G442">
        <v>-8068.5</v>
      </c>
      <c r="H442" s="1">
        <f t="shared" si="38"/>
        <v>41877</v>
      </c>
      <c r="I442">
        <f>IF(AND(MyRowHidden(ROW())=FALSE,MyRowHidden(ROW()-1)=TRUE),0,(E442-E441)*unitsOfDHp+I441)</f>
        <v>48440</v>
      </c>
      <c r="J442">
        <f>IF(AND(MyRowHidden(ROW())=FALSE,MyRowHidden(ROW()-1)=TRUE),0,(G442-G441)*unitsOfExo+J441)</f>
        <v>-3659616</v>
      </c>
      <c r="K442" s="9">
        <f t="shared" si="39"/>
        <v>3659616</v>
      </c>
      <c r="L442">
        <f t="shared" si="40"/>
        <v>-3611176</v>
      </c>
      <c r="M442">
        <f>IF(AND(MyRowHidden(ROW())=FALSE,MyRowHidden(ROW()-1)=TRUE),0,IF(MONTH(H442)&lt;&gt;MONTH(H441),M441+1,M441))</f>
        <v>19</v>
      </c>
      <c r="N442">
        <f>IF(AND(MyRowHidden(ROW())=FALSE,MyRowHidden(ROW()-1)=TRUE),0,IF(M442&lt;totalMonths,(totalMonths-M442)/totalMonths *(I442-I441)+N441,0))</f>
        <v>0</v>
      </c>
      <c r="P442">
        <f>IF(AND(MyRowHidden(ROW())=FALSE,MyRowHidden(ROW()-1)=TRUE),0,IF(M442&lt;totalMonths,(totalMonths-M442)/totalMonths *(J442-J441)+P441,0))</f>
        <v>0</v>
      </c>
      <c r="Q442">
        <f>IF(AND(MyRowHidden(ROW())=FALSE,MyRowHidden(ROW()-1)=TRUE),0,IF(M442&lt;totalMonths,(totalMonths-M442)/totalMonths *(K442-K441)+Q441,0))</f>
        <v>0</v>
      </c>
      <c r="R442">
        <f>IF(AND(MyRowHidden(ROW())=FALSE,MyRowHidden(ROW()-1)=TRUE),0,IF(M442&lt;totalMonths,(totalMonths-M442)/totalMonths *(L442-L441)+R441,0))</f>
        <v>0</v>
      </c>
    </row>
    <row r="443" spans="1:18" hidden="1" x14ac:dyDescent="0.25">
      <c r="A443" s="1"/>
      <c r="C443" s="1"/>
      <c r="D443" s="1">
        <v>41878</v>
      </c>
      <c r="E443" s="10">
        <v>1487</v>
      </c>
      <c r="F443" s="1">
        <v>41878</v>
      </c>
      <c r="G443">
        <v>-8031</v>
      </c>
      <c r="H443" s="1">
        <f t="shared" si="38"/>
        <v>41878</v>
      </c>
      <c r="I443">
        <f>IF(AND(MyRowHidden(ROW())=FALSE,MyRowHidden(ROW()-1)=TRUE),0,(E443-E442)*unitsOfDHp+I442)</f>
        <v>52045</v>
      </c>
      <c r="J443">
        <f>IF(AND(MyRowHidden(ROW())=FALSE,MyRowHidden(ROW()-1)=TRUE),0,(G443-G442)*unitsOfExo+J442)</f>
        <v>-3648816</v>
      </c>
      <c r="K443" s="9">
        <f t="shared" si="39"/>
        <v>3648816</v>
      </c>
      <c r="L443">
        <f t="shared" si="40"/>
        <v>-3596771</v>
      </c>
      <c r="M443">
        <f>IF(AND(MyRowHidden(ROW())=FALSE,MyRowHidden(ROW()-1)=TRUE),0,IF(MONTH(H443)&lt;&gt;MONTH(H442),M442+1,M442))</f>
        <v>19</v>
      </c>
      <c r="N443">
        <f>IF(AND(MyRowHidden(ROW())=FALSE,MyRowHidden(ROW()-1)=TRUE),0,IF(M443&lt;totalMonths,(totalMonths-M443)/totalMonths *(I443-I442)+N442,0))</f>
        <v>0</v>
      </c>
      <c r="P443">
        <f>IF(AND(MyRowHidden(ROW())=FALSE,MyRowHidden(ROW()-1)=TRUE),0,IF(M443&lt;totalMonths,(totalMonths-M443)/totalMonths *(J443-J442)+P442,0))</f>
        <v>0</v>
      </c>
      <c r="Q443">
        <f>IF(AND(MyRowHidden(ROW())=FALSE,MyRowHidden(ROW()-1)=TRUE),0,IF(M443&lt;totalMonths,(totalMonths-M443)/totalMonths *(K443-K442)+Q442,0))</f>
        <v>0</v>
      </c>
      <c r="R443">
        <f>IF(AND(MyRowHidden(ROW())=FALSE,MyRowHidden(ROW()-1)=TRUE),0,IF(M443&lt;totalMonths,(totalMonths-M443)/totalMonths *(L443-L442)+R442,0))</f>
        <v>0</v>
      </c>
    </row>
    <row r="444" spans="1:18" hidden="1" x14ac:dyDescent="0.25">
      <c r="A444" s="1"/>
      <c r="C444" s="1"/>
      <c r="D444" s="1">
        <v>41879</v>
      </c>
      <c r="E444" s="10">
        <v>614</v>
      </c>
      <c r="F444" s="1">
        <v>41879</v>
      </c>
      <c r="G444">
        <v>-7781</v>
      </c>
      <c r="H444" s="1">
        <f t="shared" si="38"/>
        <v>41879</v>
      </c>
      <c r="I444">
        <f>IF(AND(MyRowHidden(ROW())=FALSE,MyRowHidden(ROW()-1)=TRUE),0,(E444-E443)*unitsOfDHp+I443)</f>
        <v>21490</v>
      </c>
      <c r="J444">
        <f>IF(AND(MyRowHidden(ROW())=FALSE,MyRowHidden(ROW()-1)=TRUE),0,(G444-G443)*unitsOfExo+J443)</f>
        <v>-3576816</v>
      </c>
      <c r="K444" s="9">
        <f t="shared" si="39"/>
        <v>3576816</v>
      </c>
      <c r="L444">
        <f t="shared" si="40"/>
        <v>-3555326</v>
      </c>
      <c r="M444">
        <f>IF(AND(MyRowHidden(ROW())=FALSE,MyRowHidden(ROW()-1)=TRUE),0,IF(MONTH(H444)&lt;&gt;MONTH(H443),M443+1,M443))</f>
        <v>19</v>
      </c>
      <c r="N444">
        <f>IF(AND(MyRowHidden(ROW())=FALSE,MyRowHidden(ROW()-1)=TRUE),0,IF(M444&lt;totalMonths,(totalMonths-M444)/totalMonths *(I444-I443)+N443,0))</f>
        <v>0</v>
      </c>
      <c r="P444">
        <f>IF(AND(MyRowHidden(ROW())=FALSE,MyRowHidden(ROW()-1)=TRUE),0,IF(M444&lt;totalMonths,(totalMonths-M444)/totalMonths *(J444-J443)+P443,0))</f>
        <v>0</v>
      </c>
      <c r="Q444">
        <f>IF(AND(MyRowHidden(ROW())=FALSE,MyRowHidden(ROW()-1)=TRUE),0,IF(M444&lt;totalMonths,(totalMonths-M444)/totalMonths *(K444-K443)+Q443,0))</f>
        <v>0</v>
      </c>
      <c r="R444">
        <f>IF(AND(MyRowHidden(ROW())=FALSE,MyRowHidden(ROW()-1)=TRUE),0,IF(M444&lt;totalMonths,(totalMonths-M444)/totalMonths *(L444-L443)+R443,0))</f>
        <v>0</v>
      </c>
    </row>
    <row r="445" spans="1:18" hidden="1" x14ac:dyDescent="0.25">
      <c r="A445" s="1"/>
      <c r="C445" s="1"/>
      <c r="D445" s="1">
        <v>41880</v>
      </c>
      <c r="E445" s="10">
        <v>1576</v>
      </c>
      <c r="F445" s="1">
        <v>41880</v>
      </c>
      <c r="G445">
        <v>-8093.5</v>
      </c>
      <c r="H445" s="1">
        <f t="shared" si="38"/>
        <v>41880</v>
      </c>
      <c r="I445">
        <f>IF(AND(MyRowHidden(ROW())=FALSE,MyRowHidden(ROW()-1)=TRUE),0,(E445-E444)*unitsOfDHp+I444)</f>
        <v>55160</v>
      </c>
      <c r="J445">
        <f>IF(AND(MyRowHidden(ROW())=FALSE,MyRowHidden(ROW()-1)=TRUE),0,(G445-G444)*unitsOfExo+J444)</f>
        <v>-3666816</v>
      </c>
      <c r="K445" s="9">
        <f t="shared" si="39"/>
        <v>3666816</v>
      </c>
      <c r="L445">
        <f t="shared" si="40"/>
        <v>-3611656</v>
      </c>
      <c r="M445">
        <f>IF(AND(MyRowHidden(ROW())=FALSE,MyRowHidden(ROW()-1)=TRUE),0,IF(MONTH(H445)&lt;&gt;MONTH(H444),M444+1,M444))</f>
        <v>19</v>
      </c>
      <c r="N445">
        <f>IF(AND(MyRowHidden(ROW())=FALSE,MyRowHidden(ROW()-1)=TRUE),0,IF(M445&lt;totalMonths,(totalMonths-M445)/totalMonths *(I445-I444)+N444,0))</f>
        <v>0</v>
      </c>
      <c r="P445">
        <f>IF(AND(MyRowHidden(ROW())=FALSE,MyRowHidden(ROW()-1)=TRUE),0,IF(M445&lt;totalMonths,(totalMonths-M445)/totalMonths *(J445-J444)+P444,0))</f>
        <v>0</v>
      </c>
      <c r="Q445">
        <f>IF(AND(MyRowHidden(ROW())=FALSE,MyRowHidden(ROW()-1)=TRUE),0,IF(M445&lt;totalMonths,(totalMonths-M445)/totalMonths *(K445-K444)+Q444,0))</f>
        <v>0</v>
      </c>
      <c r="R445">
        <f>IF(AND(MyRowHidden(ROW())=FALSE,MyRowHidden(ROW()-1)=TRUE),0,IF(M445&lt;totalMonths,(totalMonths-M445)/totalMonths *(L445-L444)+R444,0))</f>
        <v>0</v>
      </c>
    </row>
    <row r="446" spans="1:18" hidden="1" x14ac:dyDescent="0.25">
      <c r="A446" s="1"/>
      <c r="C446" s="1"/>
      <c r="D446" s="1">
        <v>41883</v>
      </c>
      <c r="E446" s="10">
        <v>1268</v>
      </c>
      <c r="F446" s="1">
        <v>41883</v>
      </c>
      <c r="G446">
        <v>-8018</v>
      </c>
      <c r="H446" s="1">
        <f t="shared" si="38"/>
        <v>41883</v>
      </c>
      <c r="I446">
        <f>IF(AND(MyRowHidden(ROW())=FALSE,MyRowHidden(ROW()-1)=TRUE),0,(E446-E445)*unitsOfDHp+I445)</f>
        <v>44380</v>
      </c>
      <c r="J446">
        <f>IF(AND(MyRowHidden(ROW())=FALSE,MyRowHidden(ROW()-1)=TRUE),0,(G446-G445)*unitsOfExo+J445)</f>
        <v>-3645072</v>
      </c>
      <c r="K446" s="9">
        <f t="shared" si="39"/>
        <v>3645072</v>
      </c>
      <c r="L446">
        <f t="shared" si="40"/>
        <v>-3600692</v>
      </c>
      <c r="M446">
        <f>IF(AND(MyRowHidden(ROW())=FALSE,MyRowHidden(ROW()-1)=TRUE),0,IF(MONTH(H446)&lt;&gt;MONTH(H445),M445+1,M445))</f>
        <v>20</v>
      </c>
      <c r="N446">
        <f>IF(AND(MyRowHidden(ROW())=FALSE,MyRowHidden(ROW()-1)=TRUE),0,IF(M446&lt;totalMonths,(totalMonths-M446)/totalMonths *(I446-I445)+N445,0))</f>
        <v>0</v>
      </c>
      <c r="P446">
        <f>IF(AND(MyRowHidden(ROW())=FALSE,MyRowHidden(ROW()-1)=TRUE),0,IF(M446&lt;totalMonths,(totalMonths-M446)/totalMonths *(J446-J445)+P445,0))</f>
        <v>0</v>
      </c>
      <c r="Q446">
        <f>IF(AND(MyRowHidden(ROW())=FALSE,MyRowHidden(ROW()-1)=TRUE),0,IF(M446&lt;totalMonths,(totalMonths-M446)/totalMonths *(K446-K445)+Q445,0))</f>
        <v>0</v>
      </c>
      <c r="R446">
        <f>IF(AND(MyRowHidden(ROW())=FALSE,MyRowHidden(ROW()-1)=TRUE),0,IF(M446&lt;totalMonths,(totalMonths-M446)/totalMonths *(L446-L445)+R445,0))</f>
        <v>0</v>
      </c>
    </row>
    <row r="447" spans="1:18" hidden="1" x14ac:dyDescent="0.25">
      <c r="A447" s="1"/>
      <c r="C447" s="1"/>
      <c r="D447" s="1">
        <v>41884</v>
      </c>
      <c r="E447" s="10">
        <v>1368</v>
      </c>
      <c r="F447" s="1">
        <v>41884</v>
      </c>
      <c r="G447">
        <v>-8068</v>
      </c>
      <c r="H447" s="1">
        <f t="shared" si="38"/>
        <v>41884</v>
      </c>
      <c r="I447">
        <f>IF(AND(MyRowHidden(ROW())=FALSE,MyRowHidden(ROW()-1)=TRUE),0,(E447-E446)*unitsOfDHp+I446)</f>
        <v>47880</v>
      </c>
      <c r="J447">
        <f>IF(AND(MyRowHidden(ROW())=FALSE,MyRowHidden(ROW()-1)=TRUE),0,(G447-G446)*unitsOfExo+J446)</f>
        <v>-3659472</v>
      </c>
      <c r="K447" s="9">
        <f t="shared" si="39"/>
        <v>3659472</v>
      </c>
      <c r="L447">
        <f t="shared" si="40"/>
        <v>-3611592</v>
      </c>
      <c r="M447">
        <f>IF(AND(MyRowHidden(ROW())=FALSE,MyRowHidden(ROW()-1)=TRUE),0,IF(MONTH(H447)&lt;&gt;MONTH(H446),M446+1,M446))</f>
        <v>20</v>
      </c>
      <c r="N447">
        <f>IF(AND(MyRowHidden(ROW())=FALSE,MyRowHidden(ROW()-1)=TRUE),0,IF(M447&lt;totalMonths,(totalMonths-M447)/totalMonths *(I447-I446)+N446,0))</f>
        <v>0</v>
      </c>
      <c r="P447">
        <f>IF(AND(MyRowHidden(ROW())=FALSE,MyRowHidden(ROW()-1)=TRUE),0,IF(M447&lt;totalMonths,(totalMonths-M447)/totalMonths *(J447-J446)+P446,0))</f>
        <v>0</v>
      </c>
      <c r="Q447">
        <f>IF(AND(MyRowHidden(ROW())=FALSE,MyRowHidden(ROW()-1)=TRUE),0,IF(M447&lt;totalMonths,(totalMonths-M447)/totalMonths *(K447-K446)+Q446,0))</f>
        <v>0</v>
      </c>
      <c r="R447">
        <f>IF(AND(MyRowHidden(ROW())=FALSE,MyRowHidden(ROW()-1)=TRUE),0,IF(M447&lt;totalMonths,(totalMonths-M447)/totalMonths *(L447-L446)+R446,0))</f>
        <v>0</v>
      </c>
    </row>
    <row r="448" spans="1:18" hidden="1" x14ac:dyDescent="0.25">
      <c r="A448" s="1"/>
      <c r="C448" s="1"/>
      <c r="D448" s="1">
        <v>41885</v>
      </c>
      <c r="E448" s="10">
        <v>3293</v>
      </c>
      <c r="F448" s="1">
        <v>41885</v>
      </c>
      <c r="G448">
        <v>-8605.5</v>
      </c>
      <c r="H448" s="1">
        <f t="shared" si="38"/>
        <v>41885</v>
      </c>
      <c r="I448">
        <f>IF(AND(MyRowHidden(ROW())=FALSE,MyRowHidden(ROW()-1)=TRUE),0,(E448-E447)*unitsOfDHp+I447)</f>
        <v>115255</v>
      </c>
      <c r="J448">
        <f>IF(AND(MyRowHidden(ROW())=FALSE,MyRowHidden(ROW()-1)=TRUE),0,(G448-G447)*unitsOfExo+J447)</f>
        <v>-3814272</v>
      </c>
      <c r="K448" s="9">
        <f t="shared" si="39"/>
        <v>3814272</v>
      </c>
      <c r="L448">
        <f t="shared" si="40"/>
        <v>-3699017</v>
      </c>
      <c r="M448">
        <f>IF(AND(MyRowHidden(ROW())=FALSE,MyRowHidden(ROW()-1)=TRUE),0,IF(MONTH(H448)&lt;&gt;MONTH(H447),M447+1,M447))</f>
        <v>20</v>
      </c>
      <c r="N448">
        <f>IF(AND(MyRowHidden(ROW())=FALSE,MyRowHidden(ROW()-1)=TRUE),0,IF(M448&lt;totalMonths,(totalMonths-M448)/totalMonths *(I448-I447)+N447,0))</f>
        <v>0</v>
      </c>
      <c r="P448">
        <f>IF(AND(MyRowHidden(ROW())=FALSE,MyRowHidden(ROW()-1)=TRUE),0,IF(M448&lt;totalMonths,(totalMonths-M448)/totalMonths *(J448-J447)+P447,0))</f>
        <v>0</v>
      </c>
      <c r="Q448">
        <f>IF(AND(MyRowHidden(ROW())=FALSE,MyRowHidden(ROW()-1)=TRUE),0,IF(M448&lt;totalMonths,(totalMonths-M448)/totalMonths *(K448-K447)+Q447,0))</f>
        <v>0</v>
      </c>
      <c r="R448">
        <f>IF(AND(MyRowHidden(ROW())=FALSE,MyRowHidden(ROW()-1)=TRUE),0,IF(M448&lt;totalMonths,(totalMonths-M448)/totalMonths *(L448-L447)+R447,0))</f>
        <v>0</v>
      </c>
    </row>
    <row r="449" spans="1:18" hidden="1" x14ac:dyDescent="0.25">
      <c r="A449" s="1"/>
      <c r="C449" s="1"/>
      <c r="D449" s="1">
        <v>41886</v>
      </c>
      <c r="E449" s="10">
        <v>4085</v>
      </c>
      <c r="F449" s="1">
        <v>41886</v>
      </c>
      <c r="G449">
        <v>-8955.5</v>
      </c>
      <c r="H449" s="1">
        <f t="shared" si="38"/>
        <v>41886</v>
      </c>
      <c r="I449">
        <f>IF(AND(MyRowHidden(ROW())=FALSE,MyRowHidden(ROW()-1)=TRUE),0,(E449-E448)*unitsOfDHp+I448)</f>
        <v>142975</v>
      </c>
      <c r="J449">
        <f>IF(AND(MyRowHidden(ROW())=FALSE,MyRowHidden(ROW()-1)=TRUE),0,(G449-G448)*unitsOfExo+J448)</f>
        <v>-3915072</v>
      </c>
      <c r="K449" s="9">
        <f t="shared" si="39"/>
        <v>3915072</v>
      </c>
      <c r="L449">
        <f t="shared" si="40"/>
        <v>-3772097</v>
      </c>
      <c r="M449">
        <f>IF(AND(MyRowHidden(ROW())=FALSE,MyRowHidden(ROW()-1)=TRUE),0,IF(MONTH(H449)&lt;&gt;MONTH(H448),M448+1,M448))</f>
        <v>20</v>
      </c>
      <c r="N449">
        <f>IF(AND(MyRowHidden(ROW())=FALSE,MyRowHidden(ROW()-1)=TRUE),0,IF(M449&lt;totalMonths,(totalMonths-M449)/totalMonths *(I449-I448)+N448,0))</f>
        <v>0</v>
      </c>
      <c r="P449">
        <f>IF(AND(MyRowHidden(ROW())=FALSE,MyRowHidden(ROW()-1)=TRUE),0,IF(M449&lt;totalMonths,(totalMonths-M449)/totalMonths *(J449-J448)+P448,0))</f>
        <v>0</v>
      </c>
      <c r="Q449">
        <f>IF(AND(MyRowHidden(ROW())=FALSE,MyRowHidden(ROW()-1)=TRUE),0,IF(M449&lt;totalMonths,(totalMonths-M449)/totalMonths *(K449-K448)+Q448,0))</f>
        <v>0</v>
      </c>
      <c r="R449">
        <f>IF(AND(MyRowHidden(ROW())=FALSE,MyRowHidden(ROW()-1)=TRUE),0,IF(M449&lt;totalMonths,(totalMonths-M449)/totalMonths *(L449-L448)+R448,0))</f>
        <v>0</v>
      </c>
    </row>
    <row r="450" spans="1:18" hidden="1" x14ac:dyDescent="0.25">
      <c r="A450" s="1"/>
      <c r="C450" s="1"/>
      <c r="D450" s="1">
        <v>41887</v>
      </c>
      <c r="E450" s="10">
        <v>3166</v>
      </c>
      <c r="F450" s="1">
        <v>41887</v>
      </c>
      <c r="G450">
        <v>-8518</v>
      </c>
      <c r="H450" s="1">
        <f t="shared" si="38"/>
        <v>41887</v>
      </c>
      <c r="I450">
        <f>IF(AND(MyRowHidden(ROW())=FALSE,MyRowHidden(ROW()-1)=TRUE),0,(E450-E449)*unitsOfDHp+I449)</f>
        <v>110810</v>
      </c>
      <c r="J450">
        <f>IF(AND(MyRowHidden(ROW())=FALSE,MyRowHidden(ROW()-1)=TRUE),0,(G450-G449)*unitsOfExo+J449)</f>
        <v>-3789072</v>
      </c>
      <c r="K450" s="9">
        <f t="shared" si="39"/>
        <v>3789072</v>
      </c>
      <c r="L450">
        <f t="shared" si="40"/>
        <v>-3678262</v>
      </c>
      <c r="M450">
        <f>IF(AND(MyRowHidden(ROW())=FALSE,MyRowHidden(ROW()-1)=TRUE),0,IF(MONTH(H450)&lt;&gt;MONTH(H449),M449+1,M449))</f>
        <v>20</v>
      </c>
      <c r="N450">
        <f>IF(AND(MyRowHidden(ROW())=FALSE,MyRowHidden(ROW()-1)=TRUE),0,IF(M450&lt;totalMonths,(totalMonths-M450)/totalMonths *(I450-I449)+N449,0))</f>
        <v>0</v>
      </c>
      <c r="P450">
        <f>IF(AND(MyRowHidden(ROW())=FALSE,MyRowHidden(ROW()-1)=TRUE),0,IF(M450&lt;totalMonths,(totalMonths-M450)/totalMonths *(J450-J449)+P449,0))</f>
        <v>0</v>
      </c>
      <c r="Q450">
        <f>IF(AND(MyRowHidden(ROW())=FALSE,MyRowHidden(ROW()-1)=TRUE),0,IF(M450&lt;totalMonths,(totalMonths-M450)/totalMonths *(K450-K449)+Q449,0))</f>
        <v>0</v>
      </c>
      <c r="R450">
        <f>IF(AND(MyRowHidden(ROW())=FALSE,MyRowHidden(ROW()-1)=TRUE),0,IF(M450&lt;totalMonths,(totalMonths-M450)/totalMonths *(L450-L449)+R449,0))</f>
        <v>0</v>
      </c>
    </row>
    <row r="451" spans="1:18" hidden="1" x14ac:dyDescent="0.25">
      <c r="A451" s="1"/>
      <c r="C451" s="1"/>
      <c r="D451" s="1">
        <v>41890</v>
      </c>
      <c r="E451" s="10">
        <v>2828</v>
      </c>
      <c r="F451" s="1">
        <v>41890</v>
      </c>
      <c r="G451">
        <v>-8880.5</v>
      </c>
      <c r="H451" s="1">
        <f t="shared" si="38"/>
        <v>41890</v>
      </c>
      <c r="I451">
        <f>IF(AND(MyRowHidden(ROW())=FALSE,MyRowHidden(ROW()-1)=TRUE),0,(E451-E450)*unitsOfDHp+I450)</f>
        <v>98980</v>
      </c>
      <c r="J451">
        <f>IF(AND(MyRowHidden(ROW())=FALSE,MyRowHidden(ROW()-1)=TRUE),0,(G451-G450)*unitsOfExo+J450)</f>
        <v>-3893472</v>
      </c>
      <c r="K451" s="9">
        <f t="shared" si="39"/>
        <v>3893472</v>
      </c>
      <c r="L451">
        <f t="shared" si="40"/>
        <v>-3794492</v>
      </c>
      <c r="M451">
        <f>IF(AND(MyRowHidden(ROW())=FALSE,MyRowHidden(ROW()-1)=TRUE),0,IF(MONTH(H451)&lt;&gt;MONTH(H450),M450+1,M450))</f>
        <v>20</v>
      </c>
      <c r="N451">
        <f>IF(AND(MyRowHidden(ROW())=FALSE,MyRowHidden(ROW()-1)=TRUE),0,IF(M451&lt;totalMonths,(totalMonths-M451)/totalMonths *(I451-I450)+N450,0))</f>
        <v>0</v>
      </c>
      <c r="P451">
        <f>IF(AND(MyRowHidden(ROW())=FALSE,MyRowHidden(ROW()-1)=TRUE),0,IF(M451&lt;totalMonths,(totalMonths-M451)/totalMonths *(J451-J450)+P450,0))</f>
        <v>0</v>
      </c>
      <c r="Q451">
        <f>IF(AND(MyRowHidden(ROW())=FALSE,MyRowHidden(ROW()-1)=TRUE),0,IF(M451&lt;totalMonths,(totalMonths-M451)/totalMonths *(K451-K450)+Q450,0))</f>
        <v>0</v>
      </c>
      <c r="R451">
        <f>IF(AND(MyRowHidden(ROW())=FALSE,MyRowHidden(ROW()-1)=TRUE),0,IF(M451&lt;totalMonths,(totalMonths-M451)/totalMonths *(L451-L450)+R450,0))</f>
        <v>0</v>
      </c>
    </row>
    <row r="452" spans="1:18" hidden="1" x14ac:dyDescent="0.25">
      <c r="A452" s="1"/>
      <c r="C452" s="1"/>
      <c r="D452" s="1">
        <v>41891</v>
      </c>
      <c r="E452" s="10">
        <v>2728</v>
      </c>
      <c r="F452" s="1">
        <v>41891</v>
      </c>
      <c r="G452">
        <v>-9030.5</v>
      </c>
      <c r="H452" s="1">
        <f t="shared" si="38"/>
        <v>41891</v>
      </c>
      <c r="I452">
        <f>IF(AND(MyRowHidden(ROW())=FALSE,MyRowHidden(ROW()-1)=TRUE),0,(E452-E451)*unitsOfDHp+I451)</f>
        <v>95480</v>
      </c>
      <c r="J452">
        <f>IF(AND(MyRowHidden(ROW())=FALSE,MyRowHidden(ROW()-1)=TRUE),0,(G452-G451)*unitsOfExo+J451)</f>
        <v>-3936672</v>
      </c>
      <c r="K452" s="9">
        <f t="shared" si="39"/>
        <v>3936672</v>
      </c>
      <c r="L452">
        <f t="shared" si="40"/>
        <v>-3841192</v>
      </c>
      <c r="M452">
        <f>IF(AND(MyRowHidden(ROW())=FALSE,MyRowHidden(ROW()-1)=TRUE),0,IF(MONTH(H452)&lt;&gt;MONTH(H451),M451+1,M451))</f>
        <v>20</v>
      </c>
      <c r="N452">
        <f>IF(AND(MyRowHidden(ROW())=FALSE,MyRowHidden(ROW()-1)=TRUE),0,IF(M452&lt;totalMonths,(totalMonths-M452)/totalMonths *(I452-I451)+N451,0))</f>
        <v>0</v>
      </c>
      <c r="P452">
        <f>IF(AND(MyRowHidden(ROW())=FALSE,MyRowHidden(ROW()-1)=TRUE),0,IF(M452&lt;totalMonths,(totalMonths-M452)/totalMonths *(J452-J451)+P451,0))</f>
        <v>0</v>
      </c>
      <c r="Q452">
        <f>IF(AND(MyRowHidden(ROW())=FALSE,MyRowHidden(ROW()-1)=TRUE),0,IF(M452&lt;totalMonths,(totalMonths-M452)/totalMonths *(K452-K451)+Q451,0))</f>
        <v>0</v>
      </c>
      <c r="R452">
        <f>IF(AND(MyRowHidden(ROW())=FALSE,MyRowHidden(ROW()-1)=TRUE),0,IF(M452&lt;totalMonths,(totalMonths-M452)/totalMonths *(L452-L451)+R451,0))</f>
        <v>0</v>
      </c>
    </row>
    <row r="453" spans="1:18" hidden="1" x14ac:dyDescent="0.25">
      <c r="A453" s="1"/>
      <c r="C453" s="1"/>
      <c r="D453" s="1">
        <v>41892</v>
      </c>
      <c r="E453" s="10">
        <v>2840</v>
      </c>
      <c r="F453" s="1">
        <v>41892</v>
      </c>
      <c r="G453">
        <v>-8930.5</v>
      </c>
      <c r="H453" s="1">
        <f t="shared" si="38"/>
        <v>41892</v>
      </c>
      <c r="I453">
        <f>IF(AND(MyRowHidden(ROW())=FALSE,MyRowHidden(ROW()-1)=TRUE),0,(E453-E452)*unitsOfDHp+I452)</f>
        <v>99400</v>
      </c>
      <c r="J453">
        <f>IF(AND(MyRowHidden(ROW())=FALSE,MyRowHidden(ROW()-1)=TRUE),0,(G453-G452)*unitsOfExo+J452)</f>
        <v>-3907872</v>
      </c>
      <c r="K453" s="9">
        <f t="shared" si="39"/>
        <v>3907872</v>
      </c>
      <c r="L453">
        <f t="shared" si="40"/>
        <v>-3808472</v>
      </c>
      <c r="M453">
        <f>IF(AND(MyRowHidden(ROW())=FALSE,MyRowHidden(ROW()-1)=TRUE),0,IF(MONTH(H453)&lt;&gt;MONTH(H452),M452+1,M452))</f>
        <v>20</v>
      </c>
      <c r="N453">
        <f>IF(AND(MyRowHidden(ROW())=FALSE,MyRowHidden(ROW()-1)=TRUE),0,IF(M453&lt;totalMonths,(totalMonths-M453)/totalMonths *(I453-I452)+N452,0))</f>
        <v>0</v>
      </c>
      <c r="P453">
        <f>IF(AND(MyRowHidden(ROW())=FALSE,MyRowHidden(ROW()-1)=TRUE),0,IF(M453&lt;totalMonths,(totalMonths-M453)/totalMonths *(J453-J452)+P452,0))</f>
        <v>0</v>
      </c>
      <c r="Q453">
        <f>IF(AND(MyRowHidden(ROW())=FALSE,MyRowHidden(ROW()-1)=TRUE),0,IF(M453&lt;totalMonths,(totalMonths-M453)/totalMonths *(K453-K452)+Q452,0))</f>
        <v>0</v>
      </c>
      <c r="R453">
        <f>IF(AND(MyRowHidden(ROW())=FALSE,MyRowHidden(ROW()-1)=TRUE),0,IF(M453&lt;totalMonths,(totalMonths-M453)/totalMonths *(L453-L452)+R452,0))</f>
        <v>0</v>
      </c>
    </row>
    <row r="454" spans="1:18" hidden="1" x14ac:dyDescent="0.25">
      <c r="A454" s="1"/>
      <c r="C454" s="1"/>
      <c r="D454" s="1">
        <v>41893</v>
      </c>
      <c r="E454" s="10">
        <v>2502</v>
      </c>
      <c r="F454" s="1">
        <v>41893</v>
      </c>
      <c r="G454">
        <v>-9305.5</v>
      </c>
      <c r="H454" s="1">
        <f t="shared" si="38"/>
        <v>41893</v>
      </c>
      <c r="I454">
        <f>IF(AND(MyRowHidden(ROW())=FALSE,MyRowHidden(ROW()-1)=TRUE),0,(E454-E453)*unitsOfDHp+I453)</f>
        <v>87570</v>
      </c>
      <c r="J454">
        <f>IF(AND(MyRowHidden(ROW())=FALSE,MyRowHidden(ROW()-1)=TRUE),0,(G454-G453)*unitsOfExo+J453)</f>
        <v>-4015872</v>
      </c>
      <c r="K454" s="9">
        <f t="shared" si="39"/>
        <v>4015872</v>
      </c>
      <c r="L454">
        <f t="shared" si="40"/>
        <v>-3928302</v>
      </c>
      <c r="M454">
        <f>IF(AND(MyRowHidden(ROW())=FALSE,MyRowHidden(ROW()-1)=TRUE),0,IF(MONTH(H454)&lt;&gt;MONTH(H453),M453+1,M453))</f>
        <v>20</v>
      </c>
      <c r="N454">
        <f>IF(AND(MyRowHidden(ROW())=FALSE,MyRowHidden(ROW()-1)=TRUE),0,IF(M454&lt;totalMonths,(totalMonths-M454)/totalMonths *(I454-I453)+N453,0))</f>
        <v>0</v>
      </c>
      <c r="P454">
        <f>IF(AND(MyRowHidden(ROW())=FALSE,MyRowHidden(ROW()-1)=TRUE),0,IF(M454&lt;totalMonths,(totalMonths-M454)/totalMonths *(J454-J453)+P453,0))</f>
        <v>0</v>
      </c>
      <c r="Q454">
        <f>IF(AND(MyRowHidden(ROW())=FALSE,MyRowHidden(ROW()-1)=TRUE),0,IF(M454&lt;totalMonths,(totalMonths-M454)/totalMonths *(K454-K453)+Q453,0))</f>
        <v>0</v>
      </c>
      <c r="R454">
        <f>IF(AND(MyRowHidden(ROW())=FALSE,MyRowHidden(ROW()-1)=TRUE),0,IF(M454&lt;totalMonths,(totalMonths-M454)/totalMonths *(L454-L453)+R453,0))</f>
        <v>0</v>
      </c>
    </row>
    <row r="455" spans="1:18" hidden="1" x14ac:dyDescent="0.25">
      <c r="A455" s="1"/>
      <c r="C455" s="1"/>
      <c r="D455" s="1">
        <v>41894</v>
      </c>
      <c r="E455" s="10">
        <v>2540</v>
      </c>
      <c r="F455" s="1">
        <v>41894</v>
      </c>
      <c r="G455">
        <v>-9343</v>
      </c>
      <c r="H455" s="1">
        <f t="shared" si="38"/>
        <v>41894</v>
      </c>
      <c r="I455">
        <f>IF(AND(MyRowHidden(ROW())=FALSE,MyRowHidden(ROW()-1)=TRUE),0,(E455-E454)*unitsOfDHp+I454)</f>
        <v>88900</v>
      </c>
      <c r="J455">
        <f>IF(AND(MyRowHidden(ROW())=FALSE,MyRowHidden(ROW()-1)=TRUE),0,(G455-G454)*unitsOfExo+J454)</f>
        <v>-4026672</v>
      </c>
      <c r="K455" s="9">
        <f t="shared" si="39"/>
        <v>4026672</v>
      </c>
      <c r="L455">
        <f t="shared" si="40"/>
        <v>-3937772</v>
      </c>
      <c r="M455">
        <f>IF(AND(MyRowHidden(ROW())=FALSE,MyRowHidden(ROW()-1)=TRUE),0,IF(MONTH(H455)&lt;&gt;MONTH(H454),M454+1,M454))</f>
        <v>20</v>
      </c>
      <c r="N455">
        <f>IF(AND(MyRowHidden(ROW())=FALSE,MyRowHidden(ROW()-1)=TRUE),0,IF(M455&lt;totalMonths,(totalMonths-M455)/totalMonths *(I455-I454)+N454,0))</f>
        <v>0</v>
      </c>
      <c r="P455">
        <f>IF(AND(MyRowHidden(ROW())=FALSE,MyRowHidden(ROW()-1)=TRUE),0,IF(M455&lt;totalMonths,(totalMonths-M455)/totalMonths *(J455-J454)+P454,0))</f>
        <v>0</v>
      </c>
      <c r="Q455">
        <f>IF(AND(MyRowHidden(ROW())=FALSE,MyRowHidden(ROW()-1)=TRUE),0,IF(M455&lt;totalMonths,(totalMonths-M455)/totalMonths *(K455-K454)+Q454,0))</f>
        <v>0</v>
      </c>
      <c r="R455">
        <f>IF(AND(MyRowHidden(ROW())=FALSE,MyRowHidden(ROW()-1)=TRUE),0,IF(M455&lt;totalMonths,(totalMonths-M455)/totalMonths *(L455-L454)+R454,0))</f>
        <v>0</v>
      </c>
    </row>
    <row r="456" spans="1:18" hidden="1" x14ac:dyDescent="0.25">
      <c r="A456" s="1"/>
      <c r="C456" s="1"/>
      <c r="D456" s="1">
        <v>41897</v>
      </c>
      <c r="E456" s="10">
        <v>2902</v>
      </c>
      <c r="F456" s="1">
        <v>41897</v>
      </c>
      <c r="G456">
        <v>-9118</v>
      </c>
      <c r="H456" s="1">
        <f t="shared" si="38"/>
        <v>41897</v>
      </c>
      <c r="I456">
        <f>IF(AND(MyRowHidden(ROW())=FALSE,MyRowHidden(ROW()-1)=TRUE),0,(E456-E455)*unitsOfDHp+I455)</f>
        <v>101570</v>
      </c>
      <c r="J456">
        <f>IF(AND(MyRowHidden(ROW())=FALSE,MyRowHidden(ROW()-1)=TRUE),0,(G456-G455)*unitsOfExo+J455)</f>
        <v>-3961872</v>
      </c>
      <c r="K456" s="9">
        <f t="shared" si="39"/>
        <v>3961872</v>
      </c>
      <c r="L456">
        <f t="shared" si="40"/>
        <v>-3860302</v>
      </c>
      <c r="M456">
        <f>IF(AND(MyRowHidden(ROW())=FALSE,MyRowHidden(ROW()-1)=TRUE),0,IF(MONTH(H456)&lt;&gt;MONTH(H455),M455+1,M455))</f>
        <v>20</v>
      </c>
      <c r="N456">
        <f>IF(AND(MyRowHidden(ROW())=FALSE,MyRowHidden(ROW()-1)=TRUE),0,IF(M456&lt;totalMonths,(totalMonths-M456)/totalMonths *(I456-I455)+N455,0))</f>
        <v>0</v>
      </c>
      <c r="P456">
        <f>IF(AND(MyRowHidden(ROW())=FALSE,MyRowHidden(ROW()-1)=TRUE),0,IF(M456&lt;totalMonths,(totalMonths-M456)/totalMonths *(J456-J455)+P455,0))</f>
        <v>0</v>
      </c>
      <c r="Q456">
        <f>IF(AND(MyRowHidden(ROW())=FALSE,MyRowHidden(ROW()-1)=TRUE),0,IF(M456&lt;totalMonths,(totalMonths-M456)/totalMonths *(K456-K455)+Q455,0))</f>
        <v>0</v>
      </c>
      <c r="R456">
        <f>IF(AND(MyRowHidden(ROW())=FALSE,MyRowHidden(ROW()-1)=TRUE),0,IF(M456&lt;totalMonths,(totalMonths-M456)/totalMonths *(L456-L455)+R455,0))</f>
        <v>0</v>
      </c>
    </row>
    <row r="457" spans="1:18" hidden="1" x14ac:dyDescent="0.25">
      <c r="A457" s="1"/>
      <c r="C457" s="1"/>
      <c r="D457" s="1">
        <v>41898</v>
      </c>
      <c r="E457" s="10">
        <v>3040</v>
      </c>
      <c r="F457" s="1">
        <v>41898</v>
      </c>
      <c r="G457">
        <v>-9030.5</v>
      </c>
      <c r="H457" s="1">
        <f t="shared" si="38"/>
        <v>41898</v>
      </c>
      <c r="I457">
        <f>IF(AND(MyRowHidden(ROW())=FALSE,MyRowHidden(ROW()-1)=TRUE),0,(E457-E456)*unitsOfDHp+I456)</f>
        <v>106400</v>
      </c>
      <c r="J457">
        <f>IF(AND(MyRowHidden(ROW())=FALSE,MyRowHidden(ROW()-1)=TRUE),0,(G457-G456)*unitsOfExo+J456)</f>
        <v>-3936672</v>
      </c>
      <c r="K457" s="9">
        <f t="shared" si="39"/>
        <v>3936672</v>
      </c>
      <c r="L457">
        <f t="shared" si="40"/>
        <v>-3830272</v>
      </c>
      <c r="M457">
        <f>IF(AND(MyRowHidden(ROW())=FALSE,MyRowHidden(ROW()-1)=TRUE),0,IF(MONTH(H457)&lt;&gt;MONTH(H456),M456+1,M456))</f>
        <v>20</v>
      </c>
      <c r="N457">
        <f>IF(AND(MyRowHidden(ROW())=FALSE,MyRowHidden(ROW()-1)=TRUE),0,IF(M457&lt;totalMonths,(totalMonths-M457)/totalMonths *(I457-I456)+N456,0))</f>
        <v>0</v>
      </c>
      <c r="P457">
        <f>IF(AND(MyRowHidden(ROW())=FALSE,MyRowHidden(ROW()-1)=TRUE),0,IF(M457&lt;totalMonths,(totalMonths-M457)/totalMonths *(J457-J456)+P456,0))</f>
        <v>0</v>
      </c>
      <c r="Q457">
        <f>IF(AND(MyRowHidden(ROW())=FALSE,MyRowHidden(ROW()-1)=TRUE),0,IF(M457&lt;totalMonths,(totalMonths-M457)/totalMonths *(K457-K456)+Q456,0))</f>
        <v>0</v>
      </c>
      <c r="R457">
        <f>IF(AND(MyRowHidden(ROW())=FALSE,MyRowHidden(ROW()-1)=TRUE),0,IF(M457&lt;totalMonths,(totalMonths-M457)/totalMonths *(L457-L456)+R456,0))</f>
        <v>0</v>
      </c>
    </row>
    <row r="458" spans="1:18" hidden="1" x14ac:dyDescent="0.25">
      <c r="A458" s="1"/>
      <c r="C458" s="1"/>
      <c r="D458" s="1">
        <v>41899</v>
      </c>
      <c r="E458" s="10">
        <v>2852</v>
      </c>
      <c r="F458" s="1">
        <v>41899</v>
      </c>
      <c r="G458">
        <v>-9193</v>
      </c>
      <c r="H458" s="1">
        <f t="shared" si="38"/>
        <v>41899</v>
      </c>
      <c r="I458">
        <f>IF(AND(MyRowHidden(ROW())=FALSE,MyRowHidden(ROW()-1)=TRUE),0,(E458-E457)*unitsOfDHp+I457)</f>
        <v>99820</v>
      </c>
      <c r="J458">
        <f>IF(AND(MyRowHidden(ROW())=FALSE,MyRowHidden(ROW()-1)=TRUE),0,(G458-G457)*unitsOfExo+J457)</f>
        <v>-3983472</v>
      </c>
      <c r="K458" s="9">
        <f t="shared" si="39"/>
        <v>3983472</v>
      </c>
      <c r="L458">
        <f t="shared" si="40"/>
        <v>-3883652</v>
      </c>
      <c r="M458">
        <f>IF(AND(MyRowHidden(ROW())=FALSE,MyRowHidden(ROW()-1)=TRUE),0,IF(MONTH(H458)&lt;&gt;MONTH(H457),M457+1,M457))</f>
        <v>20</v>
      </c>
      <c r="N458">
        <f>IF(AND(MyRowHidden(ROW())=FALSE,MyRowHidden(ROW()-1)=TRUE),0,IF(M458&lt;totalMonths,(totalMonths-M458)/totalMonths *(I458-I457)+N457,0))</f>
        <v>0</v>
      </c>
      <c r="P458">
        <f>IF(AND(MyRowHidden(ROW())=FALSE,MyRowHidden(ROW()-1)=TRUE),0,IF(M458&lt;totalMonths,(totalMonths-M458)/totalMonths *(J458-J457)+P457,0))</f>
        <v>0</v>
      </c>
      <c r="Q458">
        <f>IF(AND(MyRowHidden(ROW())=FALSE,MyRowHidden(ROW()-1)=TRUE),0,IF(M458&lt;totalMonths,(totalMonths-M458)/totalMonths *(K458-K457)+Q457,0))</f>
        <v>0</v>
      </c>
      <c r="R458">
        <f>IF(AND(MyRowHidden(ROW())=FALSE,MyRowHidden(ROW()-1)=TRUE),0,IF(M458&lt;totalMonths,(totalMonths-M458)/totalMonths *(L458-L457)+R457,0))</f>
        <v>0</v>
      </c>
    </row>
    <row r="459" spans="1:18" hidden="1" x14ac:dyDescent="0.25">
      <c r="A459" s="1"/>
      <c r="C459" s="1"/>
      <c r="D459" s="1">
        <v>41900</v>
      </c>
      <c r="E459" s="10">
        <v>2690</v>
      </c>
      <c r="F459" s="1">
        <v>41900</v>
      </c>
      <c r="G459">
        <v>-9330.5</v>
      </c>
      <c r="H459" s="1">
        <f t="shared" si="38"/>
        <v>41900</v>
      </c>
      <c r="I459">
        <f>IF(AND(MyRowHidden(ROW())=FALSE,MyRowHidden(ROW()-1)=TRUE),0,(E459-E458)*unitsOfDHp+I458)</f>
        <v>94150</v>
      </c>
      <c r="J459">
        <f>IF(AND(MyRowHidden(ROW())=FALSE,MyRowHidden(ROW()-1)=TRUE),0,(G459-G458)*unitsOfExo+J458)</f>
        <v>-4023072</v>
      </c>
      <c r="K459" s="9">
        <f t="shared" si="39"/>
        <v>4023072</v>
      </c>
      <c r="L459">
        <f t="shared" si="40"/>
        <v>-3928922</v>
      </c>
      <c r="M459">
        <f>IF(AND(MyRowHidden(ROW())=FALSE,MyRowHidden(ROW()-1)=TRUE),0,IF(MONTH(H459)&lt;&gt;MONTH(H458),M458+1,M458))</f>
        <v>20</v>
      </c>
      <c r="N459">
        <f>IF(AND(MyRowHidden(ROW())=FALSE,MyRowHidden(ROW()-1)=TRUE),0,IF(M459&lt;totalMonths,(totalMonths-M459)/totalMonths *(I459-I458)+N458,0))</f>
        <v>0</v>
      </c>
      <c r="P459">
        <f>IF(AND(MyRowHidden(ROW())=FALSE,MyRowHidden(ROW()-1)=TRUE),0,IF(M459&lt;totalMonths,(totalMonths-M459)/totalMonths *(J459-J458)+P458,0))</f>
        <v>0</v>
      </c>
      <c r="Q459">
        <f>IF(AND(MyRowHidden(ROW())=FALSE,MyRowHidden(ROW()-1)=TRUE),0,IF(M459&lt;totalMonths,(totalMonths-M459)/totalMonths *(K459-K458)+Q458,0))</f>
        <v>0</v>
      </c>
      <c r="R459">
        <f>IF(AND(MyRowHidden(ROW())=FALSE,MyRowHidden(ROW()-1)=TRUE),0,IF(M459&lt;totalMonths,(totalMonths-M459)/totalMonths *(L459-L458)+R458,0))</f>
        <v>0</v>
      </c>
    </row>
    <row r="460" spans="1:18" hidden="1" x14ac:dyDescent="0.25">
      <c r="A460" s="1"/>
      <c r="C460" s="1"/>
      <c r="D460" s="1">
        <v>41901</v>
      </c>
      <c r="E460" s="10">
        <v>2190</v>
      </c>
      <c r="F460" s="1">
        <v>41901</v>
      </c>
      <c r="G460">
        <v>-9630.5</v>
      </c>
      <c r="H460" s="1">
        <f t="shared" si="38"/>
        <v>41901</v>
      </c>
      <c r="I460">
        <f>IF(AND(MyRowHidden(ROW())=FALSE,MyRowHidden(ROW()-1)=TRUE),0,(E460-E459)*unitsOfDHp+I459)</f>
        <v>76650</v>
      </c>
      <c r="J460">
        <f>IF(AND(MyRowHidden(ROW())=FALSE,MyRowHidden(ROW()-1)=TRUE),0,(G460-G459)*unitsOfExo+J459)</f>
        <v>-4109472</v>
      </c>
      <c r="K460" s="9">
        <f t="shared" si="39"/>
        <v>4109472</v>
      </c>
      <c r="L460">
        <f t="shared" si="40"/>
        <v>-4032822</v>
      </c>
      <c r="M460">
        <f>IF(AND(MyRowHidden(ROW())=FALSE,MyRowHidden(ROW()-1)=TRUE),0,IF(MONTH(H460)&lt;&gt;MONTH(H459),M459+1,M459))</f>
        <v>20</v>
      </c>
      <c r="N460">
        <f>IF(AND(MyRowHidden(ROW())=FALSE,MyRowHidden(ROW()-1)=TRUE),0,IF(M460&lt;totalMonths,(totalMonths-M460)/totalMonths *(I460-I459)+N459,0))</f>
        <v>0</v>
      </c>
      <c r="P460">
        <f>IF(AND(MyRowHidden(ROW())=FALSE,MyRowHidden(ROW()-1)=TRUE),0,IF(M460&lt;totalMonths,(totalMonths-M460)/totalMonths *(J460-J459)+P459,0))</f>
        <v>0</v>
      </c>
      <c r="Q460">
        <f>IF(AND(MyRowHidden(ROW())=FALSE,MyRowHidden(ROW()-1)=TRUE),0,IF(M460&lt;totalMonths,(totalMonths-M460)/totalMonths *(K460-K459)+Q459,0))</f>
        <v>0</v>
      </c>
      <c r="R460">
        <f>IF(AND(MyRowHidden(ROW())=FALSE,MyRowHidden(ROW()-1)=TRUE),0,IF(M460&lt;totalMonths,(totalMonths-M460)/totalMonths *(L460-L459)+R459,0))</f>
        <v>0</v>
      </c>
    </row>
    <row r="461" spans="1:18" hidden="1" x14ac:dyDescent="0.25">
      <c r="A461" s="1"/>
      <c r="C461" s="1"/>
      <c r="D461" s="1">
        <v>41904</v>
      </c>
      <c r="E461" s="10">
        <v>1928</v>
      </c>
      <c r="F461" s="1">
        <v>41904</v>
      </c>
      <c r="G461">
        <v>-9743</v>
      </c>
      <c r="H461" s="1">
        <f t="shared" si="38"/>
        <v>41904</v>
      </c>
      <c r="I461">
        <f>IF(AND(MyRowHidden(ROW())=FALSE,MyRowHidden(ROW()-1)=TRUE),0,(E461-E460)*unitsOfDHp+I460)</f>
        <v>67480</v>
      </c>
      <c r="J461">
        <f>IF(AND(MyRowHidden(ROW())=FALSE,MyRowHidden(ROW()-1)=TRUE),0,(G461-G460)*unitsOfExo+J460)</f>
        <v>-4141872</v>
      </c>
      <c r="K461" s="9">
        <f t="shared" si="39"/>
        <v>4141872</v>
      </c>
      <c r="L461">
        <f t="shared" si="40"/>
        <v>-4074392</v>
      </c>
      <c r="M461">
        <f>IF(AND(MyRowHidden(ROW())=FALSE,MyRowHidden(ROW()-1)=TRUE),0,IF(MONTH(H461)&lt;&gt;MONTH(H460),M460+1,M460))</f>
        <v>20</v>
      </c>
      <c r="N461">
        <f>IF(AND(MyRowHidden(ROW())=FALSE,MyRowHidden(ROW()-1)=TRUE),0,IF(M461&lt;totalMonths,(totalMonths-M461)/totalMonths *(I461-I460)+N460,0))</f>
        <v>0</v>
      </c>
      <c r="P461">
        <f>IF(AND(MyRowHidden(ROW())=FALSE,MyRowHidden(ROW()-1)=TRUE),0,IF(M461&lt;totalMonths,(totalMonths-M461)/totalMonths *(J461-J460)+P460,0))</f>
        <v>0</v>
      </c>
      <c r="Q461">
        <f>IF(AND(MyRowHidden(ROW())=FALSE,MyRowHidden(ROW()-1)=TRUE),0,IF(M461&lt;totalMonths,(totalMonths-M461)/totalMonths *(K461-K460)+Q460,0))</f>
        <v>0</v>
      </c>
      <c r="R461">
        <f>IF(AND(MyRowHidden(ROW())=FALSE,MyRowHidden(ROW()-1)=TRUE),0,IF(M461&lt;totalMonths,(totalMonths-M461)/totalMonths *(L461-L460)+R460,0))</f>
        <v>0</v>
      </c>
    </row>
    <row r="462" spans="1:18" hidden="1" x14ac:dyDescent="0.25">
      <c r="A462" s="1"/>
      <c r="C462" s="1"/>
      <c r="D462" s="1">
        <v>41905</v>
      </c>
      <c r="E462" s="10">
        <v>1478</v>
      </c>
      <c r="F462" s="1">
        <v>41905</v>
      </c>
      <c r="G462">
        <v>-9980.5</v>
      </c>
      <c r="H462" s="1">
        <f t="shared" si="38"/>
        <v>41905</v>
      </c>
      <c r="I462">
        <f>IF(AND(MyRowHidden(ROW())=FALSE,MyRowHidden(ROW()-1)=TRUE),0,(E462-E461)*unitsOfDHp+I461)</f>
        <v>51730</v>
      </c>
      <c r="J462">
        <f>IF(AND(MyRowHidden(ROW())=FALSE,MyRowHidden(ROW()-1)=TRUE),0,(G462-G461)*unitsOfExo+J461)</f>
        <v>-4210272</v>
      </c>
      <c r="K462" s="9">
        <f t="shared" si="39"/>
        <v>4210272</v>
      </c>
      <c r="L462">
        <f t="shared" si="40"/>
        <v>-4158542</v>
      </c>
      <c r="M462">
        <f>IF(AND(MyRowHidden(ROW())=FALSE,MyRowHidden(ROW()-1)=TRUE),0,IF(MONTH(H462)&lt;&gt;MONTH(H461),M461+1,M461))</f>
        <v>20</v>
      </c>
      <c r="N462">
        <f>IF(AND(MyRowHidden(ROW())=FALSE,MyRowHidden(ROW()-1)=TRUE),0,IF(M462&lt;totalMonths,(totalMonths-M462)/totalMonths *(I462-I461)+N461,0))</f>
        <v>0</v>
      </c>
      <c r="P462">
        <f>IF(AND(MyRowHidden(ROW())=FALSE,MyRowHidden(ROW()-1)=TRUE),0,IF(M462&lt;totalMonths,(totalMonths-M462)/totalMonths *(J462-J461)+P461,0))</f>
        <v>0</v>
      </c>
      <c r="Q462">
        <f>IF(AND(MyRowHidden(ROW())=FALSE,MyRowHidden(ROW()-1)=TRUE),0,IF(M462&lt;totalMonths,(totalMonths-M462)/totalMonths *(K462-K461)+Q461,0))</f>
        <v>0</v>
      </c>
      <c r="R462">
        <f>IF(AND(MyRowHidden(ROW())=FALSE,MyRowHidden(ROW()-1)=TRUE),0,IF(M462&lt;totalMonths,(totalMonths-M462)/totalMonths *(L462-L461)+R461,0))</f>
        <v>0</v>
      </c>
    </row>
    <row r="463" spans="1:18" hidden="1" x14ac:dyDescent="0.25">
      <c r="A463" s="1"/>
      <c r="C463" s="1"/>
      <c r="D463" s="1">
        <v>41906</v>
      </c>
      <c r="E463" s="10">
        <v>1790</v>
      </c>
      <c r="F463" s="1">
        <v>41906</v>
      </c>
      <c r="G463">
        <v>-9793</v>
      </c>
      <c r="H463" s="1">
        <f t="shared" si="38"/>
        <v>41906</v>
      </c>
      <c r="I463">
        <f>IF(AND(MyRowHidden(ROW())=FALSE,MyRowHidden(ROW()-1)=TRUE),0,(E463-E462)*unitsOfDHp+I462)</f>
        <v>62650</v>
      </c>
      <c r="J463">
        <f>IF(AND(MyRowHidden(ROW())=FALSE,MyRowHidden(ROW()-1)=TRUE),0,(G463-G462)*unitsOfExo+J462)</f>
        <v>-4156272</v>
      </c>
      <c r="K463" s="9">
        <f t="shared" si="39"/>
        <v>4156272</v>
      </c>
      <c r="L463">
        <f t="shared" si="40"/>
        <v>-4093622</v>
      </c>
      <c r="M463">
        <f>IF(AND(MyRowHidden(ROW())=FALSE,MyRowHidden(ROW()-1)=TRUE),0,IF(MONTH(H463)&lt;&gt;MONTH(H462),M462+1,M462))</f>
        <v>20</v>
      </c>
      <c r="N463">
        <f>IF(AND(MyRowHidden(ROW())=FALSE,MyRowHidden(ROW()-1)=TRUE),0,IF(M463&lt;totalMonths,(totalMonths-M463)/totalMonths *(I463-I462)+N462,0))</f>
        <v>0</v>
      </c>
      <c r="P463">
        <f>IF(AND(MyRowHidden(ROW())=FALSE,MyRowHidden(ROW()-1)=TRUE),0,IF(M463&lt;totalMonths,(totalMonths-M463)/totalMonths *(J463-J462)+P462,0))</f>
        <v>0</v>
      </c>
      <c r="Q463">
        <f>IF(AND(MyRowHidden(ROW())=FALSE,MyRowHidden(ROW()-1)=TRUE),0,IF(M463&lt;totalMonths,(totalMonths-M463)/totalMonths *(K463-K462)+Q462,0))</f>
        <v>0</v>
      </c>
      <c r="R463">
        <f>IF(AND(MyRowHidden(ROW())=FALSE,MyRowHidden(ROW()-1)=TRUE),0,IF(M463&lt;totalMonths,(totalMonths-M463)/totalMonths *(L463-L462)+R462,0))</f>
        <v>0</v>
      </c>
    </row>
    <row r="464" spans="1:18" hidden="1" x14ac:dyDescent="0.25">
      <c r="A464" s="1"/>
      <c r="C464" s="1"/>
      <c r="D464" s="1">
        <v>41907</v>
      </c>
      <c r="E464" s="10">
        <v>1478</v>
      </c>
      <c r="F464" s="1">
        <v>41907</v>
      </c>
      <c r="G464">
        <v>-9968</v>
      </c>
      <c r="H464" s="1">
        <f t="shared" si="38"/>
        <v>41907</v>
      </c>
      <c r="I464">
        <f>IF(AND(MyRowHidden(ROW())=FALSE,MyRowHidden(ROW()-1)=TRUE),0,(E464-E463)*unitsOfDHp+I463)</f>
        <v>51730</v>
      </c>
      <c r="J464">
        <f>IF(AND(MyRowHidden(ROW())=FALSE,MyRowHidden(ROW()-1)=TRUE),0,(G464-G463)*unitsOfExo+J463)</f>
        <v>-4206672</v>
      </c>
      <c r="K464" s="9">
        <f t="shared" si="39"/>
        <v>4206672</v>
      </c>
      <c r="L464">
        <f t="shared" si="40"/>
        <v>-4154942</v>
      </c>
      <c r="M464">
        <f>IF(AND(MyRowHidden(ROW())=FALSE,MyRowHidden(ROW()-1)=TRUE),0,IF(MONTH(H464)&lt;&gt;MONTH(H463),M463+1,M463))</f>
        <v>20</v>
      </c>
      <c r="N464">
        <f>IF(AND(MyRowHidden(ROW())=FALSE,MyRowHidden(ROW()-1)=TRUE),0,IF(M464&lt;totalMonths,(totalMonths-M464)/totalMonths *(I464-I463)+N463,0))</f>
        <v>0</v>
      </c>
      <c r="P464">
        <f>IF(AND(MyRowHidden(ROW())=FALSE,MyRowHidden(ROW()-1)=TRUE),0,IF(M464&lt;totalMonths,(totalMonths-M464)/totalMonths *(J464-J463)+P463,0))</f>
        <v>0</v>
      </c>
      <c r="Q464">
        <f>IF(AND(MyRowHidden(ROW())=FALSE,MyRowHidden(ROW()-1)=TRUE),0,IF(M464&lt;totalMonths,(totalMonths-M464)/totalMonths *(K464-K463)+Q463,0))</f>
        <v>0</v>
      </c>
      <c r="R464">
        <f>IF(AND(MyRowHidden(ROW())=FALSE,MyRowHidden(ROW()-1)=TRUE),0,IF(M464&lt;totalMonths,(totalMonths-M464)/totalMonths *(L464-L463)+R463,0))</f>
        <v>0</v>
      </c>
    </row>
    <row r="465" spans="1:18" hidden="1" x14ac:dyDescent="0.25">
      <c r="A465" s="1"/>
      <c r="C465" s="1"/>
      <c r="D465" s="1">
        <v>41908</v>
      </c>
      <c r="E465" s="10">
        <v>1228</v>
      </c>
      <c r="F465" s="1">
        <v>41908</v>
      </c>
      <c r="G465">
        <v>-10093</v>
      </c>
      <c r="H465" s="1">
        <f t="shared" ref="H465:H528" si="41">D465</f>
        <v>41908</v>
      </c>
      <c r="I465">
        <f>IF(AND(MyRowHidden(ROW())=FALSE,MyRowHidden(ROW()-1)=TRUE),0,(E465-E464)*unitsOfDHp+I464)</f>
        <v>42980</v>
      </c>
      <c r="J465">
        <f>IF(AND(MyRowHidden(ROW())=FALSE,MyRowHidden(ROW()-1)=TRUE),0,(G465-G464)*unitsOfExo+J464)</f>
        <v>-4242672</v>
      </c>
      <c r="K465" s="9">
        <f t="shared" ref="K465:K528" si="42">-(J465-J464)+K464</f>
        <v>4242672</v>
      </c>
      <c r="L465">
        <f t="shared" ref="L465:L528" si="43">I465+J465</f>
        <v>-4199692</v>
      </c>
      <c r="M465">
        <f>IF(AND(MyRowHidden(ROW())=FALSE,MyRowHidden(ROW()-1)=TRUE),0,IF(MONTH(H465)&lt;&gt;MONTH(H464),M464+1,M464))</f>
        <v>20</v>
      </c>
      <c r="N465">
        <f>IF(AND(MyRowHidden(ROW())=FALSE,MyRowHidden(ROW()-1)=TRUE),0,IF(M465&lt;totalMonths,(totalMonths-M465)/totalMonths *(I465-I464)+N464,0))</f>
        <v>0</v>
      </c>
      <c r="P465">
        <f>IF(AND(MyRowHidden(ROW())=FALSE,MyRowHidden(ROW()-1)=TRUE),0,IF(M465&lt;totalMonths,(totalMonths-M465)/totalMonths *(J465-J464)+P464,0))</f>
        <v>0</v>
      </c>
      <c r="Q465">
        <f>IF(AND(MyRowHidden(ROW())=FALSE,MyRowHidden(ROW()-1)=TRUE),0,IF(M465&lt;totalMonths,(totalMonths-M465)/totalMonths *(K465-K464)+Q464,0))</f>
        <v>0</v>
      </c>
      <c r="R465">
        <f>IF(AND(MyRowHidden(ROW())=FALSE,MyRowHidden(ROW()-1)=TRUE),0,IF(M465&lt;totalMonths,(totalMonths-M465)/totalMonths *(L465-L464)+R464,0))</f>
        <v>0</v>
      </c>
    </row>
    <row r="466" spans="1:18" hidden="1" x14ac:dyDescent="0.25">
      <c r="A466" s="1"/>
      <c r="C466" s="1"/>
      <c r="D466" s="1">
        <v>41911</v>
      </c>
      <c r="E466" s="10">
        <v>1453</v>
      </c>
      <c r="F466" s="1">
        <v>41911</v>
      </c>
      <c r="G466">
        <v>-9993</v>
      </c>
      <c r="H466" s="1">
        <f t="shared" si="41"/>
        <v>41911</v>
      </c>
      <c r="I466">
        <f>IF(AND(MyRowHidden(ROW())=FALSE,MyRowHidden(ROW()-1)=TRUE),0,(E466-E465)*unitsOfDHp+I465)</f>
        <v>50855</v>
      </c>
      <c r="J466">
        <f>IF(AND(MyRowHidden(ROW())=FALSE,MyRowHidden(ROW()-1)=TRUE),0,(G466-G465)*unitsOfExo+J465)</f>
        <v>-4213872</v>
      </c>
      <c r="K466" s="9">
        <f t="shared" si="42"/>
        <v>4213872</v>
      </c>
      <c r="L466">
        <f t="shared" si="43"/>
        <v>-4163017</v>
      </c>
      <c r="M466">
        <f>IF(AND(MyRowHidden(ROW())=FALSE,MyRowHidden(ROW()-1)=TRUE),0,IF(MONTH(H466)&lt;&gt;MONTH(H465),M465+1,M465))</f>
        <v>20</v>
      </c>
      <c r="N466">
        <f>IF(AND(MyRowHidden(ROW())=FALSE,MyRowHidden(ROW()-1)=TRUE),0,IF(M466&lt;totalMonths,(totalMonths-M466)/totalMonths *(I466-I465)+N465,0))</f>
        <v>0</v>
      </c>
      <c r="P466">
        <f>IF(AND(MyRowHidden(ROW())=FALSE,MyRowHidden(ROW()-1)=TRUE),0,IF(M466&lt;totalMonths,(totalMonths-M466)/totalMonths *(J466-J465)+P465,0))</f>
        <v>0</v>
      </c>
      <c r="Q466">
        <f>IF(AND(MyRowHidden(ROW())=FALSE,MyRowHidden(ROW()-1)=TRUE),0,IF(M466&lt;totalMonths,(totalMonths-M466)/totalMonths *(K466-K465)+Q465,0))</f>
        <v>0</v>
      </c>
      <c r="R466">
        <f>IF(AND(MyRowHidden(ROW())=FALSE,MyRowHidden(ROW()-1)=TRUE),0,IF(M466&lt;totalMonths,(totalMonths-M466)/totalMonths *(L466-L465)+R465,0))</f>
        <v>0</v>
      </c>
    </row>
    <row r="467" spans="1:18" hidden="1" x14ac:dyDescent="0.25">
      <c r="A467" s="1"/>
      <c r="C467" s="1"/>
      <c r="D467" s="1">
        <v>41912</v>
      </c>
      <c r="E467" s="10">
        <v>1116</v>
      </c>
      <c r="F467" s="1">
        <v>41912</v>
      </c>
      <c r="G467">
        <v>-10180.5</v>
      </c>
      <c r="H467" s="1">
        <f t="shared" si="41"/>
        <v>41912</v>
      </c>
      <c r="I467">
        <f>IF(AND(MyRowHidden(ROW())=FALSE,MyRowHidden(ROW()-1)=TRUE),0,(E467-E466)*unitsOfDHp+I466)</f>
        <v>39060</v>
      </c>
      <c r="J467">
        <f>IF(AND(MyRowHidden(ROW())=FALSE,MyRowHidden(ROW()-1)=TRUE),0,(G467-G466)*unitsOfExo+J466)</f>
        <v>-4267872</v>
      </c>
      <c r="K467" s="9">
        <f t="shared" si="42"/>
        <v>4267872</v>
      </c>
      <c r="L467">
        <f t="shared" si="43"/>
        <v>-4228812</v>
      </c>
      <c r="M467">
        <f>IF(AND(MyRowHidden(ROW())=FALSE,MyRowHidden(ROW()-1)=TRUE),0,IF(MONTH(H467)&lt;&gt;MONTH(H466),M466+1,M466))</f>
        <v>20</v>
      </c>
      <c r="N467">
        <f>IF(AND(MyRowHidden(ROW())=FALSE,MyRowHidden(ROW()-1)=TRUE),0,IF(M467&lt;totalMonths,(totalMonths-M467)/totalMonths *(I467-I466)+N466,0))</f>
        <v>0</v>
      </c>
      <c r="P467">
        <f>IF(AND(MyRowHidden(ROW())=FALSE,MyRowHidden(ROW()-1)=TRUE),0,IF(M467&lt;totalMonths,(totalMonths-M467)/totalMonths *(J467-J466)+P466,0))</f>
        <v>0</v>
      </c>
      <c r="Q467">
        <f>IF(AND(MyRowHidden(ROW())=FALSE,MyRowHidden(ROW()-1)=TRUE),0,IF(M467&lt;totalMonths,(totalMonths-M467)/totalMonths *(K467-K466)+Q466,0))</f>
        <v>0</v>
      </c>
      <c r="R467">
        <f>IF(AND(MyRowHidden(ROW())=FALSE,MyRowHidden(ROW()-1)=TRUE),0,IF(M467&lt;totalMonths,(totalMonths-M467)/totalMonths *(L467-L466)+R466,0))</f>
        <v>0</v>
      </c>
    </row>
    <row r="468" spans="1:18" hidden="1" x14ac:dyDescent="0.25">
      <c r="A468" s="1"/>
      <c r="C468" s="1"/>
      <c r="D468" s="1">
        <v>41913</v>
      </c>
      <c r="E468" s="10">
        <v>1016</v>
      </c>
      <c r="F468" s="1">
        <v>41913</v>
      </c>
      <c r="G468">
        <v>-10205.5</v>
      </c>
      <c r="H468" s="1">
        <f t="shared" si="41"/>
        <v>41913</v>
      </c>
      <c r="I468">
        <f>IF(AND(MyRowHidden(ROW())=FALSE,MyRowHidden(ROW()-1)=TRUE),0,(E468-E467)*unitsOfDHp+I467)</f>
        <v>35560</v>
      </c>
      <c r="J468">
        <f>IF(AND(MyRowHidden(ROW())=FALSE,MyRowHidden(ROW()-1)=TRUE),0,(G468-G467)*unitsOfExo+J467)</f>
        <v>-4275072</v>
      </c>
      <c r="K468" s="9">
        <f t="shared" si="42"/>
        <v>4275072</v>
      </c>
      <c r="L468">
        <f t="shared" si="43"/>
        <v>-4239512</v>
      </c>
      <c r="M468">
        <f>IF(AND(MyRowHidden(ROW())=FALSE,MyRowHidden(ROW()-1)=TRUE),0,IF(MONTH(H468)&lt;&gt;MONTH(H467),M467+1,M467))</f>
        <v>21</v>
      </c>
      <c r="N468">
        <f>IF(AND(MyRowHidden(ROW())=FALSE,MyRowHidden(ROW()-1)=TRUE),0,IF(M468&lt;totalMonths,(totalMonths-M468)/totalMonths *(I468-I467)+N467,0))</f>
        <v>0</v>
      </c>
      <c r="P468">
        <f>IF(AND(MyRowHidden(ROW())=FALSE,MyRowHidden(ROW()-1)=TRUE),0,IF(M468&lt;totalMonths,(totalMonths-M468)/totalMonths *(J468-J467)+P467,0))</f>
        <v>0</v>
      </c>
      <c r="Q468">
        <f>IF(AND(MyRowHidden(ROW())=FALSE,MyRowHidden(ROW()-1)=TRUE),0,IF(M468&lt;totalMonths,(totalMonths-M468)/totalMonths *(K468-K467)+Q467,0))</f>
        <v>0</v>
      </c>
      <c r="R468">
        <f>IF(AND(MyRowHidden(ROW())=FALSE,MyRowHidden(ROW()-1)=TRUE),0,IF(M468&lt;totalMonths,(totalMonths-M468)/totalMonths *(L468-L467)+R467,0))</f>
        <v>0</v>
      </c>
    </row>
    <row r="469" spans="1:18" hidden="1" x14ac:dyDescent="0.25">
      <c r="A469" s="1"/>
      <c r="C469" s="1"/>
      <c r="D469" s="1">
        <v>41914</v>
      </c>
      <c r="E469" s="10">
        <v>1041</v>
      </c>
      <c r="F469" s="1">
        <v>41914</v>
      </c>
      <c r="G469">
        <v>-10193</v>
      </c>
      <c r="H469" s="1">
        <f t="shared" si="41"/>
        <v>41914</v>
      </c>
      <c r="I469">
        <f>IF(AND(MyRowHidden(ROW())=FALSE,MyRowHidden(ROW()-1)=TRUE),0,(E469-E468)*unitsOfDHp+I468)</f>
        <v>36435</v>
      </c>
      <c r="J469">
        <f>IF(AND(MyRowHidden(ROW())=FALSE,MyRowHidden(ROW()-1)=TRUE),0,(G469-G468)*unitsOfExo+J468)</f>
        <v>-4271472</v>
      </c>
      <c r="K469" s="9">
        <f t="shared" si="42"/>
        <v>4271472</v>
      </c>
      <c r="L469">
        <f t="shared" si="43"/>
        <v>-4235037</v>
      </c>
      <c r="M469">
        <f>IF(AND(MyRowHidden(ROW())=FALSE,MyRowHidden(ROW()-1)=TRUE),0,IF(MONTH(H469)&lt;&gt;MONTH(H468),M468+1,M468))</f>
        <v>21</v>
      </c>
      <c r="N469">
        <f>IF(AND(MyRowHidden(ROW())=FALSE,MyRowHidden(ROW()-1)=TRUE),0,IF(M469&lt;totalMonths,(totalMonths-M469)/totalMonths *(I469-I468)+N468,0))</f>
        <v>0</v>
      </c>
      <c r="P469">
        <f>IF(AND(MyRowHidden(ROW())=FALSE,MyRowHidden(ROW()-1)=TRUE),0,IF(M469&lt;totalMonths,(totalMonths-M469)/totalMonths *(J469-J468)+P468,0))</f>
        <v>0</v>
      </c>
      <c r="Q469">
        <f>IF(AND(MyRowHidden(ROW())=FALSE,MyRowHidden(ROW()-1)=TRUE),0,IF(M469&lt;totalMonths,(totalMonths-M469)/totalMonths *(K469-K468)+Q468,0))</f>
        <v>0</v>
      </c>
      <c r="R469">
        <f>IF(AND(MyRowHidden(ROW())=FALSE,MyRowHidden(ROW()-1)=TRUE),0,IF(M469&lt;totalMonths,(totalMonths-M469)/totalMonths *(L469-L468)+R468,0))</f>
        <v>0</v>
      </c>
    </row>
    <row r="470" spans="1:18" hidden="1" x14ac:dyDescent="0.25">
      <c r="A470" s="1"/>
      <c r="C470" s="1"/>
      <c r="D470" s="1">
        <v>41915</v>
      </c>
      <c r="E470" s="10">
        <v>1228</v>
      </c>
      <c r="F470" s="1">
        <v>41915</v>
      </c>
      <c r="G470">
        <v>-10118</v>
      </c>
      <c r="H470" s="1">
        <f t="shared" si="41"/>
        <v>41915</v>
      </c>
      <c r="I470">
        <f>IF(AND(MyRowHidden(ROW())=FALSE,MyRowHidden(ROW()-1)=TRUE),0,(E470-E469)*unitsOfDHp+I469)</f>
        <v>42980</v>
      </c>
      <c r="J470">
        <f>IF(AND(MyRowHidden(ROW())=FALSE,MyRowHidden(ROW()-1)=TRUE),0,(G470-G469)*unitsOfExo+J469)</f>
        <v>-4249872</v>
      </c>
      <c r="K470" s="9">
        <f t="shared" si="42"/>
        <v>4249872</v>
      </c>
      <c r="L470">
        <f t="shared" si="43"/>
        <v>-4206892</v>
      </c>
      <c r="M470">
        <f>IF(AND(MyRowHidden(ROW())=FALSE,MyRowHidden(ROW()-1)=TRUE),0,IF(MONTH(H470)&lt;&gt;MONTH(H469),M469+1,M469))</f>
        <v>21</v>
      </c>
      <c r="N470">
        <f>IF(AND(MyRowHidden(ROW())=FALSE,MyRowHidden(ROW()-1)=TRUE),0,IF(M470&lt;totalMonths,(totalMonths-M470)/totalMonths *(I470-I469)+N469,0))</f>
        <v>0</v>
      </c>
      <c r="P470">
        <f>IF(AND(MyRowHidden(ROW())=FALSE,MyRowHidden(ROW()-1)=TRUE),0,IF(M470&lt;totalMonths,(totalMonths-M470)/totalMonths *(J470-J469)+P469,0))</f>
        <v>0</v>
      </c>
      <c r="Q470">
        <f>IF(AND(MyRowHidden(ROW())=FALSE,MyRowHidden(ROW()-1)=TRUE),0,IF(M470&lt;totalMonths,(totalMonths-M470)/totalMonths *(K470-K469)+Q469,0))</f>
        <v>0</v>
      </c>
      <c r="R470">
        <f>IF(AND(MyRowHidden(ROW())=FALSE,MyRowHidden(ROW()-1)=TRUE),0,IF(M470&lt;totalMonths,(totalMonths-M470)/totalMonths *(L470-L469)+R469,0))</f>
        <v>0</v>
      </c>
    </row>
    <row r="471" spans="1:18" hidden="1" x14ac:dyDescent="0.25">
      <c r="A471" s="1"/>
      <c r="C471" s="1"/>
      <c r="D471" s="1">
        <v>41918</v>
      </c>
      <c r="E471" s="10">
        <v>2178</v>
      </c>
      <c r="F471" s="1">
        <v>41918</v>
      </c>
      <c r="G471">
        <v>-9668</v>
      </c>
      <c r="H471" s="1">
        <f t="shared" si="41"/>
        <v>41918</v>
      </c>
      <c r="I471">
        <f>IF(AND(MyRowHidden(ROW())=FALSE,MyRowHidden(ROW()-1)=TRUE),0,(E471-E470)*unitsOfDHp+I470)</f>
        <v>76230</v>
      </c>
      <c r="J471">
        <f>IF(AND(MyRowHidden(ROW())=FALSE,MyRowHidden(ROW()-1)=TRUE),0,(G471-G470)*unitsOfExo+J470)</f>
        <v>-4120272</v>
      </c>
      <c r="K471" s="9">
        <f t="shared" si="42"/>
        <v>4120272</v>
      </c>
      <c r="L471">
        <f t="shared" si="43"/>
        <v>-4044042</v>
      </c>
      <c r="M471">
        <f>IF(AND(MyRowHidden(ROW())=FALSE,MyRowHidden(ROW()-1)=TRUE),0,IF(MONTH(H471)&lt;&gt;MONTH(H470),M470+1,M470))</f>
        <v>21</v>
      </c>
      <c r="N471">
        <f>IF(AND(MyRowHidden(ROW())=FALSE,MyRowHidden(ROW()-1)=TRUE),0,IF(M471&lt;totalMonths,(totalMonths-M471)/totalMonths *(I471-I470)+N470,0))</f>
        <v>0</v>
      </c>
      <c r="P471">
        <f>IF(AND(MyRowHidden(ROW())=FALSE,MyRowHidden(ROW()-1)=TRUE),0,IF(M471&lt;totalMonths,(totalMonths-M471)/totalMonths *(J471-J470)+P470,0))</f>
        <v>0</v>
      </c>
      <c r="Q471">
        <f>IF(AND(MyRowHidden(ROW())=FALSE,MyRowHidden(ROW()-1)=TRUE),0,IF(M471&lt;totalMonths,(totalMonths-M471)/totalMonths *(K471-K470)+Q470,0))</f>
        <v>0</v>
      </c>
      <c r="R471">
        <f>IF(AND(MyRowHidden(ROW())=FALSE,MyRowHidden(ROW()-1)=TRUE),0,IF(M471&lt;totalMonths,(totalMonths-M471)/totalMonths *(L471-L470)+R470,0))</f>
        <v>0</v>
      </c>
    </row>
    <row r="472" spans="1:18" hidden="1" x14ac:dyDescent="0.25">
      <c r="A472" s="1"/>
      <c r="C472" s="1"/>
      <c r="D472" s="1">
        <v>41919</v>
      </c>
      <c r="E472" s="10">
        <v>2890</v>
      </c>
      <c r="F472" s="1">
        <v>41919</v>
      </c>
      <c r="G472">
        <v>-9293</v>
      </c>
      <c r="H472" s="1">
        <f t="shared" si="41"/>
        <v>41919</v>
      </c>
      <c r="I472">
        <f>IF(AND(MyRowHidden(ROW())=FALSE,MyRowHidden(ROW()-1)=TRUE),0,(E472-E471)*unitsOfDHp+I471)</f>
        <v>101150</v>
      </c>
      <c r="J472">
        <f>IF(AND(MyRowHidden(ROW())=FALSE,MyRowHidden(ROW()-1)=TRUE),0,(G472-G471)*unitsOfExo+J471)</f>
        <v>-4012272</v>
      </c>
      <c r="K472" s="9">
        <f t="shared" si="42"/>
        <v>4012272</v>
      </c>
      <c r="L472">
        <f t="shared" si="43"/>
        <v>-3911122</v>
      </c>
      <c r="M472">
        <f>IF(AND(MyRowHidden(ROW())=FALSE,MyRowHidden(ROW()-1)=TRUE),0,IF(MONTH(H472)&lt;&gt;MONTH(H471),M471+1,M471))</f>
        <v>21</v>
      </c>
      <c r="N472">
        <f>IF(AND(MyRowHidden(ROW())=FALSE,MyRowHidden(ROW()-1)=TRUE),0,IF(M472&lt;totalMonths,(totalMonths-M472)/totalMonths *(I472-I471)+N471,0))</f>
        <v>0</v>
      </c>
      <c r="P472">
        <f>IF(AND(MyRowHidden(ROW())=FALSE,MyRowHidden(ROW()-1)=TRUE),0,IF(M472&lt;totalMonths,(totalMonths-M472)/totalMonths *(J472-J471)+P471,0))</f>
        <v>0</v>
      </c>
      <c r="Q472">
        <f>IF(AND(MyRowHidden(ROW())=FALSE,MyRowHidden(ROW()-1)=TRUE),0,IF(M472&lt;totalMonths,(totalMonths-M472)/totalMonths *(K472-K471)+Q471,0))</f>
        <v>0</v>
      </c>
      <c r="R472">
        <f>IF(AND(MyRowHidden(ROW())=FALSE,MyRowHidden(ROW()-1)=TRUE),0,IF(M472&lt;totalMonths,(totalMonths-M472)/totalMonths *(L472-L471)+R471,0))</f>
        <v>0</v>
      </c>
    </row>
    <row r="473" spans="1:18" hidden="1" x14ac:dyDescent="0.25">
      <c r="A473" s="1"/>
      <c r="C473" s="1"/>
      <c r="D473" s="1">
        <v>41920</v>
      </c>
      <c r="E473" s="10">
        <v>3052</v>
      </c>
      <c r="F473" s="1">
        <v>41920</v>
      </c>
      <c r="G473">
        <v>-9155.5</v>
      </c>
      <c r="H473" s="1">
        <f t="shared" si="41"/>
        <v>41920</v>
      </c>
      <c r="I473">
        <f>IF(AND(MyRowHidden(ROW())=FALSE,MyRowHidden(ROW()-1)=TRUE),0,(E473-E472)*unitsOfDHp+I472)</f>
        <v>106820</v>
      </c>
      <c r="J473">
        <f>IF(AND(MyRowHidden(ROW())=FALSE,MyRowHidden(ROW()-1)=TRUE),0,(G473-G472)*unitsOfExo+J472)</f>
        <v>-3972672</v>
      </c>
      <c r="K473" s="9">
        <f t="shared" si="42"/>
        <v>3972672</v>
      </c>
      <c r="L473">
        <f t="shared" si="43"/>
        <v>-3865852</v>
      </c>
      <c r="M473">
        <f>IF(AND(MyRowHidden(ROW())=FALSE,MyRowHidden(ROW()-1)=TRUE),0,IF(MONTH(H473)&lt;&gt;MONTH(H472),M472+1,M472))</f>
        <v>21</v>
      </c>
      <c r="N473">
        <f>IF(AND(MyRowHidden(ROW())=FALSE,MyRowHidden(ROW()-1)=TRUE),0,IF(M473&lt;totalMonths,(totalMonths-M473)/totalMonths *(I473-I472)+N472,0))</f>
        <v>0</v>
      </c>
      <c r="P473">
        <f>IF(AND(MyRowHidden(ROW())=FALSE,MyRowHidden(ROW()-1)=TRUE),0,IF(M473&lt;totalMonths,(totalMonths-M473)/totalMonths *(J473-J472)+P472,0))</f>
        <v>0</v>
      </c>
      <c r="Q473">
        <f>IF(AND(MyRowHidden(ROW())=FALSE,MyRowHidden(ROW()-1)=TRUE),0,IF(M473&lt;totalMonths,(totalMonths-M473)/totalMonths *(K473-K472)+Q472,0))</f>
        <v>0</v>
      </c>
      <c r="R473">
        <f>IF(AND(MyRowHidden(ROW())=FALSE,MyRowHidden(ROW()-1)=TRUE),0,IF(M473&lt;totalMonths,(totalMonths-M473)/totalMonths *(L473-L472)+R472,0))</f>
        <v>0</v>
      </c>
    </row>
    <row r="474" spans="1:18" hidden="1" x14ac:dyDescent="0.25">
      <c r="A474" s="1"/>
      <c r="C474" s="1"/>
      <c r="D474" s="1">
        <v>41921</v>
      </c>
      <c r="E474" s="10">
        <v>3330</v>
      </c>
      <c r="F474" s="1">
        <v>41921</v>
      </c>
      <c r="G474">
        <v>-8993</v>
      </c>
      <c r="H474" s="1">
        <f t="shared" si="41"/>
        <v>41921</v>
      </c>
      <c r="I474">
        <f>IF(AND(MyRowHidden(ROW())=FALSE,MyRowHidden(ROW()-1)=TRUE),0,(E474-E473)*unitsOfDHp+I473)</f>
        <v>116550</v>
      </c>
      <c r="J474">
        <f>IF(AND(MyRowHidden(ROW())=FALSE,MyRowHidden(ROW()-1)=TRUE),0,(G474-G473)*unitsOfExo+J473)</f>
        <v>-3925872</v>
      </c>
      <c r="K474" s="9">
        <f t="shared" si="42"/>
        <v>3925872</v>
      </c>
      <c r="L474">
        <f t="shared" si="43"/>
        <v>-3809322</v>
      </c>
      <c r="M474">
        <f>IF(AND(MyRowHidden(ROW())=FALSE,MyRowHidden(ROW()-1)=TRUE),0,IF(MONTH(H474)&lt;&gt;MONTH(H473),M473+1,M473))</f>
        <v>21</v>
      </c>
      <c r="N474">
        <f>IF(AND(MyRowHidden(ROW())=FALSE,MyRowHidden(ROW()-1)=TRUE),0,IF(M474&lt;totalMonths,(totalMonths-M474)/totalMonths *(I474-I473)+N473,0))</f>
        <v>0</v>
      </c>
      <c r="P474">
        <f>IF(AND(MyRowHidden(ROW())=FALSE,MyRowHidden(ROW()-1)=TRUE),0,IF(M474&lt;totalMonths,(totalMonths-M474)/totalMonths *(J474-J473)+P473,0))</f>
        <v>0</v>
      </c>
      <c r="Q474">
        <f>IF(AND(MyRowHidden(ROW())=FALSE,MyRowHidden(ROW()-1)=TRUE),0,IF(M474&lt;totalMonths,(totalMonths-M474)/totalMonths *(K474-K473)+Q473,0))</f>
        <v>0</v>
      </c>
      <c r="R474">
        <f>IF(AND(MyRowHidden(ROW())=FALSE,MyRowHidden(ROW()-1)=TRUE),0,IF(M474&lt;totalMonths,(totalMonths-M474)/totalMonths *(L474-L473)+R473,0))</f>
        <v>0</v>
      </c>
    </row>
    <row r="475" spans="1:18" hidden="1" x14ac:dyDescent="0.25">
      <c r="A475" s="1"/>
      <c r="C475" s="1"/>
      <c r="D475" s="1">
        <v>41922</v>
      </c>
      <c r="E475" s="10">
        <v>1308</v>
      </c>
      <c r="F475" s="1">
        <v>41922</v>
      </c>
      <c r="G475">
        <v>-9630.5</v>
      </c>
      <c r="H475" s="1">
        <f t="shared" si="41"/>
        <v>41922</v>
      </c>
      <c r="I475">
        <f>IF(AND(MyRowHidden(ROW())=FALSE,MyRowHidden(ROW()-1)=TRUE),0,(E475-E474)*unitsOfDHp+I474)</f>
        <v>45780</v>
      </c>
      <c r="J475">
        <f>IF(AND(MyRowHidden(ROW())=FALSE,MyRowHidden(ROW()-1)=TRUE),0,(G475-G474)*unitsOfExo+J474)</f>
        <v>-4109472</v>
      </c>
      <c r="K475" s="9">
        <f t="shared" si="42"/>
        <v>4109472</v>
      </c>
      <c r="L475">
        <f t="shared" si="43"/>
        <v>-4063692</v>
      </c>
      <c r="M475">
        <f>IF(AND(MyRowHidden(ROW())=FALSE,MyRowHidden(ROW()-1)=TRUE),0,IF(MONTH(H475)&lt;&gt;MONTH(H474),M474+1,M474))</f>
        <v>21</v>
      </c>
      <c r="N475">
        <f>IF(AND(MyRowHidden(ROW())=FALSE,MyRowHidden(ROW()-1)=TRUE),0,IF(M475&lt;totalMonths,(totalMonths-M475)/totalMonths *(I475-I474)+N474,0))</f>
        <v>0</v>
      </c>
      <c r="P475">
        <f>IF(AND(MyRowHidden(ROW())=FALSE,MyRowHidden(ROW()-1)=TRUE),0,IF(M475&lt;totalMonths,(totalMonths-M475)/totalMonths *(J475-J474)+P474,0))</f>
        <v>0</v>
      </c>
      <c r="Q475">
        <f>IF(AND(MyRowHidden(ROW())=FALSE,MyRowHidden(ROW()-1)=TRUE),0,IF(M475&lt;totalMonths,(totalMonths-M475)/totalMonths *(K475-K474)+Q474,0))</f>
        <v>0</v>
      </c>
      <c r="R475">
        <f>IF(AND(MyRowHidden(ROW())=FALSE,MyRowHidden(ROW()-1)=TRUE),0,IF(M475&lt;totalMonths,(totalMonths-M475)/totalMonths *(L475-L474)+R474,0))</f>
        <v>0</v>
      </c>
    </row>
    <row r="476" spans="1:18" hidden="1" x14ac:dyDescent="0.25">
      <c r="A476" s="1"/>
      <c r="C476" s="1"/>
      <c r="D476" s="1">
        <v>41925</v>
      </c>
      <c r="E476" s="10">
        <v>3522</v>
      </c>
      <c r="F476" s="1">
        <v>41925</v>
      </c>
      <c r="G476">
        <v>-9018</v>
      </c>
      <c r="H476" s="1">
        <f t="shared" si="41"/>
        <v>41925</v>
      </c>
      <c r="I476">
        <f>IF(AND(MyRowHidden(ROW())=FALSE,MyRowHidden(ROW()-1)=TRUE),0,(E476-E475)*unitsOfDHp+I475)</f>
        <v>123270</v>
      </c>
      <c r="J476">
        <f>IF(AND(MyRowHidden(ROW())=FALSE,MyRowHidden(ROW()-1)=TRUE),0,(G476-G475)*unitsOfExo+J475)</f>
        <v>-3933072</v>
      </c>
      <c r="K476" s="9">
        <f t="shared" si="42"/>
        <v>3933072</v>
      </c>
      <c r="L476">
        <f t="shared" si="43"/>
        <v>-3809802</v>
      </c>
      <c r="M476">
        <f>IF(AND(MyRowHidden(ROW())=FALSE,MyRowHidden(ROW()-1)=TRUE),0,IF(MONTH(H476)&lt;&gt;MONTH(H475),M475+1,M475))</f>
        <v>21</v>
      </c>
      <c r="N476">
        <f>IF(AND(MyRowHidden(ROW())=FALSE,MyRowHidden(ROW()-1)=TRUE),0,IF(M476&lt;totalMonths,(totalMonths-M476)/totalMonths *(I476-I475)+N475,0))</f>
        <v>0</v>
      </c>
      <c r="P476">
        <f>IF(AND(MyRowHidden(ROW())=FALSE,MyRowHidden(ROW()-1)=TRUE),0,IF(M476&lt;totalMonths,(totalMonths-M476)/totalMonths *(J476-J475)+P475,0))</f>
        <v>0</v>
      </c>
      <c r="Q476">
        <f>IF(AND(MyRowHidden(ROW())=FALSE,MyRowHidden(ROW()-1)=TRUE),0,IF(M476&lt;totalMonths,(totalMonths-M476)/totalMonths *(K476-K475)+Q475,0))</f>
        <v>0</v>
      </c>
      <c r="R476">
        <f>IF(AND(MyRowHidden(ROW())=FALSE,MyRowHidden(ROW()-1)=TRUE),0,IF(M476&lt;totalMonths,(totalMonths-M476)/totalMonths *(L476-L475)+R475,0))</f>
        <v>0</v>
      </c>
    </row>
    <row r="477" spans="1:18" hidden="1" x14ac:dyDescent="0.25">
      <c r="A477" s="1"/>
      <c r="C477" s="1"/>
      <c r="D477" s="1">
        <v>41926</v>
      </c>
      <c r="E477" s="10">
        <v>4861</v>
      </c>
      <c r="F477" s="1">
        <v>41926</v>
      </c>
      <c r="G477">
        <v>-8530.5</v>
      </c>
      <c r="H477" s="1">
        <f t="shared" si="41"/>
        <v>41926</v>
      </c>
      <c r="I477">
        <f>IF(AND(MyRowHidden(ROW())=FALSE,MyRowHidden(ROW()-1)=TRUE),0,(E477-E476)*unitsOfDHp+I476)</f>
        <v>170135</v>
      </c>
      <c r="J477">
        <f>IF(AND(MyRowHidden(ROW())=FALSE,MyRowHidden(ROW()-1)=TRUE),0,(G477-G476)*unitsOfExo+J476)</f>
        <v>-3792672</v>
      </c>
      <c r="K477" s="9">
        <f t="shared" si="42"/>
        <v>3792672</v>
      </c>
      <c r="L477">
        <f t="shared" si="43"/>
        <v>-3622537</v>
      </c>
      <c r="M477">
        <f>IF(AND(MyRowHidden(ROW())=FALSE,MyRowHidden(ROW()-1)=TRUE),0,IF(MONTH(H477)&lt;&gt;MONTH(H476),M476+1,M476))</f>
        <v>21</v>
      </c>
      <c r="N477">
        <f>IF(AND(MyRowHidden(ROW())=FALSE,MyRowHidden(ROW()-1)=TRUE),0,IF(M477&lt;totalMonths,(totalMonths-M477)/totalMonths *(I477-I476)+N476,0))</f>
        <v>0</v>
      </c>
      <c r="P477">
        <f>IF(AND(MyRowHidden(ROW())=FALSE,MyRowHidden(ROW()-1)=TRUE),0,IF(M477&lt;totalMonths,(totalMonths-M477)/totalMonths *(J477-J476)+P476,0))</f>
        <v>0</v>
      </c>
      <c r="Q477">
        <f>IF(AND(MyRowHidden(ROW())=FALSE,MyRowHidden(ROW()-1)=TRUE),0,IF(M477&lt;totalMonths,(totalMonths-M477)/totalMonths *(K477-K476)+Q476,0))</f>
        <v>0</v>
      </c>
      <c r="R477">
        <f>IF(AND(MyRowHidden(ROW())=FALSE,MyRowHidden(ROW()-1)=TRUE),0,IF(M477&lt;totalMonths,(totalMonths-M477)/totalMonths *(L477-L476)+R476,0))</f>
        <v>0</v>
      </c>
    </row>
    <row r="478" spans="1:18" hidden="1" x14ac:dyDescent="0.25">
      <c r="A478" s="1"/>
      <c r="C478" s="1"/>
      <c r="D478" s="1">
        <v>41927</v>
      </c>
      <c r="E478" s="10">
        <v>3726</v>
      </c>
      <c r="F478" s="1">
        <v>41927</v>
      </c>
      <c r="G478">
        <v>-8843</v>
      </c>
      <c r="H478" s="1">
        <f t="shared" si="41"/>
        <v>41927</v>
      </c>
      <c r="I478">
        <f>IF(AND(MyRowHidden(ROW())=FALSE,MyRowHidden(ROW()-1)=TRUE),0,(E478-E477)*unitsOfDHp+I477)</f>
        <v>130410</v>
      </c>
      <c r="J478">
        <f>IF(AND(MyRowHidden(ROW())=FALSE,MyRowHidden(ROW()-1)=TRUE),0,(G478-G477)*unitsOfExo+J477)</f>
        <v>-3882672</v>
      </c>
      <c r="K478" s="9">
        <f t="shared" si="42"/>
        <v>3882672</v>
      </c>
      <c r="L478">
        <f t="shared" si="43"/>
        <v>-3752262</v>
      </c>
      <c r="M478">
        <f>IF(AND(MyRowHidden(ROW())=FALSE,MyRowHidden(ROW()-1)=TRUE),0,IF(MONTH(H478)&lt;&gt;MONTH(H477),M477+1,M477))</f>
        <v>21</v>
      </c>
      <c r="N478">
        <f>IF(AND(MyRowHidden(ROW())=FALSE,MyRowHidden(ROW()-1)=TRUE),0,IF(M478&lt;totalMonths,(totalMonths-M478)/totalMonths *(I478-I477)+N477,0))</f>
        <v>0</v>
      </c>
      <c r="P478">
        <f>IF(AND(MyRowHidden(ROW())=FALSE,MyRowHidden(ROW()-1)=TRUE),0,IF(M478&lt;totalMonths,(totalMonths-M478)/totalMonths *(J478-J477)+P477,0))</f>
        <v>0</v>
      </c>
      <c r="Q478">
        <f>IF(AND(MyRowHidden(ROW())=FALSE,MyRowHidden(ROW()-1)=TRUE),0,IF(M478&lt;totalMonths,(totalMonths-M478)/totalMonths *(K478-K477)+Q477,0))</f>
        <v>0</v>
      </c>
      <c r="R478">
        <f>IF(AND(MyRowHidden(ROW())=FALSE,MyRowHidden(ROW()-1)=TRUE),0,IF(M478&lt;totalMonths,(totalMonths-M478)/totalMonths *(L478-L477)+R477,0))</f>
        <v>0</v>
      </c>
    </row>
    <row r="479" spans="1:18" hidden="1" x14ac:dyDescent="0.25">
      <c r="A479" s="1"/>
      <c r="C479" s="1"/>
      <c r="D479" s="1">
        <v>41928</v>
      </c>
      <c r="E479" s="10">
        <v>3654</v>
      </c>
      <c r="F479" s="1">
        <v>41928</v>
      </c>
      <c r="G479">
        <v>-8705.5</v>
      </c>
      <c r="H479" s="1">
        <f t="shared" si="41"/>
        <v>41928</v>
      </c>
      <c r="I479">
        <f>IF(AND(MyRowHidden(ROW())=FALSE,MyRowHidden(ROW()-1)=TRUE),0,(E479-E478)*unitsOfDHp+I478)</f>
        <v>127890</v>
      </c>
      <c r="J479">
        <f>IF(AND(MyRowHidden(ROW())=FALSE,MyRowHidden(ROW()-1)=TRUE),0,(G479-G478)*unitsOfExo+J478)</f>
        <v>-3843072</v>
      </c>
      <c r="K479" s="9">
        <f t="shared" si="42"/>
        <v>3843072</v>
      </c>
      <c r="L479">
        <f t="shared" si="43"/>
        <v>-3715182</v>
      </c>
      <c r="M479">
        <f>IF(AND(MyRowHidden(ROW())=FALSE,MyRowHidden(ROW()-1)=TRUE),0,IF(MONTH(H479)&lt;&gt;MONTH(H478),M478+1,M478))</f>
        <v>21</v>
      </c>
      <c r="N479">
        <f>IF(AND(MyRowHidden(ROW())=FALSE,MyRowHidden(ROW()-1)=TRUE),0,IF(M479&lt;totalMonths,(totalMonths-M479)/totalMonths *(I479-I478)+N478,0))</f>
        <v>0</v>
      </c>
      <c r="P479">
        <f>IF(AND(MyRowHidden(ROW())=FALSE,MyRowHidden(ROW()-1)=TRUE),0,IF(M479&lt;totalMonths,(totalMonths-M479)/totalMonths *(J479-J478)+P478,0))</f>
        <v>0</v>
      </c>
      <c r="Q479">
        <f>IF(AND(MyRowHidden(ROW())=FALSE,MyRowHidden(ROW()-1)=TRUE),0,IF(M479&lt;totalMonths,(totalMonths-M479)/totalMonths *(K479-K478)+Q478,0))</f>
        <v>0</v>
      </c>
      <c r="R479">
        <f>IF(AND(MyRowHidden(ROW())=FALSE,MyRowHidden(ROW()-1)=TRUE),0,IF(M479&lt;totalMonths,(totalMonths-M479)/totalMonths *(L479-L478)+R478,0))</f>
        <v>0</v>
      </c>
    </row>
    <row r="480" spans="1:18" hidden="1" x14ac:dyDescent="0.25">
      <c r="A480" s="1"/>
      <c r="C480" s="1"/>
      <c r="D480" s="1">
        <v>41929</v>
      </c>
      <c r="E480" s="10">
        <v>3380</v>
      </c>
      <c r="F480" s="1">
        <v>41929</v>
      </c>
      <c r="G480">
        <v>-8880.5</v>
      </c>
      <c r="H480" s="1">
        <f t="shared" si="41"/>
        <v>41929</v>
      </c>
      <c r="I480">
        <f>IF(AND(MyRowHidden(ROW())=FALSE,MyRowHidden(ROW()-1)=TRUE),0,(E480-E479)*unitsOfDHp+I479)</f>
        <v>118300</v>
      </c>
      <c r="J480">
        <f>IF(AND(MyRowHidden(ROW())=FALSE,MyRowHidden(ROW()-1)=TRUE),0,(G480-G479)*unitsOfExo+J479)</f>
        <v>-3893472</v>
      </c>
      <c r="K480" s="9">
        <f t="shared" si="42"/>
        <v>3893472</v>
      </c>
      <c r="L480">
        <f t="shared" si="43"/>
        <v>-3775172</v>
      </c>
      <c r="M480">
        <f>IF(AND(MyRowHidden(ROW())=FALSE,MyRowHidden(ROW()-1)=TRUE),0,IF(MONTH(H480)&lt;&gt;MONTH(H479),M479+1,M479))</f>
        <v>21</v>
      </c>
      <c r="N480">
        <f>IF(AND(MyRowHidden(ROW())=FALSE,MyRowHidden(ROW()-1)=TRUE),0,IF(M480&lt;totalMonths,(totalMonths-M480)/totalMonths *(I480-I479)+N479,0))</f>
        <v>0</v>
      </c>
      <c r="P480">
        <f>IF(AND(MyRowHidden(ROW())=FALSE,MyRowHidden(ROW()-1)=TRUE),0,IF(M480&lt;totalMonths,(totalMonths-M480)/totalMonths *(J480-J479)+P479,0))</f>
        <v>0</v>
      </c>
      <c r="Q480">
        <f>IF(AND(MyRowHidden(ROW())=FALSE,MyRowHidden(ROW()-1)=TRUE),0,IF(M480&lt;totalMonths,(totalMonths-M480)/totalMonths *(K480-K479)+Q479,0))</f>
        <v>0</v>
      </c>
      <c r="R480">
        <f>IF(AND(MyRowHidden(ROW())=FALSE,MyRowHidden(ROW()-1)=TRUE),0,IF(M480&lt;totalMonths,(totalMonths-M480)/totalMonths *(L480-L479)+R479,0))</f>
        <v>0</v>
      </c>
    </row>
    <row r="481" spans="1:18" hidden="1" x14ac:dyDescent="0.25">
      <c r="A481" s="1"/>
      <c r="C481" s="1"/>
      <c r="D481" s="1">
        <v>41932</v>
      </c>
      <c r="E481" s="10">
        <v>3505</v>
      </c>
      <c r="F481" s="1">
        <v>41932</v>
      </c>
      <c r="G481">
        <v>-8905.5</v>
      </c>
      <c r="H481" s="1">
        <f t="shared" si="41"/>
        <v>41932</v>
      </c>
      <c r="I481">
        <f>IF(AND(MyRowHidden(ROW())=FALSE,MyRowHidden(ROW()-1)=TRUE),0,(E481-E480)*unitsOfDHp+I480)</f>
        <v>122675</v>
      </c>
      <c r="J481">
        <f>IF(AND(MyRowHidden(ROW())=FALSE,MyRowHidden(ROW()-1)=TRUE),0,(G481-G480)*unitsOfExo+J480)</f>
        <v>-3900672</v>
      </c>
      <c r="K481" s="9">
        <f t="shared" si="42"/>
        <v>3900672</v>
      </c>
      <c r="L481">
        <f t="shared" si="43"/>
        <v>-3777997</v>
      </c>
      <c r="M481">
        <f>IF(AND(MyRowHidden(ROW())=FALSE,MyRowHidden(ROW()-1)=TRUE),0,IF(MONTH(H481)&lt;&gt;MONTH(H480),M480+1,M480))</f>
        <v>21</v>
      </c>
      <c r="N481">
        <f>IF(AND(MyRowHidden(ROW())=FALSE,MyRowHidden(ROW()-1)=TRUE),0,IF(M481&lt;totalMonths,(totalMonths-M481)/totalMonths *(I481-I480)+N480,0))</f>
        <v>0</v>
      </c>
      <c r="P481">
        <f>IF(AND(MyRowHidden(ROW())=FALSE,MyRowHidden(ROW()-1)=TRUE),0,IF(M481&lt;totalMonths,(totalMonths-M481)/totalMonths *(J481-J480)+P480,0))</f>
        <v>0</v>
      </c>
      <c r="Q481">
        <f>IF(AND(MyRowHidden(ROW())=FALSE,MyRowHidden(ROW()-1)=TRUE),0,IF(M481&lt;totalMonths,(totalMonths-M481)/totalMonths *(K481-K480)+Q480,0))</f>
        <v>0</v>
      </c>
      <c r="R481">
        <f>IF(AND(MyRowHidden(ROW())=FALSE,MyRowHidden(ROW()-1)=TRUE),0,IF(M481&lt;totalMonths,(totalMonths-M481)/totalMonths *(L481-L480)+R480,0))</f>
        <v>0</v>
      </c>
    </row>
    <row r="482" spans="1:18" hidden="1" x14ac:dyDescent="0.25">
      <c r="A482" s="1"/>
      <c r="C482" s="1"/>
      <c r="D482" s="1">
        <v>41933</v>
      </c>
      <c r="E482" s="10">
        <v>4080</v>
      </c>
      <c r="F482" s="1">
        <v>41933</v>
      </c>
      <c r="G482">
        <v>-8430.5</v>
      </c>
      <c r="H482" s="1">
        <f t="shared" si="41"/>
        <v>41933</v>
      </c>
      <c r="I482">
        <f>IF(AND(MyRowHidden(ROW())=FALSE,MyRowHidden(ROW()-1)=TRUE),0,(E482-E481)*unitsOfDHp+I481)</f>
        <v>142800</v>
      </c>
      <c r="J482">
        <f>IF(AND(MyRowHidden(ROW())=FALSE,MyRowHidden(ROW()-1)=TRUE),0,(G482-G481)*unitsOfExo+J481)</f>
        <v>-3763872</v>
      </c>
      <c r="K482" s="9">
        <f t="shared" si="42"/>
        <v>3763872</v>
      </c>
      <c r="L482">
        <f t="shared" si="43"/>
        <v>-3621072</v>
      </c>
      <c r="M482">
        <f>IF(AND(MyRowHidden(ROW())=FALSE,MyRowHidden(ROW()-1)=TRUE),0,IF(MONTH(H482)&lt;&gt;MONTH(H481),M481+1,M481))</f>
        <v>21</v>
      </c>
      <c r="N482">
        <f>IF(AND(MyRowHidden(ROW())=FALSE,MyRowHidden(ROW()-1)=TRUE),0,IF(M482&lt;totalMonths,(totalMonths-M482)/totalMonths *(I482-I481)+N481,0))</f>
        <v>0</v>
      </c>
      <c r="P482">
        <f>IF(AND(MyRowHidden(ROW())=FALSE,MyRowHidden(ROW()-1)=TRUE),0,IF(M482&lt;totalMonths,(totalMonths-M482)/totalMonths *(J482-J481)+P481,0))</f>
        <v>0</v>
      </c>
      <c r="Q482">
        <f>IF(AND(MyRowHidden(ROW())=FALSE,MyRowHidden(ROW()-1)=TRUE),0,IF(M482&lt;totalMonths,(totalMonths-M482)/totalMonths *(K482-K481)+Q481,0))</f>
        <v>0</v>
      </c>
      <c r="R482">
        <f>IF(AND(MyRowHidden(ROW())=FALSE,MyRowHidden(ROW()-1)=TRUE),0,IF(M482&lt;totalMonths,(totalMonths-M482)/totalMonths *(L482-L481)+R481,0))</f>
        <v>0</v>
      </c>
    </row>
    <row r="483" spans="1:18" hidden="1" x14ac:dyDescent="0.25">
      <c r="A483" s="1"/>
      <c r="C483" s="1"/>
      <c r="D483" s="1">
        <v>41934</v>
      </c>
      <c r="E483" s="10">
        <v>3844</v>
      </c>
      <c r="F483" s="1">
        <v>41934</v>
      </c>
      <c r="G483">
        <v>-8593</v>
      </c>
      <c r="H483" s="1">
        <f t="shared" si="41"/>
        <v>41934</v>
      </c>
      <c r="I483">
        <f>IF(AND(MyRowHidden(ROW())=FALSE,MyRowHidden(ROW()-1)=TRUE),0,(E483-E482)*unitsOfDHp+I482)</f>
        <v>134540</v>
      </c>
      <c r="J483">
        <f>IF(AND(MyRowHidden(ROW())=FALSE,MyRowHidden(ROW()-1)=TRUE),0,(G483-G482)*unitsOfExo+J482)</f>
        <v>-3810672</v>
      </c>
      <c r="K483" s="9">
        <f t="shared" si="42"/>
        <v>3810672</v>
      </c>
      <c r="L483">
        <f t="shared" si="43"/>
        <v>-3676132</v>
      </c>
      <c r="M483">
        <f>IF(AND(MyRowHidden(ROW())=FALSE,MyRowHidden(ROW()-1)=TRUE),0,IF(MONTH(H483)&lt;&gt;MONTH(H482),M482+1,M482))</f>
        <v>21</v>
      </c>
      <c r="N483">
        <f>IF(AND(MyRowHidden(ROW())=FALSE,MyRowHidden(ROW()-1)=TRUE),0,IF(M483&lt;totalMonths,(totalMonths-M483)/totalMonths *(I483-I482)+N482,0))</f>
        <v>0</v>
      </c>
      <c r="P483">
        <f>IF(AND(MyRowHidden(ROW())=FALSE,MyRowHidden(ROW()-1)=TRUE),0,IF(M483&lt;totalMonths,(totalMonths-M483)/totalMonths *(J483-J482)+P482,0))</f>
        <v>0</v>
      </c>
      <c r="Q483">
        <f>IF(AND(MyRowHidden(ROW())=FALSE,MyRowHidden(ROW()-1)=TRUE),0,IF(M483&lt;totalMonths,(totalMonths-M483)/totalMonths *(K483-K482)+Q482,0))</f>
        <v>0</v>
      </c>
      <c r="R483">
        <f>IF(AND(MyRowHidden(ROW())=FALSE,MyRowHidden(ROW()-1)=TRUE),0,IF(M483&lt;totalMonths,(totalMonths-M483)/totalMonths *(L483-L482)+R482,0))</f>
        <v>0</v>
      </c>
    </row>
    <row r="484" spans="1:18" hidden="1" x14ac:dyDescent="0.25">
      <c r="A484" s="1"/>
      <c r="C484" s="1"/>
      <c r="D484" s="1">
        <v>41935</v>
      </c>
      <c r="E484" s="10">
        <v>4319</v>
      </c>
      <c r="F484" s="1">
        <v>41935</v>
      </c>
      <c r="G484">
        <v>-8305.5</v>
      </c>
      <c r="H484" s="1">
        <f t="shared" si="41"/>
        <v>41935</v>
      </c>
      <c r="I484">
        <f>IF(AND(MyRowHidden(ROW())=FALSE,MyRowHidden(ROW()-1)=TRUE),0,(E484-E483)*unitsOfDHp+I483)</f>
        <v>151165</v>
      </c>
      <c r="J484">
        <f>IF(AND(MyRowHidden(ROW())=FALSE,MyRowHidden(ROW()-1)=TRUE),0,(G484-G483)*unitsOfExo+J483)</f>
        <v>-3727872</v>
      </c>
      <c r="K484" s="9">
        <f t="shared" si="42"/>
        <v>3727872</v>
      </c>
      <c r="L484">
        <f t="shared" si="43"/>
        <v>-3576707</v>
      </c>
      <c r="M484">
        <f>IF(AND(MyRowHidden(ROW())=FALSE,MyRowHidden(ROW()-1)=TRUE),0,IF(MONTH(H484)&lt;&gt;MONTH(H483),M483+1,M483))</f>
        <v>21</v>
      </c>
      <c r="N484">
        <f>IF(AND(MyRowHidden(ROW())=FALSE,MyRowHidden(ROW()-1)=TRUE),0,IF(M484&lt;totalMonths,(totalMonths-M484)/totalMonths *(I484-I483)+N483,0))</f>
        <v>0</v>
      </c>
      <c r="P484">
        <f>IF(AND(MyRowHidden(ROW())=FALSE,MyRowHidden(ROW()-1)=TRUE),0,IF(M484&lt;totalMonths,(totalMonths-M484)/totalMonths *(J484-J483)+P483,0))</f>
        <v>0</v>
      </c>
      <c r="Q484">
        <f>IF(AND(MyRowHidden(ROW())=FALSE,MyRowHidden(ROW()-1)=TRUE),0,IF(M484&lt;totalMonths,(totalMonths-M484)/totalMonths *(K484-K483)+Q483,0))</f>
        <v>0</v>
      </c>
      <c r="R484">
        <f>IF(AND(MyRowHidden(ROW())=FALSE,MyRowHidden(ROW()-1)=TRUE),0,IF(M484&lt;totalMonths,(totalMonths-M484)/totalMonths *(L484-L483)+R483,0))</f>
        <v>0</v>
      </c>
    </row>
    <row r="485" spans="1:18" hidden="1" x14ac:dyDescent="0.25">
      <c r="A485" s="1"/>
      <c r="C485" s="1"/>
      <c r="D485" s="1">
        <v>41936</v>
      </c>
      <c r="E485" s="10">
        <v>3920</v>
      </c>
      <c r="F485" s="1">
        <v>41936</v>
      </c>
      <c r="G485">
        <v>-8605.5</v>
      </c>
      <c r="H485" s="1">
        <f t="shared" si="41"/>
        <v>41936</v>
      </c>
      <c r="I485">
        <f>IF(AND(MyRowHidden(ROW())=FALSE,MyRowHidden(ROW()-1)=TRUE),0,(E485-E484)*unitsOfDHp+I484)</f>
        <v>137200</v>
      </c>
      <c r="J485">
        <f>IF(AND(MyRowHidden(ROW())=FALSE,MyRowHidden(ROW()-1)=TRUE),0,(G485-G484)*unitsOfExo+J484)</f>
        <v>-3814272</v>
      </c>
      <c r="K485" s="9">
        <f t="shared" si="42"/>
        <v>3814272</v>
      </c>
      <c r="L485">
        <f t="shared" si="43"/>
        <v>-3677072</v>
      </c>
      <c r="M485">
        <f>IF(AND(MyRowHidden(ROW())=FALSE,MyRowHidden(ROW()-1)=TRUE),0,IF(MONTH(H485)&lt;&gt;MONTH(H484),M484+1,M484))</f>
        <v>21</v>
      </c>
      <c r="N485">
        <f>IF(AND(MyRowHidden(ROW())=FALSE,MyRowHidden(ROW()-1)=TRUE),0,IF(M485&lt;totalMonths,(totalMonths-M485)/totalMonths *(I485-I484)+N484,0))</f>
        <v>0</v>
      </c>
      <c r="P485">
        <f>IF(AND(MyRowHidden(ROW())=FALSE,MyRowHidden(ROW()-1)=TRUE),0,IF(M485&lt;totalMonths,(totalMonths-M485)/totalMonths *(J485-J484)+P484,0))</f>
        <v>0</v>
      </c>
      <c r="Q485">
        <f>IF(AND(MyRowHidden(ROW())=FALSE,MyRowHidden(ROW()-1)=TRUE),0,IF(M485&lt;totalMonths,(totalMonths-M485)/totalMonths *(K485-K484)+Q484,0))</f>
        <v>0</v>
      </c>
      <c r="R485">
        <f>IF(AND(MyRowHidden(ROW())=FALSE,MyRowHidden(ROW()-1)=TRUE),0,IF(M485&lt;totalMonths,(totalMonths-M485)/totalMonths *(L485-L484)+R484,0))</f>
        <v>0</v>
      </c>
    </row>
    <row r="486" spans="1:18" hidden="1" x14ac:dyDescent="0.25">
      <c r="A486" s="1"/>
      <c r="C486" s="1"/>
      <c r="D486" s="1">
        <v>41939</v>
      </c>
      <c r="E486" s="10">
        <v>4758</v>
      </c>
      <c r="F486" s="1">
        <v>41939</v>
      </c>
      <c r="G486">
        <v>-8230.5</v>
      </c>
      <c r="H486" s="1">
        <f t="shared" si="41"/>
        <v>41939</v>
      </c>
      <c r="I486">
        <f>IF(AND(MyRowHidden(ROW())=FALSE,MyRowHidden(ROW()-1)=TRUE),0,(E486-E485)*unitsOfDHp+I485)</f>
        <v>166530</v>
      </c>
      <c r="J486">
        <f>IF(AND(MyRowHidden(ROW())=FALSE,MyRowHidden(ROW()-1)=TRUE),0,(G486-G485)*unitsOfExo+J485)</f>
        <v>-3706272</v>
      </c>
      <c r="K486" s="9">
        <f t="shared" si="42"/>
        <v>3706272</v>
      </c>
      <c r="L486">
        <f t="shared" si="43"/>
        <v>-3539742</v>
      </c>
      <c r="M486">
        <f>IF(AND(MyRowHidden(ROW())=FALSE,MyRowHidden(ROW()-1)=TRUE),0,IF(MONTH(H486)&lt;&gt;MONTH(H485),M485+1,M485))</f>
        <v>21</v>
      </c>
      <c r="N486">
        <f>IF(AND(MyRowHidden(ROW())=FALSE,MyRowHidden(ROW()-1)=TRUE),0,IF(M486&lt;totalMonths,(totalMonths-M486)/totalMonths *(I486-I485)+N485,0))</f>
        <v>0</v>
      </c>
      <c r="P486">
        <f>IF(AND(MyRowHidden(ROW())=FALSE,MyRowHidden(ROW()-1)=TRUE),0,IF(M486&lt;totalMonths,(totalMonths-M486)/totalMonths *(J486-J485)+P485,0))</f>
        <v>0</v>
      </c>
      <c r="Q486">
        <f>IF(AND(MyRowHidden(ROW())=FALSE,MyRowHidden(ROW()-1)=TRUE),0,IF(M486&lt;totalMonths,(totalMonths-M486)/totalMonths *(K486-K485)+Q485,0))</f>
        <v>0</v>
      </c>
      <c r="R486">
        <f>IF(AND(MyRowHidden(ROW())=FALSE,MyRowHidden(ROW()-1)=TRUE),0,IF(M486&lt;totalMonths,(totalMonths-M486)/totalMonths *(L486-L485)+R485,0))</f>
        <v>0</v>
      </c>
    </row>
    <row r="487" spans="1:18" hidden="1" x14ac:dyDescent="0.25">
      <c r="A487" s="1"/>
      <c r="C487" s="1"/>
      <c r="D487" s="1">
        <v>41940</v>
      </c>
      <c r="E487" s="10">
        <v>4933</v>
      </c>
      <c r="F487" s="1">
        <v>41940</v>
      </c>
      <c r="G487">
        <v>-8055.5</v>
      </c>
      <c r="H487" s="1">
        <f t="shared" si="41"/>
        <v>41940</v>
      </c>
      <c r="I487">
        <f>IF(AND(MyRowHidden(ROW())=FALSE,MyRowHidden(ROW()-1)=TRUE),0,(E487-E486)*unitsOfDHp+I486)</f>
        <v>172655</v>
      </c>
      <c r="J487">
        <f>IF(AND(MyRowHidden(ROW())=FALSE,MyRowHidden(ROW()-1)=TRUE),0,(G487-G486)*unitsOfExo+J486)</f>
        <v>-3655872</v>
      </c>
      <c r="K487" s="9">
        <f t="shared" si="42"/>
        <v>3655872</v>
      </c>
      <c r="L487">
        <f t="shared" si="43"/>
        <v>-3483217</v>
      </c>
      <c r="M487">
        <f>IF(AND(MyRowHidden(ROW())=FALSE,MyRowHidden(ROW()-1)=TRUE),0,IF(MONTH(H487)&lt;&gt;MONTH(H486),M486+1,M486))</f>
        <v>21</v>
      </c>
      <c r="N487">
        <f>IF(AND(MyRowHidden(ROW())=FALSE,MyRowHidden(ROW()-1)=TRUE),0,IF(M487&lt;totalMonths,(totalMonths-M487)/totalMonths *(I487-I486)+N486,0))</f>
        <v>0</v>
      </c>
      <c r="P487">
        <f>IF(AND(MyRowHidden(ROW())=FALSE,MyRowHidden(ROW()-1)=TRUE),0,IF(M487&lt;totalMonths,(totalMonths-M487)/totalMonths *(J487-J486)+P486,0))</f>
        <v>0</v>
      </c>
      <c r="Q487">
        <f>IF(AND(MyRowHidden(ROW())=FALSE,MyRowHidden(ROW()-1)=TRUE),0,IF(M487&lt;totalMonths,(totalMonths-M487)/totalMonths *(K487-K486)+Q486,0))</f>
        <v>0</v>
      </c>
      <c r="R487">
        <f>IF(AND(MyRowHidden(ROW())=FALSE,MyRowHidden(ROW()-1)=TRUE),0,IF(M487&lt;totalMonths,(totalMonths-M487)/totalMonths *(L487-L486)+R486,0))</f>
        <v>0</v>
      </c>
    </row>
    <row r="488" spans="1:18" hidden="1" x14ac:dyDescent="0.25">
      <c r="A488" s="1"/>
      <c r="C488" s="1"/>
      <c r="D488" s="1">
        <v>41941</v>
      </c>
      <c r="E488" s="10">
        <v>5178</v>
      </c>
      <c r="F488" s="1">
        <v>41941</v>
      </c>
      <c r="G488">
        <v>-7630.5</v>
      </c>
      <c r="H488" s="1">
        <f t="shared" si="41"/>
        <v>41941</v>
      </c>
      <c r="I488">
        <f>IF(AND(MyRowHidden(ROW())=FALSE,MyRowHidden(ROW()-1)=TRUE),0,(E488-E487)*unitsOfDHp+I487)</f>
        <v>181230</v>
      </c>
      <c r="J488">
        <f>IF(AND(MyRowHidden(ROW())=FALSE,MyRowHidden(ROW()-1)=TRUE),0,(G488-G487)*unitsOfExo+J487)</f>
        <v>-3533472</v>
      </c>
      <c r="K488" s="9">
        <f t="shared" si="42"/>
        <v>3533472</v>
      </c>
      <c r="L488">
        <f t="shared" si="43"/>
        <v>-3352242</v>
      </c>
      <c r="M488">
        <f>IF(AND(MyRowHidden(ROW())=FALSE,MyRowHidden(ROW()-1)=TRUE),0,IF(MONTH(H488)&lt;&gt;MONTH(H487),M487+1,M487))</f>
        <v>21</v>
      </c>
      <c r="N488">
        <f>IF(AND(MyRowHidden(ROW())=FALSE,MyRowHidden(ROW()-1)=TRUE),0,IF(M488&lt;totalMonths,(totalMonths-M488)/totalMonths *(I488-I487)+N487,0))</f>
        <v>0</v>
      </c>
      <c r="P488">
        <f>IF(AND(MyRowHidden(ROW())=FALSE,MyRowHidden(ROW()-1)=TRUE),0,IF(M488&lt;totalMonths,(totalMonths-M488)/totalMonths *(J488-J487)+P487,0))</f>
        <v>0</v>
      </c>
      <c r="Q488">
        <f>IF(AND(MyRowHidden(ROW())=FALSE,MyRowHidden(ROW()-1)=TRUE),0,IF(M488&lt;totalMonths,(totalMonths-M488)/totalMonths *(K488-K487)+Q487,0))</f>
        <v>0</v>
      </c>
      <c r="R488">
        <f>IF(AND(MyRowHidden(ROW())=FALSE,MyRowHidden(ROW()-1)=TRUE),0,IF(M488&lt;totalMonths,(totalMonths-M488)/totalMonths *(L488-L487)+R487,0))</f>
        <v>0</v>
      </c>
    </row>
    <row r="489" spans="1:18" hidden="1" x14ac:dyDescent="0.25">
      <c r="A489" s="1"/>
      <c r="C489" s="1"/>
      <c r="D489" s="1">
        <v>41942</v>
      </c>
      <c r="E489" s="10">
        <v>5283</v>
      </c>
      <c r="F489" s="1">
        <v>41942</v>
      </c>
      <c r="G489">
        <v>-7480.5</v>
      </c>
      <c r="H489" s="1">
        <f t="shared" si="41"/>
        <v>41942</v>
      </c>
      <c r="I489">
        <f>IF(AND(MyRowHidden(ROW())=FALSE,MyRowHidden(ROW()-1)=TRUE),0,(E489-E488)*unitsOfDHp+I488)</f>
        <v>184905</v>
      </c>
      <c r="J489">
        <f>IF(AND(MyRowHidden(ROW())=FALSE,MyRowHidden(ROW()-1)=TRUE),0,(G489-G488)*unitsOfExo+J488)</f>
        <v>-3490272</v>
      </c>
      <c r="K489" s="9">
        <f t="shared" si="42"/>
        <v>3490272</v>
      </c>
      <c r="L489">
        <f t="shared" si="43"/>
        <v>-3305367</v>
      </c>
      <c r="M489">
        <f>IF(AND(MyRowHidden(ROW())=FALSE,MyRowHidden(ROW()-1)=TRUE),0,IF(MONTH(H489)&lt;&gt;MONTH(H488),M488+1,M488))</f>
        <v>21</v>
      </c>
      <c r="N489">
        <f>IF(AND(MyRowHidden(ROW())=FALSE,MyRowHidden(ROW()-1)=TRUE),0,IF(M489&lt;totalMonths,(totalMonths-M489)/totalMonths *(I489-I488)+N488,0))</f>
        <v>0</v>
      </c>
      <c r="P489">
        <f>IF(AND(MyRowHidden(ROW())=FALSE,MyRowHidden(ROW()-1)=TRUE),0,IF(M489&lt;totalMonths,(totalMonths-M489)/totalMonths *(J489-J488)+P488,0))</f>
        <v>0</v>
      </c>
      <c r="Q489">
        <f>IF(AND(MyRowHidden(ROW())=FALSE,MyRowHidden(ROW()-1)=TRUE),0,IF(M489&lt;totalMonths,(totalMonths-M489)/totalMonths *(K489-K488)+Q488,0))</f>
        <v>0</v>
      </c>
      <c r="R489">
        <f>IF(AND(MyRowHidden(ROW())=FALSE,MyRowHidden(ROW()-1)=TRUE),0,IF(M489&lt;totalMonths,(totalMonths-M489)/totalMonths *(L489-L488)+R488,0))</f>
        <v>0</v>
      </c>
    </row>
    <row r="490" spans="1:18" hidden="1" x14ac:dyDescent="0.25">
      <c r="A490" s="1"/>
      <c r="C490" s="1"/>
      <c r="D490" s="1">
        <v>41943</v>
      </c>
      <c r="E490" s="10">
        <v>5327</v>
      </c>
      <c r="F490" s="1">
        <v>41943</v>
      </c>
      <c r="G490">
        <v>-7630.5</v>
      </c>
      <c r="H490" s="1">
        <f t="shared" si="41"/>
        <v>41943</v>
      </c>
      <c r="I490">
        <f>IF(AND(MyRowHidden(ROW())=FALSE,MyRowHidden(ROW()-1)=TRUE),0,(E490-E489)*unitsOfDHp+I489)</f>
        <v>186445</v>
      </c>
      <c r="J490">
        <f>IF(AND(MyRowHidden(ROW())=FALSE,MyRowHidden(ROW()-1)=TRUE),0,(G490-G489)*unitsOfExo+J489)</f>
        <v>-3533472</v>
      </c>
      <c r="K490" s="9">
        <f t="shared" si="42"/>
        <v>3533472</v>
      </c>
      <c r="L490">
        <f t="shared" si="43"/>
        <v>-3347027</v>
      </c>
      <c r="M490">
        <f>IF(AND(MyRowHidden(ROW())=FALSE,MyRowHidden(ROW()-1)=TRUE),0,IF(MONTH(H490)&lt;&gt;MONTH(H489),M489+1,M489))</f>
        <v>21</v>
      </c>
      <c r="N490">
        <f>IF(AND(MyRowHidden(ROW())=FALSE,MyRowHidden(ROW()-1)=TRUE),0,IF(M490&lt;totalMonths,(totalMonths-M490)/totalMonths *(I490-I489)+N489,0))</f>
        <v>0</v>
      </c>
      <c r="P490">
        <f>IF(AND(MyRowHidden(ROW())=FALSE,MyRowHidden(ROW()-1)=TRUE),0,IF(M490&lt;totalMonths,(totalMonths-M490)/totalMonths *(J490-J489)+P489,0))</f>
        <v>0</v>
      </c>
      <c r="Q490">
        <f>IF(AND(MyRowHidden(ROW())=FALSE,MyRowHidden(ROW()-1)=TRUE),0,IF(M490&lt;totalMonths,(totalMonths-M490)/totalMonths *(K490-K489)+Q489,0))</f>
        <v>0</v>
      </c>
      <c r="R490">
        <f>IF(AND(MyRowHidden(ROW())=FALSE,MyRowHidden(ROW()-1)=TRUE),0,IF(M490&lt;totalMonths,(totalMonths-M490)/totalMonths *(L490-L489)+R489,0))</f>
        <v>0</v>
      </c>
    </row>
    <row r="491" spans="1:18" hidden="1" x14ac:dyDescent="0.25">
      <c r="A491" s="1"/>
      <c r="C491" s="1"/>
      <c r="D491" s="1">
        <v>41946</v>
      </c>
      <c r="E491" s="10">
        <v>5432</v>
      </c>
      <c r="F491" s="1">
        <v>41946</v>
      </c>
      <c r="G491">
        <v>-7693</v>
      </c>
      <c r="H491" s="1">
        <f t="shared" si="41"/>
        <v>41946</v>
      </c>
      <c r="I491">
        <f>IF(AND(MyRowHidden(ROW())=FALSE,MyRowHidden(ROW()-1)=TRUE),0,(E491-E490)*unitsOfDHp+I490)</f>
        <v>190120</v>
      </c>
      <c r="J491">
        <f>IF(AND(MyRowHidden(ROW())=FALSE,MyRowHidden(ROW()-1)=TRUE),0,(G491-G490)*unitsOfExo+J490)</f>
        <v>-3551472</v>
      </c>
      <c r="K491" s="9">
        <f t="shared" si="42"/>
        <v>3551472</v>
      </c>
      <c r="L491">
        <f t="shared" si="43"/>
        <v>-3361352</v>
      </c>
      <c r="M491">
        <f>IF(AND(MyRowHidden(ROW())=FALSE,MyRowHidden(ROW()-1)=TRUE),0,IF(MONTH(H491)&lt;&gt;MONTH(H490),M490+1,M490))</f>
        <v>22</v>
      </c>
      <c r="N491">
        <f>IF(AND(MyRowHidden(ROW())=FALSE,MyRowHidden(ROW()-1)=TRUE),0,IF(M491&lt;totalMonths,(totalMonths-M491)/totalMonths *(I491-I490)+N490,0))</f>
        <v>0</v>
      </c>
      <c r="P491">
        <f>IF(AND(MyRowHidden(ROW())=FALSE,MyRowHidden(ROW()-1)=TRUE),0,IF(M491&lt;totalMonths,(totalMonths-M491)/totalMonths *(J491-J490)+P490,0))</f>
        <v>0</v>
      </c>
      <c r="Q491">
        <f>IF(AND(MyRowHidden(ROW())=FALSE,MyRowHidden(ROW()-1)=TRUE),0,IF(M491&lt;totalMonths,(totalMonths-M491)/totalMonths *(K491-K490)+Q490,0))</f>
        <v>0</v>
      </c>
      <c r="R491">
        <f>IF(AND(MyRowHidden(ROW())=FALSE,MyRowHidden(ROW()-1)=TRUE),0,IF(M491&lt;totalMonths,(totalMonths-M491)/totalMonths *(L491-L490)+R490,0))</f>
        <v>0</v>
      </c>
    </row>
    <row r="492" spans="1:18" hidden="1" x14ac:dyDescent="0.25">
      <c r="A492" s="1"/>
      <c r="C492" s="1"/>
      <c r="D492" s="1">
        <v>41947</v>
      </c>
      <c r="E492" s="10">
        <v>5157</v>
      </c>
      <c r="F492" s="1">
        <v>41947</v>
      </c>
      <c r="G492">
        <v>-7980.5</v>
      </c>
      <c r="H492" s="1">
        <f t="shared" si="41"/>
        <v>41947</v>
      </c>
      <c r="I492">
        <f>IF(AND(MyRowHidden(ROW())=FALSE,MyRowHidden(ROW()-1)=TRUE),0,(E492-E491)*unitsOfDHp+I491)</f>
        <v>180495</v>
      </c>
      <c r="J492">
        <f>IF(AND(MyRowHidden(ROW())=FALSE,MyRowHidden(ROW()-1)=TRUE),0,(G492-G491)*unitsOfExo+J491)</f>
        <v>-3634272</v>
      </c>
      <c r="K492" s="9">
        <f t="shared" si="42"/>
        <v>3634272</v>
      </c>
      <c r="L492">
        <f t="shared" si="43"/>
        <v>-3453777</v>
      </c>
      <c r="M492">
        <f>IF(AND(MyRowHidden(ROW())=FALSE,MyRowHidden(ROW()-1)=TRUE),0,IF(MONTH(H492)&lt;&gt;MONTH(H491),M491+1,M491))</f>
        <v>22</v>
      </c>
      <c r="N492">
        <f>IF(AND(MyRowHidden(ROW())=FALSE,MyRowHidden(ROW()-1)=TRUE),0,IF(M492&lt;totalMonths,(totalMonths-M492)/totalMonths *(I492-I491)+N491,0))</f>
        <v>0</v>
      </c>
      <c r="P492">
        <f>IF(AND(MyRowHidden(ROW())=FALSE,MyRowHidden(ROW()-1)=TRUE),0,IF(M492&lt;totalMonths,(totalMonths-M492)/totalMonths *(J492-J491)+P491,0))</f>
        <v>0</v>
      </c>
      <c r="Q492">
        <f>IF(AND(MyRowHidden(ROW())=FALSE,MyRowHidden(ROW()-1)=TRUE),0,IF(M492&lt;totalMonths,(totalMonths-M492)/totalMonths *(K492-K491)+Q491,0))</f>
        <v>0</v>
      </c>
      <c r="R492">
        <f>IF(AND(MyRowHidden(ROW())=FALSE,MyRowHidden(ROW()-1)=TRUE),0,IF(M492&lt;totalMonths,(totalMonths-M492)/totalMonths *(L492-L491)+R491,0))</f>
        <v>0</v>
      </c>
    </row>
    <row r="493" spans="1:18" hidden="1" x14ac:dyDescent="0.25">
      <c r="A493" s="1"/>
      <c r="C493" s="1"/>
      <c r="D493" s="1">
        <v>41948</v>
      </c>
      <c r="E493" s="10">
        <v>5518</v>
      </c>
      <c r="F493" s="1">
        <v>41948</v>
      </c>
      <c r="G493">
        <v>-7805.5</v>
      </c>
      <c r="H493" s="1">
        <f t="shared" si="41"/>
        <v>41948</v>
      </c>
      <c r="I493">
        <f>IF(AND(MyRowHidden(ROW())=FALSE,MyRowHidden(ROW()-1)=TRUE),0,(E493-E492)*unitsOfDHp+I492)</f>
        <v>193130</v>
      </c>
      <c r="J493">
        <f>IF(AND(MyRowHidden(ROW())=FALSE,MyRowHidden(ROW()-1)=TRUE),0,(G493-G492)*unitsOfExo+J492)</f>
        <v>-3583872</v>
      </c>
      <c r="K493" s="9">
        <f t="shared" si="42"/>
        <v>3583872</v>
      </c>
      <c r="L493">
        <f t="shared" si="43"/>
        <v>-3390742</v>
      </c>
      <c r="M493">
        <f>IF(AND(MyRowHidden(ROW())=FALSE,MyRowHidden(ROW()-1)=TRUE),0,IF(MONTH(H493)&lt;&gt;MONTH(H492),M492+1,M492))</f>
        <v>22</v>
      </c>
      <c r="N493">
        <f>IF(AND(MyRowHidden(ROW())=FALSE,MyRowHidden(ROW()-1)=TRUE),0,IF(M493&lt;totalMonths,(totalMonths-M493)/totalMonths *(I493-I492)+N492,0))</f>
        <v>0</v>
      </c>
      <c r="P493">
        <f>IF(AND(MyRowHidden(ROW())=FALSE,MyRowHidden(ROW()-1)=TRUE),0,IF(M493&lt;totalMonths,(totalMonths-M493)/totalMonths *(J493-J492)+P492,0))</f>
        <v>0</v>
      </c>
      <c r="Q493">
        <f>IF(AND(MyRowHidden(ROW())=FALSE,MyRowHidden(ROW()-1)=TRUE),0,IF(M493&lt;totalMonths,(totalMonths-M493)/totalMonths *(K493-K492)+Q492,0))</f>
        <v>0</v>
      </c>
      <c r="R493">
        <f>IF(AND(MyRowHidden(ROW())=FALSE,MyRowHidden(ROW()-1)=TRUE),0,IF(M493&lt;totalMonths,(totalMonths-M493)/totalMonths *(L493-L492)+R492,0))</f>
        <v>0</v>
      </c>
    </row>
    <row r="494" spans="1:18" hidden="1" x14ac:dyDescent="0.25">
      <c r="A494" s="1"/>
      <c r="C494" s="1"/>
      <c r="D494" s="1">
        <v>41949</v>
      </c>
      <c r="E494" s="10">
        <v>5527</v>
      </c>
      <c r="F494" s="1">
        <v>41949</v>
      </c>
      <c r="G494">
        <v>-7680.5</v>
      </c>
      <c r="H494" s="1">
        <f t="shared" si="41"/>
        <v>41949</v>
      </c>
      <c r="I494">
        <f>IF(AND(MyRowHidden(ROW())=FALSE,MyRowHidden(ROW()-1)=TRUE),0,(E494-E493)*unitsOfDHp+I493)</f>
        <v>193445</v>
      </c>
      <c r="J494">
        <f>IF(AND(MyRowHidden(ROW())=FALSE,MyRowHidden(ROW()-1)=TRUE),0,(G494-G493)*unitsOfExo+J493)</f>
        <v>-3547872</v>
      </c>
      <c r="K494" s="9">
        <f t="shared" si="42"/>
        <v>3547872</v>
      </c>
      <c r="L494">
        <f t="shared" si="43"/>
        <v>-3354427</v>
      </c>
      <c r="M494">
        <f>IF(AND(MyRowHidden(ROW())=FALSE,MyRowHidden(ROW()-1)=TRUE),0,IF(MONTH(H494)&lt;&gt;MONTH(H493),M493+1,M493))</f>
        <v>22</v>
      </c>
      <c r="N494">
        <f>IF(AND(MyRowHidden(ROW())=FALSE,MyRowHidden(ROW()-1)=TRUE),0,IF(M494&lt;totalMonths,(totalMonths-M494)/totalMonths *(I494-I493)+N493,0))</f>
        <v>0</v>
      </c>
      <c r="P494">
        <f>IF(AND(MyRowHidden(ROW())=FALSE,MyRowHidden(ROW()-1)=TRUE),0,IF(M494&lt;totalMonths,(totalMonths-M494)/totalMonths *(J494-J493)+P493,0))</f>
        <v>0</v>
      </c>
      <c r="Q494">
        <f>IF(AND(MyRowHidden(ROW())=FALSE,MyRowHidden(ROW()-1)=TRUE),0,IF(M494&lt;totalMonths,(totalMonths-M494)/totalMonths *(K494-K493)+Q493,0))</f>
        <v>0</v>
      </c>
      <c r="R494">
        <f>IF(AND(MyRowHidden(ROW())=FALSE,MyRowHidden(ROW()-1)=TRUE),0,IF(M494&lt;totalMonths,(totalMonths-M494)/totalMonths *(L494-L493)+R493,0))</f>
        <v>0</v>
      </c>
    </row>
    <row r="495" spans="1:18" hidden="1" x14ac:dyDescent="0.25">
      <c r="A495" s="1"/>
      <c r="C495" s="1"/>
      <c r="D495" s="1">
        <v>41950</v>
      </c>
      <c r="E495" s="10">
        <v>5667</v>
      </c>
      <c r="F495" s="1">
        <v>41950</v>
      </c>
      <c r="G495">
        <v>-7855.5</v>
      </c>
      <c r="H495" s="1">
        <f t="shared" si="41"/>
        <v>41950</v>
      </c>
      <c r="I495">
        <f>IF(AND(MyRowHidden(ROW())=FALSE,MyRowHidden(ROW()-1)=TRUE),0,(E495-E494)*unitsOfDHp+I494)</f>
        <v>198345</v>
      </c>
      <c r="J495">
        <f>IF(AND(MyRowHidden(ROW())=FALSE,MyRowHidden(ROW()-1)=TRUE),0,(G495-G494)*unitsOfExo+J494)</f>
        <v>-3598272</v>
      </c>
      <c r="K495" s="9">
        <f t="shared" si="42"/>
        <v>3598272</v>
      </c>
      <c r="L495">
        <f t="shared" si="43"/>
        <v>-3399927</v>
      </c>
      <c r="M495">
        <f>IF(AND(MyRowHidden(ROW())=FALSE,MyRowHidden(ROW()-1)=TRUE),0,IF(MONTH(H495)&lt;&gt;MONTH(H494),M494+1,M494))</f>
        <v>22</v>
      </c>
      <c r="N495">
        <f>IF(AND(MyRowHidden(ROW())=FALSE,MyRowHidden(ROW()-1)=TRUE),0,IF(M495&lt;totalMonths,(totalMonths-M495)/totalMonths *(I495-I494)+N494,0))</f>
        <v>0</v>
      </c>
      <c r="P495">
        <f>IF(AND(MyRowHidden(ROW())=FALSE,MyRowHidden(ROW()-1)=TRUE),0,IF(M495&lt;totalMonths,(totalMonths-M495)/totalMonths *(J495-J494)+P494,0))</f>
        <v>0</v>
      </c>
      <c r="Q495">
        <f>IF(AND(MyRowHidden(ROW())=FALSE,MyRowHidden(ROW()-1)=TRUE),0,IF(M495&lt;totalMonths,(totalMonths-M495)/totalMonths *(K495-K494)+Q494,0))</f>
        <v>0</v>
      </c>
      <c r="R495">
        <f>IF(AND(MyRowHidden(ROW())=FALSE,MyRowHidden(ROW()-1)=TRUE),0,IF(M495&lt;totalMonths,(totalMonths-M495)/totalMonths *(L495-L494)+R494,0))</f>
        <v>0</v>
      </c>
    </row>
    <row r="496" spans="1:18" hidden="1" x14ac:dyDescent="0.25">
      <c r="A496" s="1"/>
      <c r="C496" s="1"/>
      <c r="D496" s="1">
        <v>41953</v>
      </c>
      <c r="E496" s="10">
        <v>5754</v>
      </c>
      <c r="F496" s="1">
        <v>41953</v>
      </c>
      <c r="G496">
        <v>-7730.5</v>
      </c>
      <c r="H496" s="1">
        <f t="shared" si="41"/>
        <v>41953</v>
      </c>
      <c r="I496">
        <f>IF(AND(MyRowHidden(ROW())=FALSE,MyRowHidden(ROW()-1)=TRUE),0,(E496-E495)*unitsOfDHp+I495)</f>
        <v>201390</v>
      </c>
      <c r="J496">
        <f>IF(AND(MyRowHidden(ROW())=FALSE,MyRowHidden(ROW()-1)=TRUE),0,(G496-G495)*unitsOfExo+J495)</f>
        <v>-3562272</v>
      </c>
      <c r="K496" s="9">
        <f t="shared" si="42"/>
        <v>3562272</v>
      </c>
      <c r="L496">
        <f t="shared" si="43"/>
        <v>-3360882</v>
      </c>
      <c r="M496">
        <f>IF(AND(MyRowHidden(ROW())=FALSE,MyRowHidden(ROW()-1)=TRUE),0,IF(MONTH(H496)&lt;&gt;MONTH(H495),M495+1,M495))</f>
        <v>22</v>
      </c>
      <c r="N496">
        <f>IF(AND(MyRowHidden(ROW())=FALSE,MyRowHidden(ROW()-1)=TRUE),0,IF(M496&lt;totalMonths,(totalMonths-M496)/totalMonths *(I496-I495)+N495,0))</f>
        <v>0</v>
      </c>
      <c r="P496">
        <f>IF(AND(MyRowHidden(ROW())=FALSE,MyRowHidden(ROW()-1)=TRUE),0,IF(M496&lt;totalMonths,(totalMonths-M496)/totalMonths *(J496-J495)+P495,0))</f>
        <v>0</v>
      </c>
      <c r="Q496">
        <f>IF(AND(MyRowHidden(ROW())=FALSE,MyRowHidden(ROW()-1)=TRUE),0,IF(M496&lt;totalMonths,(totalMonths-M496)/totalMonths *(K496-K495)+Q495,0))</f>
        <v>0</v>
      </c>
      <c r="R496">
        <f>IF(AND(MyRowHidden(ROW())=FALSE,MyRowHidden(ROW()-1)=TRUE),0,IF(M496&lt;totalMonths,(totalMonths-M496)/totalMonths *(L496-L495)+R495,0))</f>
        <v>0</v>
      </c>
    </row>
    <row r="497" spans="1:18" hidden="1" x14ac:dyDescent="0.25">
      <c r="A497" s="1"/>
      <c r="C497" s="1"/>
      <c r="D497" s="1">
        <v>41954</v>
      </c>
      <c r="E497" s="10">
        <v>5938</v>
      </c>
      <c r="F497" s="1">
        <v>41954</v>
      </c>
      <c r="G497">
        <v>-7643</v>
      </c>
      <c r="H497" s="1">
        <f t="shared" si="41"/>
        <v>41954</v>
      </c>
      <c r="I497">
        <f>IF(AND(MyRowHidden(ROW())=FALSE,MyRowHidden(ROW()-1)=TRUE),0,(E497-E496)*unitsOfDHp+I496)</f>
        <v>207830</v>
      </c>
      <c r="J497">
        <f>IF(AND(MyRowHidden(ROW())=FALSE,MyRowHidden(ROW()-1)=TRUE),0,(G497-G496)*unitsOfExo+J496)</f>
        <v>-3537072</v>
      </c>
      <c r="K497" s="9">
        <f t="shared" si="42"/>
        <v>3537072</v>
      </c>
      <c r="L497">
        <f t="shared" si="43"/>
        <v>-3329242</v>
      </c>
      <c r="M497">
        <f>IF(AND(MyRowHidden(ROW())=FALSE,MyRowHidden(ROW()-1)=TRUE),0,IF(MONTH(H497)&lt;&gt;MONTH(H496),M496+1,M496))</f>
        <v>22</v>
      </c>
      <c r="N497">
        <f>IF(AND(MyRowHidden(ROW())=FALSE,MyRowHidden(ROW()-1)=TRUE),0,IF(M497&lt;totalMonths,(totalMonths-M497)/totalMonths *(I497-I496)+N496,0))</f>
        <v>0</v>
      </c>
      <c r="P497">
        <f>IF(AND(MyRowHidden(ROW())=FALSE,MyRowHidden(ROW()-1)=TRUE),0,IF(M497&lt;totalMonths,(totalMonths-M497)/totalMonths *(J497-J496)+P496,0))</f>
        <v>0</v>
      </c>
      <c r="Q497">
        <f>IF(AND(MyRowHidden(ROW())=FALSE,MyRowHidden(ROW()-1)=TRUE),0,IF(M497&lt;totalMonths,(totalMonths-M497)/totalMonths *(K497-K496)+Q496,0))</f>
        <v>0</v>
      </c>
      <c r="R497">
        <f>IF(AND(MyRowHidden(ROW())=FALSE,MyRowHidden(ROW()-1)=TRUE),0,IF(M497&lt;totalMonths,(totalMonths-M497)/totalMonths *(L497-L496)+R496,0))</f>
        <v>0</v>
      </c>
    </row>
    <row r="498" spans="1:18" hidden="1" x14ac:dyDescent="0.25">
      <c r="A498" s="1"/>
      <c r="C498" s="1"/>
      <c r="D498" s="1">
        <v>41955</v>
      </c>
      <c r="E498" s="10">
        <v>5564</v>
      </c>
      <c r="F498" s="1">
        <v>41955</v>
      </c>
      <c r="G498">
        <v>-7368</v>
      </c>
      <c r="H498" s="1">
        <f t="shared" si="41"/>
        <v>41955</v>
      </c>
      <c r="I498">
        <f>IF(AND(MyRowHidden(ROW())=FALSE,MyRowHidden(ROW()-1)=TRUE),0,(E498-E497)*unitsOfDHp+I497)</f>
        <v>194740</v>
      </c>
      <c r="J498">
        <f>IF(AND(MyRowHidden(ROW())=FALSE,MyRowHidden(ROW()-1)=TRUE),0,(G498-G497)*unitsOfExo+J497)</f>
        <v>-3457872</v>
      </c>
      <c r="K498" s="9">
        <f t="shared" si="42"/>
        <v>3457872</v>
      </c>
      <c r="L498">
        <f t="shared" si="43"/>
        <v>-3263132</v>
      </c>
      <c r="M498">
        <f>IF(AND(MyRowHidden(ROW())=FALSE,MyRowHidden(ROW()-1)=TRUE),0,IF(MONTH(H498)&lt;&gt;MONTH(H497),M497+1,M497))</f>
        <v>22</v>
      </c>
      <c r="N498">
        <f>IF(AND(MyRowHidden(ROW())=FALSE,MyRowHidden(ROW()-1)=TRUE),0,IF(M498&lt;totalMonths,(totalMonths-M498)/totalMonths *(I498-I497)+N497,0))</f>
        <v>0</v>
      </c>
      <c r="P498">
        <f>IF(AND(MyRowHidden(ROW())=FALSE,MyRowHidden(ROW()-1)=TRUE),0,IF(M498&lt;totalMonths,(totalMonths-M498)/totalMonths *(J498-J497)+P497,0))</f>
        <v>0</v>
      </c>
      <c r="Q498">
        <f>IF(AND(MyRowHidden(ROW())=FALSE,MyRowHidden(ROW()-1)=TRUE),0,IF(M498&lt;totalMonths,(totalMonths-M498)/totalMonths *(K498-K497)+Q497,0))</f>
        <v>0</v>
      </c>
      <c r="R498">
        <f>IF(AND(MyRowHidden(ROW())=FALSE,MyRowHidden(ROW()-1)=TRUE),0,IF(M498&lt;totalMonths,(totalMonths-M498)/totalMonths *(L498-L497)+R497,0))</f>
        <v>0</v>
      </c>
    </row>
    <row r="499" spans="1:18" hidden="1" x14ac:dyDescent="0.25">
      <c r="A499" s="1"/>
      <c r="C499" s="1"/>
      <c r="D499" s="1">
        <v>41956</v>
      </c>
      <c r="E499" s="10">
        <v>5389</v>
      </c>
      <c r="F499" s="1">
        <v>41956</v>
      </c>
      <c r="G499">
        <v>-7105.5</v>
      </c>
      <c r="H499" s="1">
        <f t="shared" si="41"/>
        <v>41956</v>
      </c>
      <c r="I499">
        <f>IF(AND(MyRowHidden(ROW())=FALSE,MyRowHidden(ROW()-1)=TRUE),0,(E499-E498)*unitsOfDHp+I498)</f>
        <v>188615</v>
      </c>
      <c r="J499">
        <f>IF(AND(MyRowHidden(ROW())=FALSE,MyRowHidden(ROW()-1)=TRUE),0,(G499-G498)*unitsOfExo+J498)</f>
        <v>-3382272</v>
      </c>
      <c r="K499" s="9">
        <f t="shared" si="42"/>
        <v>3382272</v>
      </c>
      <c r="L499">
        <f t="shared" si="43"/>
        <v>-3193657</v>
      </c>
      <c r="M499">
        <f>IF(AND(MyRowHidden(ROW())=FALSE,MyRowHidden(ROW()-1)=TRUE),0,IF(MONTH(H499)&lt;&gt;MONTH(H498),M498+1,M498))</f>
        <v>22</v>
      </c>
      <c r="N499">
        <f>IF(AND(MyRowHidden(ROW())=FALSE,MyRowHidden(ROW()-1)=TRUE),0,IF(M499&lt;totalMonths,(totalMonths-M499)/totalMonths *(I499-I498)+N498,0))</f>
        <v>0</v>
      </c>
      <c r="P499">
        <f>IF(AND(MyRowHidden(ROW())=FALSE,MyRowHidden(ROW()-1)=TRUE),0,IF(M499&lt;totalMonths,(totalMonths-M499)/totalMonths *(J499-J498)+P498,0))</f>
        <v>0</v>
      </c>
      <c r="Q499">
        <f>IF(AND(MyRowHidden(ROW())=FALSE,MyRowHidden(ROW()-1)=TRUE),0,IF(M499&lt;totalMonths,(totalMonths-M499)/totalMonths *(K499-K498)+Q498,0))</f>
        <v>0</v>
      </c>
      <c r="R499">
        <f>IF(AND(MyRowHidden(ROW())=FALSE,MyRowHidden(ROW()-1)=TRUE),0,IF(M499&lt;totalMonths,(totalMonths-M499)/totalMonths *(L499-L498)+R498,0))</f>
        <v>0</v>
      </c>
    </row>
    <row r="500" spans="1:18" hidden="1" x14ac:dyDescent="0.25">
      <c r="A500" s="1"/>
      <c r="C500" s="1"/>
      <c r="D500" s="1">
        <v>41957</v>
      </c>
      <c r="E500" s="10">
        <v>5264</v>
      </c>
      <c r="F500" s="1">
        <v>41957</v>
      </c>
      <c r="G500">
        <v>-7105.5</v>
      </c>
      <c r="H500" s="1">
        <f t="shared" si="41"/>
        <v>41957</v>
      </c>
      <c r="I500">
        <f>IF(AND(MyRowHidden(ROW())=FALSE,MyRowHidden(ROW()-1)=TRUE),0,(E500-E499)*unitsOfDHp+I499)</f>
        <v>184240</v>
      </c>
      <c r="J500">
        <f>IF(AND(MyRowHidden(ROW())=FALSE,MyRowHidden(ROW()-1)=TRUE),0,(G500-G499)*unitsOfExo+J499)</f>
        <v>-3382272</v>
      </c>
      <c r="K500" s="9">
        <f t="shared" si="42"/>
        <v>3382272</v>
      </c>
      <c r="L500">
        <f t="shared" si="43"/>
        <v>-3198032</v>
      </c>
      <c r="M500">
        <f>IF(AND(MyRowHidden(ROW())=FALSE,MyRowHidden(ROW()-1)=TRUE),0,IF(MONTH(H500)&lt;&gt;MONTH(H499),M499+1,M499))</f>
        <v>22</v>
      </c>
      <c r="N500">
        <f>IF(AND(MyRowHidden(ROW())=FALSE,MyRowHidden(ROW()-1)=TRUE),0,IF(M500&lt;totalMonths,(totalMonths-M500)/totalMonths *(I500-I499)+N499,0))</f>
        <v>0</v>
      </c>
      <c r="P500">
        <f>IF(AND(MyRowHidden(ROW())=FALSE,MyRowHidden(ROW()-1)=TRUE),0,IF(M500&lt;totalMonths,(totalMonths-M500)/totalMonths *(J500-J499)+P499,0))</f>
        <v>0</v>
      </c>
      <c r="Q500">
        <f>IF(AND(MyRowHidden(ROW())=FALSE,MyRowHidden(ROW()-1)=TRUE),0,IF(M500&lt;totalMonths,(totalMonths-M500)/totalMonths *(K500-K499)+Q499,0))</f>
        <v>0</v>
      </c>
      <c r="R500">
        <f>IF(AND(MyRowHidden(ROW())=FALSE,MyRowHidden(ROW()-1)=TRUE),0,IF(M500&lt;totalMonths,(totalMonths-M500)/totalMonths *(L500-L499)+R499,0))</f>
        <v>0</v>
      </c>
    </row>
    <row r="501" spans="1:18" hidden="1" x14ac:dyDescent="0.25">
      <c r="A501" s="1"/>
      <c r="C501" s="1"/>
      <c r="D501" s="1">
        <v>41960</v>
      </c>
      <c r="E501" s="10">
        <v>5754</v>
      </c>
      <c r="F501" s="1">
        <v>41960</v>
      </c>
      <c r="G501">
        <v>-7405.5</v>
      </c>
      <c r="H501" s="1">
        <f t="shared" si="41"/>
        <v>41960</v>
      </c>
      <c r="I501">
        <f>IF(AND(MyRowHidden(ROW())=FALSE,MyRowHidden(ROW()-1)=TRUE),0,(E501-E500)*unitsOfDHp+I500)</f>
        <v>201390</v>
      </c>
      <c r="J501">
        <f>IF(AND(MyRowHidden(ROW())=FALSE,MyRowHidden(ROW()-1)=TRUE),0,(G501-G500)*unitsOfExo+J500)</f>
        <v>-3468672</v>
      </c>
      <c r="K501" s="9">
        <f t="shared" si="42"/>
        <v>3468672</v>
      </c>
      <c r="L501">
        <f t="shared" si="43"/>
        <v>-3267282</v>
      </c>
      <c r="M501">
        <f>IF(AND(MyRowHidden(ROW())=FALSE,MyRowHidden(ROW()-1)=TRUE),0,IF(MONTH(H501)&lt;&gt;MONTH(H500),M500+1,M500))</f>
        <v>22</v>
      </c>
      <c r="N501">
        <f>IF(AND(MyRowHidden(ROW())=FALSE,MyRowHidden(ROW()-1)=TRUE),0,IF(M501&lt;totalMonths,(totalMonths-M501)/totalMonths *(I501-I500)+N500,0))</f>
        <v>0</v>
      </c>
      <c r="P501">
        <f>IF(AND(MyRowHidden(ROW())=FALSE,MyRowHidden(ROW()-1)=TRUE),0,IF(M501&lt;totalMonths,(totalMonths-M501)/totalMonths *(J501-J500)+P500,0))</f>
        <v>0</v>
      </c>
      <c r="Q501">
        <f>IF(AND(MyRowHidden(ROW())=FALSE,MyRowHidden(ROW()-1)=TRUE),0,IF(M501&lt;totalMonths,(totalMonths-M501)/totalMonths *(K501-K500)+Q500,0))</f>
        <v>0</v>
      </c>
      <c r="R501">
        <f>IF(AND(MyRowHidden(ROW())=FALSE,MyRowHidden(ROW()-1)=TRUE),0,IF(M501&lt;totalMonths,(totalMonths-M501)/totalMonths *(L501-L500)+R500,0))</f>
        <v>0</v>
      </c>
    </row>
    <row r="502" spans="1:18" hidden="1" x14ac:dyDescent="0.25">
      <c r="A502" s="1"/>
      <c r="C502" s="1"/>
      <c r="D502" s="1">
        <v>41961</v>
      </c>
      <c r="E502" s="10">
        <v>5851</v>
      </c>
      <c r="F502" s="1">
        <v>41961</v>
      </c>
      <c r="G502">
        <v>-7593</v>
      </c>
      <c r="H502" s="1">
        <f t="shared" si="41"/>
        <v>41961</v>
      </c>
      <c r="I502">
        <f>IF(AND(MyRowHidden(ROW())=FALSE,MyRowHidden(ROW()-1)=TRUE),0,(E502-E501)*unitsOfDHp+I501)</f>
        <v>204785</v>
      </c>
      <c r="J502">
        <f>IF(AND(MyRowHidden(ROW())=FALSE,MyRowHidden(ROW()-1)=TRUE),0,(G502-G501)*unitsOfExo+J501)</f>
        <v>-3522672</v>
      </c>
      <c r="K502" s="9">
        <f t="shared" si="42"/>
        <v>3522672</v>
      </c>
      <c r="L502">
        <f t="shared" si="43"/>
        <v>-3317887</v>
      </c>
      <c r="M502">
        <f>IF(AND(MyRowHidden(ROW())=FALSE,MyRowHidden(ROW()-1)=TRUE),0,IF(MONTH(H502)&lt;&gt;MONTH(H501),M501+1,M501))</f>
        <v>22</v>
      </c>
      <c r="N502">
        <f>IF(AND(MyRowHidden(ROW())=FALSE,MyRowHidden(ROW()-1)=TRUE),0,IF(M502&lt;totalMonths,(totalMonths-M502)/totalMonths *(I502-I501)+N501,0))</f>
        <v>0</v>
      </c>
      <c r="P502">
        <f>IF(AND(MyRowHidden(ROW())=FALSE,MyRowHidden(ROW()-1)=TRUE),0,IF(M502&lt;totalMonths,(totalMonths-M502)/totalMonths *(J502-J501)+P501,0))</f>
        <v>0</v>
      </c>
      <c r="Q502">
        <f>IF(AND(MyRowHidden(ROW())=FALSE,MyRowHidden(ROW()-1)=TRUE),0,IF(M502&lt;totalMonths,(totalMonths-M502)/totalMonths *(K502-K501)+Q501,0))</f>
        <v>0</v>
      </c>
      <c r="R502">
        <f>IF(AND(MyRowHidden(ROW())=FALSE,MyRowHidden(ROW()-1)=TRUE),0,IF(M502&lt;totalMonths,(totalMonths-M502)/totalMonths *(L502-L501)+R501,0))</f>
        <v>0</v>
      </c>
    </row>
    <row r="503" spans="1:18" hidden="1" x14ac:dyDescent="0.25">
      <c r="A503" s="1"/>
      <c r="C503" s="1"/>
      <c r="D503" s="1">
        <v>41962</v>
      </c>
      <c r="E503" s="10">
        <v>6203</v>
      </c>
      <c r="F503" s="1">
        <v>41962</v>
      </c>
      <c r="G503">
        <v>-8080.5</v>
      </c>
      <c r="H503" s="1">
        <f t="shared" si="41"/>
        <v>41962</v>
      </c>
      <c r="I503">
        <f>IF(AND(MyRowHidden(ROW())=FALSE,MyRowHidden(ROW()-1)=TRUE),0,(E503-E502)*unitsOfDHp+I502)</f>
        <v>217105</v>
      </c>
      <c r="J503">
        <f>IF(AND(MyRowHidden(ROW())=FALSE,MyRowHidden(ROW()-1)=TRUE),0,(G503-G502)*unitsOfExo+J502)</f>
        <v>-3663072</v>
      </c>
      <c r="K503" s="9">
        <f t="shared" si="42"/>
        <v>3663072</v>
      </c>
      <c r="L503">
        <f t="shared" si="43"/>
        <v>-3445967</v>
      </c>
      <c r="M503">
        <f>IF(AND(MyRowHidden(ROW())=FALSE,MyRowHidden(ROW()-1)=TRUE),0,IF(MONTH(H503)&lt;&gt;MONTH(H502),M502+1,M502))</f>
        <v>22</v>
      </c>
      <c r="N503">
        <f>IF(AND(MyRowHidden(ROW())=FALSE,MyRowHidden(ROW()-1)=TRUE),0,IF(M503&lt;totalMonths,(totalMonths-M503)/totalMonths *(I503-I502)+N502,0))</f>
        <v>0</v>
      </c>
      <c r="P503">
        <f>IF(AND(MyRowHidden(ROW())=FALSE,MyRowHidden(ROW()-1)=TRUE),0,IF(M503&lt;totalMonths,(totalMonths-M503)/totalMonths *(J503-J502)+P502,0))</f>
        <v>0</v>
      </c>
      <c r="Q503">
        <f>IF(AND(MyRowHidden(ROW())=FALSE,MyRowHidden(ROW()-1)=TRUE),0,IF(M503&lt;totalMonths,(totalMonths-M503)/totalMonths *(K503-K502)+Q502,0))</f>
        <v>0</v>
      </c>
      <c r="R503">
        <f>IF(AND(MyRowHidden(ROW())=FALSE,MyRowHidden(ROW()-1)=TRUE),0,IF(M503&lt;totalMonths,(totalMonths-M503)/totalMonths *(L503-L502)+R502,0))</f>
        <v>0</v>
      </c>
    </row>
    <row r="504" spans="1:18" hidden="1" x14ac:dyDescent="0.25">
      <c r="A504" s="1"/>
      <c r="C504" s="1"/>
      <c r="D504" s="1">
        <v>41963</v>
      </c>
      <c r="E504" s="10">
        <v>6132</v>
      </c>
      <c r="F504" s="1">
        <v>41963</v>
      </c>
      <c r="G504">
        <v>-7605.5</v>
      </c>
      <c r="H504" s="1">
        <f t="shared" si="41"/>
        <v>41963</v>
      </c>
      <c r="I504">
        <f>IF(AND(MyRowHidden(ROW())=FALSE,MyRowHidden(ROW()-1)=TRUE),0,(E504-E503)*unitsOfDHp+I503)</f>
        <v>214620</v>
      </c>
      <c r="J504">
        <f>IF(AND(MyRowHidden(ROW())=FALSE,MyRowHidden(ROW()-1)=TRUE),0,(G504-G503)*unitsOfExo+J503)</f>
        <v>-3526272</v>
      </c>
      <c r="K504" s="9">
        <f t="shared" si="42"/>
        <v>3526272</v>
      </c>
      <c r="L504">
        <f t="shared" si="43"/>
        <v>-3311652</v>
      </c>
      <c r="M504">
        <f>IF(AND(MyRowHidden(ROW())=FALSE,MyRowHidden(ROW()-1)=TRUE),0,IF(MONTH(H504)&lt;&gt;MONTH(H503),M503+1,M503))</f>
        <v>22</v>
      </c>
      <c r="N504">
        <f>IF(AND(MyRowHidden(ROW())=FALSE,MyRowHidden(ROW()-1)=TRUE),0,IF(M504&lt;totalMonths,(totalMonths-M504)/totalMonths *(I504-I503)+N503,0))</f>
        <v>0</v>
      </c>
      <c r="P504">
        <f>IF(AND(MyRowHidden(ROW())=FALSE,MyRowHidden(ROW()-1)=TRUE),0,IF(M504&lt;totalMonths,(totalMonths-M504)/totalMonths *(J504-J503)+P503,0))</f>
        <v>0</v>
      </c>
      <c r="Q504">
        <f>IF(AND(MyRowHidden(ROW())=FALSE,MyRowHidden(ROW()-1)=TRUE),0,IF(M504&lt;totalMonths,(totalMonths-M504)/totalMonths *(K504-K503)+Q503,0))</f>
        <v>0</v>
      </c>
      <c r="R504">
        <f>IF(AND(MyRowHidden(ROW())=FALSE,MyRowHidden(ROW()-1)=TRUE),0,IF(M504&lt;totalMonths,(totalMonths-M504)/totalMonths *(L504-L503)+R503,0))</f>
        <v>0</v>
      </c>
    </row>
    <row r="505" spans="1:18" hidden="1" x14ac:dyDescent="0.25">
      <c r="A505" s="1"/>
      <c r="C505" s="1"/>
      <c r="D505" s="1">
        <v>41964</v>
      </c>
      <c r="E505" s="10">
        <v>6120</v>
      </c>
      <c r="F505" s="1">
        <v>41964</v>
      </c>
      <c r="G505">
        <v>-7418</v>
      </c>
      <c r="H505" s="1">
        <f t="shared" si="41"/>
        <v>41964</v>
      </c>
      <c r="I505">
        <f>IF(AND(MyRowHidden(ROW())=FALSE,MyRowHidden(ROW()-1)=TRUE),0,(E505-E504)*unitsOfDHp+I504)</f>
        <v>214200</v>
      </c>
      <c r="J505">
        <f>IF(AND(MyRowHidden(ROW())=FALSE,MyRowHidden(ROW()-1)=TRUE),0,(G505-G504)*unitsOfExo+J504)</f>
        <v>-3472272</v>
      </c>
      <c r="K505" s="9">
        <f t="shared" si="42"/>
        <v>3472272</v>
      </c>
      <c r="L505">
        <f t="shared" si="43"/>
        <v>-3258072</v>
      </c>
      <c r="M505">
        <f>IF(AND(MyRowHidden(ROW())=FALSE,MyRowHidden(ROW()-1)=TRUE),0,IF(MONTH(H505)&lt;&gt;MONTH(H504),M504+1,M504))</f>
        <v>22</v>
      </c>
      <c r="N505">
        <f>IF(AND(MyRowHidden(ROW())=FALSE,MyRowHidden(ROW()-1)=TRUE),0,IF(M505&lt;totalMonths,(totalMonths-M505)/totalMonths *(I505-I504)+N504,0))</f>
        <v>0</v>
      </c>
      <c r="P505">
        <f>IF(AND(MyRowHidden(ROW())=FALSE,MyRowHidden(ROW()-1)=TRUE),0,IF(M505&lt;totalMonths,(totalMonths-M505)/totalMonths *(J505-J504)+P504,0))</f>
        <v>0</v>
      </c>
      <c r="Q505">
        <f>IF(AND(MyRowHidden(ROW())=FALSE,MyRowHidden(ROW()-1)=TRUE),0,IF(M505&lt;totalMonths,(totalMonths-M505)/totalMonths *(K505-K504)+Q504,0))</f>
        <v>0</v>
      </c>
      <c r="R505">
        <f>IF(AND(MyRowHidden(ROW())=FALSE,MyRowHidden(ROW()-1)=TRUE),0,IF(M505&lt;totalMonths,(totalMonths-M505)/totalMonths *(L505-L504)+R504,0))</f>
        <v>0</v>
      </c>
    </row>
    <row r="506" spans="1:18" hidden="1" x14ac:dyDescent="0.25">
      <c r="A506" s="1"/>
      <c r="C506" s="1"/>
      <c r="D506" s="1">
        <v>41967</v>
      </c>
      <c r="E506" s="10">
        <v>5520</v>
      </c>
      <c r="F506" s="1">
        <v>41967</v>
      </c>
      <c r="G506">
        <v>-7918</v>
      </c>
      <c r="H506" s="1">
        <f t="shared" si="41"/>
        <v>41967</v>
      </c>
      <c r="I506">
        <f>IF(AND(MyRowHidden(ROW())=FALSE,MyRowHidden(ROW()-1)=TRUE),0,(E506-E505)*unitsOfDHp+I505)</f>
        <v>193200</v>
      </c>
      <c r="J506">
        <f>IF(AND(MyRowHidden(ROW())=FALSE,MyRowHidden(ROW()-1)=TRUE),0,(G506-G505)*unitsOfExo+J505)</f>
        <v>-3616272</v>
      </c>
      <c r="K506" s="9">
        <f t="shared" si="42"/>
        <v>3616272</v>
      </c>
      <c r="L506">
        <f t="shared" si="43"/>
        <v>-3423072</v>
      </c>
      <c r="M506">
        <f>IF(AND(MyRowHidden(ROW())=FALSE,MyRowHidden(ROW()-1)=TRUE),0,IF(MONTH(H506)&lt;&gt;MONTH(H505),M505+1,M505))</f>
        <v>22</v>
      </c>
      <c r="N506">
        <f>IF(AND(MyRowHidden(ROW())=FALSE,MyRowHidden(ROW()-1)=TRUE),0,IF(M506&lt;totalMonths,(totalMonths-M506)/totalMonths *(I506-I505)+N505,0))</f>
        <v>0</v>
      </c>
      <c r="P506">
        <f>IF(AND(MyRowHidden(ROW())=FALSE,MyRowHidden(ROW()-1)=TRUE),0,IF(M506&lt;totalMonths,(totalMonths-M506)/totalMonths *(J506-J505)+P505,0))</f>
        <v>0</v>
      </c>
      <c r="Q506">
        <f>IF(AND(MyRowHidden(ROW())=FALSE,MyRowHidden(ROW()-1)=TRUE),0,IF(M506&lt;totalMonths,(totalMonths-M506)/totalMonths *(K506-K505)+Q505,0))</f>
        <v>0</v>
      </c>
      <c r="R506">
        <f>IF(AND(MyRowHidden(ROW())=FALSE,MyRowHidden(ROW()-1)=TRUE),0,IF(M506&lt;totalMonths,(totalMonths-M506)/totalMonths *(L506-L505)+R505,0))</f>
        <v>0</v>
      </c>
    </row>
    <row r="507" spans="1:18" hidden="1" x14ac:dyDescent="0.25">
      <c r="A507" s="1"/>
      <c r="C507" s="1"/>
      <c r="D507" s="1">
        <v>41968</v>
      </c>
      <c r="E507" s="10">
        <v>6145</v>
      </c>
      <c r="F507" s="1">
        <v>41968</v>
      </c>
      <c r="G507">
        <v>-7643</v>
      </c>
      <c r="H507" s="1">
        <f t="shared" si="41"/>
        <v>41968</v>
      </c>
      <c r="I507">
        <f>IF(AND(MyRowHidden(ROW())=FALSE,MyRowHidden(ROW()-1)=TRUE),0,(E507-E506)*unitsOfDHp+I506)</f>
        <v>215075</v>
      </c>
      <c r="J507">
        <f>IF(AND(MyRowHidden(ROW())=FALSE,MyRowHidden(ROW()-1)=TRUE),0,(G507-G506)*unitsOfExo+J506)</f>
        <v>-3537072</v>
      </c>
      <c r="K507" s="9">
        <f t="shared" si="42"/>
        <v>3537072</v>
      </c>
      <c r="L507">
        <f t="shared" si="43"/>
        <v>-3321997</v>
      </c>
      <c r="M507">
        <f>IF(AND(MyRowHidden(ROW())=FALSE,MyRowHidden(ROW()-1)=TRUE),0,IF(MONTH(H507)&lt;&gt;MONTH(H506),M506+1,M506))</f>
        <v>22</v>
      </c>
      <c r="N507">
        <f>IF(AND(MyRowHidden(ROW())=FALSE,MyRowHidden(ROW()-1)=TRUE),0,IF(M507&lt;totalMonths,(totalMonths-M507)/totalMonths *(I507-I506)+N506,0))</f>
        <v>0</v>
      </c>
      <c r="P507">
        <f>IF(AND(MyRowHidden(ROW())=FALSE,MyRowHidden(ROW()-1)=TRUE),0,IF(M507&lt;totalMonths,(totalMonths-M507)/totalMonths *(J507-J506)+P506,0))</f>
        <v>0</v>
      </c>
      <c r="Q507">
        <f>IF(AND(MyRowHidden(ROW())=FALSE,MyRowHidden(ROW()-1)=TRUE),0,IF(M507&lt;totalMonths,(totalMonths-M507)/totalMonths *(K507-K506)+Q506,0))</f>
        <v>0</v>
      </c>
      <c r="R507">
        <f>IF(AND(MyRowHidden(ROW())=FALSE,MyRowHidden(ROW()-1)=TRUE),0,IF(M507&lt;totalMonths,(totalMonths-M507)/totalMonths *(L507-L506)+R506,0))</f>
        <v>0</v>
      </c>
    </row>
    <row r="508" spans="1:18" hidden="1" x14ac:dyDescent="0.25">
      <c r="A508" s="1"/>
      <c r="C508" s="1"/>
      <c r="D508" s="1">
        <v>41969</v>
      </c>
      <c r="E508" s="10">
        <v>6425</v>
      </c>
      <c r="F508" s="1">
        <v>41969</v>
      </c>
      <c r="G508">
        <v>-7343</v>
      </c>
      <c r="H508" s="1">
        <f t="shared" si="41"/>
        <v>41969</v>
      </c>
      <c r="I508">
        <f>IF(AND(MyRowHidden(ROW())=FALSE,MyRowHidden(ROW()-1)=TRUE),0,(E508-E507)*unitsOfDHp+I507)</f>
        <v>224875</v>
      </c>
      <c r="J508">
        <f>IF(AND(MyRowHidden(ROW())=FALSE,MyRowHidden(ROW()-1)=TRUE),0,(G508-G507)*unitsOfExo+J507)</f>
        <v>-3450672</v>
      </c>
      <c r="K508" s="9">
        <f t="shared" si="42"/>
        <v>3450672</v>
      </c>
      <c r="L508">
        <f t="shared" si="43"/>
        <v>-3225797</v>
      </c>
      <c r="M508">
        <f>IF(AND(MyRowHidden(ROW())=FALSE,MyRowHidden(ROW()-1)=TRUE),0,IF(MONTH(H508)&lt;&gt;MONTH(H507),M507+1,M507))</f>
        <v>22</v>
      </c>
      <c r="N508">
        <f>IF(AND(MyRowHidden(ROW())=FALSE,MyRowHidden(ROW()-1)=TRUE),0,IF(M508&lt;totalMonths,(totalMonths-M508)/totalMonths *(I508-I507)+N507,0))</f>
        <v>0</v>
      </c>
      <c r="P508">
        <f>IF(AND(MyRowHidden(ROW())=FALSE,MyRowHidden(ROW()-1)=TRUE),0,IF(M508&lt;totalMonths,(totalMonths-M508)/totalMonths *(J508-J507)+P507,0))</f>
        <v>0</v>
      </c>
      <c r="Q508">
        <f>IF(AND(MyRowHidden(ROW())=FALSE,MyRowHidden(ROW()-1)=TRUE),0,IF(M508&lt;totalMonths,(totalMonths-M508)/totalMonths *(K508-K507)+Q507,0))</f>
        <v>0</v>
      </c>
      <c r="R508">
        <f>IF(AND(MyRowHidden(ROW())=FALSE,MyRowHidden(ROW()-1)=TRUE),0,IF(M508&lt;totalMonths,(totalMonths-M508)/totalMonths *(L508-L507)+R507,0))</f>
        <v>0</v>
      </c>
    </row>
    <row r="509" spans="1:18" hidden="1" x14ac:dyDescent="0.25">
      <c r="A509" s="1"/>
      <c r="C509" s="1"/>
      <c r="D509" s="1">
        <v>41970</v>
      </c>
      <c r="E509" s="10">
        <v>6326</v>
      </c>
      <c r="F509" s="1">
        <v>41970</v>
      </c>
      <c r="G509">
        <v>-7468</v>
      </c>
      <c r="H509" s="1">
        <f t="shared" si="41"/>
        <v>41970</v>
      </c>
      <c r="I509">
        <f>IF(AND(MyRowHidden(ROW())=FALSE,MyRowHidden(ROW()-1)=TRUE),0,(E509-E508)*unitsOfDHp+I508)</f>
        <v>221410</v>
      </c>
      <c r="J509">
        <f>IF(AND(MyRowHidden(ROW())=FALSE,MyRowHidden(ROW()-1)=TRUE),0,(G509-G508)*unitsOfExo+J508)</f>
        <v>-3486672</v>
      </c>
      <c r="K509" s="9">
        <f t="shared" si="42"/>
        <v>3486672</v>
      </c>
      <c r="L509">
        <f t="shared" si="43"/>
        <v>-3265262</v>
      </c>
      <c r="M509">
        <f>IF(AND(MyRowHidden(ROW())=FALSE,MyRowHidden(ROW()-1)=TRUE),0,IF(MONTH(H509)&lt;&gt;MONTH(H508),M508+1,M508))</f>
        <v>22</v>
      </c>
      <c r="N509">
        <f>IF(AND(MyRowHidden(ROW())=FALSE,MyRowHidden(ROW()-1)=TRUE),0,IF(M509&lt;totalMonths,(totalMonths-M509)/totalMonths *(I509-I508)+N508,0))</f>
        <v>0</v>
      </c>
      <c r="P509">
        <f>IF(AND(MyRowHidden(ROW())=FALSE,MyRowHidden(ROW()-1)=TRUE),0,IF(M509&lt;totalMonths,(totalMonths-M509)/totalMonths *(J509-J508)+P508,0))</f>
        <v>0</v>
      </c>
      <c r="Q509">
        <f>IF(AND(MyRowHidden(ROW())=FALSE,MyRowHidden(ROW()-1)=TRUE),0,IF(M509&lt;totalMonths,(totalMonths-M509)/totalMonths *(K509-K508)+Q508,0))</f>
        <v>0</v>
      </c>
      <c r="R509">
        <f>IF(AND(MyRowHidden(ROW())=FALSE,MyRowHidden(ROW()-1)=TRUE),0,IF(M509&lt;totalMonths,(totalMonths-M509)/totalMonths *(L509-L508)+R508,0))</f>
        <v>0</v>
      </c>
    </row>
    <row r="510" spans="1:18" hidden="1" x14ac:dyDescent="0.25">
      <c r="A510" s="1"/>
      <c r="C510" s="1"/>
      <c r="D510" s="1">
        <v>41971</v>
      </c>
      <c r="E510" s="10">
        <v>6431</v>
      </c>
      <c r="F510" s="1">
        <v>41971</v>
      </c>
      <c r="G510">
        <v>-7455.5</v>
      </c>
      <c r="H510" s="1">
        <f t="shared" si="41"/>
        <v>41971</v>
      </c>
      <c r="I510">
        <f>IF(AND(MyRowHidden(ROW())=FALSE,MyRowHidden(ROW()-1)=TRUE),0,(E510-E509)*unitsOfDHp+I509)</f>
        <v>225085</v>
      </c>
      <c r="J510">
        <f>IF(AND(MyRowHidden(ROW())=FALSE,MyRowHidden(ROW()-1)=TRUE),0,(G510-G509)*unitsOfExo+J509)</f>
        <v>-3483072</v>
      </c>
      <c r="K510" s="9">
        <f t="shared" si="42"/>
        <v>3483072</v>
      </c>
      <c r="L510">
        <f t="shared" si="43"/>
        <v>-3257987</v>
      </c>
      <c r="M510">
        <f>IF(AND(MyRowHidden(ROW())=FALSE,MyRowHidden(ROW()-1)=TRUE),0,IF(MONTH(H510)&lt;&gt;MONTH(H509),M509+1,M509))</f>
        <v>22</v>
      </c>
      <c r="N510">
        <f>IF(AND(MyRowHidden(ROW())=FALSE,MyRowHidden(ROW()-1)=TRUE),0,IF(M510&lt;totalMonths,(totalMonths-M510)/totalMonths *(I510-I509)+N509,0))</f>
        <v>0</v>
      </c>
      <c r="P510">
        <f>IF(AND(MyRowHidden(ROW())=FALSE,MyRowHidden(ROW()-1)=TRUE),0,IF(M510&lt;totalMonths,(totalMonths-M510)/totalMonths *(J510-J509)+P509,0))</f>
        <v>0</v>
      </c>
      <c r="Q510">
        <f>IF(AND(MyRowHidden(ROW())=FALSE,MyRowHidden(ROW()-1)=TRUE),0,IF(M510&lt;totalMonths,(totalMonths-M510)/totalMonths *(K510-K509)+Q509,0))</f>
        <v>0</v>
      </c>
      <c r="R510">
        <f>IF(AND(MyRowHidden(ROW())=FALSE,MyRowHidden(ROW()-1)=TRUE),0,IF(M510&lt;totalMonths,(totalMonths-M510)/totalMonths *(L510-L509)+R509,0))</f>
        <v>0</v>
      </c>
    </row>
    <row r="511" spans="1:18" hidden="1" x14ac:dyDescent="0.25">
      <c r="A511" s="1"/>
      <c r="C511" s="1"/>
      <c r="D511" s="1">
        <v>41974</v>
      </c>
      <c r="E511" s="10">
        <v>6146</v>
      </c>
      <c r="F511" s="1">
        <v>41974</v>
      </c>
      <c r="G511">
        <v>-7517.5</v>
      </c>
      <c r="H511" s="1">
        <f t="shared" si="41"/>
        <v>41974</v>
      </c>
      <c r="I511">
        <f>IF(AND(MyRowHidden(ROW())=FALSE,MyRowHidden(ROW()-1)=TRUE),0,(E511-E510)*unitsOfDHp+I510)</f>
        <v>215110</v>
      </c>
      <c r="J511">
        <f>IF(AND(MyRowHidden(ROW())=FALSE,MyRowHidden(ROW()-1)=TRUE),0,(G511-G510)*unitsOfExo+J510)</f>
        <v>-3500928</v>
      </c>
      <c r="K511" s="9">
        <f t="shared" si="42"/>
        <v>3500928</v>
      </c>
      <c r="L511">
        <f t="shared" si="43"/>
        <v>-3285818</v>
      </c>
      <c r="M511">
        <f>IF(AND(MyRowHidden(ROW())=FALSE,MyRowHidden(ROW()-1)=TRUE),0,IF(MONTH(H511)&lt;&gt;MONTH(H510),M510+1,M510))</f>
        <v>23</v>
      </c>
      <c r="N511">
        <f>IF(AND(MyRowHidden(ROW())=FALSE,MyRowHidden(ROW()-1)=TRUE),0,IF(M511&lt;totalMonths,(totalMonths-M511)/totalMonths *(I511-I510)+N510,0))</f>
        <v>0</v>
      </c>
      <c r="P511">
        <f>IF(AND(MyRowHidden(ROW())=FALSE,MyRowHidden(ROW()-1)=TRUE),0,IF(M511&lt;totalMonths,(totalMonths-M511)/totalMonths *(J511-J510)+P510,0))</f>
        <v>0</v>
      </c>
      <c r="Q511">
        <f>IF(AND(MyRowHidden(ROW())=FALSE,MyRowHidden(ROW()-1)=TRUE),0,IF(M511&lt;totalMonths,(totalMonths-M511)/totalMonths *(K511-K510)+Q510,0))</f>
        <v>0</v>
      </c>
      <c r="R511">
        <f>IF(AND(MyRowHidden(ROW())=FALSE,MyRowHidden(ROW()-1)=TRUE),0,IF(M511&lt;totalMonths,(totalMonths-M511)/totalMonths *(L511-L510)+R510,0))</f>
        <v>0</v>
      </c>
    </row>
    <row r="512" spans="1:18" hidden="1" x14ac:dyDescent="0.25">
      <c r="A512" s="1"/>
      <c r="C512" s="1"/>
      <c r="D512" s="1">
        <v>41975</v>
      </c>
      <c r="E512" s="10">
        <v>5972</v>
      </c>
      <c r="F512" s="1">
        <v>41975</v>
      </c>
      <c r="G512">
        <v>-7792.5</v>
      </c>
      <c r="H512" s="1">
        <f t="shared" si="41"/>
        <v>41975</v>
      </c>
      <c r="I512">
        <f>IF(AND(MyRowHidden(ROW())=FALSE,MyRowHidden(ROW()-1)=TRUE),0,(E512-E511)*unitsOfDHp+I511)</f>
        <v>209020</v>
      </c>
      <c r="J512">
        <f>IF(AND(MyRowHidden(ROW())=FALSE,MyRowHidden(ROW()-1)=TRUE),0,(G512-G511)*unitsOfExo+J511)</f>
        <v>-3580128</v>
      </c>
      <c r="K512" s="9">
        <f t="shared" si="42"/>
        <v>3580128</v>
      </c>
      <c r="L512">
        <f t="shared" si="43"/>
        <v>-3371108</v>
      </c>
      <c r="M512">
        <f>IF(AND(MyRowHidden(ROW())=FALSE,MyRowHidden(ROW()-1)=TRUE),0,IF(MONTH(H512)&lt;&gt;MONTH(H511),M511+1,M511))</f>
        <v>23</v>
      </c>
      <c r="N512">
        <f>IF(AND(MyRowHidden(ROW())=FALSE,MyRowHidden(ROW()-1)=TRUE),0,IF(M512&lt;totalMonths,(totalMonths-M512)/totalMonths *(I512-I511)+N511,0))</f>
        <v>0</v>
      </c>
      <c r="P512">
        <f>IF(AND(MyRowHidden(ROW())=FALSE,MyRowHidden(ROW()-1)=TRUE),0,IF(M512&lt;totalMonths,(totalMonths-M512)/totalMonths *(J512-J511)+P511,0))</f>
        <v>0</v>
      </c>
      <c r="Q512">
        <f>IF(AND(MyRowHidden(ROW())=FALSE,MyRowHidden(ROW()-1)=TRUE),0,IF(M512&lt;totalMonths,(totalMonths-M512)/totalMonths *(K512-K511)+Q511,0))</f>
        <v>0</v>
      </c>
      <c r="R512">
        <f>IF(AND(MyRowHidden(ROW())=FALSE,MyRowHidden(ROW()-1)=TRUE),0,IF(M512&lt;totalMonths,(totalMonths-M512)/totalMonths *(L512-L511)+R511,0))</f>
        <v>0</v>
      </c>
    </row>
    <row r="513" spans="1:18" hidden="1" x14ac:dyDescent="0.25">
      <c r="A513" s="1"/>
      <c r="C513" s="1"/>
      <c r="D513" s="1">
        <v>41976</v>
      </c>
      <c r="E513" s="10">
        <v>5986</v>
      </c>
      <c r="F513" s="1">
        <v>41976</v>
      </c>
      <c r="G513">
        <v>-7892.5</v>
      </c>
      <c r="H513" s="1">
        <f t="shared" si="41"/>
        <v>41976</v>
      </c>
      <c r="I513">
        <f>IF(AND(MyRowHidden(ROW())=FALSE,MyRowHidden(ROW()-1)=TRUE),0,(E513-E512)*unitsOfDHp+I512)</f>
        <v>209510</v>
      </c>
      <c r="J513">
        <f>IF(AND(MyRowHidden(ROW())=FALSE,MyRowHidden(ROW()-1)=TRUE),0,(G513-G512)*unitsOfExo+J512)</f>
        <v>-3608928</v>
      </c>
      <c r="K513" s="9">
        <f t="shared" si="42"/>
        <v>3608928</v>
      </c>
      <c r="L513">
        <f t="shared" si="43"/>
        <v>-3399418</v>
      </c>
      <c r="M513">
        <f>IF(AND(MyRowHidden(ROW())=FALSE,MyRowHidden(ROW()-1)=TRUE),0,IF(MONTH(H513)&lt;&gt;MONTH(H512),M512+1,M512))</f>
        <v>23</v>
      </c>
      <c r="N513">
        <f>IF(AND(MyRowHidden(ROW())=FALSE,MyRowHidden(ROW()-1)=TRUE),0,IF(M513&lt;totalMonths,(totalMonths-M513)/totalMonths *(I513-I512)+N512,0))</f>
        <v>0</v>
      </c>
      <c r="P513">
        <f>IF(AND(MyRowHidden(ROW())=FALSE,MyRowHidden(ROW()-1)=TRUE),0,IF(M513&lt;totalMonths,(totalMonths-M513)/totalMonths *(J513-J512)+P512,0))</f>
        <v>0</v>
      </c>
      <c r="Q513">
        <f>IF(AND(MyRowHidden(ROW())=FALSE,MyRowHidden(ROW()-1)=TRUE),0,IF(M513&lt;totalMonths,(totalMonths-M513)/totalMonths *(K513-K512)+Q512,0))</f>
        <v>0</v>
      </c>
      <c r="R513">
        <f>IF(AND(MyRowHidden(ROW())=FALSE,MyRowHidden(ROW()-1)=TRUE),0,IF(M513&lt;totalMonths,(totalMonths-M513)/totalMonths *(L513-L512)+R512,0))</f>
        <v>0</v>
      </c>
    </row>
    <row r="514" spans="1:18" hidden="1" x14ac:dyDescent="0.25">
      <c r="A514" s="1"/>
      <c r="C514" s="1"/>
      <c r="D514" s="1">
        <v>41977</v>
      </c>
      <c r="E514" s="10">
        <v>6416</v>
      </c>
      <c r="F514" s="1">
        <v>41977</v>
      </c>
      <c r="G514">
        <v>-7430</v>
      </c>
      <c r="H514" s="1">
        <f t="shared" si="41"/>
        <v>41977</v>
      </c>
      <c r="I514">
        <f>IF(AND(MyRowHidden(ROW())=FALSE,MyRowHidden(ROW()-1)=TRUE),0,(E514-E513)*unitsOfDHp+I513)</f>
        <v>224560</v>
      </c>
      <c r="J514">
        <f>IF(AND(MyRowHidden(ROW())=FALSE,MyRowHidden(ROW()-1)=TRUE),0,(G514-G513)*unitsOfExo+J513)</f>
        <v>-3475728</v>
      </c>
      <c r="K514" s="9">
        <f t="shared" si="42"/>
        <v>3475728</v>
      </c>
      <c r="L514">
        <f t="shared" si="43"/>
        <v>-3251168</v>
      </c>
      <c r="M514">
        <f>IF(AND(MyRowHidden(ROW())=FALSE,MyRowHidden(ROW()-1)=TRUE),0,IF(MONTH(H514)&lt;&gt;MONTH(H513),M513+1,M513))</f>
        <v>23</v>
      </c>
      <c r="N514">
        <f>IF(AND(MyRowHidden(ROW())=FALSE,MyRowHidden(ROW()-1)=TRUE),0,IF(M514&lt;totalMonths,(totalMonths-M514)/totalMonths *(I514-I513)+N513,0))</f>
        <v>0</v>
      </c>
      <c r="P514">
        <f>IF(AND(MyRowHidden(ROW())=FALSE,MyRowHidden(ROW()-1)=TRUE),0,IF(M514&lt;totalMonths,(totalMonths-M514)/totalMonths *(J514-J513)+P513,0))</f>
        <v>0</v>
      </c>
      <c r="Q514">
        <f>IF(AND(MyRowHidden(ROW())=FALSE,MyRowHidden(ROW()-1)=TRUE),0,IF(M514&lt;totalMonths,(totalMonths-M514)/totalMonths *(K514-K513)+Q513,0))</f>
        <v>0</v>
      </c>
      <c r="R514">
        <f>IF(AND(MyRowHidden(ROW())=FALSE,MyRowHidden(ROW()-1)=TRUE),0,IF(M514&lt;totalMonths,(totalMonths-M514)/totalMonths *(L514-L513)+R513,0))</f>
        <v>0</v>
      </c>
    </row>
    <row r="515" spans="1:18" hidden="1" x14ac:dyDescent="0.25">
      <c r="A515" s="1"/>
      <c r="C515" s="1"/>
      <c r="D515" s="1">
        <v>41978</v>
      </c>
      <c r="E515" s="10">
        <v>6406</v>
      </c>
      <c r="F515" s="1">
        <v>41978</v>
      </c>
      <c r="G515">
        <v>-7155</v>
      </c>
      <c r="H515" s="1">
        <f t="shared" si="41"/>
        <v>41978</v>
      </c>
      <c r="I515">
        <f>IF(AND(MyRowHidden(ROW())=FALSE,MyRowHidden(ROW()-1)=TRUE),0,(E515-E514)*unitsOfDHp+I514)</f>
        <v>224210</v>
      </c>
      <c r="J515">
        <f>IF(AND(MyRowHidden(ROW())=FALSE,MyRowHidden(ROW()-1)=TRUE),0,(G515-G514)*unitsOfExo+J514)</f>
        <v>-3396528</v>
      </c>
      <c r="K515" s="9">
        <f t="shared" si="42"/>
        <v>3396528</v>
      </c>
      <c r="L515">
        <f t="shared" si="43"/>
        <v>-3172318</v>
      </c>
      <c r="M515">
        <f>IF(AND(MyRowHidden(ROW())=FALSE,MyRowHidden(ROW()-1)=TRUE),0,IF(MONTH(H515)&lt;&gt;MONTH(H514),M514+1,M514))</f>
        <v>23</v>
      </c>
      <c r="N515">
        <f>IF(AND(MyRowHidden(ROW())=FALSE,MyRowHidden(ROW()-1)=TRUE),0,IF(M515&lt;totalMonths,(totalMonths-M515)/totalMonths *(I515-I514)+N514,0))</f>
        <v>0</v>
      </c>
      <c r="P515">
        <f>IF(AND(MyRowHidden(ROW())=FALSE,MyRowHidden(ROW()-1)=TRUE),0,IF(M515&lt;totalMonths,(totalMonths-M515)/totalMonths *(J515-J514)+P514,0))</f>
        <v>0</v>
      </c>
      <c r="Q515">
        <f>IF(AND(MyRowHidden(ROW())=FALSE,MyRowHidden(ROW()-1)=TRUE),0,IF(M515&lt;totalMonths,(totalMonths-M515)/totalMonths *(K515-K514)+Q514,0))</f>
        <v>0</v>
      </c>
      <c r="R515">
        <f>IF(AND(MyRowHidden(ROW())=FALSE,MyRowHidden(ROW()-1)=TRUE),0,IF(M515&lt;totalMonths,(totalMonths-M515)/totalMonths *(L515-L514)+R514,0))</f>
        <v>0</v>
      </c>
    </row>
    <row r="516" spans="1:18" hidden="1" x14ac:dyDescent="0.25">
      <c r="A516" s="1"/>
      <c r="C516" s="1"/>
      <c r="D516" s="1">
        <v>41981</v>
      </c>
      <c r="E516" s="10">
        <v>5910</v>
      </c>
      <c r="F516" s="1">
        <v>41981</v>
      </c>
      <c r="G516">
        <v>-7280</v>
      </c>
      <c r="H516" s="1">
        <f t="shared" si="41"/>
        <v>41981</v>
      </c>
      <c r="I516">
        <f>IF(AND(MyRowHidden(ROW())=FALSE,MyRowHidden(ROW()-1)=TRUE),0,(E516-E515)*unitsOfDHp+I515)</f>
        <v>206850</v>
      </c>
      <c r="J516">
        <f>IF(AND(MyRowHidden(ROW())=FALSE,MyRowHidden(ROW()-1)=TRUE),0,(G516-G515)*unitsOfExo+J515)</f>
        <v>-3432528</v>
      </c>
      <c r="K516" s="9">
        <f t="shared" si="42"/>
        <v>3432528</v>
      </c>
      <c r="L516">
        <f t="shared" si="43"/>
        <v>-3225678</v>
      </c>
      <c r="M516">
        <f>IF(AND(MyRowHidden(ROW())=FALSE,MyRowHidden(ROW()-1)=TRUE),0,IF(MONTH(H516)&lt;&gt;MONTH(H515),M515+1,M515))</f>
        <v>23</v>
      </c>
      <c r="N516">
        <f>IF(AND(MyRowHidden(ROW())=FALSE,MyRowHidden(ROW()-1)=TRUE),0,IF(M516&lt;totalMonths,(totalMonths-M516)/totalMonths *(I516-I515)+N515,0))</f>
        <v>0</v>
      </c>
      <c r="P516">
        <f>IF(AND(MyRowHidden(ROW())=FALSE,MyRowHidden(ROW()-1)=TRUE),0,IF(M516&lt;totalMonths,(totalMonths-M516)/totalMonths *(J516-J515)+P515,0))</f>
        <v>0</v>
      </c>
      <c r="Q516">
        <f>IF(AND(MyRowHidden(ROW())=FALSE,MyRowHidden(ROW()-1)=TRUE),0,IF(M516&lt;totalMonths,(totalMonths-M516)/totalMonths *(K516-K515)+Q515,0))</f>
        <v>0</v>
      </c>
      <c r="R516">
        <f>IF(AND(MyRowHidden(ROW())=FALSE,MyRowHidden(ROW()-1)=TRUE),0,IF(M516&lt;totalMonths,(totalMonths-M516)/totalMonths *(L516-L515)+R515,0))</f>
        <v>0</v>
      </c>
    </row>
    <row r="517" spans="1:18" hidden="1" x14ac:dyDescent="0.25">
      <c r="A517" s="1"/>
      <c r="C517" s="1"/>
      <c r="D517" s="1">
        <v>41982</v>
      </c>
      <c r="E517" s="10">
        <v>6382</v>
      </c>
      <c r="F517" s="1">
        <v>41982</v>
      </c>
      <c r="G517">
        <v>-7180</v>
      </c>
      <c r="H517" s="1">
        <f t="shared" si="41"/>
        <v>41982</v>
      </c>
      <c r="I517">
        <f>IF(AND(MyRowHidden(ROW())=FALSE,MyRowHidden(ROW()-1)=TRUE),0,(E517-E516)*unitsOfDHp+I516)</f>
        <v>223370</v>
      </c>
      <c r="J517">
        <f>IF(AND(MyRowHidden(ROW())=FALSE,MyRowHidden(ROW()-1)=TRUE),0,(G517-G516)*unitsOfExo+J516)</f>
        <v>-3403728</v>
      </c>
      <c r="K517" s="9">
        <f t="shared" si="42"/>
        <v>3403728</v>
      </c>
      <c r="L517">
        <f t="shared" si="43"/>
        <v>-3180358</v>
      </c>
      <c r="M517">
        <f>IF(AND(MyRowHidden(ROW())=FALSE,MyRowHidden(ROW()-1)=TRUE),0,IF(MONTH(H517)&lt;&gt;MONTH(H516),M516+1,M516))</f>
        <v>23</v>
      </c>
      <c r="N517">
        <f>IF(AND(MyRowHidden(ROW())=FALSE,MyRowHidden(ROW()-1)=TRUE),0,IF(M517&lt;totalMonths,(totalMonths-M517)/totalMonths *(I517-I516)+N516,0))</f>
        <v>0</v>
      </c>
      <c r="P517">
        <f>IF(AND(MyRowHidden(ROW())=FALSE,MyRowHidden(ROW()-1)=TRUE),0,IF(M517&lt;totalMonths,(totalMonths-M517)/totalMonths *(J517-J516)+P516,0))</f>
        <v>0</v>
      </c>
      <c r="Q517">
        <f>IF(AND(MyRowHidden(ROW())=FALSE,MyRowHidden(ROW()-1)=TRUE),0,IF(M517&lt;totalMonths,(totalMonths-M517)/totalMonths *(K517-K516)+Q516,0))</f>
        <v>0</v>
      </c>
      <c r="R517">
        <f>IF(AND(MyRowHidden(ROW())=FALSE,MyRowHidden(ROW()-1)=TRUE),0,IF(M517&lt;totalMonths,(totalMonths-M517)/totalMonths *(L517-L516)+R516,0))</f>
        <v>0</v>
      </c>
    </row>
    <row r="518" spans="1:18" hidden="1" x14ac:dyDescent="0.25">
      <c r="A518" s="1"/>
      <c r="C518" s="1"/>
      <c r="D518" s="1">
        <v>41983</v>
      </c>
      <c r="E518" s="10">
        <v>6044</v>
      </c>
      <c r="F518" s="1">
        <v>41983</v>
      </c>
      <c r="G518">
        <v>-7305</v>
      </c>
      <c r="H518" s="1">
        <f t="shared" si="41"/>
        <v>41983</v>
      </c>
      <c r="I518">
        <f>IF(AND(MyRowHidden(ROW())=FALSE,MyRowHidden(ROW()-1)=TRUE),0,(E518-E517)*unitsOfDHp+I517)</f>
        <v>211540</v>
      </c>
      <c r="J518">
        <f>IF(AND(MyRowHidden(ROW())=FALSE,MyRowHidden(ROW()-1)=TRUE),0,(G518-G517)*unitsOfExo+J517)</f>
        <v>-3439728</v>
      </c>
      <c r="K518" s="9">
        <f t="shared" si="42"/>
        <v>3439728</v>
      </c>
      <c r="L518">
        <f t="shared" si="43"/>
        <v>-3228188</v>
      </c>
      <c r="M518">
        <f>IF(AND(MyRowHidden(ROW())=FALSE,MyRowHidden(ROW()-1)=TRUE),0,IF(MONTH(H518)&lt;&gt;MONTH(H517),M517+1,M517))</f>
        <v>23</v>
      </c>
      <c r="N518">
        <f>IF(AND(MyRowHidden(ROW())=FALSE,MyRowHidden(ROW()-1)=TRUE),0,IF(M518&lt;totalMonths,(totalMonths-M518)/totalMonths *(I518-I517)+N517,0))</f>
        <v>0</v>
      </c>
      <c r="P518">
        <f>IF(AND(MyRowHidden(ROW())=FALSE,MyRowHidden(ROW()-1)=TRUE),0,IF(M518&lt;totalMonths,(totalMonths-M518)/totalMonths *(J518-J517)+P517,0))</f>
        <v>0</v>
      </c>
      <c r="Q518">
        <f>IF(AND(MyRowHidden(ROW())=FALSE,MyRowHidden(ROW()-1)=TRUE),0,IF(M518&lt;totalMonths,(totalMonths-M518)/totalMonths *(K518-K517)+Q517,0))</f>
        <v>0</v>
      </c>
      <c r="R518">
        <f>IF(AND(MyRowHidden(ROW())=FALSE,MyRowHidden(ROW()-1)=TRUE),0,IF(M518&lt;totalMonths,(totalMonths-M518)/totalMonths *(L518-L517)+R517,0))</f>
        <v>0</v>
      </c>
    </row>
    <row r="519" spans="1:18" hidden="1" x14ac:dyDescent="0.25">
      <c r="A519" s="1"/>
      <c r="C519" s="1"/>
      <c r="D519" s="1">
        <v>41984</v>
      </c>
      <c r="E519" s="10">
        <v>6956</v>
      </c>
      <c r="F519" s="1">
        <v>41984</v>
      </c>
      <c r="G519">
        <v>-7067.5</v>
      </c>
      <c r="H519" s="1">
        <f t="shared" si="41"/>
        <v>41984</v>
      </c>
      <c r="I519">
        <f>IF(AND(MyRowHidden(ROW())=FALSE,MyRowHidden(ROW()-1)=TRUE),0,(E519-E518)*unitsOfDHp+I518)</f>
        <v>243460</v>
      </c>
      <c r="J519">
        <f>IF(AND(MyRowHidden(ROW())=FALSE,MyRowHidden(ROW()-1)=TRUE),0,(G519-G518)*unitsOfExo+J518)</f>
        <v>-3371328</v>
      </c>
      <c r="K519" s="9">
        <f t="shared" si="42"/>
        <v>3371328</v>
      </c>
      <c r="L519">
        <f t="shared" si="43"/>
        <v>-3127868</v>
      </c>
      <c r="M519">
        <f>IF(AND(MyRowHidden(ROW())=FALSE,MyRowHidden(ROW()-1)=TRUE),0,IF(MONTH(H519)&lt;&gt;MONTH(H518),M518+1,M518))</f>
        <v>23</v>
      </c>
      <c r="N519">
        <f>IF(AND(MyRowHidden(ROW())=FALSE,MyRowHidden(ROW()-1)=TRUE),0,IF(M519&lt;totalMonths,(totalMonths-M519)/totalMonths *(I519-I518)+N518,0))</f>
        <v>0</v>
      </c>
      <c r="P519">
        <f>IF(AND(MyRowHidden(ROW())=FALSE,MyRowHidden(ROW()-1)=TRUE),0,IF(M519&lt;totalMonths,(totalMonths-M519)/totalMonths *(J519-J518)+P518,0))</f>
        <v>0</v>
      </c>
      <c r="Q519">
        <f>IF(AND(MyRowHidden(ROW())=FALSE,MyRowHidden(ROW()-1)=TRUE),0,IF(M519&lt;totalMonths,(totalMonths-M519)/totalMonths *(K519-K518)+Q518,0))</f>
        <v>0</v>
      </c>
      <c r="R519">
        <f>IF(AND(MyRowHidden(ROW())=FALSE,MyRowHidden(ROW()-1)=TRUE),0,IF(M519&lt;totalMonths,(totalMonths-M519)/totalMonths *(L519-L518)+R518,0))</f>
        <v>0</v>
      </c>
    </row>
    <row r="520" spans="1:18" hidden="1" x14ac:dyDescent="0.25">
      <c r="A520" s="1"/>
      <c r="C520" s="1"/>
      <c r="D520" s="1">
        <v>41985</v>
      </c>
      <c r="E520" s="10">
        <v>7667</v>
      </c>
      <c r="F520" s="1">
        <v>41985</v>
      </c>
      <c r="G520">
        <v>-6430</v>
      </c>
      <c r="H520" s="1">
        <f t="shared" si="41"/>
        <v>41985</v>
      </c>
      <c r="I520">
        <f>IF(AND(MyRowHidden(ROW())=FALSE,MyRowHidden(ROW()-1)=TRUE),0,(E520-E519)*unitsOfDHp+I519)</f>
        <v>268345</v>
      </c>
      <c r="J520">
        <f>IF(AND(MyRowHidden(ROW())=FALSE,MyRowHidden(ROW()-1)=TRUE),0,(G520-G519)*unitsOfExo+J519)</f>
        <v>-3187728</v>
      </c>
      <c r="K520" s="9">
        <f t="shared" si="42"/>
        <v>3187728</v>
      </c>
      <c r="L520">
        <f t="shared" si="43"/>
        <v>-2919383</v>
      </c>
      <c r="M520">
        <f>IF(AND(MyRowHidden(ROW())=FALSE,MyRowHidden(ROW()-1)=TRUE),0,IF(MONTH(H520)&lt;&gt;MONTH(H519),M519+1,M519))</f>
        <v>23</v>
      </c>
      <c r="N520">
        <f>IF(AND(MyRowHidden(ROW())=FALSE,MyRowHidden(ROW()-1)=TRUE),0,IF(M520&lt;totalMonths,(totalMonths-M520)/totalMonths *(I520-I519)+N519,0))</f>
        <v>0</v>
      </c>
      <c r="P520">
        <f>IF(AND(MyRowHidden(ROW())=FALSE,MyRowHidden(ROW()-1)=TRUE),0,IF(M520&lt;totalMonths,(totalMonths-M520)/totalMonths *(J520-J519)+P519,0))</f>
        <v>0</v>
      </c>
      <c r="Q520">
        <f>IF(AND(MyRowHidden(ROW())=FALSE,MyRowHidden(ROW()-1)=TRUE),0,IF(M520&lt;totalMonths,(totalMonths-M520)/totalMonths *(K520-K519)+Q519,0))</f>
        <v>0</v>
      </c>
      <c r="R520">
        <f>IF(AND(MyRowHidden(ROW())=FALSE,MyRowHidden(ROW()-1)=TRUE),0,IF(M520&lt;totalMonths,(totalMonths-M520)/totalMonths *(L520-L519)+R519,0))</f>
        <v>0</v>
      </c>
    </row>
    <row r="521" spans="1:18" hidden="1" x14ac:dyDescent="0.25">
      <c r="A521" s="1"/>
      <c r="C521" s="1"/>
      <c r="D521" s="1">
        <v>41988</v>
      </c>
      <c r="E521" s="10">
        <v>7694</v>
      </c>
      <c r="F521" s="1">
        <v>41988</v>
      </c>
      <c r="G521">
        <v>-6505</v>
      </c>
      <c r="H521" s="1">
        <f t="shared" si="41"/>
        <v>41988</v>
      </c>
      <c r="I521">
        <f>IF(AND(MyRowHidden(ROW())=FALSE,MyRowHidden(ROW()-1)=TRUE),0,(E521-E520)*unitsOfDHp+I520)</f>
        <v>269290</v>
      </c>
      <c r="J521">
        <f>IF(AND(MyRowHidden(ROW())=FALSE,MyRowHidden(ROW()-1)=TRUE),0,(G521-G520)*unitsOfExo+J520)</f>
        <v>-3209328</v>
      </c>
      <c r="K521" s="9">
        <f t="shared" si="42"/>
        <v>3209328</v>
      </c>
      <c r="L521">
        <f t="shared" si="43"/>
        <v>-2940038</v>
      </c>
      <c r="M521">
        <f>IF(AND(MyRowHidden(ROW())=FALSE,MyRowHidden(ROW()-1)=TRUE),0,IF(MONTH(H521)&lt;&gt;MONTH(H520),M520+1,M520))</f>
        <v>23</v>
      </c>
      <c r="N521">
        <f>IF(AND(MyRowHidden(ROW())=FALSE,MyRowHidden(ROW()-1)=TRUE),0,IF(M521&lt;totalMonths,(totalMonths-M521)/totalMonths *(I521-I520)+N520,0))</f>
        <v>0</v>
      </c>
      <c r="P521">
        <f>IF(AND(MyRowHidden(ROW())=FALSE,MyRowHidden(ROW()-1)=TRUE),0,IF(M521&lt;totalMonths,(totalMonths-M521)/totalMonths *(J521-J520)+P520,0))</f>
        <v>0</v>
      </c>
      <c r="Q521">
        <f>IF(AND(MyRowHidden(ROW())=FALSE,MyRowHidden(ROW()-1)=TRUE),0,IF(M521&lt;totalMonths,(totalMonths-M521)/totalMonths *(K521-K520)+Q520,0))</f>
        <v>0</v>
      </c>
      <c r="R521">
        <f>IF(AND(MyRowHidden(ROW())=FALSE,MyRowHidden(ROW()-1)=TRUE),0,IF(M521&lt;totalMonths,(totalMonths-M521)/totalMonths *(L521-L520)+R520,0))</f>
        <v>0</v>
      </c>
    </row>
    <row r="522" spans="1:18" hidden="1" x14ac:dyDescent="0.25">
      <c r="A522" s="1"/>
      <c r="C522" s="1"/>
      <c r="D522" s="1">
        <v>41989</v>
      </c>
      <c r="E522" s="10">
        <v>7632</v>
      </c>
      <c r="F522" s="1">
        <v>41989</v>
      </c>
      <c r="G522">
        <v>-6580</v>
      </c>
      <c r="H522" s="1">
        <f t="shared" si="41"/>
        <v>41989</v>
      </c>
      <c r="I522">
        <f>IF(AND(MyRowHidden(ROW())=FALSE,MyRowHidden(ROW()-1)=TRUE),0,(E522-E521)*unitsOfDHp+I521)</f>
        <v>267120</v>
      </c>
      <c r="J522">
        <f>IF(AND(MyRowHidden(ROW())=FALSE,MyRowHidden(ROW()-1)=TRUE),0,(G522-G521)*unitsOfExo+J521)</f>
        <v>-3230928</v>
      </c>
      <c r="K522" s="9">
        <f t="shared" si="42"/>
        <v>3230928</v>
      </c>
      <c r="L522">
        <f t="shared" si="43"/>
        <v>-2963808</v>
      </c>
      <c r="M522">
        <f>IF(AND(MyRowHidden(ROW())=FALSE,MyRowHidden(ROW()-1)=TRUE),0,IF(MONTH(H522)&lt;&gt;MONTH(H521),M521+1,M521))</f>
        <v>23</v>
      </c>
      <c r="N522">
        <f>IF(AND(MyRowHidden(ROW())=FALSE,MyRowHidden(ROW()-1)=TRUE),0,IF(M522&lt;totalMonths,(totalMonths-M522)/totalMonths *(I522-I521)+N521,0))</f>
        <v>0</v>
      </c>
      <c r="P522">
        <f>IF(AND(MyRowHidden(ROW())=FALSE,MyRowHidden(ROW()-1)=TRUE),0,IF(M522&lt;totalMonths,(totalMonths-M522)/totalMonths *(J522-J521)+P521,0))</f>
        <v>0</v>
      </c>
      <c r="Q522">
        <f>IF(AND(MyRowHidden(ROW())=FALSE,MyRowHidden(ROW()-1)=TRUE),0,IF(M522&lt;totalMonths,(totalMonths-M522)/totalMonths *(K522-K521)+Q521,0))</f>
        <v>0</v>
      </c>
      <c r="R522">
        <f>IF(AND(MyRowHidden(ROW())=FALSE,MyRowHidden(ROW()-1)=TRUE),0,IF(M522&lt;totalMonths,(totalMonths-M522)/totalMonths *(L522-L521)+R521,0))</f>
        <v>0</v>
      </c>
    </row>
    <row r="523" spans="1:18" hidden="1" x14ac:dyDescent="0.25">
      <c r="A523" s="1"/>
      <c r="C523" s="1"/>
      <c r="D523" s="1">
        <v>41990</v>
      </c>
      <c r="E523" s="10">
        <v>7790</v>
      </c>
      <c r="F523" s="1">
        <v>41990</v>
      </c>
      <c r="G523">
        <v>-6517.5</v>
      </c>
      <c r="H523" s="1">
        <f t="shared" si="41"/>
        <v>41990</v>
      </c>
      <c r="I523">
        <f>IF(AND(MyRowHidden(ROW())=FALSE,MyRowHidden(ROW()-1)=TRUE),0,(E523-E522)*unitsOfDHp+I522)</f>
        <v>272650</v>
      </c>
      <c r="J523">
        <f>IF(AND(MyRowHidden(ROW())=FALSE,MyRowHidden(ROW()-1)=TRUE),0,(G523-G522)*unitsOfExo+J522)</f>
        <v>-3212928</v>
      </c>
      <c r="K523" s="9">
        <f t="shared" si="42"/>
        <v>3212928</v>
      </c>
      <c r="L523">
        <f t="shared" si="43"/>
        <v>-2940278</v>
      </c>
      <c r="M523">
        <f>IF(AND(MyRowHidden(ROW())=FALSE,MyRowHidden(ROW()-1)=TRUE),0,IF(MONTH(H523)&lt;&gt;MONTH(H522),M522+1,M522))</f>
        <v>23</v>
      </c>
      <c r="N523">
        <f>IF(AND(MyRowHidden(ROW())=FALSE,MyRowHidden(ROW()-1)=TRUE),0,IF(M523&lt;totalMonths,(totalMonths-M523)/totalMonths *(I523-I522)+N522,0))</f>
        <v>0</v>
      </c>
      <c r="P523">
        <f>IF(AND(MyRowHidden(ROW())=FALSE,MyRowHidden(ROW()-1)=TRUE),0,IF(M523&lt;totalMonths,(totalMonths-M523)/totalMonths *(J523-J522)+P522,0))</f>
        <v>0</v>
      </c>
      <c r="Q523">
        <f>IF(AND(MyRowHidden(ROW())=FALSE,MyRowHidden(ROW()-1)=TRUE),0,IF(M523&lt;totalMonths,(totalMonths-M523)/totalMonths *(K523-K522)+Q522,0))</f>
        <v>0</v>
      </c>
      <c r="R523">
        <f>IF(AND(MyRowHidden(ROW())=FALSE,MyRowHidden(ROW()-1)=TRUE),0,IF(M523&lt;totalMonths,(totalMonths-M523)/totalMonths *(L523-L522)+R522,0))</f>
        <v>0</v>
      </c>
    </row>
    <row r="524" spans="1:18" hidden="1" x14ac:dyDescent="0.25">
      <c r="A524" s="1"/>
      <c r="C524" s="1"/>
      <c r="D524" s="1">
        <v>41991</v>
      </c>
      <c r="E524" s="10">
        <v>7851</v>
      </c>
      <c r="F524" s="1">
        <v>41991</v>
      </c>
      <c r="G524">
        <v>-6367.5</v>
      </c>
      <c r="H524" s="1">
        <f t="shared" si="41"/>
        <v>41991</v>
      </c>
      <c r="I524">
        <f>IF(AND(MyRowHidden(ROW())=FALSE,MyRowHidden(ROW()-1)=TRUE),0,(E524-E523)*unitsOfDHp+I523)</f>
        <v>274785</v>
      </c>
      <c r="J524">
        <f>IF(AND(MyRowHidden(ROW())=FALSE,MyRowHidden(ROW()-1)=TRUE),0,(G524-G523)*unitsOfExo+J523)</f>
        <v>-3169728</v>
      </c>
      <c r="K524" s="9">
        <f t="shared" si="42"/>
        <v>3169728</v>
      </c>
      <c r="L524">
        <f t="shared" si="43"/>
        <v>-2894943</v>
      </c>
      <c r="M524">
        <f>IF(AND(MyRowHidden(ROW())=FALSE,MyRowHidden(ROW()-1)=TRUE),0,IF(MONTH(H524)&lt;&gt;MONTH(H523),M523+1,M523))</f>
        <v>23</v>
      </c>
      <c r="N524">
        <f>IF(AND(MyRowHidden(ROW())=FALSE,MyRowHidden(ROW()-1)=TRUE),0,IF(M524&lt;totalMonths,(totalMonths-M524)/totalMonths *(I524-I523)+N523,0))</f>
        <v>0</v>
      </c>
      <c r="P524">
        <f>IF(AND(MyRowHidden(ROW())=FALSE,MyRowHidden(ROW()-1)=TRUE),0,IF(M524&lt;totalMonths,(totalMonths-M524)/totalMonths *(J524-J523)+P523,0))</f>
        <v>0</v>
      </c>
      <c r="Q524">
        <f>IF(AND(MyRowHidden(ROW())=FALSE,MyRowHidden(ROW()-1)=TRUE),0,IF(M524&lt;totalMonths,(totalMonths-M524)/totalMonths *(K524-K523)+Q523,0))</f>
        <v>0</v>
      </c>
      <c r="R524">
        <f>IF(AND(MyRowHidden(ROW())=FALSE,MyRowHidden(ROW()-1)=TRUE),0,IF(M524&lt;totalMonths,(totalMonths-M524)/totalMonths *(L524-L523)+R523,0))</f>
        <v>0</v>
      </c>
    </row>
    <row r="525" spans="1:18" hidden="1" x14ac:dyDescent="0.25">
      <c r="A525" s="1"/>
      <c r="C525" s="1"/>
      <c r="D525" s="1">
        <v>41992</v>
      </c>
      <c r="E525" s="10">
        <v>7912</v>
      </c>
      <c r="F525" s="1">
        <v>41992</v>
      </c>
      <c r="G525">
        <v>-6467.5</v>
      </c>
      <c r="H525" s="1">
        <f t="shared" si="41"/>
        <v>41992</v>
      </c>
      <c r="I525">
        <f>IF(AND(MyRowHidden(ROW())=FALSE,MyRowHidden(ROW()-1)=TRUE),0,(E525-E524)*unitsOfDHp+I524)</f>
        <v>276920</v>
      </c>
      <c r="J525">
        <f>IF(AND(MyRowHidden(ROW())=FALSE,MyRowHidden(ROW()-1)=TRUE),0,(G525-G524)*unitsOfExo+J524)</f>
        <v>-3198528</v>
      </c>
      <c r="K525" s="9">
        <f t="shared" si="42"/>
        <v>3198528</v>
      </c>
      <c r="L525">
        <f t="shared" si="43"/>
        <v>-2921608</v>
      </c>
      <c r="M525">
        <f>IF(AND(MyRowHidden(ROW())=FALSE,MyRowHidden(ROW()-1)=TRUE),0,IF(MONTH(H525)&lt;&gt;MONTH(H524),M524+1,M524))</f>
        <v>23</v>
      </c>
      <c r="N525">
        <f>IF(AND(MyRowHidden(ROW())=FALSE,MyRowHidden(ROW()-1)=TRUE),0,IF(M525&lt;totalMonths,(totalMonths-M525)/totalMonths *(I525-I524)+N524,0))</f>
        <v>0</v>
      </c>
      <c r="P525">
        <f>IF(AND(MyRowHidden(ROW())=FALSE,MyRowHidden(ROW()-1)=TRUE),0,IF(M525&lt;totalMonths,(totalMonths-M525)/totalMonths *(J525-J524)+P524,0))</f>
        <v>0</v>
      </c>
      <c r="Q525">
        <f>IF(AND(MyRowHidden(ROW())=FALSE,MyRowHidden(ROW()-1)=TRUE),0,IF(M525&lt;totalMonths,(totalMonths-M525)/totalMonths *(K525-K524)+Q524,0))</f>
        <v>0</v>
      </c>
      <c r="R525">
        <f>IF(AND(MyRowHidden(ROW())=FALSE,MyRowHidden(ROW()-1)=TRUE),0,IF(M525&lt;totalMonths,(totalMonths-M525)/totalMonths *(L525-L524)+R524,0))</f>
        <v>0</v>
      </c>
    </row>
    <row r="526" spans="1:18" hidden="1" x14ac:dyDescent="0.25">
      <c r="A526" s="1"/>
      <c r="C526" s="1"/>
      <c r="D526" s="1">
        <v>41995</v>
      </c>
      <c r="E526" s="10">
        <v>8078</v>
      </c>
      <c r="F526" s="1">
        <v>41995</v>
      </c>
      <c r="G526">
        <v>-6305</v>
      </c>
      <c r="H526" s="1">
        <f t="shared" si="41"/>
        <v>41995</v>
      </c>
      <c r="I526">
        <f>IF(AND(MyRowHidden(ROW())=FALSE,MyRowHidden(ROW()-1)=TRUE),0,(E526-E525)*unitsOfDHp+I525)</f>
        <v>282730</v>
      </c>
      <c r="J526">
        <f>IF(AND(MyRowHidden(ROW())=FALSE,MyRowHidden(ROW()-1)=TRUE),0,(G526-G525)*unitsOfExo+J525)</f>
        <v>-3151728</v>
      </c>
      <c r="K526" s="9">
        <f t="shared" si="42"/>
        <v>3151728</v>
      </c>
      <c r="L526">
        <f t="shared" si="43"/>
        <v>-2868998</v>
      </c>
      <c r="M526">
        <f>IF(AND(MyRowHidden(ROW())=FALSE,MyRowHidden(ROW()-1)=TRUE),0,IF(MONTH(H526)&lt;&gt;MONTH(H525),M525+1,M525))</f>
        <v>23</v>
      </c>
      <c r="N526">
        <f>IF(AND(MyRowHidden(ROW())=FALSE,MyRowHidden(ROW()-1)=TRUE),0,IF(M526&lt;totalMonths,(totalMonths-M526)/totalMonths *(I526-I525)+N525,0))</f>
        <v>0</v>
      </c>
      <c r="P526">
        <f>IF(AND(MyRowHidden(ROW())=FALSE,MyRowHidden(ROW()-1)=TRUE),0,IF(M526&lt;totalMonths,(totalMonths-M526)/totalMonths *(J526-J525)+P525,0))</f>
        <v>0</v>
      </c>
      <c r="Q526">
        <f>IF(AND(MyRowHidden(ROW())=FALSE,MyRowHidden(ROW()-1)=TRUE),0,IF(M526&lt;totalMonths,(totalMonths-M526)/totalMonths *(K526-K525)+Q525,0))</f>
        <v>0</v>
      </c>
      <c r="R526">
        <f>IF(AND(MyRowHidden(ROW())=FALSE,MyRowHidden(ROW()-1)=TRUE),0,IF(M526&lt;totalMonths,(totalMonths-M526)/totalMonths *(L526-L525)+R525,0))</f>
        <v>0</v>
      </c>
    </row>
    <row r="527" spans="1:18" hidden="1" x14ac:dyDescent="0.25">
      <c r="A527" s="1"/>
      <c r="C527" s="1"/>
      <c r="D527" s="1">
        <v>41996</v>
      </c>
      <c r="E527" s="10">
        <v>8082</v>
      </c>
      <c r="F527" s="1">
        <v>41996</v>
      </c>
      <c r="G527">
        <v>-6230</v>
      </c>
      <c r="H527" s="1">
        <f t="shared" si="41"/>
        <v>41996</v>
      </c>
      <c r="I527">
        <f>IF(AND(MyRowHidden(ROW())=FALSE,MyRowHidden(ROW()-1)=TRUE),0,(E527-E526)*unitsOfDHp+I526)</f>
        <v>282870</v>
      </c>
      <c r="J527">
        <f>IF(AND(MyRowHidden(ROW())=FALSE,MyRowHidden(ROW()-1)=TRUE),0,(G527-G526)*unitsOfExo+J526)</f>
        <v>-3130128</v>
      </c>
      <c r="K527" s="9">
        <f t="shared" si="42"/>
        <v>3130128</v>
      </c>
      <c r="L527">
        <f t="shared" si="43"/>
        <v>-2847258</v>
      </c>
      <c r="M527">
        <f>IF(AND(MyRowHidden(ROW())=FALSE,MyRowHidden(ROW()-1)=TRUE),0,IF(MONTH(H527)&lt;&gt;MONTH(H526),M526+1,M526))</f>
        <v>23</v>
      </c>
      <c r="N527">
        <f>IF(AND(MyRowHidden(ROW())=FALSE,MyRowHidden(ROW()-1)=TRUE),0,IF(M527&lt;totalMonths,(totalMonths-M527)/totalMonths *(I527-I526)+N526,0))</f>
        <v>0</v>
      </c>
      <c r="P527">
        <f>IF(AND(MyRowHidden(ROW())=FALSE,MyRowHidden(ROW()-1)=TRUE),0,IF(M527&lt;totalMonths,(totalMonths-M527)/totalMonths *(J527-J526)+P526,0))</f>
        <v>0</v>
      </c>
      <c r="Q527">
        <f>IF(AND(MyRowHidden(ROW())=FALSE,MyRowHidden(ROW()-1)=TRUE),0,IF(M527&lt;totalMonths,(totalMonths-M527)/totalMonths *(K527-K526)+Q526,0))</f>
        <v>0</v>
      </c>
      <c r="R527">
        <f>IF(AND(MyRowHidden(ROW())=FALSE,MyRowHidden(ROW()-1)=TRUE),0,IF(M527&lt;totalMonths,(totalMonths-M527)/totalMonths *(L527-L526)+R526,0))</f>
        <v>0</v>
      </c>
    </row>
    <row r="528" spans="1:18" hidden="1" x14ac:dyDescent="0.25">
      <c r="A528" s="1"/>
      <c r="C528" s="1"/>
      <c r="D528" s="1">
        <v>41997</v>
      </c>
      <c r="E528" s="10">
        <v>8168</v>
      </c>
      <c r="F528" s="1">
        <v>41997</v>
      </c>
      <c r="G528">
        <v>-6517.5</v>
      </c>
      <c r="H528" s="1">
        <f t="shared" si="41"/>
        <v>41997</v>
      </c>
      <c r="I528">
        <f>IF(AND(MyRowHidden(ROW())=FALSE,MyRowHidden(ROW()-1)=TRUE),0,(E528-E527)*unitsOfDHp+I527)</f>
        <v>285880</v>
      </c>
      <c r="J528">
        <f>IF(AND(MyRowHidden(ROW())=FALSE,MyRowHidden(ROW()-1)=TRUE),0,(G528-G527)*unitsOfExo+J527)</f>
        <v>-3212928</v>
      </c>
      <c r="K528" s="9">
        <f t="shared" si="42"/>
        <v>3212928</v>
      </c>
      <c r="L528">
        <f t="shared" si="43"/>
        <v>-2927048</v>
      </c>
      <c r="M528">
        <f>IF(AND(MyRowHidden(ROW())=FALSE,MyRowHidden(ROW()-1)=TRUE),0,IF(MONTH(H528)&lt;&gt;MONTH(H527),M527+1,M527))</f>
        <v>23</v>
      </c>
      <c r="N528">
        <f>IF(AND(MyRowHidden(ROW())=FALSE,MyRowHidden(ROW()-1)=TRUE),0,IF(M528&lt;totalMonths,(totalMonths-M528)/totalMonths *(I528-I527)+N527,0))</f>
        <v>0</v>
      </c>
      <c r="P528">
        <f>IF(AND(MyRowHidden(ROW())=FALSE,MyRowHidden(ROW()-1)=TRUE),0,IF(M528&lt;totalMonths,(totalMonths-M528)/totalMonths *(J528-J527)+P527,0))</f>
        <v>0</v>
      </c>
      <c r="Q528">
        <f>IF(AND(MyRowHidden(ROW())=FALSE,MyRowHidden(ROW()-1)=TRUE),0,IF(M528&lt;totalMonths,(totalMonths-M528)/totalMonths *(K528-K527)+Q527,0))</f>
        <v>0</v>
      </c>
      <c r="R528">
        <f>IF(AND(MyRowHidden(ROW())=FALSE,MyRowHidden(ROW()-1)=TRUE),0,IF(M528&lt;totalMonths,(totalMonths-M528)/totalMonths *(L528-L527)+R527,0))</f>
        <v>0</v>
      </c>
    </row>
    <row r="529" spans="1:19" hidden="1" x14ac:dyDescent="0.25">
      <c r="A529" s="1"/>
      <c r="C529" s="1"/>
      <c r="D529" s="1">
        <v>41998</v>
      </c>
      <c r="E529" s="10">
        <v>8290</v>
      </c>
      <c r="F529" s="1">
        <v>41998</v>
      </c>
      <c r="G529">
        <v>-6380</v>
      </c>
      <c r="H529" s="1">
        <f>D529</f>
        <v>41998</v>
      </c>
      <c r="I529">
        <f>IF(AND(MyRowHidden(ROW())=FALSE,MyRowHidden(ROW()-1)=TRUE),0,(E529-E528)*unitsOfDHp+I528)</f>
        <v>290150</v>
      </c>
      <c r="J529">
        <f>IF(AND(MyRowHidden(ROW())=FALSE,MyRowHidden(ROW()-1)=TRUE),0,(G529-G528)*unitsOfExo+J528)</f>
        <v>-3173328</v>
      </c>
      <c r="K529" s="9">
        <f>-(J529-J528)+K528</f>
        <v>3173328</v>
      </c>
      <c r="L529">
        <f>I529+J529</f>
        <v>-2883178</v>
      </c>
      <c r="M529">
        <f>IF(AND(MyRowHidden(ROW())=FALSE,MyRowHidden(ROW()-1)=TRUE),0,IF(MONTH(H529)&lt;&gt;MONTH(H528),M528+1,M528))</f>
        <v>23</v>
      </c>
      <c r="N529">
        <f>IF(AND(MyRowHidden(ROW())=FALSE,MyRowHidden(ROW()-1)=TRUE),0,IF(M529&lt;totalMonths,(totalMonths-M529)/totalMonths *(I529-I528)+N528,0))</f>
        <v>0</v>
      </c>
      <c r="P529">
        <f>IF(AND(MyRowHidden(ROW())=FALSE,MyRowHidden(ROW()-1)=TRUE),0,IF(M529&lt;totalMonths,(totalMonths-M529)/totalMonths *(J529-J528)+P528,0))</f>
        <v>0</v>
      </c>
      <c r="Q529">
        <f>IF(AND(MyRowHidden(ROW())=FALSE,MyRowHidden(ROW()-1)=TRUE),0,IF(M529&lt;totalMonths,(totalMonths-M529)/totalMonths *(K529-K528)+Q528,0))</f>
        <v>0</v>
      </c>
      <c r="R529">
        <f>IF(AND(MyRowHidden(ROW())=FALSE,MyRowHidden(ROW()-1)=TRUE),0,IF(M529&lt;totalMonths,(totalMonths-M529)/totalMonths *(L529-L528)+R528,0))</f>
        <v>0</v>
      </c>
    </row>
    <row r="530" spans="1:19" hidden="1" x14ac:dyDescent="0.25">
      <c r="A530" s="1"/>
      <c r="C530" s="1"/>
      <c r="D530" s="1">
        <v>41999</v>
      </c>
      <c r="E530" s="10">
        <v>8360</v>
      </c>
      <c r="F530" s="1">
        <v>41999</v>
      </c>
      <c r="G530">
        <v>-6255</v>
      </c>
      <c r="H530" s="1">
        <f>D530</f>
        <v>41999</v>
      </c>
      <c r="I530">
        <f>IF(AND(MyRowHidden(ROW())=FALSE,MyRowHidden(ROW()-1)=TRUE),0,(E530-E529)*unitsOfDHp+I529)</f>
        <v>292600</v>
      </c>
      <c r="J530">
        <f>IF(AND(MyRowHidden(ROW())=FALSE,MyRowHidden(ROW()-1)=TRUE),0,(G530-G529)*unitsOfExo+J529)</f>
        <v>-3137328</v>
      </c>
      <c r="K530" s="9">
        <f>-(J530-J529)+K529</f>
        <v>3137328</v>
      </c>
      <c r="L530">
        <f>I530+J530</f>
        <v>-2844728</v>
      </c>
      <c r="M530">
        <f>IF(AND(MyRowHidden(ROW())=FALSE,MyRowHidden(ROW()-1)=TRUE),0,IF(MONTH(H530)&lt;&gt;MONTH(H529),M529+1,M529))</f>
        <v>23</v>
      </c>
      <c r="N530">
        <f>IF(AND(MyRowHidden(ROW())=FALSE,MyRowHidden(ROW()-1)=TRUE),0,IF(M530&lt;totalMonths,(totalMonths-M530)/totalMonths *(I530-I529)+N529,0))</f>
        <v>0</v>
      </c>
      <c r="P530">
        <f>IF(AND(MyRowHidden(ROW())=FALSE,MyRowHidden(ROW()-1)=TRUE),0,IF(M530&lt;totalMonths,(totalMonths-M530)/totalMonths *(J530-J529)+P529,0))</f>
        <v>0</v>
      </c>
      <c r="Q530">
        <f>IF(AND(MyRowHidden(ROW())=FALSE,MyRowHidden(ROW()-1)=TRUE),0,IF(M530&lt;totalMonths,(totalMonths-M530)/totalMonths *(K530-K529)+Q529,0))</f>
        <v>0</v>
      </c>
      <c r="R530">
        <f>IF(AND(MyRowHidden(ROW())=FALSE,MyRowHidden(ROW()-1)=TRUE),0,IF(M530&lt;totalMonths,(totalMonths-M530)/totalMonths *(L530-L529)+R529,0))</f>
        <v>0</v>
      </c>
    </row>
    <row r="531" spans="1:19" hidden="1" x14ac:dyDescent="0.25">
      <c r="A531" s="1"/>
      <c r="C531" s="1"/>
      <c r="D531" s="1">
        <v>42002</v>
      </c>
      <c r="E531" s="10">
        <v>8348</v>
      </c>
      <c r="F531" s="1">
        <v>42002</v>
      </c>
      <c r="G531">
        <v>-6292.5</v>
      </c>
      <c r="H531" s="1">
        <f>D531</f>
        <v>42002</v>
      </c>
      <c r="I531">
        <f>IF(AND(MyRowHidden(ROW())=FALSE,MyRowHidden(ROW()-1)=TRUE),0,(E531-E530)*unitsOfDHp+I530)</f>
        <v>292180</v>
      </c>
      <c r="J531">
        <f>IF(AND(MyRowHidden(ROW())=FALSE,MyRowHidden(ROW()-1)=TRUE),0,(G531-G530)*unitsOfExo+J530)</f>
        <v>-3148128</v>
      </c>
      <c r="K531" s="9">
        <f>-(J531-J530)+K530</f>
        <v>3148128</v>
      </c>
      <c r="L531">
        <f>I531+J531</f>
        <v>-2855948</v>
      </c>
      <c r="M531">
        <f>IF(AND(MyRowHidden(ROW())=FALSE,MyRowHidden(ROW()-1)=TRUE),0,IF(MONTH(H531)&lt;&gt;MONTH(H530),M530+1,M530))</f>
        <v>23</v>
      </c>
      <c r="N531">
        <f>IF(AND(MyRowHidden(ROW())=FALSE,MyRowHidden(ROW()-1)=TRUE),0,IF(M531&lt;totalMonths,(totalMonths-M531)/totalMonths *(I531-I530)+N530,0))</f>
        <v>0</v>
      </c>
      <c r="P531">
        <f>IF(AND(MyRowHidden(ROW())=FALSE,MyRowHidden(ROW()-1)=TRUE),0,IF(M531&lt;totalMonths,(totalMonths-M531)/totalMonths *(J531-J530)+P530,0))</f>
        <v>0</v>
      </c>
      <c r="Q531">
        <f>IF(AND(MyRowHidden(ROW())=FALSE,MyRowHidden(ROW()-1)=TRUE),0,IF(M531&lt;totalMonths,(totalMonths-M531)/totalMonths *(K531-K530)+Q530,0))</f>
        <v>0</v>
      </c>
      <c r="R531">
        <f>IF(AND(MyRowHidden(ROW())=FALSE,MyRowHidden(ROW()-1)=TRUE),0,IF(M531&lt;totalMonths,(totalMonths-M531)/totalMonths *(L531-L530)+R530,0))</f>
        <v>0</v>
      </c>
    </row>
    <row r="532" spans="1:19" hidden="1" x14ac:dyDescent="0.25">
      <c r="A532" s="1"/>
      <c r="C532" s="1"/>
      <c r="D532" s="1">
        <v>42003</v>
      </c>
      <c r="E532" s="10">
        <v>8248</v>
      </c>
      <c r="F532" s="1">
        <v>42003</v>
      </c>
      <c r="G532">
        <v>-6580</v>
      </c>
      <c r="H532" s="1">
        <f>D532</f>
        <v>42003</v>
      </c>
      <c r="I532">
        <f>IF(AND(MyRowHidden(ROW())=FALSE,MyRowHidden(ROW()-1)=TRUE),0,(E532-E531)*unitsOfDHp+I531)</f>
        <v>288680</v>
      </c>
      <c r="J532">
        <f>IF(AND(MyRowHidden(ROW())=FALSE,MyRowHidden(ROW()-1)=TRUE),0,(G532-G531)*unitsOfExo+J531)</f>
        <v>-3230928</v>
      </c>
      <c r="K532" s="9">
        <f>-(J532-J531)+K531</f>
        <v>3230928</v>
      </c>
      <c r="L532">
        <f>I532+J532</f>
        <v>-2942248</v>
      </c>
      <c r="M532">
        <f>IF(AND(MyRowHidden(ROW())=FALSE,MyRowHidden(ROW()-1)=TRUE),0,IF(MONTH(H532)&lt;&gt;MONTH(H531),M531+1,M531))</f>
        <v>23</v>
      </c>
      <c r="N532">
        <f>IF(AND(MyRowHidden(ROW())=FALSE,MyRowHidden(ROW()-1)=TRUE),0,IF(M532&lt;totalMonths,(totalMonths-M532)/totalMonths *(I532-I531)+N531,0))</f>
        <v>0</v>
      </c>
      <c r="P532">
        <f>IF(AND(MyRowHidden(ROW())=FALSE,MyRowHidden(ROW()-1)=TRUE),0,IF(M532&lt;totalMonths,(totalMonths-M532)/totalMonths *(J532-J531)+P531,0))</f>
        <v>0</v>
      </c>
      <c r="Q532">
        <f>IF(AND(MyRowHidden(ROW())=FALSE,MyRowHidden(ROW()-1)=TRUE),0,IF(M532&lt;totalMonths,(totalMonths-M532)/totalMonths *(K532-K531)+Q531,0))</f>
        <v>0</v>
      </c>
      <c r="R532">
        <f>IF(AND(MyRowHidden(ROW())=FALSE,MyRowHidden(ROW()-1)=TRUE),0,IF(M532&lt;totalMonths,(totalMonths-M532)/totalMonths *(L532-L531)+R531,0))</f>
        <v>0</v>
      </c>
    </row>
    <row r="533" spans="1:19" hidden="1" x14ac:dyDescent="0.25">
      <c r="A533" s="1"/>
      <c r="C533" s="1"/>
      <c r="D533" s="1">
        <v>42004</v>
      </c>
      <c r="E533" s="10">
        <v>7482</v>
      </c>
      <c r="F533" s="1">
        <v>42004</v>
      </c>
      <c r="G533">
        <v>-7080</v>
      </c>
      <c r="H533" s="1">
        <f>D533</f>
        <v>42004</v>
      </c>
      <c r="I533">
        <f>IF(AND(MyRowHidden(ROW())=FALSE,MyRowHidden(ROW()-1)=TRUE),0,(E533-E532)*unitsOfDHp+I532)</f>
        <v>261870</v>
      </c>
      <c r="J533">
        <f>IF(AND(MyRowHidden(ROW())=FALSE,MyRowHidden(ROW()-1)=TRUE),0,(G533-G532)*unitsOfExo+J532)</f>
        <v>-3374928</v>
      </c>
      <c r="K533" s="9">
        <f>-(J533-J532)+K532</f>
        <v>3374928</v>
      </c>
      <c r="L533">
        <f>I533+J533</f>
        <v>-3113058</v>
      </c>
      <c r="M533">
        <f>IF(AND(MyRowHidden(ROW())=FALSE,MyRowHidden(ROW()-1)=TRUE),0,IF(MONTH(H533)&lt;&gt;MONTH(H532),M532+1,M532))</f>
        <v>23</v>
      </c>
      <c r="N533">
        <f>IF(AND(MyRowHidden(ROW())=FALSE,MyRowHidden(ROW()-1)=TRUE),0,IF(M533&lt;totalMonths,(totalMonths-M533)/totalMonths *(I533-I532)+N532,0))</f>
        <v>0</v>
      </c>
      <c r="P533">
        <f>IF(AND(MyRowHidden(ROW())=FALSE,MyRowHidden(ROW()-1)=TRUE),0,IF(M533&lt;totalMonths,(totalMonths-M533)/totalMonths *(J533-J532)+P532,0))</f>
        <v>0</v>
      </c>
      <c r="Q533">
        <f>IF(AND(MyRowHidden(ROW())=FALSE,MyRowHidden(ROW()-1)=TRUE),0,IF(M533&lt;totalMonths,(totalMonths-M533)/totalMonths *(K533-K532)+Q532,0))</f>
        <v>0</v>
      </c>
      <c r="R533">
        <f>IF(AND(MyRowHidden(ROW())=FALSE,MyRowHidden(ROW()-1)=TRUE),0,IF(M533&lt;totalMonths,(totalMonths-M533)/totalMonths *(L533-L532)+R532,0))</f>
        <v>0</v>
      </c>
    </row>
    <row r="534" spans="1:19" x14ac:dyDescent="0.25">
      <c r="A534" s="1"/>
      <c r="C534" s="1"/>
      <c r="D534" s="1">
        <v>42005</v>
      </c>
      <c r="E534" s="10">
        <v>7532</v>
      </c>
      <c r="F534" s="1">
        <v>42005</v>
      </c>
      <c r="G534">
        <v>-7004.5</v>
      </c>
      <c r="H534" s="1">
        <f t="shared" ref="H534:H597" si="44">D534</f>
        <v>42005</v>
      </c>
      <c r="I534">
        <f>IF(AND(MyRowHidden(ROW())=FALSE,MyRowHidden(ROW()-1)=TRUE),0,(E534-E533)*unitsOfDHp+I533)</f>
        <v>0</v>
      </c>
      <c r="J534">
        <f>IF(AND(MyRowHidden(ROW())=FALSE,MyRowHidden(ROW()-1)=TRUE),0,(G534-G533)*unitsOfExo+J533)</f>
        <v>0</v>
      </c>
      <c r="K534" s="9">
        <f t="shared" ref="K534:K597" si="45">-(J534-J533)+K533</f>
        <v>0</v>
      </c>
      <c r="L534">
        <f t="shared" ref="L534:L597" si="46">I534+J534</f>
        <v>0</v>
      </c>
      <c r="M534">
        <f>IF(AND(MyRowHidden(ROW())=FALSE,MyRowHidden(ROW()-1)=TRUE),0,IF(MONTH(H534)&lt;&gt;MONTH(H533),M533+1,M533))</f>
        <v>0</v>
      </c>
      <c r="N534">
        <f t="shared" ref="N534:N597" si="47">I534</f>
        <v>0</v>
      </c>
      <c r="O534">
        <f>IF(AND(MyRowHidden(ROW())=FALSE,MyRowHidden(ROW()-1)=TRUE),0,IF(M534&lt;totalMonths,(totalMonths-M534)/totalMonths *(I534-I533)+O533,0))</f>
        <v>0</v>
      </c>
      <c r="P534">
        <f>IF(AND(MyRowHidden(ROW())=FALSE,MyRowHidden(ROW()-1)=TRUE),0,IF(M534&lt;totalMonths,(totalMonths-M534)/totalMonths *(J534-J533)+P533,0))</f>
        <v>0</v>
      </c>
      <c r="Q534">
        <f>IF(AND(MyRowHidden(ROW())=FALSE,MyRowHidden(ROW()-1)=TRUE),0,IF(M534&lt;totalMonths,(totalMonths-M534)/totalMonths *(K534-K533)+Q533,0))</f>
        <v>0</v>
      </c>
      <c r="R534">
        <f t="shared" ref="R534:R597" si="48">N534+P534</f>
        <v>0</v>
      </c>
      <c r="S534">
        <f t="shared" ref="S534:S597" si="49">O534+P534</f>
        <v>0</v>
      </c>
    </row>
    <row r="535" spans="1:19" x14ac:dyDescent="0.25">
      <c r="A535" s="1"/>
      <c r="C535" s="1"/>
      <c r="D535" s="1">
        <v>42006</v>
      </c>
      <c r="E535" s="10">
        <v>7582</v>
      </c>
      <c r="F535" s="1">
        <v>42006</v>
      </c>
      <c r="G535">
        <v>-7142</v>
      </c>
      <c r="H535" s="1">
        <f t="shared" si="44"/>
        <v>42006</v>
      </c>
      <c r="I535">
        <f>IF(AND(MyRowHidden(ROW())=FALSE,MyRowHidden(ROW()-1)=TRUE),0,(E535-E534)*unitsOfDHp+I534)</f>
        <v>1750</v>
      </c>
      <c r="J535">
        <f>IF(AND(MyRowHidden(ROW())=FALSE,MyRowHidden(ROW()-1)=TRUE),0,(G535-G534)*unitsOfExo+J534)</f>
        <v>-39600</v>
      </c>
      <c r="K535" s="9">
        <f t="shared" si="45"/>
        <v>39600</v>
      </c>
      <c r="L535">
        <f t="shared" si="46"/>
        <v>-37850</v>
      </c>
      <c r="M535">
        <f>IF(AND(MyRowHidden(ROW())=FALSE,MyRowHidden(ROW()-1)=TRUE),0,IF(MONTH(H535)&lt;&gt;MONTH(H534),M534+1,M534))</f>
        <v>0</v>
      </c>
      <c r="N535">
        <f t="shared" si="47"/>
        <v>1750</v>
      </c>
      <c r="O535">
        <f>IF(AND(MyRowHidden(ROW())=FALSE,MyRowHidden(ROW()-1)=TRUE),0,IF(M535&lt;totalMonths,(totalMonths-M535)/totalMonths *(I535-I534)+O534,0))</f>
        <v>1750</v>
      </c>
      <c r="P535">
        <f>IF(AND(MyRowHidden(ROW())=FALSE,MyRowHidden(ROW()-1)=TRUE),0,IF(M535&lt;totalMonths,(totalMonths-M535)/totalMonths *(J535-J534)+P534,0))</f>
        <v>-39600</v>
      </c>
      <c r="Q535">
        <f>IF(AND(MyRowHidden(ROW())=FALSE,MyRowHidden(ROW()-1)=TRUE),0,IF(M535&lt;totalMonths,(totalMonths-M535)/totalMonths *(K535-K534)+Q534,0))</f>
        <v>39600</v>
      </c>
      <c r="R535">
        <f t="shared" si="48"/>
        <v>-37850</v>
      </c>
      <c r="S535">
        <f t="shared" si="49"/>
        <v>-37850</v>
      </c>
    </row>
    <row r="536" spans="1:19" x14ac:dyDescent="0.25">
      <c r="A536" s="1"/>
      <c r="C536" s="1"/>
      <c r="D536" s="1">
        <v>42009</v>
      </c>
      <c r="E536" s="10">
        <v>7900</v>
      </c>
      <c r="F536" s="1">
        <v>42009</v>
      </c>
      <c r="G536">
        <v>-6642</v>
      </c>
      <c r="H536" s="1">
        <f t="shared" si="44"/>
        <v>42009</v>
      </c>
      <c r="I536">
        <f>IF(AND(MyRowHidden(ROW())=FALSE,MyRowHidden(ROW()-1)=TRUE),0,(E536-E535)*unitsOfDHp+I535)</f>
        <v>12880</v>
      </c>
      <c r="J536">
        <f>IF(AND(MyRowHidden(ROW())=FALSE,MyRowHidden(ROW()-1)=TRUE),0,(G536-G535)*unitsOfExo+J535)</f>
        <v>104400</v>
      </c>
      <c r="K536" s="9">
        <f t="shared" si="45"/>
        <v>-104400</v>
      </c>
      <c r="L536">
        <f t="shared" si="46"/>
        <v>117280</v>
      </c>
      <c r="M536">
        <f>IF(AND(MyRowHidden(ROW())=FALSE,MyRowHidden(ROW()-1)=TRUE),0,IF(MONTH(H536)&lt;&gt;MONTH(H535),M535+1,M535))</f>
        <v>0</v>
      </c>
      <c r="N536">
        <f t="shared" si="47"/>
        <v>12880</v>
      </c>
      <c r="O536">
        <f>IF(AND(MyRowHidden(ROW())=FALSE,MyRowHidden(ROW()-1)=TRUE),0,IF(M536&lt;totalMonths,(totalMonths-M536)/totalMonths *(I536-I535)+O535,0))</f>
        <v>12880</v>
      </c>
      <c r="P536">
        <f>IF(AND(MyRowHidden(ROW())=FALSE,MyRowHidden(ROW()-1)=TRUE),0,IF(M536&lt;totalMonths,(totalMonths-M536)/totalMonths *(J536-J535)+P535,0))</f>
        <v>104400</v>
      </c>
      <c r="Q536">
        <f>IF(AND(MyRowHidden(ROW())=FALSE,MyRowHidden(ROW()-1)=TRUE),0,IF(M536&lt;totalMonths,(totalMonths-M536)/totalMonths *(K536-K535)+Q535,0))</f>
        <v>-104400</v>
      </c>
      <c r="R536">
        <f t="shared" si="48"/>
        <v>117280</v>
      </c>
      <c r="S536">
        <f t="shared" si="49"/>
        <v>117280</v>
      </c>
    </row>
    <row r="537" spans="1:19" x14ac:dyDescent="0.25">
      <c r="A537" s="1"/>
      <c r="C537" s="1"/>
      <c r="D537" s="1">
        <v>42010</v>
      </c>
      <c r="E537" s="10">
        <v>7800</v>
      </c>
      <c r="F537" s="1">
        <v>42010</v>
      </c>
      <c r="G537">
        <v>-6679.5</v>
      </c>
      <c r="H537" s="1">
        <f t="shared" si="44"/>
        <v>42010</v>
      </c>
      <c r="I537">
        <f>IF(AND(MyRowHidden(ROW())=FALSE,MyRowHidden(ROW()-1)=TRUE),0,(E537-E536)*unitsOfDHp+I536)</f>
        <v>9380</v>
      </c>
      <c r="J537">
        <f>IF(AND(MyRowHidden(ROW())=FALSE,MyRowHidden(ROW()-1)=TRUE),0,(G537-G536)*unitsOfExo+J536)</f>
        <v>93600</v>
      </c>
      <c r="K537" s="9">
        <f t="shared" si="45"/>
        <v>-93600</v>
      </c>
      <c r="L537">
        <f t="shared" si="46"/>
        <v>102980</v>
      </c>
      <c r="M537">
        <f>IF(AND(MyRowHidden(ROW())=FALSE,MyRowHidden(ROW()-1)=TRUE),0,IF(MONTH(H537)&lt;&gt;MONTH(H536),M536+1,M536))</f>
        <v>0</v>
      </c>
      <c r="N537">
        <f t="shared" si="47"/>
        <v>9380</v>
      </c>
      <c r="O537">
        <f>IF(AND(MyRowHidden(ROW())=FALSE,MyRowHidden(ROW()-1)=TRUE),0,IF(M537&lt;totalMonths,(totalMonths-M537)/totalMonths *(I537-I536)+O536,0))</f>
        <v>9380</v>
      </c>
      <c r="P537">
        <f>IF(AND(MyRowHidden(ROW())=FALSE,MyRowHidden(ROW()-1)=TRUE),0,IF(M537&lt;totalMonths,(totalMonths-M537)/totalMonths *(J537-J536)+P536,0))</f>
        <v>93600</v>
      </c>
      <c r="Q537">
        <f>IF(AND(MyRowHidden(ROW())=FALSE,MyRowHidden(ROW()-1)=TRUE),0,IF(M537&lt;totalMonths,(totalMonths-M537)/totalMonths *(K537-K536)+Q536,0))</f>
        <v>-93600</v>
      </c>
      <c r="R537">
        <f t="shared" si="48"/>
        <v>102980</v>
      </c>
      <c r="S537">
        <f t="shared" si="49"/>
        <v>102980</v>
      </c>
    </row>
    <row r="538" spans="1:19" x14ac:dyDescent="0.25">
      <c r="A538" s="1"/>
      <c r="C538" s="1"/>
      <c r="D538" s="1">
        <v>42011</v>
      </c>
      <c r="E538" s="10">
        <v>6864</v>
      </c>
      <c r="F538" s="1">
        <v>42011</v>
      </c>
      <c r="G538">
        <v>-7092</v>
      </c>
      <c r="H538" s="1">
        <f t="shared" si="44"/>
        <v>42011</v>
      </c>
      <c r="I538">
        <f>IF(AND(MyRowHidden(ROW())=FALSE,MyRowHidden(ROW()-1)=TRUE),0,(E538-E537)*unitsOfDHp+I537)</f>
        <v>-23380</v>
      </c>
      <c r="J538">
        <f>IF(AND(MyRowHidden(ROW())=FALSE,MyRowHidden(ROW()-1)=TRUE),0,(G538-G537)*unitsOfExo+J537)</f>
        <v>-25200</v>
      </c>
      <c r="K538" s="9">
        <f t="shared" si="45"/>
        <v>25200</v>
      </c>
      <c r="L538">
        <f t="shared" si="46"/>
        <v>-48580</v>
      </c>
      <c r="M538">
        <f>IF(AND(MyRowHidden(ROW())=FALSE,MyRowHidden(ROW()-1)=TRUE),0,IF(MONTH(H538)&lt;&gt;MONTH(H537),M537+1,M537))</f>
        <v>0</v>
      </c>
      <c r="N538">
        <f t="shared" si="47"/>
        <v>-23380</v>
      </c>
      <c r="O538">
        <f>IF(AND(MyRowHidden(ROW())=FALSE,MyRowHidden(ROW()-1)=TRUE),0,IF(M538&lt;totalMonths,(totalMonths-M538)/totalMonths *(I538-I537)+O537,0))</f>
        <v>-23380</v>
      </c>
      <c r="P538">
        <f>IF(AND(MyRowHidden(ROW())=FALSE,MyRowHidden(ROW()-1)=TRUE),0,IF(M538&lt;totalMonths,(totalMonths-M538)/totalMonths *(J538-J537)+P537,0))</f>
        <v>-25200</v>
      </c>
      <c r="Q538">
        <f>IF(AND(MyRowHidden(ROW())=FALSE,MyRowHidden(ROW()-1)=TRUE),0,IF(M538&lt;totalMonths,(totalMonths-M538)/totalMonths *(K538-K537)+Q537,0))</f>
        <v>25200</v>
      </c>
      <c r="R538">
        <f t="shared" si="48"/>
        <v>-48580</v>
      </c>
      <c r="S538">
        <f t="shared" si="49"/>
        <v>-48580</v>
      </c>
    </row>
    <row r="539" spans="1:19" x14ac:dyDescent="0.25">
      <c r="A539" s="1"/>
      <c r="C539" s="1"/>
      <c r="D539" s="1">
        <v>42012</v>
      </c>
      <c r="E539" s="10">
        <v>6664</v>
      </c>
      <c r="F539" s="1">
        <v>42012</v>
      </c>
      <c r="G539">
        <v>-7192</v>
      </c>
      <c r="H539" s="1">
        <f t="shared" si="44"/>
        <v>42012</v>
      </c>
      <c r="I539">
        <f>IF(AND(MyRowHidden(ROW())=FALSE,MyRowHidden(ROW()-1)=TRUE),0,(E539-E538)*unitsOfDHp+I538)</f>
        <v>-30380</v>
      </c>
      <c r="J539">
        <f>IF(AND(MyRowHidden(ROW())=FALSE,MyRowHidden(ROW()-1)=TRUE),0,(G539-G538)*unitsOfExo+J538)</f>
        <v>-54000</v>
      </c>
      <c r="K539" s="9">
        <f t="shared" si="45"/>
        <v>54000</v>
      </c>
      <c r="L539">
        <f t="shared" si="46"/>
        <v>-84380</v>
      </c>
      <c r="M539">
        <f>IF(AND(MyRowHidden(ROW())=FALSE,MyRowHidden(ROW()-1)=TRUE),0,IF(MONTH(H539)&lt;&gt;MONTH(H538),M538+1,M538))</f>
        <v>0</v>
      </c>
      <c r="N539">
        <f t="shared" si="47"/>
        <v>-30380</v>
      </c>
      <c r="O539">
        <f>IF(AND(MyRowHidden(ROW())=FALSE,MyRowHidden(ROW()-1)=TRUE),0,IF(M539&lt;totalMonths,(totalMonths-M539)/totalMonths *(I539-I538)+O538,0))</f>
        <v>-30380</v>
      </c>
      <c r="P539">
        <f>IF(AND(MyRowHidden(ROW())=FALSE,MyRowHidden(ROW()-1)=TRUE),0,IF(M539&lt;totalMonths,(totalMonths-M539)/totalMonths *(J539-J538)+P538,0))</f>
        <v>-54000</v>
      </c>
      <c r="Q539">
        <f>IF(AND(MyRowHidden(ROW())=FALSE,MyRowHidden(ROW()-1)=TRUE),0,IF(M539&lt;totalMonths,(totalMonths-M539)/totalMonths *(K539-K538)+Q538,0))</f>
        <v>54000</v>
      </c>
      <c r="R539">
        <f t="shared" si="48"/>
        <v>-84380</v>
      </c>
      <c r="S539">
        <f t="shared" si="49"/>
        <v>-84380</v>
      </c>
    </row>
    <row r="540" spans="1:19" x14ac:dyDescent="0.25">
      <c r="A540" s="1"/>
      <c r="C540" s="1"/>
      <c r="D540" s="1">
        <v>42013</v>
      </c>
      <c r="E540" s="10">
        <v>6416</v>
      </c>
      <c r="F540" s="1">
        <v>42013</v>
      </c>
      <c r="G540">
        <v>-6879.5</v>
      </c>
      <c r="H540" s="1">
        <f t="shared" si="44"/>
        <v>42013</v>
      </c>
      <c r="I540">
        <f>IF(AND(MyRowHidden(ROW())=FALSE,MyRowHidden(ROW()-1)=TRUE),0,(E540-E539)*unitsOfDHp+I539)</f>
        <v>-39060</v>
      </c>
      <c r="J540">
        <f>IF(AND(MyRowHidden(ROW())=FALSE,MyRowHidden(ROW()-1)=TRUE),0,(G540-G539)*unitsOfExo+J539)</f>
        <v>36000</v>
      </c>
      <c r="K540" s="9">
        <f t="shared" si="45"/>
        <v>-36000</v>
      </c>
      <c r="L540">
        <f t="shared" si="46"/>
        <v>-3060</v>
      </c>
      <c r="M540">
        <f>IF(AND(MyRowHidden(ROW())=FALSE,MyRowHidden(ROW()-1)=TRUE),0,IF(MONTH(H540)&lt;&gt;MONTH(H539),M539+1,M539))</f>
        <v>0</v>
      </c>
      <c r="N540">
        <f t="shared" si="47"/>
        <v>-39060</v>
      </c>
      <c r="O540">
        <f>IF(AND(MyRowHidden(ROW())=FALSE,MyRowHidden(ROW()-1)=TRUE),0,IF(M540&lt;totalMonths,(totalMonths-M540)/totalMonths *(I540-I539)+O539,0))</f>
        <v>-39060</v>
      </c>
      <c r="P540">
        <f>IF(AND(MyRowHidden(ROW())=FALSE,MyRowHidden(ROW()-1)=TRUE),0,IF(M540&lt;totalMonths,(totalMonths-M540)/totalMonths *(J540-J539)+P539,0))</f>
        <v>36000</v>
      </c>
      <c r="Q540">
        <f>IF(AND(MyRowHidden(ROW())=FALSE,MyRowHidden(ROW()-1)=TRUE),0,IF(M540&lt;totalMonths,(totalMonths-M540)/totalMonths *(K540-K539)+Q539,0))</f>
        <v>-36000</v>
      </c>
      <c r="R540">
        <f t="shared" si="48"/>
        <v>-3060</v>
      </c>
      <c r="S540">
        <f t="shared" si="49"/>
        <v>-3060</v>
      </c>
    </row>
    <row r="541" spans="1:19" x14ac:dyDescent="0.25">
      <c r="A541" s="1"/>
      <c r="C541" s="1"/>
      <c r="D541" s="1">
        <v>42016</v>
      </c>
      <c r="E541" s="10">
        <v>6455</v>
      </c>
      <c r="F541" s="1">
        <v>42016</v>
      </c>
      <c r="G541">
        <v>-6779.5</v>
      </c>
      <c r="H541" s="1">
        <f t="shared" si="44"/>
        <v>42016</v>
      </c>
      <c r="I541">
        <f>IF(AND(MyRowHidden(ROW())=FALSE,MyRowHidden(ROW()-1)=TRUE),0,(E541-E540)*unitsOfDHp+I540)</f>
        <v>-37695</v>
      </c>
      <c r="J541">
        <f>IF(AND(MyRowHidden(ROW())=FALSE,MyRowHidden(ROW()-1)=TRUE),0,(G541-G540)*unitsOfExo+J540)</f>
        <v>64800</v>
      </c>
      <c r="K541" s="9">
        <f t="shared" si="45"/>
        <v>-64800</v>
      </c>
      <c r="L541">
        <f t="shared" si="46"/>
        <v>27105</v>
      </c>
      <c r="M541">
        <f>IF(AND(MyRowHidden(ROW())=FALSE,MyRowHidden(ROW()-1)=TRUE),0,IF(MONTH(H541)&lt;&gt;MONTH(H540),M540+1,M540))</f>
        <v>0</v>
      </c>
      <c r="N541">
        <f t="shared" si="47"/>
        <v>-37695</v>
      </c>
      <c r="O541">
        <f>IF(AND(MyRowHidden(ROW())=FALSE,MyRowHidden(ROW()-1)=TRUE),0,IF(M541&lt;totalMonths,(totalMonths-M541)/totalMonths *(I541-I540)+O540,0))</f>
        <v>-37695</v>
      </c>
      <c r="P541">
        <f>IF(AND(MyRowHidden(ROW())=FALSE,MyRowHidden(ROW()-1)=TRUE),0,IF(M541&lt;totalMonths,(totalMonths-M541)/totalMonths *(J541-J540)+P540,0))</f>
        <v>64800</v>
      </c>
      <c r="Q541">
        <f>IF(AND(MyRowHidden(ROW())=FALSE,MyRowHidden(ROW()-1)=TRUE),0,IF(M541&lt;totalMonths,(totalMonths-M541)/totalMonths *(K541-K540)+Q540,0))</f>
        <v>-64800</v>
      </c>
      <c r="R541">
        <f t="shared" si="48"/>
        <v>27105</v>
      </c>
      <c r="S541">
        <f t="shared" si="49"/>
        <v>27105</v>
      </c>
    </row>
    <row r="542" spans="1:19" x14ac:dyDescent="0.25">
      <c r="A542" s="1"/>
      <c r="C542" s="1"/>
      <c r="D542" s="1">
        <v>42017</v>
      </c>
      <c r="E542" s="10">
        <v>6226</v>
      </c>
      <c r="F542" s="1">
        <v>42017</v>
      </c>
      <c r="G542">
        <v>-7604.5</v>
      </c>
      <c r="H542" s="1">
        <f t="shared" si="44"/>
        <v>42017</v>
      </c>
      <c r="I542">
        <f>IF(AND(MyRowHidden(ROW())=FALSE,MyRowHidden(ROW()-1)=TRUE),0,(E542-E541)*unitsOfDHp+I541)</f>
        <v>-45710</v>
      </c>
      <c r="J542">
        <f>IF(AND(MyRowHidden(ROW())=FALSE,MyRowHidden(ROW()-1)=TRUE),0,(G542-G541)*unitsOfExo+J541)</f>
        <v>-172800</v>
      </c>
      <c r="K542" s="9">
        <f t="shared" si="45"/>
        <v>172800</v>
      </c>
      <c r="L542">
        <f t="shared" si="46"/>
        <v>-218510</v>
      </c>
      <c r="M542">
        <f>IF(AND(MyRowHidden(ROW())=FALSE,MyRowHidden(ROW()-1)=TRUE),0,IF(MONTH(H542)&lt;&gt;MONTH(H541),M541+1,M541))</f>
        <v>0</v>
      </c>
      <c r="N542">
        <f t="shared" si="47"/>
        <v>-45710</v>
      </c>
      <c r="O542">
        <f>IF(AND(MyRowHidden(ROW())=FALSE,MyRowHidden(ROW()-1)=TRUE),0,IF(M542&lt;totalMonths,(totalMonths-M542)/totalMonths *(I542-I541)+O541,0))</f>
        <v>-45710</v>
      </c>
      <c r="P542">
        <f>IF(AND(MyRowHidden(ROW())=FALSE,MyRowHidden(ROW()-1)=TRUE),0,IF(M542&lt;totalMonths,(totalMonths-M542)/totalMonths *(J542-J541)+P541,0))</f>
        <v>-172800</v>
      </c>
      <c r="Q542">
        <f>IF(AND(MyRowHidden(ROW())=FALSE,MyRowHidden(ROW()-1)=TRUE),0,IF(M542&lt;totalMonths,(totalMonths-M542)/totalMonths *(K542-K541)+Q541,0))</f>
        <v>172800</v>
      </c>
      <c r="R542">
        <f t="shared" si="48"/>
        <v>-218510</v>
      </c>
      <c r="S542">
        <f t="shared" si="49"/>
        <v>-218510</v>
      </c>
    </row>
    <row r="543" spans="1:19" x14ac:dyDescent="0.25">
      <c r="A543" s="1"/>
      <c r="C543" s="1"/>
      <c r="D543" s="1">
        <v>42018</v>
      </c>
      <c r="E543" s="10">
        <v>6968</v>
      </c>
      <c r="F543" s="1">
        <v>42018</v>
      </c>
      <c r="G543">
        <v>-7929.5</v>
      </c>
      <c r="H543" s="1">
        <f t="shared" si="44"/>
        <v>42018</v>
      </c>
      <c r="I543">
        <f>IF(AND(MyRowHidden(ROW())=FALSE,MyRowHidden(ROW()-1)=TRUE),0,(E543-E542)*unitsOfDHp+I542)</f>
        <v>-19740</v>
      </c>
      <c r="J543">
        <f>IF(AND(MyRowHidden(ROW())=FALSE,MyRowHidden(ROW()-1)=TRUE),0,(G543-G542)*unitsOfExo+J542)</f>
        <v>-266400</v>
      </c>
      <c r="K543" s="9">
        <f t="shared" si="45"/>
        <v>266400</v>
      </c>
      <c r="L543">
        <f t="shared" si="46"/>
        <v>-286140</v>
      </c>
      <c r="M543">
        <f>IF(AND(MyRowHidden(ROW())=FALSE,MyRowHidden(ROW()-1)=TRUE),0,IF(MONTH(H543)&lt;&gt;MONTH(H542),M542+1,M542))</f>
        <v>0</v>
      </c>
      <c r="N543">
        <f t="shared" si="47"/>
        <v>-19740</v>
      </c>
      <c r="O543">
        <f>IF(AND(MyRowHidden(ROW())=FALSE,MyRowHidden(ROW()-1)=TRUE),0,IF(M543&lt;totalMonths,(totalMonths-M543)/totalMonths *(I543-I542)+O542,0))</f>
        <v>-19740</v>
      </c>
      <c r="P543">
        <f>IF(AND(MyRowHidden(ROW())=FALSE,MyRowHidden(ROW()-1)=TRUE),0,IF(M543&lt;totalMonths,(totalMonths-M543)/totalMonths *(J543-J542)+P542,0))</f>
        <v>-266400</v>
      </c>
      <c r="Q543">
        <f>IF(AND(MyRowHidden(ROW())=FALSE,MyRowHidden(ROW()-1)=TRUE),0,IF(M543&lt;totalMonths,(totalMonths-M543)/totalMonths *(K543-K542)+Q542,0))</f>
        <v>266400</v>
      </c>
      <c r="R543">
        <f t="shared" si="48"/>
        <v>-286140</v>
      </c>
      <c r="S543">
        <f t="shared" si="49"/>
        <v>-286140</v>
      </c>
    </row>
    <row r="544" spans="1:19" x14ac:dyDescent="0.25">
      <c r="A544" s="1"/>
      <c r="C544" s="1"/>
      <c r="D544" s="1">
        <v>42019</v>
      </c>
      <c r="E544" s="10">
        <v>6880</v>
      </c>
      <c r="F544" s="1">
        <v>42019</v>
      </c>
      <c r="G544">
        <v>-8004.5</v>
      </c>
      <c r="H544" s="1">
        <f t="shared" si="44"/>
        <v>42019</v>
      </c>
      <c r="I544">
        <f>IF(AND(MyRowHidden(ROW())=FALSE,MyRowHidden(ROW()-1)=TRUE),0,(E544-E543)*unitsOfDHp+I543)</f>
        <v>-22820</v>
      </c>
      <c r="J544">
        <f>IF(AND(MyRowHidden(ROW())=FALSE,MyRowHidden(ROW()-1)=TRUE),0,(G544-G543)*unitsOfExo+J543)</f>
        <v>-288000</v>
      </c>
      <c r="K544" s="9">
        <f t="shared" si="45"/>
        <v>288000</v>
      </c>
      <c r="L544">
        <f t="shared" si="46"/>
        <v>-310820</v>
      </c>
      <c r="M544">
        <f>IF(AND(MyRowHidden(ROW())=FALSE,MyRowHidden(ROW()-1)=TRUE),0,IF(MONTH(H544)&lt;&gt;MONTH(H543),M543+1,M543))</f>
        <v>0</v>
      </c>
      <c r="N544">
        <f t="shared" si="47"/>
        <v>-22820</v>
      </c>
      <c r="O544">
        <f>IF(AND(MyRowHidden(ROW())=FALSE,MyRowHidden(ROW()-1)=TRUE),0,IF(M544&lt;totalMonths,(totalMonths-M544)/totalMonths *(I544-I543)+O543,0))</f>
        <v>-22820</v>
      </c>
      <c r="P544">
        <f>IF(AND(MyRowHidden(ROW())=FALSE,MyRowHidden(ROW()-1)=TRUE),0,IF(M544&lt;totalMonths,(totalMonths-M544)/totalMonths *(J544-J543)+P543,0))</f>
        <v>-288000</v>
      </c>
      <c r="Q544">
        <f>IF(AND(MyRowHidden(ROW())=FALSE,MyRowHidden(ROW()-1)=TRUE),0,IF(M544&lt;totalMonths,(totalMonths-M544)/totalMonths *(K544-K543)+Q543,0))</f>
        <v>288000</v>
      </c>
      <c r="R544">
        <f t="shared" si="48"/>
        <v>-310820</v>
      </c>
      <c r="S544">
        <f t="shared" si="49"/>
        <v>-310820</v>
      </c>
    </row>
    <row r="545" spans="1:19" x14ac:dyDescent="0.25">
      <c r="A545" s="1"/>
      <c r="C545" s="1"/>
      <c r="D545" s="1">
        <v>42020</v>
      </c>
      <c r="E545" s="10">
        <v>6782</v>
      </c>
      <c r="F545" s="1">
        <v>42020</v>
      </c>
      <c r="G545">
        <v>-7567</v>
      </c>
      <c r="H545" s="1">
        <f t="shared" si="44"/>
        <v>42020</v>
      </c>
      <c r="I545">
        <f>IF(AND(MyRowHidden(ROW())=FALSE,MyRowHidden(ROW()-1)=TRUE),0,(E545-E544)*unitsOfDHp+I544)</f>
        <v>-26250</v>
      </c>
      <c r="J545">
        <f>IF(AND(MyRowHidden(ROW())=FALSE,MyRowHidden(ROW()-1)=TRUE),0,(G545-G544)*unitsOfExo+J544)</f>
        <v>-162000</v>
      </c>
      <c r="K545" s="9">
        <f t="shared" si="45"/>
        <v>162000</v>
      </c>
      <c r="L545">
        <f t="shared" si="46"/>
        <v>-188250</v>
      </c>
      <c r="M545">
        <f>IF(AND(MyRowHidden(ROW())=FALSE,MyRowHidden(ROW()-1)=TRUE),0,IF(MONTH(H545)&lt;&gt;MONTH(H544),M544+1,M544))</f>
        <v>0</v>
      </c>
      <c r="N545">
        <f t="shared" si="47"/>
        <v>-26250</v>
      </c>
      <c r="O545">
        <f>IF(AND(MyRowHidden(ROW())=FALSE,MyRowHidden(ROW()-1)=TRUE),0,IF(M545&lt;totalMonths,(totalMonths-M545)/totalMonths *(I545-I544)+O544,0))</f>
        <v>-26250</v>
      </c>
      <c r="P545">
        <f>IF(AND(MyRowHidden(ROW())=FALSE,MyRowHidden(ROW()-1)=TRUE),0,IF(M545&lt;totalMonths,(totalMonths-M545)/totalMonths *(J545-J544)+P544,0))</f>
        <v>-162000</v>
      </c>
      <c r="Q545">
        <f>IF(AND(MyRowHidden(ROW())=FALSE,MyRowHidden(ROW()-1)=TRUE),0,IF(M545&lt;totalMonths,(totalMonths-M545)/totalMonths *(K545-K544)+Q544,0))</f>
        <v>162000</v>
      </c>
      <c r="R545">
        <f t="shared" si="48"/>
        <v>-188250</v>
      </c>
      <c r="S545">
        <f t="shared" si="49"/>
        <v>-188250</v>
      </c>
    </row>
    <row r="546" spans="1:19" x14ac:dyDescent="0.25">
      <c r="A546" s="1"/>
      <c r="C546" s="1"/>
      <c r="D546" s="1">
        <v>42023</v>
      </c>
      <c r="E546" s="10">
        <v>6894</v>
      </c>
      <c r="F546" s="1">
        <v>42023</v>
      </c>
      <c r="G546">
        <v>-7567</v>
      </c>
      <c r="H546" s="1">
        <f t="shared" si="44"/>
        <v>42023</v>
      </c>
      <c r="I546">
        <f>IF(AND(MyRowHidden(ROW())=FALSE,MyRowHidden(ROW()-1)=TRUE),0,(E546-E545)*unitsOfDHp+I545)</f>
        <v>-22330</v>
      </c>
      <c r="J546">
        <f>IF(AND(MyRowHidden(ROW())=FALSE,MyRowHidden(ROW()-1)=TRUE),0,(G546-G545)*unitsOfExo+J545)</f>
        <v>-162000</v>
      </c>
      <c r="K546" s="9">
        <f t="shared" si="45"/>
        <v>162000</v>
      </c>
      <c r="L546">
        <f t="shared" si="46"/>
        <v>-184330</v>
      </c>
      <c r="M546">
        <f>IF(AND(MyRowHidden(ROW())=FALSE,MyRowHidden(ROW()-1)=TRUE),0,IF(MONTH(H546)&lt;&gt;MONTH(H545),M545+1,M545))</f>
        <v>0</v>
      </c>
      <c r="N546">
        <f t="shared" si="47"/>
        <v>-22330</v>
      </c>
      <c r="O546">
        <f>IF(AND(MyRowHidden(ROW())=FALSE,MyRowHidden(ROW()-1)=TRUE),0,IF(M546&lt;totalMonths,(totalMonths-M546)/totalMonths *(I546-I545)+O545,0))</f>
        <v>-22330</v>
      </c>
      <c r="P546">
        <f>IF(AND(MyRowHidden(ROW())=FALSE,MyRowHidden(ROW()-1)=TRUE),0,IF(M546&lt;totalMonths,(totalMonths-M546)/totalMonths *(J546-J545)+P545,0))</f>
        <v>-162000</v>
      </c>
      <c r="Q546">
        <f>IF(AND(MyRowHidden(ROW())=FALSE,MyRowHidden(ROW()-1)=TRUE),0,IF(M546&lt;totalMonths,(totalMonths-M546)/totalMonths *(K546-K545)+Q545,0))</f>
        <v>162000</v>
      </c>
      <c r="R546">
        <f t="shared" si="48"/>
        <v>-184330</v>
      </c>
      <c r="S546">
        <f t="shared" si="49"/>
        <v>-184330</v>
      </c>
    </row>
    <row r="547" spans="1:19" x14ac:dyDescent="0.25">
      <c r="A547" s="1"/>
      <c r="C547" s="1"/>
      <c r="D547" s="1">
        <v>42024</v>
      </c>
      <c r="E547" s="10">
        <v>6797</v>
      </c>
      <c r="F547" s="1">
        <v>42024</v>
      </c>
      <c r="G547">
        <v>-7442</v>
      </c>
      <c r="H547" s="1">
        <f t="shared" si="44"/>
        <v>42024</v>
      </c>
      <c r="I547">
        <f>IF(AND(MyRowHidden(ROW())=FALSE,MyRowHidden(ROW()-1)=TRUE),0,(E547-E546)*unitsOfDHp+I546)</f>
        <v>-25725</v>
      </c>
      <c r="J547">
        <f>IF(AND(MyRowHidden(ROW())=FALSE,MyRowHidden(ROW()-1)=TRUE),0,(G547-G546)*unitsOfExo+J546)</f>
        <v>-126000</v>
      </c>
      <c r="K547" s="9">
        <f t="shared" si="45"/>
        <v>126000</v>
      </c>
      <c r="L547">
        <f t="shared" si="46"/>
        <v>-151725</v>
      </c>
      <c r="M547">
        <f>IF(AND(MyRowHidden(ROW())=FALSE,MyRowHidden(ROW()-1)=TRUE),0,IF(MONTH(H547)&lt;&gt;MONTH(H546),M546+1,M546))</f>
        <v>0</v>
      </c>
      <c r="N547">
        <f t="shared" si="47"/>
        <v>-25725</v>
      </c>
      <c r="O547">
        <f>IF(AND(MyRowHidden(ROW())=FALSE,MyRowHidden(ROW()-1)=TRUE),0,IF(M547&lt;totalMonths,(totalMonths-M547)/totalMonths *(I547-I546)+O546,0))</f>
        <v>-25725</v>
      </c>
      <c r="P547">
        <f>IF(AND(MyRowHidden(ROW())=FALSE,MyRowHidden(ROW()-1)=TRUE),0,IF(M547&lt;totalMonths,(totalMonths-M547)/totalMonths *(J547-J546)+P546,0))</f>
        <v>-126000</v>
      </c>
      <c r="Q547">
        <f>IF(AND(MyRowHidden(ROW())=FALSE,MyRowHidden(ROW()-1)=TRUE),0,IF(M547&lt;totalMonths,(totalMonths-M547)/totalMonths *(K547-K546)+Q546,0))</f>
        <v>126000</v>
      </c>
      <c r="R547">
        <f t="shared" si="48"/>
        <v>-151725</v>
      </c>
      <c r="S547">
        <f t="shared" si="49"/>
        <v>-151725</v>
      </c>
    </row>
    <row r="548" spans="1:19" x14ac:dyDescent="0.25">
      <c r="A548" s="1"/>
      <c r="C548" s="1"/>
      <c r="D548" s="1">
        <v>42025</v>
      </c>
      <c r="E548" s="10">
        <v>6525</v>
      </c>
      <c r="F548" s="1">
        <v>42025</v>
      </c>
      <c r="G548">
        <v>-7529.5</v>
      </c>
      <c r="H548" s="1">
        <f t="shared" si="44"/>
        <v>42025</v>
      </c>
      <c r="I548">
        <f>IF(AND(MyRowHidden(ROW())=FALSE,MyRowHidden(ROW()-1)=TRUE),0,(E548-E547)*unitsOfDHp+I547)</f>
        <v>-35245</v>
      </c>
      <c r="J548">
        <f>IF(AND(MyRowHidden(ROW())=FALSE,MyRowHidden(ROW()-1)=TRUE),0,(G548-G547)*unitsOfExo+J547)</f>
        <v>-151200</v>
      </c>
      <c r="K548" s="9">
        <f t="shared" si="45"/>
        <v>151200</v>
      </c>
      <c r="L548">
        <f t="shared" si="46"/>
        <v>-186445</v>
      </c>
      <c r="M548">
        <f>IF(AND(MyRowHidden(ROW())=FALSE,MyRowHidden(ROW()-1)=TRUE),0,IF(MONTH(H548)&lt;&gt;MONTH(H547),M547+1,M547))</f>
        <v>0</v>
      </c>
      <c r="N548">
        <f t="shared" si="47"/>
        <v>-35245</v>
      </c>
      <c r="O548">
        <f>IF(AND(MyRowHidden(ROW())=FALSE,MyRowHidden(ROW()-1)=TRUE),0,IF(M548&lt;totalMonths,(totalMonths-M548)/totalMonths *(I548-I547)+O547,0))</f>
        <v>-35245</v>
      </c>
      <c r="P548">
        <f>IF(AND(MyRowHidden(ROW())=FALSE,MyRowHidden(ROW()-1)=TRUE),0,IF(M548&lt;totalMonths,(totalMonths-M548)/totalMonths *(J548-J547)+P547,0))</f>
        <v>-151200</v>
      </c>
      <c r="Q548">
        <f>IF(AND(MyRowHidden(ROW())=FALSE,MyRowHidden(ROW()-1)=TRUE),0,IF(M548&lt;totalMonths,(totalMonths-M548)/totalMonths *(K548-K547)+Q547,0))</f>
        <v>151200</v>
      </c>
      <c r="R548">
        <f t="shared" si="48"/>
        <v>-186445</v>
      </c>
      <c r="S548">
        <f t="shared" si="49"/>
        <v>-186445</v>
      </c>
    </row>
    <row r="549" spans="1:19" x14ac:dyDescent="0.25">
      <c r="A549" s="1"/>
      <c r="C549" s="1"/>
      <c r="D549" s="1">
        <v>42026</v>
      </c>
      <c r="E549" s="10">
        <v>6087</v>
      </c>
      <c r="F549" s="1">
        <v>42026</v>
      </c>
      <c r="G549">
        <v>-7729.5</v>
      </c>
      <c r="H549" s="1">
        <f t="shared" si="44"/>
        <v>42026</v>
      </c>
      <c r="I549">
        <f>IF(AND(MyRowHidden(ROW())=FALSE,MyRowHidden(ROW()-1)=TRUE),0,(E549-E548)*unitsOfDHp+I548)</f>
        <v>-50575</v>
      </c>
      <c r="J549">
        <f>IF(AND(MyRowHidden(ROW())=FALSE,MyRowHidden(ROW()-1)=TRUE),0,(G549-G548)*unitsOfExo+J548)</f>
        <v>-208800</v>
      </c>
      <c r="K549" s="9">
        <f t="shared" si="45"/>
        <v>208800</v>
      </c>
      <c r="L549">
        <f t="shared" si="46"/>
        <v>-259375</v>
      </c>
      <c r="M549">
        <f>IF(AND(MyRowHidden(ROW())=FALSE,MyRowHidden(ROW()-1)=TRUE),0,IF(MONTH(H549)&lt;&gt;MONTH(H548),M548+1,M548))</f>
        <v>0</v>
      </c>
      <c r="N549">
        <f t="shared" si="47"/>
        <v>-50575</v>
      </c>
      <c r="O549">
        <f>IF(AND(MyRowHidden(ROW())=FALSE,MyRowHidden(ROW()-1)=TRUE),0,IF(M549&lt;totalMonths,(totalMonths-M549)/totalMonths *(I549-I548)+O548,0))</f>
        <v>-50575</v>
      </c>
      <c r="P549">
        <f>IF(AND(MyRowHidden(ROW())=FALSE,MyRowHidden(ROW()-1)=TRUE),0,IF(M549&lt;totalMonths,(totalMonths-M549)/totalMonths *(J549-J548)+P548,0))</f>
        <v>-208800</v>
      </c>
      <c r="Q549">
        <f>IF(AND(MyRowHidden(ROW())=FALSE,MyRowHidden(ROW()-1)=TRUE),0,IF(M549&lt;totalMonths,(totalMonths-M549)/totalMonths *(K549-K548)+Q548,0))</f>
        <v>208800</v>
      </c>
      <c r="R549">
        <f t="shared" si="48"/>
        <v>-259375</v>
      </c>
      <c r="S549">
        <f t="shared" si="49"/>
        <v>-259375</v>
      </c>
    </row>
    <row r="550" spans="1:19" x14ac:dyDescent="0.25">
      <c r="A550" s="1"/>
      <c r="C550" s="1"/>
      <c r="D550" s="1">
        <v>42027</v>
      </c>
      <c r="E550" s="10">
        <v>6074</v>
      </c>
      <c r="F550" s="1">
        <v>42027</v>
      </c>
      <c r="G550">
        <v>-7642</v>
      </c>
      <c r="H550" s="1">
        <f t="shared" si="44"/>
        <v>42027</v>
      </c>
      <c r="I550">
        <f>IF(AND(MyRowHidden(ROW())=FALSE,MyRowHidden(ROW()-1)=TRUE),0,(E550-E549)*unitsOfDHp+I549)</f>
        <v>-51030</v>
      </c>
      <c r="J550">
        <f>IF(AND(MyRowHidden(ROW())=FALSE,MyRowHidden(ROW()-1)=TRUE),0,(G550-G549)*unitsOfExo+J549)</f>
        <v>-183600</v>
      </c>
      <c r="K550" s="9">
        <f t="shared" si="45"/>
        <v>183600</v>
      </c>
      <c r="L550">
        <f t="shared" si="46"/>
        <v>-234630</v>
      </c>
      <c r="M550">
        <f>IF(AND(MyRowHidden(ROW())=FALSE,MyRowHidden(ROW()-1)=TRUE),0,IF(MONTH(H550)&lt;&gt;MONTH(H549),M549+1,M549))</f>
        <v>0</v>
      </c>
      <c r="N550">
        <f t="shared" si="47"/>
        <v>-51030</v>
      </c>
      <c r="O550">
        <f>IF(AND(MyRowHidden(ROW())=FALSE,MyRowHidden(ROW()-1)=TRUE),0,IF(M550&lt;totalMonths,(totalMonths-M550)/totalMonths *(I550-I549)+O549,0))</f>
        <v>-51030</v>
      </c>
      <c r="P550">
        <f>IF(AND(MyRowHidden(ROW())=FALSE,MyRowHidden(ROW()-1)=TRUE),0,IF(M550&lt;totalMonths,(totalMonths-M550)/totalMonths *(J550-J549)+P549,0))</f>
        <v>-183600</v>
      </c>
      <c r="Q550">
        <f>IF(AND(MyRowHidden(ROW())=FALSE,MyRowHidden(ROW()-1)=TRUE),0,IF(M550&lt;totalMonths,(totalMonths-M550)/totalMonths *(K550-K549)+Q549,0))</f>
        <v>183600</v>
      </c>
      <c r="R550">
        <f t="shared" si="48"/>
        <v>-234630</v>
      </c>
      <c r="S550">
        <f t="shared" si="49"/>
        <v>-234630</v>
      </c>
    </row>
    <row r="551" spans="1:19" x14ac:dyDescent="0.25">
      <c r="A551" s="1"/>
      <c r="C551" s="1"/>
      <c r="D551" s="1">
        <v>42030</v>
      </c>
      <c r="E551" s="10">
        <v>6186</v>
      </c>
      <c r="F551" s="1">
        <v>42030</v>
      </c>
      <c r="G551">
        <v>-7692</v>
      </c>
      <c r="H551" s="1">
        <f t="shared" si="44"/>
        <v>42030</v>
      </c>
      <c r="I551">
        <f>IF(AND(MyRowHidden(ROW())=FALSE,MyRowHidden(ROW()-1)=TRUE),0,(E551-E550)*unitsOfDHp+I550)</f>
        <v>-47110</v>
      </c>
      <c r="J551">
        <f>IF(AND(MyRowHidden(ROW())=FALSE,MyRowHidden(ROW()-1)=TRUE),0,(G551-G550)*unitsOfExo+J550)</f>
        <v>-198000</v>
      </c>
      <c r="K551" s="9">
        <f t="shared" si="45"/>
        <v>198000</v>
      </c>
      <c r="L551">
        <f t="shared" si="46"/>
        <v>-245110</v>
      </c>
      <c r="M551">
        <f>IF(AND(MyRowHidden(ROW())=FALSE,MyRowHidden(ROW()-1)=TRUE),0,IF(MONTH(H551)&lt;&gt;MONTH(H550),M550+1,M550))</f>
        <v>0</v>
      </c>
      <c r="N551">
        <f t="shared" si="47"/>
        <v>-47110</v>
      </c>
      <c r="O551">
        <f>IF(AND(MyRowHidden(ROW())=FALSE,MyRowHidden(ROW()-1)=TRUE),0,IF(M551&lt;totalMonths,(totalMonths-M551)/totalMonths *(I551-I550)+O550,0))</f>
        <v>-47110</v>
      </c>
      <c r="P551">
        <f>IF(AND(MyRowHidden(ROW())=FALSE,MyRowHidden(ROW()-1)=TRUE),0,IF(M551&lt;totalMonths,(totalMonths-M551)/totalMonths *(J551-J550)+P550,0))</f>
        <v>-198000</v>
      </c>
      <c r="Q551">
        <f>IF(AND(MyRowHidden(ROW())=FALSE,MyRowHidden(ROW()-1)=TRUE),0,IF(M551&lt;totalMonths,(totalMonths-M551)/totalMonths *(K551-K550)+Q550,0))</f>
        <v>198000</v>
      </c>
      <c r="R551">
        <f t="shared" si="48"/>
        <v>-245110</v>
      </c>
      <c r="S551">
        <f t="shared" si="49"/>
        <v>-245110</v>
      </c>
    </row>
    <row r="552" spans="1:19" x14ac:dyDescent="0.25">
      <c r="A552" s="1"/>
      <c r="C552" s="1"/>
      <c r="D552" s="1">
        <v>42031</v>
      </c>
      <c r="E552" s="10">
        <v>6161</v>
      </c>
      <c r="F552" s="1">
        <v>42031</v>
      </c>
      <c r="G552">
        <v>-7779.5</v>
      </c>
      <c r="H552" s="1">
        <f t="shared" si="44"/>
        <v>42031</v>
      </c>
      <c r="I552">
        <f>IF(AND(MyRowHidden(ROW())=FALSE,MyRowHidden(ROW()-1)=TRUE),0,(E552-E551)*unitsOfDHp+I551)</f>
        <v>-47985</v>
      </c>
      <c r="J552">
        <f>IF(AND(MyRowHidden(ROW())=FALSE,MyRowHidden(ROW()-1)=TRUE),0,(G552-G551)*unitsOfExo+J551)</f>
        <v>-223200</v>
      </c>
      <c r="K552" s="9">
        <f t="shared" si="45"/>
        <v>223200</v>
      </c>
      <c r="L552">
        <f t="shared" si="46"/>
        <v>-271185</v>
      </c>
      <c r="M552">
        <f>IF(AND(MyRowHidden(ROW())=FALSE,MyRowHidden(ROW()-1)=TRUE),0,IF(MONTH(H552)&lt;&gt;MONTH(H551),M551+1,M551))</f>
        <v>0</v>
      </c>
      <c r="N552">
        <f t="shared" si="47"/>
        <v>-47985</v>
      </c>
      <c r="O552">
        <f>IF(AND(MyRowHidden(ROW())=FALSE,MyRowHidden(ROW()-1)=TRUE),0,IF(M552&lt;totalMonths,(totalMonths-M552)/totalMonths *(I552-I551)+O551,0))</f>
        <v>-47985</v>
      </c>
      <c r="P552">
        <f>IF(AND(MyRowHidden(ROW())=FALSE,MyRowHidden(ROW()-1)=TRUE),0,IF(M552&lt;totalMonths,(totalMonths-M552)/totalMonths *(J552-J551)+P551,0))</f>
        <v>-223200</v>
      </c>
      <c r="Q552">
        <f>IF(AND(MyRowHidden(ROW())=FALSE,MyRowHidden(ROW()-1)=TRUE),0,IF(M552&lt;totalMonths,(totalMonths-M552)/totalMonths *(K552-K551)+Q551,0))</f>
        <v>223200</v>
      </c>
      <c r="R552">
        <f t="shared" si="48"/>
        <v>-271185</v>
      </c>
      <c r="S552">
        <f t="shared" si="49"/>
        <v>-271185</v>
      </c>
    </row>
    <row r="553" spans="1:19" x14ac:dyDescent="0.25">
      <c r="A553" s="1"/>
      <c r="C553" s="1"/>
      <c r="D553" s="1">
        <v>42032</v>
      </c>
      <c r="E553" s="10">
        <v>6092</v>
      </c>
      <c r="F553" s="1">
        <v>42032</v>
      </c>
      <c r="G553">
        <v>-8104.5</v>
      </c>
      <c r="H553" s="1">
        <f t="shared" si="44"/>
        <v>42032</v>
      </c>
      <c r="I553">
        <f>IF(AND(MyRowHidden(ROW())=FALSE,MyRowHidden(ROW()-1)=TRUE),0,(E553-E552)*unitsOfDHp+I552)</f>
        <v>-50400</v>
      </c>
      <c r="J553">
        <f>IF(AND(MyRowHidden(ROW())=FALSE,MyRowHidden(ROW()-1)=TRUE),0,(G553-G552)*unitsOfExo+J552)</f>
        <v>-316800</v>
      </c>
      <c r="K553" s="9">
        <f t="shared" si="45"/>
        <v>316800</v>
      </c>
      <c r="L553">
        <f t="shared" si="46"/>
        <v>-367200</v>
      </c>
      <c r="M553">
        <f>IF(AND(MyRowHidden(ROW())=FALSE,MyRowHidden(ROW()-1)=TRUE),0,IF(MONTH(H553)&lt;&gt;MONTH(H552),M552+1,M552))</f>
        <v>0</v>
      </c>
      <c r="N553">
        <f t="shared" si="47"/>
        <v>-50400</v>
      </c>
      <c r="O553">
        <f>IF(AND(MyRowHidden(ROW())=FALSE,MyRowHidden(ROW()-1)=TRUE),0,IF(M553&lt;totalMonths,(totalMonths-M553)/totalMonths *(I553-I552)+O552,0))</f>
        <v>-50400</v>
      </c>
      <c r="P553">
        <f>IF(AND(MyRowHidden(ROW())=FALSE,MyRowHidden(ROW()-1)=TRUE),0,IF(M553&lt;totalMonths,(totalMonths-M553)/totalMonths *(J553-J552)+P552,0))</f>
        <v>-316800</v>
      </c>
      <c r="Q553">
        <f>IF(AND(MyRowHidden(ROW())=FALSE,MyRowHidden(ROW()-1)=TRUE),0,IF(M553&lt;totalMonths,(totalMonths-M553)/totalMonths *(K553-K552)+Q552,0))</f>
        <v>316800</v>
      </c>
      <c r="R553">
        <f t="shared" si="48"/>
        <v>-367200</v>
      </c>
      <c r="S553">
        <f t="shared" si="49"/>
        <v>-367200</v>
      </c>
    </row>
    <row r="554" spans="1:19" x14ac:dyDescent="0.25">
      <c r="A554" s="1"/>
      <c r="C554" s="1"/>
      <c r="D554" s="1">
        <v>42033</v>
      </c>
      <c r="E554" s="10">
        <v>6831</v>
      </c>
      <c r="F554" s="1">
        <v>42033</v>
      </c>
      <c r="G554">
        <v>-8404.5</v>
      </c>
      <c r="H554" s="1">
        <f t="shared" si="44"/>
        <v>42033</v>
      </c>
      <c r="I554">
        <f>IF(AND(MyRowHidden(ROW())=FALSE,MyRowHidden(ROW()-1)=TRUE),0,(E554-E553)*unitsOfDHp+I553)</f>
        <v>-24535</v>
      </c>
      <c r="J554">
        <f>IF(AND(MyRowHidden(ROW())=FALSE,MyRowHidden(ROW()-1)=TRUE),0,(G554-G553)*unitsOfExo+J553)</f>
        <v>-403200</v>
      </c>
      <c r="K554" s="9">
        <f t="shared" si="45"/>
        <v>403200</v>
      </c>
      <c r="L554">
        <f t="shared" si="46"/>
        <v>-427735</v>
      </c>
      <c r="M554">
        <f>IF(AND(MyRowHidden(ROW())=FALSE,MyRowHidden(ROW()-1)=TRUE),0,IF(MONTH(H554)&lt;&gt;MONTH(H553),M553+1,M553))</f>
        <v>0</v>
      </c>
      <c r="N554">
        <f t="shared" si="47"/>
        <v>-24535</v>
      </c>
      <c r="O554">
        <f>IF(AND(MyRowHidden(ROW())=FALSE,MyRowHidden(ROW()-1)=TRUE),0,IF(M554&lt;totalMonths,(totalMonths-M554)/totalMonths *(I554-I553)+O553,0))</f>
        <v>-24535</v>
      </c>
      <c r="P554">
        <f>IF(AND(MyRowHidden(ROW())=FALSE,MyRowHidden(ROW()-1)=TRUE),0,IF(M554&lt;totalMonths,(totalMonths-M554)/totalMonths *(J554-J553)+P553,0))</f>
        <v>-403200</v>
      </c>
      <c r="Q554">
        <f>IF(AND(MyRowHidden(ROW())=FALSE,MyRowHidden(ROW()-1)=TRUE),0,IF(M554&lt;totalMonths,(totalMonths-M554)/totalMonths *(K554-K553)+Q553,0))</f>
        <v>403200</v>
      </c>
      <c r="R554">
        <f t="shared" si="48"/>
        <v>-427735</v>
      </c>
      <c r="S554">
        <f t="shared" si="49"/>
        <v>-427735</v>
      </c>
    </row>
    <row r="555" spans="1:19" x14ac:dyDescent="0.25">
      <c r="A555" s="1"/>
      <c r="C555" s="1"/>
      <c r="D555" s="1">
        <v>42034</v>
      </c>
      <c r="E555" s="10">
        <v>6931</v>
      </c>
      <c r="F555" s="1">
        <v>42034</v>
      </c>
      <c r="G555">
        <v>-8417</v>
      </c>
      <c r="H555" s="1">
        <f t="shared" si="44"/>
        <v>42034</v>
      </c>
      <c r="I555">
        <f>IF(AND(MyRowHidden(ROW())=FALSE,MyRowHidden(ROW()-1)=TRUE),0,(E555-E554)*unitsOfDHp+I554)</f>
        <v>-21035</v>
      </c>
      <c r="J555">
        <f>IF(AND(MyRowHidden(ROW())=FALSE,MyRowHidden(ROW()-1)=TRUE),0,(G555-G554)*unitsOfExo+J554)</f>
        <v>-406800</v>
      </c>
      <c r="K555" s="9">
        <f t="shared" si="45"/>
        <v>406800</v>
      </c>
      <c r="L555">
        <f t="shared" si="46"/>
        <v>-427835</v>
      </c>
      <c r="M555">
        <f>IF(AND(MyRowHidden(ROW())=FALSE,MyRowHidden(ROW()-1)=TRUE),0,IF(MONTH(H555)&lt;&gt;MONTH(H554),M554+1,M554))</f>
        <v>0</v>
      </c>
      <c r="N555">
        <f t="shared" si="47"/>
        <v>-21035</v>
      </c>
      <c r="O555">
        <f>IF(AND(MyRowHidden(ROW())=FALSE,MyRowHidden(ROW()-1)=TRUE),0,IF(M555&lt;totalMonths,(totalMonths-M555)/totalMonths *(I555-I554)+O554,0))</f>
        <v>-21035</v>
      </c>
      <c r="P555">
        <f>IF(AND(MyRowHidden(ROW())=FALSE,MyRowHidden(ROW()-1)=TRUE),0,IF(M555&lt;totalMonths,(totalMonths-M555)/totalMonths *(J555-J554)+P554,0))</f>
        <v>-406800</v>
      </c>
      <c r="Q555">
        <f>IF(AND(MyRowHidden(ROW())=FALSE,MyRowHidden(ROW()-1)=TRUE),0,IF(M555&lt;totalMonths,(totalMonths-M555)/totalMonths *(K555-K554)+Q554,0))</f>
        <v>406800</v>
      </c>
      <c r="R555">
        <f t="shared" si="48"/>
        <v>-427835</v>
      </c>
      <c r="S555">
        <f t="shared" si="49"/>
        <v>-427835</v>
      </c>
    </row>
    <row r="556" spans="1:19" x14ac:dyDescent="0.25">
      <c r="A556" s="1"/>
      <c r="C556" s="1"/>
      <c r="D556" s="1">
        <v>42037</v>
      </c>
      <c r="E556" s="10">
        <v>6856</v>
      </c>
      <c r="F556" s="1">
        <v>42037</v>
      </c>
      <c r="G556">
        <v>-8404</v>
      </c>
      <c r="H556" s="1">
        <f t="shared" si="44"/>
        <v>42037</v>
      </c>
      <c r="I556">
        <f>IF(AND(MyRowHidden(ROW())=FALSE,MyRowHidden(ROW()-1)=TRUE),0,(E556-E555)*unitsOfDHp+I555)</f>
        <v>-23660</v>
      </c>
      <c r="J556">
        <f>IF(AND(MyRowHidden(ROW())=FALSE,MyRowHidden(ROW()-1)=TRUE),0,(G556-G555)*unitsOfExo+J555)</f>
        <v>-403056</v>
      </c>
      <c r="K556" s="9">
        <f t="shared" si="45"/>
        <v>403056</v>
      </c>
      <c r="L556">
        <f t="shared" si="46"/>
        <v>-426716</v>
      </c>
      <c r="M556">
        <f>IF(AND(MyRowHidden(ROW())=FALSE,MyRowHidden(ROW()-1)=TRUE),0,IF(MONTH(H556)&lt;&gt;MONTH(H555),M555+1,M555))</f>
        <v>1</v>
      </c>
      <c r="N556">
        <f t="shared" si="47"/>
        <v>-23660</v>
      </c>
      <c r="O556">
        <f>IF(AND(MyRowHidden(ROW())=FALSE,MyRowHidden(ROW()-1)=TRUE),0,IF(M556&lt;totalMonths,(totalMonths-M556)/totalMonths *(I556-I555)+O555,0))</f>
        <v>-23441.25</v>
      </c>
      <c r="P556">
        <f>IF(AND(MyRowHidden(ROW())=FALSE,MyRowHidden(ROW()-1)=TRUE),0,IF(M556&lt;totalMonths,(totalMonths-M556)/totalMonths *(J556-J555)+P555,0))</f>
        <v>-403368</v>
      </c>
      <c r="Q556">
        <f>IF(AND(MyRowHidden(ROW())=FALSE,MyRowHidden(ROW()-1)=TRUE),0,IF(M556&lt;totalMonths,(totalMonths-M556)/totalMonths *(K556-K555)+Q555,0))</f>
        <v>403368</v>
      </c>
      <c r="R556">
        <f t="shared" si="48"/>
        <v>-427028</v>
      </c>
      <c r="S556">
        <f t="shared" si="49"/>
        <v>-426809.25</v>
      </c>
    </row>
    <row r="557" spans="1:19" x14ac:dyDescent="0.25">
      <c r="A557" s="1"/>
      <c r="C557" s="1"/>
      <c r="D557" s="1">
        <v>42038</v>
      </c>
      <c r="E557" s="10">
        <v>4761</v>
      </c>
      <c r="F557" s="1">
        <v>42038</v>
      </c>
      <c r="G557">
        <v>-7629</v>
      </c>
      <c r="H557" s="1">
        <f t="shared" si="44"/>
        <v>42038</v>
      </c>
      <c r="I557">
        <f>IF(AND(MyRowHidden(ROW())=FALSE,MyRowHidden(ROW()-1)=TRUE),0,(E557-E556)*unitsOfDHp+I556)</f>
        <v>-96985</v>
      </c>
      <c r="J557">
        <f>IF(AND(MyRowHidden(ROW())=FALSE,MyRowHidden(ROW()-1)=TRUE),0,(G557-G556)*unitsOfExo+J556)</f>
        <v>-179856</v>
      </c>
      <c r="K557" s="9">
        <f t="shared" si="45"/>
        <v>179856</v>
      </c>
      <c r="L557">
        <f t="shared" si="46"/>
        <v>-276841</v>
      </c>
      <c r="M557">
        <f>IF(AND(MyRowHidden(ROW())=FALSE,MyRowHidden(ROW()-1)=TRUE),0,IF(MONTH(H557)&lt;&gt;MONTH(H556),M556+1,M556))</f>
        <v>1</v>
      </c>
      <c r="N557">
        <f t="shared" si="47"/>
        <v>-96985</v>
      </c>
      <c r="O557">
        <f>IF(AND(MyRowHidden(ROW())=FALSE,MyRowHidden(ROW()-1)=TRUE),0,IF(M557&lt;totalMonths,(totalMonths-M557)/totalMonths *(I557-I556)+O556,0))</f>
        <v>-90655.833333333328</v>
      </c>
      <c r="P557">
        <f>IF(AND(MyRowHidden(ROW())=FALSE,MyRowHidden(ROW()-1)=TRUE),0,IF(M557&lt;totalMonths,(totalMonths-M557)/totalMonths *(J557-J556)+P556,0))</f>
        <v>-198768</v>
      </c>
      <c r="Q557">
        <f>IF(AND(MyRowHidden(ROW())=FALSE,MyRowHidden(ROW()-1)=TRUE),0,IF(M557&lt;totalMonths,(totalMonths-M557)/totalMonths *(K557-K556)+Q556,0))</f>
        <v>198768</v>
      </c>
      <c r="R557">
        <f t="shared" si="48"/>
        <v>-295753</v>
      </c>
      <c r="S557">
        <f t="shared" si="49"/>
        <v>-289423.83333333331</v>
      </c>
    </row>
    <row r="558" spans="1:19" x14ac:dyDescent="0.25">
      <c r="A558" s="1"/>
      <c r="C558" s="1"/>
      <c r="D558" s="1">
        <v>42039</v>
      </c>
      <c r="E558" s="10">
        <v>4361</v>
      </c>
      <c r="F558" s="1">
        <v>42039</v>
      </c>
      <c r="G558">
        <v>-7891.5</v>
      </c>
      <c r="H558" s="1">
        <f t="shared" si="44"/>
        <v>42039</v>
      </c>
      <c r="I558">
        <f>IF(AND(MyRowHidden(ROW())=FALSE,MyRowHidden(ROW()-1)=TRUE),0,(E558-E557)*unitsOfDHp+I557)</f>
        <v>-110985</v>
      </c>
      <c r="J558">
        <f>IF(AND(MyRowHidden(ROW())=FALSE,MyRowHidden(ROW()-1)=TRUE),0,(G558-G557)*unitsOfExo+J557)</f>
        <v>-255456</v>
      </c>
      <c r="K558" s="9">
        <f t="shared" si="45"/>
        <v>255456</v>
      </c>
      <c r="L558">
        <f t="shared" si="46"/>
        <v>-366441</v>
      </c>
      <c r="M558">
        <f>IF(AND(MyRowHidden(ROW())=FALSE,MyRowHidden(ROW()-1)=TRUE),0,IF(MONTH(H558)&lt;&gt;MONTH(H557),M557+1,M557))</f>
        <v>1</v>
      </c>
      <c r="N558">
        <f t="shared" si="47"/>
        <v>-110985</v>
      </c>
      <c r="O558">
        <f>IF(AND(MyRowHidden(ROW())=FALSE,MyRowHidden(ROW()-1)=TRUE),0,IF(M558&lt;totalMonths,(totalMonths-M558)/totalMonths *(I558-I557)+O557,0))</f>
        <v>-103489.16666666666</v>
      </c>
      <c r="P558">
        <f>IF(AND(MyRowHidden(ROW())=FALSE,MyRowHidden(ROW()-1)=TRUE),0,IF(M558&lt;totalMonths,(totalMonths-M558)/totalMonths *(J558-J557)+P557,0))</f>
        <v>-268068</v>
      </c>
      <c r="Q558">
        <f>IF(AND(MyRowHidden(ROW())=FALSE,MyRowHidden(ROW()-1)=TRUE),0,IF(M558&lt;totalMonths,(totalMonths-M558)/totalMonths *(K558-K557)+Q557,0))</f>
        <v>268068</v>
      </c>
      <c r="R558">
        <f t="shared" si="48"/>
        <v>-379053</v>
      </c>
      <c r="S558">
        <f t="shared" si="49"/>
        <v>-371557.16666666663</v>
      </c>
    </row>
    <row r="559" spans="1:19" x14ac:dyDescent="0.25">
      <c r="A559" s="1"/>
      <c r="C559" s="1"/>
      <c r="D559" s="1">
        <v>42040</v>
      </c>
      <c r="E559" s="10">
        <v>4361</v>
      </c>
      <c r="F559" s="1">
        <v>42040</v>
      </c>
      <c r="G559">
        <v>-7741.5</v>
      </c>
      <c r="H559" s="1">
        <f t="shared" si="44"/>
        <v>42040</v>
      </c>
      <c r="I559">
        <f>IF(AND(MyRowHidden(ROW())=FALSE,MyRowHidden(ROW()-1)=TRUE),0,(E559-E558)*unitsOfDHp+I558)</f>
        <v>-110985</v>
      </c>
      <c r="J559">
        <f>IF(AND(MyRowHidden(ROW())=FALSE,MyRowHidden(ROW()-1)=TRUE),0,(G559-G558)*unitsOfExo+J558)</f>
        <v>-212256</v>
      </c>
      <c r="K559" s="9">
        <f t="shared" si="45"/>
        <v>212256</v>
      </c>
      <c r="L559">
        <f t="shared" si="46"/>
        <v>-323241</v>
      </c>
      <c r="M559">
        <f>IF(AND(MyRowHidden(ROW())=FALSE,MyRowHidden(ROW()-1)=TRUE),0,IF(MONTH(H559)&lt;&gt;MONTH(H558),M558+1,M558))</f>
        <v>1</v>
      </c>
      <c r="N559">
        <f t="shared" si="47"/>
        <v>-110985</v>
      </c>
      <c r="O559">
        <f>IF(AND(MyRowHidden(ROW())=FALSE,MyRowHidden(ROW()-1)=TRUE),0,IF(M559&lt;totalMonths,(totalMonths-M559)/totalMonths *(I559-I558)+O558,0))</f>
        <v>-103489.16666666666</v>
      </c>
      <c r="P559">
        <f>IF(AND(MyRowHidden(ROW())=FALSE,MyRowHidden(ROW()-1)=TRUE),0,IF(M559&lt;totalMonths,(totalMonths-M559)/totalMonths *(J559-J558)+P558,0))</f>
        <v>-228468</v>
      </c>
      <c r="Q559">
        <f>IF(AND(MyRowHidden(ROW())=FALSE,MyRowHidden(ROW()-1)=TRUE),0,IF(M559&lt;totalMonths,(totalMonths-M559)/totalMonths *(K559-K558)+Q558,0))</f>
        <v>228468</v>
      </c>
      <c r="R559">
        <f t="shared" si="48"/>
        <v>-339453</v>
      </c>
      <c r="S559">
        <f t="shared" si="49"/>
        <v>-331957.16666666663</v>
      </c>
    </row>
    <row r="560" spans="1:19" x14ac:dyDescent="0.25">
      <c r="A560" s="1"/>
      <c r="C560" s="1"/>
      <c r="D560" s="1">
        <v>42041</v>
      </c>
      <c r="E560" s="10">
        <v>4361</v>
      </c>
      <c r="F560" s="1">
        <v>42041</v>
      </c>
      <c r="G560">
        <v>-7804</v>
      </c>
      <c r="H560" s="1">
        <f t="shared" si="44"/>
        <v>42041</v>
      </c>
      <c r="I560">
        <f>IF(AND(MyRowHidden(ROW())=FALSE,MyRowHidden(ROW()-1)=TRUE),0,(E560-E559)*unitsOfDHp+I559)</f>
        <v>-110985</v>
      </c>
      <c r="J560">
        <f>IF(AND(MyRowHidden(ROW())=FALSE,MyRowHidden(ROW()-1)=TRUE),0,(G560-G559)*unitsOfExo+J559)</f>
        <v>-230256</v>
      </c>
      <c r="K560" s="9">
        <f t="shared" si="45"/>
        <v>230256</v>
      </c>
      <c r="L560">
        <f t="shared" si="46"/>
        <v>-341241</v>
      </c>
      <c r="M560">
        <f>IF(AND(MyRowHidden(ROW())=FALSE,MyRowHidden(ROW()-1)=TRUE),0,IF(MONTH(H560)&lt;&gt;MONTH(H559),M559+1,M559))</f>
        <v>1</v>
      </c>
      <c r="N560">
        <f t="shared" si="47"/>
        <v>-110985</v>
      </c>
      <c r="O560">
        <f>IF(AND(MyRowHidden(ROW())=FALSE,MyRowHidden(ROW()-1)=TRUE),0,IF(M560&lt;totalMonths,(totalMonths-M560)/totalMonths *(I560-I559)+O559,0))</f>
        <v>-103489.16666666666</v>
      </c>
      <c r="P560">
        <f>IF(AND(MyRowHidden(ROW())=FALSE,MyRowHidden(ROW()-1)=TRUE),0,IF(M560&lt;totalMonths,(totalMonths-M560)/totalMonths *(J560-J559)+P559,0))</f>
        <v>-244968</v>
      </c>
      <c r="Q560">
        <f>IF(AND(MyRowHidden(ROW())=FALSE,MyRowHidden(ROW()-1)=TRUE),0,IF(M560&lt;totalMonths,(totalMonths-M560)/totalMonths *(K560-K559)+Q559,0))</f>
        <v>244968</v>
      </c>
      <c r="R560">
        <f t="shared" si="48"/>
        <v>-355953</v>
      </c>
      <c r="S560">
        <f t="shared" si="49"/>
        <v>-348457.16666666663</v>
      </c>
    </row>
    <row r="561" spans="1:19" x14ac:dyDescent="0.25">
      <c r="A561" s="1"/>
      <c r="C561" s="1"/>
      <c r="D561" s="1">
        <v>42044</v>
      </c>
      <c r="E561" s="10">
        <v>4361</v>
      </c>
      <c r="F561" s="1">
        <v>42044</v>
      </c>
      <c r="G561">
        <v>-7404</v>
      </c>
      <c r="H561" s="1">
        <f t="shared" si="44"/>
        <v>42044</v>
      </c>
      <c r="I561">
        <f>IF(AND(MyRowHidden(ROW())=FALSE,MyRowHidden(ROW()-1)=TRUE),0,(E561-E560)*unitsOfDHp+I560)</f>
        <v>-110985</v>
      </c>
      <c r="J561">
        <f>IF(AND(MyRowHidden(ROW())=FALSE,MyRowHidden(ROW()-1)=TRUE),0,(G561-G560)*unitsOfExo+J560)</f>
        <v>-115056</v>
      </c>
      <c r="K561" s="9">
        <f t="shared" si="45"/>
        <v>115056</v>
      </c>
      <c r="L561">
        <f t="shared" si="46"/>
        <v>-226041</v>
      </c>
      <c r="M561">
        <f>IF(AND(MyRowHidden(ROW())=FALSE,MyRowHidden(ROW()-1)=TRUE),0,IF(MONTH(H561)&lt;&gt;MONTH(H560),M560+1,M560))</f>
        <v>1</v>
      </c>
      <c r="N561">
        <f t="shared" si="47"/>
        <v>-110985</v>
      </c>
      <c r="O561">
        <f>IF(AND(MyRowHidden(ROW())=FALSE,MyRowHidden(ROW()-1)=TRUE),0,IF(M561&lt;totalMonths,(totalMonths-M561)/totalMonths *(I561-I560)+O560,0))</f>
        <v>-103489.16666666666</v>
      </c>
      <c r="P561">
        <f>IF(AND(MyRowHidden(ROW())=FALSE,MyRowHidden(ROW()-1)=TRUE),0,IF(M561&lt;totalMonths,(totalMonths-M561)/totalMonths *(J561-J560)+P560,0))</f>
        <v>-139368</v>
      </c>
      <c r="Q561">
        <f>IF(AND(MyRowHidden(ROW())=FALSE,MyRowHidden(ROW()-1)=TRUE),0,IF(M561&lt;totalMonths,(totalMonths-M561)/totalMonths *(K561-K560)+Q560,0))</f>
        <v>139368</v>
      </c>
      <c r="R561">
        <f t="shared" si="48"/>
        <v>-250353</v>
      </c>
      <c r="S561">
        <f t="shared" si="49"/>
        <v>-242857.16666666666</v>
      </c>
    </row>
    <row r="562" spans="1:19" x14ac:dyDescent="0.25">
      <c r="A562" s="1"/>
      <c r="C562" s="1"/>
      <c r="D562" s="1">
        <v>42045</v>
      </c>
      <c r="E562" s="10">
        <v>4361</v>
      </c>
      <c r="F562" s="1">
        <v>42045</v>
      </c>
      <c r="G562">
        <v>-7579</v>
      </c>
      <c r="H562" s="1">
        <f t="shared" si="44"/>
        <v>42045</v>
      </c>
      <c r="I562">
        <f>IF(AND(MyRowHidden(ROW())=FALSE,MyRowHidden(ROW()-1)=TRUE),0,(E562-E561)*unitsOfDHp+I561)</f>
        <v>-110985</v>
      </c>
      <c r="J562">
        <f>IF(AND(MyRowHidden(ROW())=FALSE,MyRowHidden(ROW()-1)=TRUE),0,(G562-G561)*unitsOfExo+J561)</f>
        <v>-165456</v>
      </c>
      <c r="K562" s="9">
        <f t="shared" si="45"/>
        <v>165456</v>
      </c>
      <c r="L562">
        <f t="shared" si="46"/>
        <v>-276441</v>
      </c>
      <c r="M562">
        <f>IF(AND(MyRowHidden(ROW())=FALSE,MyRowHidden(ROW()-1)=TRUE),0,IF(MONTH(H562)&lt;&gt;MONTH(H561),M561+1,M561))</f>
        <v>1</v>
      </c>
      <c r="N562">
        <f t="shared" si="47"/>
        <v>-110985</v>
      </c>
      <c r="O562">
        <f>IF(AND(MyRowHidden(ROW())=FALSE,MyRowHidden(ROW()-1)=TRUE),0,IF(M562&lt;totalMonths,(totalMonths-M562)/totalMonths *(I562-I561)+O561,0))</f>
        <v>-103489.16666666666</v>
      </c>
      <c r="P562">
        <f>IF(AND(MyRowHidden(ROW())=FALSE,MyRowHidden(ROW()-1)=TRUE),0,IF(M562&lt;totalMonths,(totalMonths-M562)/totalMonths *(J562-J561)+P561,0))</f>
        <v>-185568</v>
      </c>
      <c r="Q562">
        <f>IF(AND(MyRowHidden(ROW())=FALSE,MyRowHidden(ROW()-1)=TRUE),0,IF(M562&lt;totalMonths,(totalMonths-M562)/totalMonths *(K562-K561)+Q561,0))</f>
        <v>185568</v>
      </c>
      <c r="R562">
        <f t="shared" si="48"/>
        <v>-296553</v>
      </c>
      <c r="S562">
        <f t="shared" si="49"/>
        <v>-289057.16666666663</v>
      </c>
    </row>
    <row r="563" spans="1:19" x14ac:dyDescent="0.25">
      <c r="A563" s="1"/>
      <c r="C563" s="1"/>
      <c r="D563" s="1">
        <v>42046</v>
      </c>
      <c r="E563" s="10">
        <v>4361</v>
      </c>
      <c r="F563" s="1">
        <v>42046</v>
      </c>
      <c r="G563">
        <v>-7579</v>
      </c>
      <c r="H563" s="1">
        <f t="shared" si="44"/>
        <v>42046</v>
      </c>
      <c r="I563">
        <f>IF(AND(MyRowHidden(ROW())=FALSE,MyRowHidden(ROW()-1)=TRUE),0,(E563-E562)*unitsOfDHp+I562)</f>
        <v>-110985</v>
      </c>
      <c r="J563">
        <f>IF(AND(MyRowHidden(ROW())=FALSE,MyRowHidden(ROW()-1)=TRUE),0,(G563-G562)*unitsOfExo+J562)</f>
        <v>-165456</v>
      </c>
      <c r="K563" s="9">
        <f t="shared" si="45"/>
        <v>165456</v>
      </c>
      <c r="L563">
        <f t="shared" si="46"/>
        <v>-276441</v>
      </c>
      <c r="M563">
        <f>IF(AND(MyRowHidden(ROW())=FALSE,MyRowHidden(ROW()-1)=TRUE),0,IF(MONTH(H563)&lt;&gt;MONTH(H562),M562+1,M562))</f>
        <v>1</v>
      </c>
      <c r="N563">
        <f t="shared" si="47"/>
        <v>-110985</v>
      </c>
      <c r="O563">
        <f>IF(AND(MyRowHidden(ROW())=FALSE,MyRowHidden(ROW()-1)=TRUE),0,IF(M563&lt;totalMonths,(totalMonths-M563)/totalMonths *(I563-I562)+O562,0))</f>
        <v>-103489.16666666666</v>
      </c>
      <c r="P563">
        <f>IF(AND(MyRowHidden(ROW())=FALSE,MyRowHidden(ROW()-1)=TRUE),0,IF(M563&lt;totalMonths,(totalMonths-M563)/totalMonths *(J563-J562)+P562,0))</f>
        <v>-185568</v>
      </c>
      <c r="Q563">
        <f>IF(AND(MyRowHidden(ROW())=FALSE,MyRowHidden(ROW()-1)=TRUE),0,IF(M563&lt;totalMonths,(totalMonths-M563)/totalMonths *(K563-K562)+Q562,0))</f>
        <v>185568</v>
      </c>
      <c r="R563">
        <f t="shared" si="48"/>
        <v>-296553</v>
      </c>
      <c r="S563">
        <f t="shared" si="49"/>
        <v>-289057.16666666663</v>
      </c>
    </row>
    <row r="564" spans="1:19" x14ac:dyDescent="0.25">
      <c r="A564" s="1"/>
      <c r="C564" s="1"/>
      <c r="D564" s="1">
        <v>42047</v>
      </c>
      <c r="E564" s="10">
        <v>4361</v>
      </c>
      <c r="F564" s="1">
        <v>42047</v>
      </c>
      <c r="G564">
        <v>-7791.5</v>
      </c>
      <c r="H564" s="1">
        <f t="shared" si="44"/>
        <v>42047</v>
      </c>
      <c r="I564">
        <f>IF(AND(MyRowHidden(ROW())=FALSE,MyRowHidden(ROW()-1)=TRUE),0,(E564-E563)*unitsOfDHp+I563)</f>
        <v>-110985</v>
      </c>
      <c r="J564">
        <f>IF(AND(MyRowHidden(ROW())=FALSE,MyRowHidden(ROW()-1)=TRUE),0,(G564-G563)*unitsOfExo+J563)</f>
        <v>-226656</v>
      </c>
      <c r="K564" s="9">
        <f t="shared" si="45"/>
        <v>226656</v>
      </c>
      <c r="L564">
        <f t="shared" si="46"/>
        <v>-337641</v>
      </c>
      <c r="M564">
        <f>IF(AND(MyRowHidden(ROW())=FALSE,MyRowHidden(ROW()-1)=TRUE),0,IF(MONTH(H564)&lt;&gt;MONTH(H563),M563+1,M563))</f>
        <v>1</v>
      </c>
      <c r="N564">
        <f t="shared" si="47"/>
        <v>-110985</v>
      </c>
      <c r="O564">
        <f>IF(AND(MyRowHidden(ROW())=FALSE,MyRowHidden(ROW()-1)=TRUE),0,IF(M564&lt;totalMonths,(totalMonths-M564)/totalMonths *(I564-I563)+O563,0))</f>
        <v>-103489.16666666666</v>
      </c>
      <c r="P564">
        <f>IF(AND(MyRowHidden(ROW())=FALSE,MyRowHidden(ROW()-1)=TRUE),0,IF(M564&lt;totalMonths,(totalMonths-M564)/totalMonths *(J564-J563)+P563,0))</f>
        <v>-241668</v>
      </c>
      <c r="Q564">
        <f>IF(AND(MyRowHidden(ROW())=FALSE,MyRowHidden(ROW()-1)=TRUE),0,IF(M564&lt;totalMonths,(totalMonths-M564)/totalMonths *(K564-K563)+Q563,0))</f>
        <v>241668</v>
      </c>
      <c r="R564">
        <f t="shared" si="48"/>
        <v>-352653</v>
      </c>
      <c r="S564">
        <f t="shared" si="49"/>
        <v>-345157.16666666663</v>
      </c>
    </row>
    <row r="565" spans="1:19" x14ac:dyDescent="0.25">
      <c r="A565" s="1"/>
      <c r="C565" s="1"/>
      <c r="D565" s="1">
        <v>42048</v>
      </c>
      <c r="E565" s="10">
        <v>4361</v>
      </c>
      <c r="F565" s="1">
        <v>42048</v>
      </c>
      <c r="G565">
        <v>-7666.5</v>
      </c>
      <c r="H565" s="1">
        <f t="shared" si="44"/>
        <v>42048</v>
      </c>
      <c r="I565">
        <f>IF(AND(MyRowHidden(ROW())=FALSE,MyRowHidden(ROW()-1)=TRUE),0,(E565-E564)*unitsOfDHp+I564)</f>
        <v>-110985</v>
      </c>
      <c r="J565">
        <f>IF(AND(MyRowHidden(ROW())=FALSE,MyRowHidden(ROW()-1)=TRUE),0,(G565-G564)*unitsOfExo+J564)</f>
        <v>-190656</v>
      </c>
      <c r="K565" s="9">
        <f t="shared" si="45"/>
        <v>190656</v>
      </c>
      <c r="L565">
        <f t="shared" si="46"/>
        <v>-301641</v>
      </c>
      <c r="M565">
        <f>IF(AND(MyRowHidden(ROW())=FALSE,MyRowHidden(ROW()-1)=TRUE),0,IF(MONTH(H565)&lt;&gt;MONTH(H564),M564+1,M564))</f>
        <v>1</v>
      </c>
      <c r="N565">
        <f t="shared" si="47"/>
        <v>-110985</v>
      </c>
      <c r="O565">
        <f>IF(AND(MyRowHidden(ROW())=FALSE,MyRowHidden(ROW()-1)=TRUE),0,IF(M565&lt;totalMonths,(totalMonths-M565)/totalMonths *(I565-I564)+O564,0))</f>
        <v>-103489.16666666666</v>
      </c>
      <c r="P565">
        <f>IF(AND(MyRowHidden(ROW())=FALSE,MyRowHidden(ROW()-1)=TRUE),0,IF(M565&lt;totalMonths,(totalMonths-M565)/totalMonths *(J565-J564)+P564,0))</f>
        <v>-208668</v>
      </c>
      <c r="Q565">
        <f>IF(AND(MyRowHidden(ROW())=FALSE,MyRowHidden(ROW()-1)=TRUE),0,IF(M565&lt;totalMonths,(totalMonths-M565)/totalMonths *(K565-K564)+Q564,0))</f>
        <v>208668</v>
      </c>
      <c r="R565">
        <f t="shared" si="48"/>
        <v>-319653</v>
      </c>
      <c r="S565">
        <f t="shared" si="49"/>
        <v>-312157.16666666663</v>
      </c>
    </row>
    <row r="566" spans="1:19" x14ac:dyDescent="0.25">
      <c r="A566" s="1"/>
      <c r="C566" s="1"/>
      <c r="D566" s="1">
        <v>42051</v>
      </c>
      <c r="E566" s="10">
        <v>4361</v>
      </c>
      <c r="F566" s="1">
        <v>42051</v>
      </c>
      <c r="G566">
        <v>-7566.5</v>
      </c>
      <c r="H566" s="1">
        <f t="shared" si="44"/>
        <v>42051</v>
      </c>
      <c r="I566">
        <f>IF(AND(MyRowHidden(ROW())=FALSE,MyRowHidden(ROW()-1)=TRUE),0,(E566-E565)*unitsOfDHp+I565)</f>
        <v>-110985</v>
      </c>
      <c r="J566">
        <f>IF(AND(MyRowHidden(ROW())=FALSE,MyRowHidden(ROW()-1)=TRUE),0,(G566-G565)*unitsOfExo+J565)</f>
        <v>-161856</v>
      </c>
      <c r="K566" s="9">
        <f t="shared" si="45"/>
        <v>161856</v>
      </c>
      <c r="L566">
        <f t="shared" si="46"/>
        <v>-272841</v>
      </c>
      <c r="M566">
        <f>IF(AND(MyRowHidden(ROW())=FALSE,MyRowHidden(ROW()-1)=TRUE),0,IF(MONTH(H566)&lt;&gt;MONTH(H565),M565+1,M565))</f>
        <v>1</v>
      </c>
      <c r="N566">
        <f t="shared" si="47"/>
        <v>-110985</v>
      </c>
      <c r="O566">
        <f>IF(AND(MyRowHidden(ROW())=FALSE,MyRowHidden(ROW()-1)=TRUE),0,IF(M566&lt;totalMonths,(totalMonths-M566)/totalMonths *(I566-I565)+O565,0))</f>
        <v>-103489.16666666666</v>
      </c>
      <c r="P566">
        <f>IF(AND(MyRowHidden(ROW())=FALSE,MyRowHidden(ROW()-1)=TRUE),0,IF(M566&lt;totalMonths,(totalMonths-M566)/totalMonths *(J566-J565)+P565,0))</f>
        <v>-182268</v>
      </c>
      <c r="Q566">
        <f>IF(AND(MyRowHidden(ROW())=FALSE,MyRowHidden(ROW()-1)=TRUE),0,IF(M566&lt;totalMonths,(totalMonths-M566)/totalMonths *(K566-K565)+Q565,0))</f>
        <v>182268</v>
      </c>
      <c r="R566">
        <f t="shared" si="48"/>
        <v>-293253</v>
      </c>
      <c r="S566">
        <f t="shared" si="49"/>
        <v>-285757.16666666663</v>
      </c>
    </row>
    <row r="567" spans="1:19" x14ac:dyDescent="0.25">
      <c r="A567" s="1"/>
      <c r="C567" s="1"/>
      <c r="D567" s="1">
        <v>42052</v>
      </c>
      <c r="E567" s="10">
        <v>4236</v>
      </c>
      <c r="F567" s="1">
        <v>42052</v>
      </c>
      <c r="G567">
        <v>-7491.5</v>
      </c>
      <c r="H567" s="1">
        <f t="shared" si="44"/>
        <v>42052</v>
      </c>
      <c r="I567">
        <f>IF(AND(MyRowHidden(ROW())=FALSE,MyRowHidden(ROW()-1)=TRUE),0,(E567-E566)*unitsOfDHp+I566)</f>
        <v>-115360</v>
      </c>
      <c r="J567">
        <f>IF(AND(MyRowHidden(ROW())=FALSE,MyRowHidden(ROW()-1)=TRUE),0,(G567-G566)*unitsOfExo+J566)</f>
        <v>-140256</v>
      </c>
      <c r="K567" s="9">
        <f t="shared" si="45"/>
        <v>140256</v>
      </c>
      <c r="L567">
        <f t="shared" si="46"/>
        <v>-255616</v>
      </c>
      <c r="M567">
        <f>IF(AND(MyRowHidden(ROW())=FALSE,MyRowHidden(ROW()-1)=TRUE),0,IF(MONTH(H567)&lt;&gt;MONTH(H566),M566+1,M566))</f>
        <v>1</v>
      </c>
      <c r="N567">
        <f t="shared" si="47"/>
        <v>-115360</v>
      </c>
      <c r="O567">
        <f>IF(AND(MyRowHidden(ROW())=FALSE,MyRowHidden(ROW()-1)=TRUE),0,IF(M567&lt;totalMonths,(totalMonths-M567)/totalMonths *(I567-I566)+O566,0))</f>
        <v>-107499.58333333333</v>
      </c>
      <c r="P567">
        <f>IF(AND(MyRowHidden(ROW())=FALSE,MyRowHidden(ROW()-1)=TRUE),0,IF(M567&lt;totalMonths,(totalMonths-M567)/totalMonths *(J567-J566)+P566,0))</f>
        <v>-162468</v>
      </c>
      <c r="Q567">
        <f>IF(AND(MyRowHidden(ROW())=FALSE,MyRowHidden(ROW()-1)=TRUE),0,IF(M567&lt;totalMonths,(totalMonths-M567)/totalMonths *(K567-K566)+Q566,0))</f>
        <v>162468</v>
      </c>
      <c r="R567">
        <f t="shared" si="48"/>
        <v>-277828</v>
      </c>
      <c r="S567">
        <f t="shared" si="49"/>
        <v>-269967.58333333331</v>
      </c>
    </row>
    <row r="568" spans="1:19" x14ac:dyDescent="0.25">
      <c r="A568" s="1"/>
      <c r="C568" s="1"/>
      <c r="D568" s="1">
        <v>42053</v>
      </c>
      <c r="E568" s="10">
        <v>3726</v>
      </c>
      <c r="F568" s="1">
        <v>42053</v>
      </c>
      <c r="G568">
        <v>-7754</v>
      </c>
      <c r="H568" s="1">
        <f t="shared" si="44"/>
        <v>42053</v>
      </c>
      <c r="I568">
        <f>IF(AND(MyRowHidden(ROW())=FALSE,MyRowHidden(ROW()-1)=TRUE),0,(E568-E567)*unitsOfDHp+I567)</f>
        <v>-133210</v>
      </c>
      <c r="J568">
        <f>IF(AND(MyRowHidden(ROW())=FALSE,MyRowHidden(ROW()-1)=TRUE),0,(G568-G567)*unitsOfExo+J567)</f>
        <v>-215856</v>
      </c>
      <c r="K568" s="9">
        <f t="shared" si="45"/>
        <v>215856</v>
      </c>
      <c r="L568">
        <f t="shared" si="46"/>
        <v>-349066</v>
      </c>
      <c r="M568">
        <f>IF(AND(MyRowHidden(ROW())=FALSE,MyRowHidden(ROW()-1)=TRUE),0,IF(MONTH(H568)&lt;&gt;MONTH(H567),M567+1,M567))</f>
        <v>1</v>
      </c>
      <c r="N568">
        <f t="shared" si="47"/>
        <v>-133210</v>
      </c>
      <c r="O568">
        <f>IF(AND(MyRowHidden(ROW())=FALSE,MyRowHidden(ROW()-1)=TRUE),0,IF(M568&lt;totalMonths,(totalMonths-M568)/totalMonths *(I568-I567)+O567,0))</f>
        <v>-123862.08333333333</v>
      </c>
      <c r="P568">
        <f>IF(AND(MyRowHidden(ROW())=FALSE,MyRowHidden(ROW()-1)=TRUE),0,IF(M568&lt;totalMonths,(totalMonths-M568)/totalMonths *(J568-J567)+P567,0))</f>
        <v>-231768</v>
      </c>
      <c r="Q568">
        <f>IF(AND(MyRowHidden(ROW())=FALSE,MyRowHidden(ROW()-1)=TRUE),0,IF(M568&lt;totalMonths,(totalMonths-M568)/totalMonths *(K568-K567)+Q567,0))</f>
        <v>231768</v>
      </c>
      <c r="R568">
        <f t="shared" si="48"/>
        <v>-364978</v>
      </c>
      <c r="S568">
        <f t="shared" si="49"/>
        <v>-355630.08333333331</v>
      </c>
    </row>
    <row r="569" spans="1:19" x14ac:dyDescent="0.25">
      <c r="A569" s="1"/>
      <c r="C569" s="1"/>
      <c r="D569" s="1">
        <v>42054</v>
      </c>
      <c r="E569" s="10">
        <v>4481</v>
      </c>
      <c r="F569" s="1">
        <v>42054</v>
      </c>
      <c r="G569">
        <v>-7504</v>
      </c>
      <c r="H569" s="1">
        <f t="shared" si="44"/>
        <v>42054</v>
      </c>
      <c r="I569">
        <f>IF(AND(MyRowHidden(ROW())=FALSE,MyRowHidden(ROW()-1)=TRUE),0,(E569-E568)*unitsOfDHp+I568)</f>
        <v>-106785</v>
      </c>
      <c r="J569">
        <f>IF(AND(MyRowHidden(ROW())=FALSE,MyRowHidden(ROW()-1)=TRUE),0,(G569-G568)*unitsOfExo+J568)</f>
        <v>-143856</v>
      </c>
      <c r="K569" s="9">
        <f t="shared" si="45"/>
        <v>143856</v>
      </c>
      <c r="L569">
        <f t="shared" si="46"/>
        <v>-250641</v>
      </c>
      <c r="M569">
        <f>IF(AND(MyRowHidden(ROW())=FALSE,MyRowHidden(ROW()-1)=TRUE),0,IF(MONTH(H569)&lt;&gt;MONTH(H568),M568+1,M568))</f>
        <v>1</v>
      </c>
      <c r="N569">
        <f t="shared" si="47"/>
        <v>-106785</v>
      </c>
      <c r="O569">
        <f>IF(AND(MyRowHidden(ROW())=FALSE,MyRowHidden(ROW()-1)=TRUE),0,IF(M569&lt;totalMonths,(totalMonths-M569)/totalMonths *(I569-I568)+O568,0))</f>
        <v>-99639.166666666657</v>
      </c>
      <c r="P569">
        <f>IF(AND(MyRowHidden(ROW())=FALSE,MyRowHidden(ROW()-1)=TRUE),0,IF(M569&lt;totalMonths,(totalMonths-M569)/totalMonths *(J569-J568)+P568,0))</f>
        <v>-165768</v>
      </c>
      <c r="Q569">
        <f>IF(AND(MyRowHidden(ROW())=FALSE,MyRowHidden(ROW()-1)=TRUE),0,IF(M569&lt;totalMonths,(totalMonths-M569)/totalMonths *(K569-K568)+Q568,0))</f>
        <v>165768</v>
      </c>
      <c r="R569">
        <f t="shared" si="48"/>
        <v>-272553</v>
      </c>
      <c r="S569">
        <f t="shared" si="49"/>
        <v>-265407.16666666663</v>
      </c>
    </row>
    <row r="570" spans="1:19" x14ac:dyDescent="0.25">
      <c r="A570" s="1"/>
      <c r="C570" s="1"/>
      <c r="D570" s="1">
        <v>42055</v>
      </c>
      <c r="E570" s="10">
        <v>4481</v>
      </c>
      <c r="F570" s="1">
        <v>42055</v>
      </c>
      <c r="G570">
        <v>-7754</v>
      </c>
      <c r="H570" s="1">
        <f t="shared" si="44"/>
        <v>42055</v>
      </c>
      <c r="I570">
        <f>IF(AND(MyRowHidden(ROW())=FALSE,MyRowHidden(ROW()-1)=TRUE),0,(E570-E569)*unitsOfDHp+I569)</f>
        <v>-106785</v>
      </c>
      <c r="J570">
        <f>IF(AND(MyRowHidden(ROW())=FALSE,MyRowHidden(ROW()-1)=TRUE),0,(G570-G569)*unitsOfExo+J569)</f>
        <v>-215856</v>
      </c>
      <c r="K570" s="9">
        <f t="shared" si="45"/>
        <v>215856</v>
      </c>
      <c r="L570">
        <f t="shared" si="46"/>
        <v>-322641</v>
      </c>
      <c r="M570">
        <f>IF(AND(MyRowHidden(ROW())=FALSE,MyRowHidden(ROW()-1)=TRUE),0,IF(MONTH(H570)&lt;&gt;MONTH(H569),M569+1,M569))</f>
        <v>1</v>
      </c>
      <c r="N570">
        <f t="shared" si="47"/>
        <v>-106785</v>
      </c>
      <c r="O570">
        <f>IF(AND(MyRowHidden(ROW())=FALSE,MyRowHidden(ROW()-1)=TRUE),0,IF(M570&lt;totalMonths,(totalMonths-M570)/totalMonths *(I570-I569)+O569,0))</f>
        <v>-99639.166666666657</v>
      </c>
      <c r="P570">
        <f>IF(AND(MyRowHidden(ROW())=FALSE,MyRowHidden(ROW()-1)=TRUE),0,IF(M570&lt;totalMonths,(totalMonths-M570)/totalMonths *(J570-J569)+P569,0))</f>
        <v>-231768</v>
      </c>
      <c r="Q570">
        <f>IF(AND(MyRowHidden(ROW())=FALSE,MyRowHidden(ROW()-1)=TRUE),0,IF(M570&lt;totalMonths,(totalMonths-M570)/totalMonths *(K570-K569)+Q569,0))</f>
        <v>231768</v>
      </c>
      <c r="R570">
        <f t="shared" si="48"/>
        <v>-338553</v>
      </c>
      <c r="S570">
        <f t="shared" si="49"/>
        <v>-331407.16666666663</v>
      </c>
    </row>
    <row r="571" spans="1:19" x14ac:dyDescent="0.25">
      <c r="A571" s="1"/>
      <c r="C571" s="1"/>
      <c r="D571" s="1">
        <v>42058</v>
      </c>
      <c r="E571" s="10">
        <v>3853</v>
      </c>
      <c r="F571" s="1">
        <v>42058</v>
      </c>
      <c r="G571">
        <v>-7966.5</v>
      </c>
      <c r="H571" s="1">
        <f t="shared" si="44"/>
        <v>42058</v>
      </c>
      <c r="I571">
        <f>IF(AND(MyRowHidden(ROW())=FALSE,MyRowHidden(ROW()-1)=TRUE),0,(E571-E570)*unitsOfDHp+I570)</f>
        <v>-128765</v>
      </c>
      <c r="J571">
        <f>IF(AND(MyRowHidden(ROW())=FALSE,MyRowHidden(ROW()-1)=TRUE),0,(G571-G570)*unitsOfExo+J570)</f>
        <v>-277056</v>
      </c>
      <c r="K571" s="9">
        <f t="shared" si="45"/>
        <v>277056</v>
      </c>
      <c r="L571">
        <f t="shared" si="46"/>
        <v>-405821</v>
      </c>
      <c r="M571">
        <f>IF(AND(MyRowHidden(ROW())=FALSE,MyRowHidden(ROW()-1)=TRUE),0,IF(MONTH(H571)&lt;&gt;MONTH(H570),M570+1,M570))</f>
        <v>1</v>
      </c>
      <c r="N571">
        <f t="shared" si="47"/>
        <v>-128765</v>
      </c>
      <c r="O571">
        <f>IF(AND(MyRowHidden(ROW())=FALSE,MyRowHidden(ROW()-1)=TRUE),0,IF(M571&lt;totalMonths,(totalMonths-M571)/totalMonths *(I571-I570)+O570,0))</f>
        <v>-119787.49999999999</v>
      </c>
      <c r="P571">
        <f>IF(AND(MyRowHidden(ROW())=FALSE,MyRowHidden(ROW()-1)=TRUE),0,IF(M571&lt;totalMonths,(totalMonths-M571)/totalMonths *(J571-J570)+P570,0))</f>
        <v>-287868</v>
      </c>
      <c r="Q571">
        <f>IF(AND(MyRowHidden(ROW())=FALSE,MyRowHidden(ROW()-1)=TRUE),0,IF(M571&lt;totalMonths,(totalMonths-M571)/totalMonths *(K571-K570)+Q570,0))</f>
        <v>287868</v>
      </c>
      <c r="R571">
        <f t="shared" si="48"/>
        <v>-416633</v>
      </c>
      <c r="S571">
        <f t="shared" si="49"/>
        <v>-407655.5</v>
      </c>
    </row>
    <row r="572" spans="1:19" x14ac:dyDescent="0.25">
      <c r="A572" s="1"/>
      <c r="C572" s="1"/>
      <c r="D572" s="1">
        <v>42059</v>
      </c>
      <c r="E572" s="10">
        <v>3710</v>
      </c>
      <c r="F572" s="1">
        <v>42059</v>
      </c>
      <c r="G572">
        <v>-8016.5</v>
      </c>
      <c r="H572" s="1">
        <f t="shared" si="44"/>
        <v>42059</v>
      </c>
      <c r="I572">
        <f>IF(AND(MyRowHidden(ROW())=FALSE,MyRowHidden(ROW()-1)=TRUE),0,(E572-E571)*unitsOfDHp+I571)</f>
        <v>-133770</v>
      </c>
      <c r="J572">
        <f>IF(AND(MyRowHidden(ROW())=FALSE,MyRowHidden(ROW()-1)=TRUE),0,(G572-G571)*unitsOfExo+J571)</f>
        <v>-291456</v>
      </c>
      <c r="K572" s="9">
        <f t="shared" si="45"/>
        <v>291456</v>
      </c>
      <c r="L572">
        <f t="shared" si="46"/>
        <v>-425226</v>
      </c>
      <c r="M572">
        <f>IF(AND(MyRowHidden(ROW())=FALSE,MyRowHidden(ROW()-1)=TRUE),0,IF(MONTH(H572)&lt;&gt;MONTH(H571),M571+1,M571))</f>
        <v>1</v>
      </c>
      <c r="N572">
        <f t="shared" si="47"/>
        <v>-133770</v>
      </c>
      <c r="O572">
        <f>IF(AND(MyRowHidden(ROW())=FALSE,MyRowHidden(ROW()-1)=TRUE),0,IF(M572&lt;totalMonths,(totalMonths-M572)/totalMonths *(I572-I571)+O571,0))</f>
        <v>-124375.41666666666</v>
      </c>
      <c r="P572">
        <f>IF(AND(MyRowHidden(ROW())=FALSE,MyRowHidden(ROW()-1)=TRUE),0,IF(M572&lt;totalMonths,(totalMonths-M572)/totalMonths *(J572-J571)+P571,0))</f>
        <v>-301068</v>
      </c>
      <c r="Q572">
        <f>IF(AND(MyRowHidden(ROW())=FALSE,MyRowHidden(ROW()-1)=TRUE),0,IF(M572&lt;totalMonths,(totalMonths-M572)/totalMonths *(K572-K571)+Q571,0))</f>
        <v>301068</v>
      </c>
      <c r="R572">
        <f t="shared" si="48"/>
        <v>-434838</v>
      </c>
      <c r="S572">
        <f t="shared" si="49"/>
        <v>-425443.41666666663</v>
      </c>
    </row>
    <row r="573" spans="1:19" x14ac:dyDescent="0.25">
      <c r="A573" s="1"/>
      <c r="C573" s="1"/>
      <c r="D573" s="1">
        <v>42060</v>
      </c>
      <c r="E573" s="10">
        <v>4976</v>
      </c>
      <c r="F573" s="1">
        <v>42060</v>
      </c>
      <c r="G573">
        <v>-8291.5</v>
      </c>
      <c r="H573" s="1">
        <f t="shared" si="44"/>
        <v>42060</v>
      </c>
      <c r="I573">
        <f>IF(AND(MyRowHidden(ROW())=FALSE,MyRowHidden(ROW()-1)=TRUE),0,(E573-E572)*unitsOfDHp+I572)</f>
        <v>-89460</v>
      </c>
      <c r="J573">
        <f>IF(AND(MyRowHidden(ROW())=FALSE,MyRowHidden(ROW()-1)=TRUE),0,(G573-G572)*unitsOfExo+J572)</f>
        <v>-370656</v>
      </c>
      <c r="K573" s="9">
        <f t="shared" si="45"/>
        <v>370656</v>
      </c>
      <c r="L573">
        <f t="shared" si="46"/>
        <v>-460116</v>
      </c>
      <c r="M573">
        <f>IF(AND(MyRowHidden(ROW())=FALSE,MyRowHidden(ROW()-1)=TRUE),0,IF(MONTH(H573)&lt;&gt;MONTH(H572),M572+1,M572))</f>
        <v>1</v>
      </c>
      <c r="N573">
        <f t="shared" si="47"/>
        <v>-89460</v>
      </c>
      <c r="O573">
        <f>IF(AND(MyRowHidden(ROW())=FALSE,MyRowHidden(ROW()-1)=TRUE),0,IF(M573&lt;totalMonths,(totalMonths-M573)/totalMonths *(I573-I572)+O572,0))</f>
        <v>-83757.916666666657</v>
      </c>
      <c r="P573">
        <f>IF(AND(MyRowHidden(ROW())=FALSE,MyRowHidden(ROW()-1)=TRUE),0,IF(M573&lt;totalMonths,(totalMonths-M573)/totalMonths *(J573-J572)+P572,0))</f>
        <v>-373668</v>
      </c>
      <c r="Q573">
        <f>IF(AND(MyRowHidden(ROW())=FALSE,MyRowHidden(ROW()-1)=TRUE),0,IF(M573&lt;totalMonths,(totalMonths-M573)/totalMonths *(K573-K572)+Q572,0))</f>
        <v>373668</v>
      </c>
      <c r="R573">
        <f t="shared" si="48"/>
        <v>-463128</v>
      </c>
      <c r="S573">
        <f t="shared" si="49"/>
        <v>-457425.91666666663</v>
      </c>
    </row>
    <row r="574" spans="1:19" x14ac:dyDescent="0.25">
      <c r="A574" s="1"/>
      <c r="C574" s="1"/>
      <c r="D574" s="1">
        <v>42061</v>
      </c>
      <c r="E574" s="10">
        <v>4901</v>
      </c>
      <c r="F574" s="1">
        <v>42061</v>
      </c>
      <c r="G574">
        <v>-7916.5</v>
      </c>
      <c r="H574" s="1">
        <f t="shared" si="44"/>
        <v>42061</v>
      </c>
      <c r="I574">
        <f>IF(AND(MyRowHidden(ROW())=FALSE,MyRowHidden(ROW()-1)=TRUE),0,(E574-E573)*unitsOfDHp+I573)</f>
        <v>-92085</v>
      </c>
      <c r="J574">
        <f>IF(AND(MyRowHidden(ROW())=FALSE,MyRowHidden(ROW()-1)=TRUE),0,(G574-G573)*unitsOfExo+J573)</f>
        <v>-262656</v>
      </c>
      <c r="K574" s="9">
        <f t="shared" si="45"/>
        <v>262656</v>
      </c>
      <c r="L574">
        <f t="shared" si="46"/>
        <v>-354741</v>
      </c>
      <c r="M574">
        <f>IF(AND(MyRowHidden(ROW())=FALSE,MyRowHidden(ROW()-1)=TRUE),0,IF(MONTH(H574)&lt;&gt;MONTH(H573),M573+1,M573))</f>
        <v>1</v>
      </c>
      <c r="N574">
        <f t="shared" si="47"/>
        <v>-92085</v>
      </c>
      <c r="O574">
        <f>IF(AND(MyRowHidden(ROW())=FALSE,MyRowHidden(ROW()-1)=TRUE),0,IF(M574&lt;totalMonths,(totalMonths-M574)/totalMonths *(I574-I573)+O573,0))</f>
        <v>-86164.166666666657</v>
      </c>
      <c r="P574">
        <f>IF(AND(MyRowHidden(ROW())=FALSE,MyRowHidden(ROW()-1)=TRUE),0,IF(M574&lt;totalMonths,(totalMonths-M574)/totalMonths *(J574-J573)+P573,0))</f>
        <v>-274668</v>
      </c>
      <c r="Q574">
        <f>IF(AND(MyRowHidden(ROW())=FALSE,MyRowHidden(ROW()-1)=TRUE),0,IF(M574&lt;totalMonths,(totalMonths-M574)/totalMonths *(K574-K573)+Q573,0))</f>
        <v>274668</v>
      </c>
      <c r="R574">
        <f t="shared" si="48"/>
        <v>-366753</v>
      </c>
      <c r="S574">
        <f t="shared" si="49"/>
        <v>-360832.16666666663</v>
      </c>
    </row>
    <row r="575" spans="1:19" x14ac:dyDescent="0.25">
      <c r="A575" s="1"/>
      <c r="C575" s="1"/>
      <c r="D575" s="1">
        <v>42062</v>
      </c>
      <c r="E575" s="10">
        <v>2562</v>
      </c>
      <c r="F575" s="1">
        <v>42062</v>
      </c>
      <c r="G575">
        <v>-7554</v>
      </c>
      <c r="H575" s="1">
        <f t="shared" si="44"/>
        <v>42062</v>
      </c>
      <c r="I575">
        <f>IF(AND(MyRowHidden(ROW())=FALSE,MyRowHidden(ROW()-1)=TRUE),0,(E575-E574)*unitsOfDHp+I574)</f>
        <v>-173950</v>
      </c>
      <c r="J575">
        <f>IF(AND(MyRowHidden(ROW())=FALSE,MyRowHidden(ROW()-1)=TRUE),0,(G575-G574)*unitsOfExo+J574)</f>
        <v>-158256</v>
      </c>
      <c r="K575" s="9">
        <f t="shared" si="45"/>
        <v>158256</v>
      </c>
      <c r="L575">
        <f t="shared" si="46"/>
        <v>-332206</v>
      </c>
      <c r="M575">
        <f>IF(AND(MyRowHidden(ROW())=FALSE,MyRowHidden(ROW()-1)=TRUE),0,IF(MONTH(H575)&lt;&gt;MONTH(H574),M574+1,M574))</f>
        <v>1</v>
      </c>
      <c r="N575">
        <f t="shared" si="47"/>
        <v>-173950</v>
      </c>
      <c r="O575">
        <f>IF(AND(MyRowHidden(ROW())=FALSE,MyRowHidden(ROW()-1)=TRUE),0,IF(M575&lt;totalMonths,(totalMonths-M575)/totalMonths *(I575-I574)+O574,0))</f>
        <v>-161207.08333333331</v>
      </c>
      <c r="P575">
        <f>IF(AND(MyRowHidden(ROW())=FALSE,MyRowHidden(ROW()-1)=TRUE),0,IF(M575&lt;totalMonths,(totalMonths-M575)/totalMonths *(J575-J574)+P574,0))</f>
        <v>-178968</v>
      </c>
      <c r="Q575">
        <f>IF(AND(MyRowHidden(ROW())=FALSE,MyRowHidden(ROW()-1)=TRUE),0,IF(M575&lt;totalMonths,(totalMonths-M575)/totalMonths *(K575-K574)+Q574,0))</f>
        <v>178968</v>
      </c>
      <c r="R575">
        <f t="shared" si="48"/>
        <v>-352918</v>
      </c>
      <c r="S575">
        <f t="shared" si="49"/>
        <v>-340175.08333333331</v>
      </c>
    </row>
    <row r="576" spans="1:19" x14ac:dyDescent="0.25">
      <c r="A576" s="1"/>
      <c r="C576" s="1"/>
      <c r="D576" s="1">
        <v>42065</v>
      </c>
      <c r="E576" s="10">
        <v>2412</v>
      </c>
      <c r="F576" s="1">
        <v>42065</v>
      </c>
      <c r="G576">
        <v>-7953.5</v>
      </c>
      <c r="H576" s="1">
        <f t="shared" si="44"/>
        <v>42065</v>
      </c>
      <c r="I576">
        <f>IF(AND(MyRowHidden(ROW())=FALSE,MyRowHidden(ROW()-1)=TRUE),0,(E576-E575)*unitsOfDHp+I575)</f>
        <v>-179200</v>
      </c>
      <c r="J576">
        <f>IF(AND(MyRowHidden(ROW())=FALSE,MyRowHidden(ROW()-1)=TRUE),0,(G576-G575)*unitsOfExo+J575)</f>
        <v>-273312</v>
      </c>
      <c r="K576" s="9">
        <f t="shared" si="45"/>
        <v>273312</v>
      </c>
      <c r="L576">
        <f t="shared" si="46"/>
        <v>-452512</v>
      </c>
      <c r="M576">
        <f>IF(AND(MyRowHidden(ROW())=FALSE,MyRowHidden(ROW()-1)=TRUE),0,IF(MONTH(H576)&lt;&gt;MONTH(H575),M575+1,M575))</f>
        <v>2</v>
      </c>
      <c r="N576">
        <f t="shared" si="47"/>
        <v>-179200</v>
      </c>
      <c r="O576">
        <f>IF(AND(MyRowHidden(ROW())=FALSE,MyRowHidden(ROW()-1)=TRUE),0,IF(M576&lt;totalMonths,(totalMonths-M576)/totalMonths *(I576-I575)+O575,0))</f>
        <v>-165582.08333333331</v>
      </c>
      <c r="P576">
        <f>IF(AND(MyRowHidden(ROW())=FALSE,MyRowHidden(ROW()-1)=TRUE),0,IF(M576&lt;totalMonths,(totalMonths-M576)/totalMonths *(J576-J575)+P575,0))</f>
        <v>-274848</v>
      </c>
      <c r="Q576">
        <f>IF(AND(MyRowHidden(ROW())=FALSE,MyRowHidden(ROW()-1)=TRUE),0,IF(M576&lt;totalMonths,(totalMonths-M576)/totalMonths *(K576-K575)+Q575,0))</f>
        <v>274848</v>
      </c>
      <c r="R576">
        <f t="shared" si="48"/>
        <v>-454048</v>
      </c>
      <c r="S576">
        <f t="shared" si="49"/>
        <v>-440430.08333333331</v>
      </c>
    </row>
    <row r="577" spans="1:19" x14ac:dyDescent="0.25">
      <c r="A577" s="1"/>
      <c r="C577" s="1"/>
      <c r="D577" s="1">
        <v>42066</v>
      </c>
      <c r="E577" s="10">
        <v>2412</v>
      </c>
      <c r="F577" s="1">
        <v>42066</v>
      </c>
      <c r="G577">
        <v>-7853.5</v>
      </c>
      <c r="H577" s="1">
        <f t="shared" si="44"/>
        <v>42066</v>
      </c>
      <c r="I577">
        <f>IF(AND(MyRowHidden(ROW())=FALSE,MyRowHidden(ROW()-1)=TRUE),0,(E577-E576)*unitsOfDHp+I576)</f>
        <v>-179200</v>
      </c>
      <c r="J577">
        <f>IF(AND(MyRowHidden(ROW())=FALSE,MyRowHidden(ROW()-1)=TRUE),0,(G577-G576)*unitsOfExo+J576)</f>
        <v>-244512</v>
      </c>
      <c r="K577" s="9">
        <f t="shared" si="45"/>
        <v>244512</v>
      </c>
      <c r="L577">
        <f t="shared" si="46"/>
        <v>-423712</v>
      </c>
      <c r="M577">
        <f>IF(AND(MyRowHidden(ROW())=FALSE,MyRowHidden(ROW()-1)=TRUE),0,IF(MONTH(H577)&lt;&gt;MONTH(H576),M576+1,M576))</f>
        <v>2</v>
      </c>
      <c r="N577">
        <f t="shared" si="47"/>
        <v>-179200</v>
      </c>
      <c r="O577">
        <f>IF(AND(MyRowHidden(ROW())=FALSE,MyRowHidden(ROW()-1)=TRUE),0,IF(M577&lt;totalMonths,(totalMonths-M577)/totalMonths *(I577-I576)+O576,0))</f>
        <v>-165582.08333333331</v>
      </c>
      <c r="P577">
        <f>IF(AND(MyRowHidden(ROW())=FALSE,MyRowHidden(ROW()-1)=TRUE),0,IF(M577&lt;totalMonths,(totalMonths-M577)/totalMonths *(J577-J576)+P576,0))</f>
        <v>-250848</v>
      </c>
      <c r="Q577">
        <f>IF(AND(MyRowHidden(ROW())=FALSE,MyRowHidden(ROW()-1)=TRUE),0,IF(M577&lt;totalMonths,(totalMonths-M577)/totalMonths *(K577-K576)+Q576,0))</f>
        <v>250848</v>
      </c>
      <c r="R577">
        <f t="shared" si="48"/>
        <v>-430048</v>
      </c>
      <c r="S577">
        <f t="shared" si="49"/>
        <v>-416430.08333333331</v>
      </c>
    </row>
    <row r="578" spans="1:19" x14ac:dyDescent="0.25">
      <c r="A578" s="1"/>
      <c r="C578" s="1"/>
      <c r="D578" s="1">
        <v>42067</v>
      </c>
      <c r="E578" s="10">
        <v>2412</v>
      </c>
      <c r="F578" s="1">
        <v>42067</v>
      </c>
      <c r="G578">
        <v>-7878.5</v>
      </c>
      <c r="H578" s="1">
        <f t="shared" si="44"/>
        <v>42067</v>
      </c>
      <c r="I578">
        <f>IF(AND(MyRowHidden(ROW())=FALSE,MyRowHidden(ROW()-1)=TRUE),0,(E578-E577)*unitsOfDHp+I577)</f>
        <v>-179200</v>
      </c>
      <c r="J578">
        <f>IF(AND(MyRowHidden(ROW())=FALSE,MyRowHidden(ROW()-1)=TRUE),0,(G578-G577)*unitsOfExo+J577)</f>
        <v>-251712</v>
      </c>
      <c r="K578" s="9">
        <f t="shared" si="45"/>
        <v>251712</v>
      </c>
      <c r="L578">
        <f t="shared" si="46"/>
        <v>-430912</v>
      </c>
      <c r="M578">
        <f>IF(AND(MyRowHidden(ROW())=FALSE,MyRowHidden(ROW()-1)=TRUE),0,IF(MONTH(H578)&lt;&gt;MONTH(H577),M577+1,M577))</f>
        <v>2</v>
      </c>
      <c r="N578">
        <f t="shared" si="47"/>
        <v>-179200</v>
      </c>
      <c r="O578">
        <f>IF(AND(MyRowHidden(ROW())=FALSE,MyRowHidden(ROW()-1)=TRUE),0,IF(M578&lt;totalMonths,(totalMonths-M578)/totalMonths *(I578-I577)+O577,0))</f>
        <v>-165582.08333333331</v>
      </c>
      <c r="P578">
        <f>IF(AND(MyRowHidden(ROW())=FALSE,MyRowHidden(ROW()-1)=TRUE),0,IF(M578&lt;totalMonths,(totalMonths-M578)/totalMonths *(J578-J577)+P577,0))</f>
        <v>-256848</v>
      </c>
      <c r="Q578">
        <f>IF(AND(MyRowHidden(ROW())=FALSE,MyRowHidden(ROW()-1)=TRUE),0,IF(M578&lt;totalMonths,(totalMonths-M578)/totalMonths *(K578-K577)+Q577,0))</f>
        <v>256848</v>
      </c>
      <c r="R578">
        <f t="shared" si="48"/>
        <v>-436048</v>
      </c>
      <c r="S578">
        <f t="shared" si="49"/>
        <v>-422430.08333333331</v>
      </c>
    </row>
    <row r="579" spans="1:19" x14ac:dyDescent="0.25">
      <c r="A579" s="1"/>
      <c r="C579" s="1"/>
      <c r="D579" s="1">
        <v>42068</v>
      </c>
      <c r="E579" s="10">
        <v>2412</v>
      </c>
      <c r="F579" s="1">
        <v>42068</v>
      </c>
      <c r="G579">
        <v>-7816</v>
      </c>
      <c r="H579" s="1">
        <f t="shared" si="44"/>
        <v>42068</v>
      </c>
      <c r="I579">
        <f>IF(AND(MyRowHidden(ROW())=FALSE,MyRowHidden(ROW()-1)=TRUE),0,(E579-E578)*unitsOfDHp+I578)</f>
        <v>-179200</v>
      </c>
      <c r="J579">
        <f>IF(AND(MyRowHidden(ROW())=FALSE,MyRowHidden(ROW()-1)=TRUE),0,(G579-G578)*unitsOfExo+J578)</f>
        <v>-233712</v>
      </c>
      <c r="K579" s="9">
        <f t="shared" si="45"/>
        <v>233712</v>
      </c>
      <c r="L579">
        <f t="shared" si="46"/>
        <v>-412912</v>
      </c>
      <c r="M579">
        <f>IF(AND(MyRowHidden(ROW())=FALSE,MyRowHidden(ROW()-1)=TRUE),0,IF(MONTH(H579)&lt;&gt;MONTH(H578),M578+1,M578))</f>
        <v>2</v>
      </c>
      <c r="N579">
        <f t="shared" si="47"/>
        <v>-179200</v>
      </c>
      <c r="O579">
        <f>IF(AND(MyRowHidden(ROW())=FALSE,MyRowHidden(ROW()-1)=TRUE),0,IF(M579&lt;totalMonths,(totalMonths-M579)/totalMonths *(I579-I578)+O578,0))</f>
        <v>-165582.08333333331</v>
      </c>
      <c r="P579">
        <f>IF(AND(MyRowHidden(ROW())=FALSE,MyRowHidden(ROW()-1)=TRUE),0,IF(M579&lt;totalMonths,(totalMonths-M579)/totalMonths *(J579-J578)+P578,0))</f>
        <v>-241848</v>
      </c>
      <c r="Q579">
        <f>IF(AND(MyRowHidden(ROW())=FALSE,MyRowHidden(ROW()-1)=TRUE),0,IF(M579&lt;totalMonths,(totalMonths-M579)/totalMonths *(K579-K578)+Q578,0))</f>
        <v>241848</v>
      </c>
      <c r="R579">
        <f t="shared" si="48"/>
        <v>-421048</v>
      </c>
      <c r="S579">
        <f t="shared" si="49"/>
        <v>-407430.08333333331</v>
      </c>
    </row>
    <row r="580" spans="1:19" x14ac:dyDescent="0.25">
      <c r="A580" s="1"/>
      <c r="C580" s="1"/>
      <c r="D580" s="1">
        <v>42069</v>
      </c>
      <c r="E580" s="10">
        <v>2412</v>
      </c>
      <c r="F580" s="1">
        <v>42069</v>
      </c>
      <c r="G580">
        <v>-8178.5</v>
      </c>
      <c r="H580" s="1">
        <f t="shared" si="44"/>
        <v>42069</v>
      </c>
      <c r="I580">
        <f>IF(AND(MyRowHidden(ROW())=FALSE,MyRowHidden(ROW()-1)=TRUE),0,(E580-E579)*unitsOfDHp+I579)</f>
        <v>-179200</v>
      </c>
      <c r="J580">
        <f>IF(AND(MyRowHidden(ROW())=FALSE,MyRowHidden(ROW()-1)=TRUE),0,(G580-G579)*unitsOfExo+J579)</f>
        <v>-338112</v>
      </c>
      <c r="K580" s="9">
        <f t="shared" si="45"/>
        <v>338112</v>
      </c>
      <c r="L580">
        <f t="shared" si="46"/>
        <v>-517312</v>
      </c>
      <c r="M580">
        <f>IF(AND(MyRowHidden(ROW())=FALSE,MyRowHidden(ROW()-1)=TRUE),0,IF(MONTH(H580)&lt;&gt;MONTH(H579),M579+1,M579))</f>
        <v>2</v>
      </c>
      <c r="N580">
        <f t="shared" si="47"/>
        <v>-179200</v>
      </c>
      <c r="O580">
        <f>IF(AND(MyRowHidden(ROW())=FALSE,MyRowHidden(ROW()-1)=TRUE),0,IF(M580&lt;totalMonths,(totalMonths-M580)/totalMonths *(I580-I579)+O579,0))</f>
        <v>-165582.08333333331</v>
      </c>
      <c r="P580">
        <f>IF(AND(MyRowHidden(ROW())=FALSE,MyRowHidden(ROW()-1)=TRUE),0,IF(M580&lt;totalMonths,(totalMonths-M580)/totalMonths *(J580-J579)+P579,0))</f>
        <v>-328848</v>
      </c>
      <c r="Q580">
        <f>IF(AND(MyRowHidden(ROW())=FALSE,MyRowHidden(ROW()-1)=TRUE),0,IF(M580&lt;totalMonths,(totalMonths-M580)/totalMonths *(K580-K579)+Q579,0))</f>
        <v>328848</v>
      </c>
      <c r="R580">
        <f t="shared" si="48"/>
        <v>-508048</v>
      </c>
      <c r="S580">
        <f t="shared" si="49"/>
        <v>-494430.08333333331</v>
      </c>
    </row>
    <row r="581" spans="1:19" x14ac:dyDescent="0.25">
      <c r="A581" s="1"/>
      <c r="C581" s="1"/>
      <c r="D581" s="1">
        <v>42072</v>
      </c>
      <c r="E581" s="10">
        <v>2412</v>
      </c>
      <c r="F581" s="1">
        <v>42072</v>
      </c>
      <c r="G581">
        <v>-7891</v>
      </c>
      <c r="H581" s="1">
        <f t="shared" si="44"/>
        <v>42072</v>
      </c>
      <c r="I581">
        <f>IF(AND(MyRowHidden(ROW())=FALSE,MyRowHidden(ROW()-1)=TRUE),0,(E581-E580)*unitsOfDHp+I580)</f>
        <v>-179200</v>
      </c>
      <c r="J581">
        <f>IF(AND(MyRowHidden(ROW())=FALSE,MyRowHidden(ROW()-1)=TRUE),0,(G581-G580)*unitsOfExo+J580)</f>
        <v>-255312</v>
      </c>
      <c r="K581" s="9">
        <f t="shared" si="45"/>
        <v>255312</v>
      </c>
      <c r="L581">
        <f t="shared" si="46"/>
        <v>-434512</v>
      </c>
      <c r="M581">
        <f>IF(AND(MyRowHidden(ROW())=FALSE,MyRowHidden(ROW()-1)=TRUE),0,IF(MONTH(H581)&lt;&gt;MONTH(H580),M580+1,M580))</f>
        <v>2</v>
      </c>
      <c r="N581">
        <f t="shared" si="47"/>
        <v>-179200</v>
      </c>
      <c r="O581">
        <f>IF(AND(MyRowHidden(ROW())=FALSE,MyRowHidden(ROW()-1)=TRUE),0,IF(M581&lt;totalMonths,(totalMonths-M581)/totalMonths *(I581-I580)+O580,0))</f>
        <v>-165582.08333333331</v>
      </c>
      <c r="P581">
        <f>IF(AND(MyRowHidden(ROW())=FALSE,MyRowHidden(ROW()-1)=TRUE),0,IF(M581&lt;totalMonths,(totalMonths-M581)/totalMonths *(J581-J580)+P580,0))</f>
        <v>-259848</v>
      </c>
      <c r="Q581">
        <f>IF(AND(MyRowHidden(ROW())=FALSE,MyRowHidden(ROW()-1)=TRUE),0,IF(M581&lt;totalMonths,(totalMonths-M581)/totalMonths *(K581-K580)+Q580,0))</f>
        <v>259848</v>
      </c>
      <c r="R581">
        <f t="shared" si="48"/>
        <v>-439048</v>
      </c>
      <c r="S581">
        <f t="shared" si="49"/>
        <v>-425430.08333333331</v>
      </c>
    </row>
    <row r="582" spans="1:19" x14ac:dyDescent="0.25">
      <c r="A582" s="1"/>
      <c r="C582" s="1"/>
      <c r="D582" s="1">
        <v>42073</v>
      </c>
      <c r="E582" s="10">
        <v>2412</v>
      </c>
      <c r="F582" s="1">
        <v>42073</v>
      </c>
      <c r="G582">
        <v>-8028.5</v>
      </c>
      <c r="H582" s="1">
        <f t="shared" si="44"/>
        <v>42073</v>
      </c>
      <c r="I582">
        <f>IF(AND(MyRowHidden(ROW())=FALSE,MyRowHidden(ROW()-1)=TRUE),0,(E582-E581)*unitsOfDHp+I581)</f>
        <v>-179200</v>
      </c>
      <c r="J582">
        <f>IF(AND(MyRowHidden(ROW())=FALSE,MyRowHidden(ROW()-1)=TRUE),0,(G582-G581)*unitsOfExo+J581)</f>
        <v>-294912</v>
      </c>
      <c r="K582" s="9">
        <f t="shared" si="45"/>
        <v>294912</v>
      </c>
      <c r="L582">
        <f t="shared" si="46"/>
        <v>-474112</v>
      </c>
      <c r="M582">
        <f>IF(AND(MyRowHidden(ROW())=FALSE,MyRowHidden(ROW()-1)=TRUE),0,IF(MONTH(H582)&lt;&gt;MONTH(H581),M581+1,M581))</f>
        <v>2</v>
      </c>
      <c r="N582">
        <f t="shared" si="47"/>
        <v>-179200</v>
      </c>
      <c r="O582">
        <f>IF(AND(MyRowHidden(ROW())=FALSE,MyRowHidden(ROW()-1)=TRUE),0,IF(M582&lt;totalMonths,(totalMonths-M582)/totalMonths *(I582-I581)+O581,0))</f>
        <v>-165582.08333333331</v>
      </c>
      <c r="P582">
        <f>IF(AND(MyRowHidden(ROW())=FALSE,MyRowHidden(ROW()-1)=TRUE),0,IF(M582&lt;totalMonths,(totalMonths-M582)/totalMonths *(J582-J581)+P581,0))</f>
        <v>-292848</v>
      </c>
      <c r="Q582">
        <f>IF(AND(MyRowHidden(ROW())=FALSE,MyRowHidden(ROW()-1)=TRUE),0,IF(M582&lt;totalMonths,(totalMonths-M582)/totalMonths *(K582-K581)+Q581,0))</f>
        <v>292848</v>
      </c>
      <c r="R582">
        <f t="shared" si="48"/>
        <v>-472048</v>
      </c>
      <c r="S582">
        <f t="shared" si="49"/>
        <v>-458430.08333333331</v>
      </c>
    </row>
    <row r="583" spans="1:19" x14ac:dyDescent="0.25">
      <c r="A583" s="1"/>
      <c r="C583" s="1"/>
      <c r="D583" s="1">
        <v>42074</v>
      </c>
      <c r="E583" s="10">
        <v>2412</v>
      </c>
      <c r="F583" s="1">
        <v>42074</v>
      </c>
      <c r="G583">
        <v>-7791</v>
      </c>
      <c r="H583" s="1">
        <f t="shared" si="44"/>
        <v>42074</v>
      </c>
      <c r="I583">
        <f>IF(AND(MyRowHidden(ROW())=FALSE,MyRowHidden(ROW()-1)=TRUE),0,(E583-E582)*unitsOfDHp+I582)</f>
        <v>-179200</v>
      </c>
      <c r="J583">
        <f>IF(AND(MyRowHidden(ROW())=FALSE,MyRowHidden(ROW()-1)=TRUE),0,(G583-G582)*unitsOfExo+J582)</f>
        <v>-226512</v>
      </c>
      <c r="K583" s="9">
        <f t="shared" si="45"/>
        <v>226512</v>
      </c>
      <c r="L583">
        <f t="shared" si="46"/>
        <v>-405712</v>
      </c>
      <c r="M583">
        <f>IF(AND(MyRowHidden(ROW())=FALSE,MyRowHidden(ROW()-1)=TRUE),0,IF(MONTH(H583)&lt;&gt;MONTH(H582),M582+1,M582))</f>
        <v>2</v>
      </c>
      <c r="N583">
        <f t="shared" si="47"/>
        <v>-179200</v>
      </c>
      <c r="O583">
        <f>IF(AND(MyRowHidden(ROW())=FALSE,MyRowHidden(ROW()-1)=TRUE),0,IF(M583&lt;totalMonths,(totalMonths-M583)/totalMonths *(I583-I582)+O582,0))</f>
        <v>-165582.08333333331</v>
      </c>
      <c r="P583">
        <f>IF(AND(MyRowHidden(ROW())=FALSE,MyRowHidden(ROW()-1)=TRUE),0,IF(M583&lt;totalMonths,(totalMonths-M583)/totalMonths *(J583-J582)+P582,0))</f>
        <v>-235848</v>
      </c>
      <c r="Q583">
        <f>IF(AND(MyRowHidden(ROW())=FALSE,MyRowHidden(ROW()-1)=TRUE),0,IF(M583&lt;totalMonths,(totalMonths-M583)/totalMonths *(K583-K582)+Q582,0))</f>
        <v>235848</v>
      </c>
      <c r="R583">
        <f t="shared" si="48"/>
        <v>-415048</v>
      </c>
      <c r="S583">
        <f t="shared" si="49"/>
        <v>-401430.08333333331</v>
      </c>
    </row>
    <row r="584" spans="1:19" x14ac:dyDescent="0.25">
      <c r="A584" s="1"/>
      <c r="C584" s="1"/>
      <c r="D584" s="1">
        <v>42075</v>
      </c>
      <c r="E584" s="10">
        <v>2412</v>
      </c>
      <c r="F584" s="1">
        <v>42075</v>
      </c>
      <c r="G584">
        <v>-7891</v>
      </c>
      <c r="H584" s="1">
        <f t="shared" si="44"/>
        <v>42075</v>
      </c>
      <c r="I584">
        <f>IF(AND(MyRowHidden(ROW())=FALSE,MyRowHidden(ROW()-1)=TRUE),0,(E584-E583)*unitsOfDHp+I583)</f>
        <v>-179200</v>
      </c>
      <c r="J584">
        <f>IF(AND(MyRowHidden(ROW())=FALSE,MyRowHidden(ROW()-1)=TRUE),0,(G584-G583)*unitsOfExo+J583)</f>
        <v>-255312</v>
      </c>
      <c r="K584" s="9">
        <f t="shared" si="45"/>
        <v>255312</v>
      </c>
      <c r="L584">
        <f t="shared" si="46"/>
        <v>-434512</v>
      </c>
      <c r="M584">
        <f>IF(AND(MyRowHidden(ROW())=FALSE,MyRowHidden(ROW()-1)=TRUE),0,IF(MONTH(H584)&lt;&gt;MONTH(H583),M583+1,M583))</f>
        <v>2</v>
      </c>
      <c r="N584">
        <f t="shared" si="47"/>
        <v>-179200</v>
      </c>
      <c r="O584">
        <f>IF(AND(MyRowHidden(ROW())=FALSE,MyRowHidden(ROW()-1)=TRUE),0,IF(M584&lt;totalMonths,(totalMonths-M584)/totalMonths *(I584-I583)+O583,0))</f>
        <v>-165582.08333333331</v>
      </c>
      <c r="P584">
        <f>IF(AND(MyRowHidden(ROW())=FALSE,MyRowHidden(ROW()-1)=TRUE),0,IF(M584&lt;totalMonths,(totalMonths-M584)/totalMonths *(J584-J583)+P583,0))</f>
        <v>-259848</v>
      </c>
      <c r="Q584">
        <f>IF(AND(MyRowHidden(ROW())=FALSE,MyRowHidden(ROW()-1)=TRUE),0,IF(M584&lt;totalMonths,(totalMonths-M584)/totalMonths *(K584-K583)+Q583,0))</f>
        <v>259848</v>
      </c>
      <c r="R584">
        <f t="shared" si="48"/>
        <v>-439048</v>
      </c>
      <c r="S584">
        <f t="shared" si="49"/>
        <v>-425430.08333333331</v>
      </c>
    </row>
    <row r="585" spans="1:19" x14ac:dyDescent="0.25">
      <c r="A585" s="1"/>
      <c r="C585" s="1"/>
      <c r="D585" s="1">
        <v>42076</v>
      </c>
      <c r="E585" s="10">
        <v>2412</v>
      </c>
      <c r="F585" s="1">
        <v>42076</v>
      </c>
      <c r="G585">
        <v>-8303.5</v>
      </c>
      <c r="H585" s="1">
        <f t="shared" si="44"/>
        <v>42076</v>
      </c>
      <c r="I585">
        <f>IF(AND(MyRowHidden(ROW())=FALSE,MyRowHidden(ROW()-1)=TRUE),0,(E585-E584)*unitsOfDHp+I584)</f>
        <v>-179200</v>
      </c>
      <c r="J585">
        <f>IF(AND(MyRowHidden(ROW())=FALSE,MyRowHidden(ROW()-1)=TRUE),0,(G585-G584)*unitsOfExo+J584)</f>
        <v>-374112</v>
      </c>
      <c r="K585" s="9">
        <f t="shared" si="45"/>
        <v>374112</v>
      </c>
      <c r="L585">
        <f t="shared" si="46"/>
        <v>-553312</v>
      </c>
      <c r="M585">
        <f>IF(AND(MyRowHidden(ROW())=FALSE,MyRowHidden(ROW()-1)=TRUE),0,IF(MONTH(H585)&lt;&gt;MONTH(H584),M584+1,M584))</f>
        <v>2</v>
      </c>
      <c r="N585">
        <f t="shared" si="47"/>
        <v>-179200</v>
      </c>
      <c r="O585">
        <f>IF(AND(MyRowHidden(ROW())=FALSE,MyRowHidden(ROW()-1)=TRUE),0,IF(M585&lt;totalMonths,(totalMonths-M585)/totalMonths *(I585-I584)+O584,0))</f>
        <v>-165582.08333333331</v>
      </c>
      <c r="P585">
        <f>IF(AND(MyRowHidden(ROW())=FALSE,MyRowHidden(ROW()-1)=TRUE),0,IF(M585&lt;totalMonths,(totalMonths-M585)/totalMonths *(J585-J584)+P584,0))</f>
        <v>-358848</v>
      </c>
      <c r="Q585">
        <f>IF(AND(MyRowHidden(ROW())=FALSE,MyRowHidden(ROW()-1)=TRUE),0,IF(M585&lt;totalMonths,(totalMonths-M585)/totalMonths *(K585-K584)+Q584,0))</f>
        <v>358848</v>
      </c>
      <c r="R585">
        <f t="shared" si="48"/>
        <v>-538048</v>
      </c>
      <c r="S585">
        <f t="shared" si="49"/>
        <v>-524430.08333333326</v>
      </c>
    </row>
    <row r="586" spans="1:19" x14ac:dyDescent="0.25">
      <c r="A586" s="1"/>
      <c r="C586" s="1"/>
      <c r="D586" s="1">
        <v>42079</v>
      </c>
      <c r="E586" s="10">
        <v>2412</v>
      </c>
      <c r="F586" s="1">
        <v>42079</v>
      </c>
      <c r="G586">
        <v>-8428.5</v>
      </c>
      <c r="H586" s="1">
        <f t="shared" si="44"/>
        <v>42079</v>
      </c>
      <c r="I586">
        <f>IF(AND(MyRowHidden(ROW())=FALSE,MyRowHidden(ROW()-1)=TRUE),0,(E586-E585)*unitsOfDHp+I585)</f>
        <v>-179200</v>
      </c>
      <c r="J586">
        <f>IF(AND(MyRowHidden(ROW())=FALSE,MyRowHidden(ROW()-1)=TRUE),0,(G586-G585)*unitsOfExo+J585)</f>
        <v>-410112</v>
      </c>
      <c r="K586" s="9">
        <f t="shared" si="45"/>
        <v>410112</v>
      </c>
      <c r="L586">
        <f t="shared" si="46"/>
        <v>-589312</v>
      </c>
      <c r="M586">
        <f>IF(AND(MyRowHidden(ROW())=FALSE,MyRowHidden(ROW()-1)=TRUE),0,IF(MONTH(H586)&lt;&gt;MONTH(H585),M585+1,M585))</f>
        <v>2</v>
      </c>
      <c r="N586">
        <f t="shared" si="47"/>
        <v>-179200</v>
      </c>
      <c r="O586">
        <f>IF(AND(MyRowHidden(ROW())=FALSE,MyRowHidden(ROW()-1)=TRUE),0,IF(M586&lt;totalMonths,(totalMonths-M586)/totalMonths *(I586-I585)+O585,0))</f>
        <v>-165582.08333333331</v>
      </c>
      <c r="P586">
        <f>IF(AND(MyRowHidden(ROW())=FALSE,MyRowHidden(ROW()-1)=TRUE),0,IF(M586&lt;totalMonths,(totalMonths-M586)/totalMonths *(J586-J585)+P585,0))</f>
        <v>-388848</v>
      </c>
      <c r="Q586">
        <f>IF(AND(MyRowHidden(ROW())=FALSE,MyRowHidden(ROW()-1)=TRUE),0,IF(M586&lt;totalMonths,(totalMonths-M586)/totalMonths *(K586-K585)+Q585,0))</f>
        <v>388848</v>
      </c>
      <c r="R586">
        <f t="shared" si="48"/>
        <v>-568048</v>
      </c>
      <c r="S586">
        <f t="shared" si="49"/>
        <v>-554430.08333333326</v>
      </c>
    </row>
    <row r="587" spans="1:19" x14ac:dyDescent="0.25">
      <c r="A587" s="1"/>
      <c r="C587" s="1"/>
      <c r="D587" s="1">
        <v>42080</v>
      </c>
      <c r="E587" s="10">
        <v>2412</v>
      </c>
      <c r="F587" s="1">
        <v>42080</v>
      </c>
      <c r="G587">
        <v>-8828.5</v>
      </c>
      <c r="H587" s="1">
        <f t="shared" si="44"/>
        <v>42080</v>
      </c>
      <c r="I587">
        <f>IF(AND(MyRowHidden(ROW())=FALSE,MyRowHidden(ROW()-1)=TRUE),0,(E587-E586)*unitsOfDHp+I586)</f>
        <v>-179200</v>
      </c>
      <c r="J587">
        <f>IF(AND(MyRowHidden(ROW())=FALSE,MyRowHidden(ROW()-1)=TRUE),0,(G587-G586)*unitsOfExo+J586)</f>
        <v>-525312</v>
      </c>
      <c r="K587" s="9">
        <f t="shared" si="45"/>
        <v>525312</v>
      </c>
      <c r="L587">
        <f t="shared" si="46"/>
        <v>-704512</v>
      </c>
      <c r="M587">
        <f>IF(AND(MyRowHidden(ROW())=FALSE,MyRowHidden(ROW()-1)=TRUE),0,IF(MONTH(H587)&lt;&gt;MONTH(H586),M586+1,M586))</f>
        <v>2</v>
      </c>
      <c r="N587">
        <f t="shared" si="47"/>
        <v>-179200</v>
      </c>
      <c r="O587">
        <f>IF(AND(MyRowHidden(ROW())=FALSE,MyRowHidden(ROW()-1)=TRUE),0,IF(M587&lt;totalMonths,(totalMonths-M587)/totalMonths *(I587-I586)+O586,0))</f>
        <v>-165582.08333333331</v>
      </c>
      <c r="P587">
        <f>IF(AND(MyRowHidden(ROW())=FALSE,MyRowHidden(ROW()-1)=TRUE),0,IF(M587&lt;totalMonths,(totalMonths-M587)/totalMonths *(J587-J586)+P586,0))</f>
        <v>-484848</v>
      </c>
      <c r="Q587">
        <f>IF(AND(MyRowHidden(ROW())=FALSE,MyRowHidden(ROW()-1)=TRUE),0,IF(M587&lt;totalMonths,(totalMonths-M587)/totalMonths *(K587-K586)+Q586,0))</f>
        <v>484848</v>
      </c>
      <c r="R587">
        <f t="shared" si="48"/>
        <v>-664048</v>
      </c>
      <c r="S587">
        <f t="shared" si="49"/>
        <v>-650430.08333333326</v>
      </c>
    </row>
    <row r="588" spans="1:19" x14ac:dyDescent="0.25">
      <c r="A588" s="1"/>
      <c r="C588" s="1"/>
      <c r="D588" s="1">
        <v>42081</v>
      </c>
      <c r="E588" s="10">
        <v>2412</v>
      </c>
      <c r="F588" s="1">
        <v>42081</v>
      </c>
      <c r="G588">
        <v>-8728.5</v>
      </c>
      <c r="H588" s="1">
        <f t="shared" si="44"/>
        <v>42081</v>
      </c>
      <c r="I588">
        <f>IF(AND(MyRowHidden(ROW())=FALSE,MyRowHidden(ROW()-1)=TRUE),0,(E588-E587)*unitsOfDHp+I587)</f>
        <v>-179200</v>
      </c>
      <c r="J588">
        <f>IF(AND(MyRowHidden(ROW())=FALSE,MyRowHidden(ROW()-1)=TRUE),0,(G588-G587)*unitsOfExo+J587)</f>
        <v>-496512</v>
      </c>
      <c r="K588" s="9">
        <f t="shared" si="45"/>
        <v>496512</v>
      </c>
      <c r="L588">
        <f t="shared" si="46"/>
        <v>-675712</v>
      </c>
      <c r="M588">
        <f>IF(AND(MyRowHidden(ROW())=FALSE,MyRowHidden(ROW()-1)=TRUE),0,IF(MONTH(H588)&lt;&gt;MONTH(H587),M587+1,M587))</f>
        <v>2</v>
      </c>
      <c r="N588">
        <f t="shared" si="47"/>
        <v>-179200</v>
      </c>
      <c r="O588">
        <f>IF(AND(MyRowHidden(ROW())=FALSE,MyRowHidden(ROW()-1)=TRUE),0,IF(M588&lt;totalMonths,(totalMonths-M588)/totalMonths *(I588-I587)+O587,0))</f>
        <v>-165582.08333333331</v>
      </c>
      <c r="P588">
        <f>IF(AND(MyRowHidden(ROW())=FALSE,MyRowHidden(ROW()-1)=TRUE),0,IF(M588&lt;totalMonths,(totalMonths-M588)/totalMonths *(J588-J587)+P587,0))</f>
        <v>-460848</v>
      </c>
      <c r="Q588">
        <f>IF(AND(MyRowHidden(ROW())=FALSE,MyRowHidden(ROW()-1)=TRUE),0,IF(M588&lt;totalMonths,(totalMonths-M588)/totalMonths *(K588-K587)+Q587,0))</f>
        <v>460848</v>
      </c>
      <c r="R588">
        <f t="shared" si="48"/>
        <v>-640048</v>
      </c>
      <c r="S588">
        <f t="shared" si="49"/>
        <v>-626430.08333333326</v>
      </c>
    </row>
    <row r="589" spans="1:19" x14ac:dyDescent="0.25">
      <c r="A589" s="1"/>
      <c r="C589" s="1"/>
      <c r="D589" s="1">
        <v>42082</v>
      </c>
      <c r="E589" s="10">
        <v>2412</v>
      </c>
      <c r="F589" s="1">
        <v>42082</v>
      </c>
      <c r="G589">
        <v>-8728.5</v>
      </c>
      <c r="H589" s="1">
        <f t="shared" si="44"/>
        <v>42082</v>
      </c>
      <c r="I589">
        <f>IF(AND(MyRowHidden(ROW())=FALSE,MyRowHidden(ROW()-1)=TRUE),0,(E589-E588)*unitsOfDHp+I588)</f>
        <v>-179200</v>
      </c>
      <c r="J589">
        <f>IF(AND(MyRowHidden(ROW())=FALSE,MyRowHidden(ROW()-1)=TRUE),0,(G589-G588)*unitsOfExo+J588)</f>
        <v>-496512</v>
      </c>
      <c r="K589" s="9">
        <f t="shared" si="45"/>
        <v>496512</v>
      </c>
      <c r="L589">
        <f t="shared" si="46"/>
        <v>-675712</v>
      </c>
      <c r="M589">
        <f>IF(AND(MyRowHidden(ROW())=FALSE,MyRowHidden(ROW()-1)=TRUE),0,IF(MONTH(H589)&lt;&gt;MONTH(H588),M588+1,M588))</f>
        <v>2</v>
      </c>
      <c r="N589">
        <f t="shared" si="47"/>
        <v>-179200</v>
      </c>
      <c r="O589">
        <f>IF(AND(MyRowHidden(ROW())=FALSE,MyRowHidden(ROW()-1)=TRUE),0,IF(M589&lt;totalMonths,(totalMonths-M589)/totalMonths *(I589-I588)+O588,0))</f>
        <v>-165582.08333333331</v>
      </c>
      <c r="P589">
        <f>IF(AND(MyRowHidden(ROW())=FALSE,MyRowHidden(ROW()-1)=TRUE),0,IF(M589&lt;totalMonths,(totalMonths-M589)/totalMonths *(J589-J588)+P588,0))</f>
        <v>-460848</v>
      </c>
      <c r="Q589">
        <f>IF(AND(MyRowHidden(ROW())=FALSE,MyRowHidden(ROW()-1)=TRUE),0,IF(M589&lt;totalMonths,(totalMonths-M589)/totalMonths *(K589-K588)+Q588,0))</f>
        <v>460848</v>
      </c>
      <c r="R589">
        <f t="shared" si="48"/>
        <v>-640048</v>
      </c>
      <c r="S589">
        <f t="shared" si="49"/>
        <v>-626430.08333333326</v>
      </c>
    </row>
    <row r="590" spans="1:19" x14ac:dyDescent="0.25">
      <c r="A590" s="1"/>
      <c r="C590" s="1"/>
      <c r="D590" s="1">
        <v>42083</v>
      </c>
      <c r="E590" s="10">
        <v>2412</v>
      </c>
      <c r="F590" s="1">
        <v>42083</v>
      </c>
      <c r="G590">
        <v>-8053.5</v>
      </c>
      <c r="H590" s="1">
        <f t="shared" si="44"/>
        <v>42083</v>
      </c>
      <c r="I590">
        <f>IF(AND(MyRowHidden(ROW())=FALSE,MyRowHidden(ROW()-1)=TRUE),0,(E590-E589)*unitsOfDHp+I589)</f>
        <v>-179200</v>
      </c>
      <c r="J590">
        <f>IF(AND(MyRowHidden(ROW())=FALSE,MyRowHidden(ROW()-1)=TRUE),0,(G590-G589)*unitsOfExo+J589)</f>
        <v>-302112</v>
      </c>
      <c r="K590" s="9">
        <f t="shared" si="45"/>
        <v>302112</v>
      </c>
      <c r="L590">
        <f t="shared" si="46"/>
        <v>-481312</v>
      </c>
      <c r="M590">
        <f>IF(AND(MyRowHidden(ROW())=FALSE,MyRowHidden(ROW()-1)=TRUE),0,IF(MONTH(H590)&lt;&gt;MONTH(H589),M589+1,M589))</f>
        <v>2</v>
      </c>
      <c r="N590">
        <f t="shared" si="47"/>
        <v>-179200</v>
      </c>
      <c r="O590">
        <f>IF(AND(MyRowHidden(ROW())=FALSE,MyRowHidden(ROW()-1)=TRUE),0,IF(M590&lt;totalMonths,(totalMonths-M590)/totalMonths *(I590-I589)+O589,0))</f>
        <v>-165582.08333333331</v>
      </c>
      <c r="P590">
        <f>IF(AND(MyRowHidden(ROW())=FALSE,MyRowHidden(ROW()-1)=TRUE),0,IF(M590&lt;totalMonths,(totalMonths-M590)/totalMonths *(J590-J589)+P589,0))</f>
        <v>-298848</v>
      </c>
      <c r="Q590">
        <f>IF(AND(MyRowHidden(ROW())=FALSE,MyRowHidden(ROW()-1)=TRUE),0,IF(M590&lt;totalMonths,(totalMonths-M590)/totalMonths *(K590-K589)+Q589,0))</f>
        <v>298848</v>
      </c>
      <c r="R590">
        <f t="shared" si="48"/>
        <v>-478048</v>
      </c>
      <c r="S590">
        <f t="shared" si="49"/>
        <v>-464430.08333333331</v>
      </c>
    </row>
    <row r="591" spans="1:19" x14ac:dyDescent="0.25">
      <c r="A591" s="1"/>
      <c r="C591" s="1"/>
      <c r="D591" s="1">
        <v>42086</v>
      </c>
      <c r="E591" s="10">
        <v>2412</v>
      </c>
      <c r="F591" s="1">
        <v>42086</v>
      </c>
      <c r="G591">
        <v>-7816</v>
      </c>
      <c r="H591" s="1">
        <f t="shared" si="44"/>
        <v>42086</v>
      </c>
      <c r="I591">
        <f>IF(AND(MyRowHidden(ROW())=FALSE,MyRowHidden(ROW()-1)=TRUE),0,(E591-E590)*unitsOfDHp+I590)</f>
        <v>-179200</v>
      </c>
      <c r="J591">
        <f>IF(AND(MyRowHidden(ROW())=FALSE,MyRowHidden(ROW()-1)=TRUE),0,(G591-G590)*unitsOfExo+J590)</f>
        <v>-233712</v>
      </c>
      <c r="K591" s="9">
        <f t="shared" si="45"/>
        <v>233712</v>
      </c>
      <c r="L591">
        <f t="shared" si="46"/>
        <v>-412912</v>
      </c>
      <c r="M591">
        <f>IF(AND(MyRowHidden(ROW())=FALSE,MyRowHidden(ROW()-1)=TRUE),0,IF(MONTH(H591)&lt;&gt;MONTH(H590),M590+1,M590))</f>
        <v>2</v>
      </c>
      <c r="N591">
        <f t="shared" si="47"/>
        <v>-179200</v>
      </c>
      <c r="O591">
        <f>IF(AND(MyRowHidden(ROW())=FALSE,MyRowHidden(ROW()-1)=TRUE),0,IF(M591&lt;totalMonths,(totalMonths-M591)/totalMonths *(I591-I590)+O590,0))</f>
        <v>-165582.08333333331</v>
      </c>
      <c r="P591">
        <f>IF(AND(MyRowHidden(ROW())=FALSE,MyRowHidden(ROW()-1)=TRUE),0,IF(M591&lt;totalMonths,(totalMonths-M591)/totalMonths *(J591-J590)+P590,0))</f>
        <v>-241848</v>
      </c>
      <c r="Q591">
        <f>IF(AND(MyRowHidden(ROW())=FALSE,MyRowHidden(ROW()-1)=TRUE),0,IF(M591&lt;totalMonths,(totalMonths-M591)/totalMonths *(K591-K590)+Q590,0))</f>
        <v>241848</v>
      </c>
      <c r="R591">
        <f t="shared" si="48"/>
        <v>-421048</v>
      </c>
      <c r="S591">
        <f t="shared" si="49"/>
        <v>-407430.08333333331</v>
      </c>
    </row>
    <row r="592" spans="1:19" x14ac:dyDescent="0.25">
      <c r="A592" s="1"/>
      <c r="C592" s="1"/>
      <c r="D592" s="1">
        <v>42087</v>
      </c>
      <c r="E592" s="10">
        <v>2412</v>
      </c>
      <c r="F592" s="1">
        <v>42087</v>
      </c>
      <c r="G592">
        <v>-7716</v>
      </c>
      <c r="H592" s="1">
        <f t="shared" si="44"/>
        <v>42087</v>
      </c>
      <c r="I592">
        <f>IF(AND(MyRowHidden(ROW())=FALSE,MyRowHidden(ROW()-1)=TRUE),0,(E592-E591)*unitsOfDHp+I591)</f>
        <v>-179200</v>
      </c>
      <c r="J592">
        <f>IF(AND(MyRowHidden(ROW())=FALSE,MyRowHidden(ROW()-1)=TRUE),0,(G592-G591)*unitsOfExo+J591)</f>
        <v>-204912</v>
      </c>
      <c r="K592" s="9">
        <f t="shared" si="45"/>
        <v>204912</v>
      </c>
      <c r="L592">
        <f t="shared" si="46"/>
        <v>-384112</v>
      </c>
      <c r="M592">
        <f>IF(AND(MyRowHidden(ROW())=FALSE,MyRowHidden(ROW()-1)=TRUE),0,IF(MONTH(H592)&lt;&gt;MONTH(H591),M591+1,M591))</f>
        <v>2</v>
      </c>
      <c r="N592">
        <f t="shared" si="47"/>
        <v>-179200</v>
      </c>
      <c r="O592">
        <f>IF(AND(MyRowHidden(ROW())=FALSE,MyRowHidden(ROW()-1)=TRUE),0,IF(M592&lt;totalMonths,(totalMonths-M592)/totalMonths *(I592-I591)+O591,0))</f>
        <v>-165582.08333333331</v>
      </c>
      <c r="P592">
        <f>IF(AND(MyRowHidden(ROW())=FALSE,MyRowHidden(ROW()-1)=TRUE),0,IF(M592&lt;totalMonths,(totalMonths-M592)/totalMonths *(J592-J591)+P591,0))</f>
        <v>-217848</v>
      </c>
      <c r="Q592">
        <f>IF(AND(MyRowHidden(ROW())=FALSE,MyRowHidden(ROW()-1)=TRUE),0,IF(M592&lt;totalMonths,(totalMonths-M592)/totalMonths *(K592-K591)+Q591,0))</f>
        <v>217848</v>
      </c>
      <c r="R592">
        <f t="shared" si="48"/>
        <v>-397048</v>
      </c>
      <c r="S592">
        <f t="shared" si="49"/>
        <v>-383430.08333333331</v>
      </c>
    </row>
    <row r="593" spans="1:19" x14ac:dyDescent="0.25">
      <c r="A593" s="1"/>
      <c r="C593" s="1"/>
      <c r="D593" s="1">
        <v>42088</v>
      </c>
      <c r="E593" s="10">
        <v>2412</v>
      </c>
      <c r="F593" s="1">
        <v>42088</v>
      </c>
      <c r="G593">
        <v>-7591</v>
      </c>
      <c r="H593" s="1">
        <f t="shared" si="44"/>
        <v>42088</v>
      </c>
      <c r="I593">
        <f>IF(AND(MyRowHidden(ROW())=FALSE,MyRowHidden(ROW()-1)=TRUE),0,(E593-E592)*unitsOfDHp+I592)</f>
        <v>-179200</v>
      </c>
      <c r="J593">
        <f>IF(AND(MyRowHidden(ROW())=FALSE,MyRowHidden(ROW()-1)=TRUE),0,(G593-G592)*unitsOfExo+J592)</f>
        <v>-168912</v>
      </c>
      <c r="K593" s="9">
        <f t="shared" si="45"/>
        <v>168912</v>
      </c>
      <c r="L593">
        <f t="shared" si="46"/>
        <v>-348112</v>
      </c>
      <c r="M593">
        <f>IF(AND(MyRowHidden(ROW())=FALSE,MyRowHidden(ROW()-1)=TRUE),0,IF(MONTH(H593)&lt;&gt;MONTH(H592),M592+1,M592))</f>
        <v>2</v>
      </c>
      <c r="N593">
        <f t="shared" si="47"/>
        <v>-179200</v>
      </c>
      <c r="O593">
        <f>IF(AND(MyRowHidden(ROW())=FALSE,MyRowHidden(ROW()-1)=TRUE),0,IF(M593&lt;totalMonths,(totalMonths-M593)/totalMonths *(I593-I592)+O592,0))</f>
        <v>-165582.08333333331</v>
      </c>
      <c r="P593">
        <f>IF(AND(MyRowHidden(ROW())=FALSE,MyRowHidden(ROW()-1)=TRUE),0,IF(M593&lt;totalMonths,(totalMonths-M593)/totalMonths *(J593-J592)+P592,0))</f>
        <v>-187848</v>
      </c>
      <c r="Q593">
        <f>IF(AND(MyRowHidden(ROW())=FALSE,MyRowHidden(ROW()-1)=TRUE),0,IF(M593&lt;totalMonths,(totalMonths-M593)/totalMonths *(K593-K592)+Q592,0))</f>
        <v>187848</v>
      </c>
      <c r="R593">
        <f t="shared" si="48"/>
        <v>-367048</v>
      </c>
      <c r="S593">
        <f t="shared" si="49"/>
        <v>-353430.08333333331</v>
      </c>
    </row>
    <row r="594" spans="1:19" x14ac:dyDescent="0.25">
      <c r="A594" s="1"/>
      <c r="C594" s="1"/>
      <c r="D594" s="1">
        <v>42089</v>
      </c>
      <c r="E594" s="10">
        <v>2412</v>
      </c>
      <c r="F594" s="1">
        <v>42089</v>
      </c>
      <c r="G594">
        <v>-7803.5</v>
      </c>
      <c r="H594" s="1">
        <f t="shared" si="44"/>
        <v>42089</v>
      </c>
      <c r="I594">
        <f>IF(AND(MyRowHidden(ROW())=FALSE,MyRowHidden(ROW()-1)=TRUE),0,(E594-E593)*unitsOfDHp+I593)</f>
        <v>-179200</v>
      </c>
      <c r="J594">
        <f>IF(AND(MyRowHidden(ROW())=FALSE,MyRowHidden(ROW()-1)=TRUE),0,(G594-G593)*unitsOfExo+J593)</f>
        <v>-230112</v>
      </c>
      <c r="K594" s="9">
        <f t="shared" si="45"/>
        <v>230112</v>
      </c>
      <c r="L594">
        <f t="shared" si="46"/>
        <v>-409312</v>
      </c>
      <c r="M594">
        <f>IF(AND(MyRowHidden(ROW())=FALSE,MyRowHidden(ROW()-1)=TRUE),0,IF(MONTH(H594)&lt;&gt;MONTH(H593),M593+1,M593))</f>
        <v>2</v>
      </c>
      <c r="N594">
        <f t="shared" si="47"/>
        <v>-179200</v>
      </c>
      <c r="O594">
        <f>IF(AND(MyRowHidden(ROW())=FALSE,MyRowHidden(ROW()-1)=TRUE),0,IF(M594&lt;totalMonths,(totalMonths-M594)/totalMonths *(I594-I593)+O593,0))</f>
        <v>-165582.08333333331</v>
      </c>
      <c r="P594">
        <f>IF(AND(MyRowHidden(ROW())=FALSE,MyRowHidden(ROW()-1)=TRUE),0,IF(M594&lt;totalMonths,(totalMonths-M594)/totalMonths *(J594-J593)+P593,0))</f>
        <v>-238848</v>
      </c>
      <c r="Q594">
        <f>IF(AND(MyRowHidden(ROW())=FALSE,MyRowHidden(ROW()-1)=TRUE),0,IF(M594&lt;totalMonths,(totalMonths-M594)/totalMonths *(K594-K593)+Q593,0))</f>
        <v>238848</v>
      </c>
      <c r="R594">
        <f t="shared" si="48"/>
        <v>-418048</v>
      </c>
      <c r="S594">
        <f t="shared" si="49"/>
        <v>-404430.08333333331</v>
      </c>
    </row>
    <row r="595" spans="1:19" x14ac:dyDescent="0.25">
      <c r="A595" s="1"/>
      <c r="C595" s="1"/>
      <c r="D595" s="1">
        <v>42090</v>
      </c>
      <c r="E595" s="10">
        <v>2412</v>
      </c>
      <c r="F595" s="1">
        <v>42090</v>
      </c>
      <c r="G595">
        <v>-7816</v>
      </c>
      <c r="H595" s="1">
        <f t="shared" si="44"/>
        <v>42090</v>
      </c>
      <c r="I595">
        <f>IF(AND(MyRowHidden(ROW())=FALSE,MyRowHidden(ROW()-1)=TRUE),0,(E595-E594)*unitsOfDHp+I594)</f>
        <v>-179200</v>
      </c>
      <c r="J595">
        <f>IF(AND(MyRowHidden(ROW())=FALSE,MyRowHidden(ROW()-1)=TRUE),0,(G595-G594)*unitsOfExo+J594)</f>
        <v>-233712</v>
      </c>
      <c r="K595" s="9">
        <f t="shared" si="45"/>
        <v>233712</v>
      </c>
      <c r="L595">
        <f t="shared" si="46"/>
        <v>-412912</v>
      </c>
      <c r="M595">
        <f>IF(AND(MyRowHidden(ROW())=FALSE,MyRowHidden(ROW()-1)=TRUE),0,IF(MONTH(H595)&lt;&gt;MONTH(H594),M594+1,M594))</f>
        <v>2</v>
      </c>
      <c r="N595">
        <f t="shared" si="47"/>
        <v>-179200</v>
      </c>
      <c r="O595">
        <f>IF(AND(MyRowHidden(ROW())=FALSE,MyRowHidden(ROW()-1)=TRUE),0,IF(M595&lt;totalMonths,(totalMonths-M595)/totalMonths *(I595-I594)+O594,0))</f>
        <v>-165582.08333333331</v>
      </c>
      <c r="P595">
        <f>IF(AND(MyRowHidden(ROW())=FALSE,MyRowHidden(ROW()-1)=TRUE),0,IF(M595&lt;totalMonths,(totalMonths-M595)/totalMonths *(J595-J594)+P594,0))</f>
        <v>-241848</v>
      </c>
      <c r="Q595">
        <f>IF(AND(MyRowHidden(ROW())=FALSE,MyRowHidden(ROW()-1)=TRUE),0,IF(M595&lt;totalMonths,(totalMonths-M595)/totalMonths *(K595-K594)+Q594,0))</f>
        <v>241848</v>
      </c>
      <c r="R595">
        <f t="shared" si="48"/>
        <v>-421048</v>
      </c>
      <c r="S595">
        <f t="shared" si="49"/>
        <v>-407430.08333333331</v>
      </c>
    </row>
    <row r="596" spans="1:19" x14ac:dyDescent="0.25">
      <c r="A596" s="1"/>
      <c r="C596" s="1"/>
      <c r="D596" s="1">
        <v>42093</v>
      </c>
      <c r="E596" s="10">
        <v>2412</v>
      </c>
      <c r="F596" s="1">
        <v>42093</v>
      </c>
      <c r="G596">
        <v>-7666</v>
      </c>
      <c r="H596" s="1">
        <f t="shared" si="44"/>
        <v>42093</v>
      </c>
      <c r="I596">
        <f>IF(AND(MyRowHidden(ROW())=FALSE,MyRowHidden(ROW()-1)=TRUE),0,(E596-E595)*unitsOfDHp+I595)</f>
        <v>-179200</v>
      </c>
      <c r="J596">
        <f>IF(AND(MyRowHidden(ROW())=FALSE,MyRowHidden(ROW()-1)=TRUE),0,(G596-G595)*unitsOfExo+J595)</f>
        <v>-190512</v>
      </c>
      <c r="K596" s="9">
        <f t="shared" si="45"/>
        <v>190512</v>
      </c>
      <c r="L596">
        <f t="shared" si="46"/>
        <v>-369712</v>
      </c>
      <c r="M596">
        <f>IF(AND(MyRowHidden(ROW())=FALSE,MyRowHidden(ROW()-1)=TRUE),0,IF(MONTH(H596)&lt;&gt;MONTH(H595),M595+1,M595))</f>
        <v>2</v>
      </c>
      <c r="N596">
        <f t="shared" si="47"/>
        <v>-179200</v>
      </c>
      <c r="O596">
        <f>IF(AND(MyRowHidden(ROW())=FALSE,MyRowHidden(ROW()-1)=TRUE),0,IF(M596&lt;totalMonths,(totalMonths-M596)/totalMonths *(I596-I595)+O595,0))</f>
        <v>-165582.08333333331</v>
      </c>
      <c r="P596">
        <f>IF(AND(MyRowHidden(ROW())=FALSE,MyRowHidden(ROW()-1)=TRUE),0,IF(M596&lt;totalMonths,(totalMonths-M596)/totalMonths *(J596-J595)+P595,0))</f>
        <v>-205848</v>
      </c>
      <c r="Q596">
        <f>IF(AND(MyRowHidden(ROW())=FALSE,MyRowHidden(ROW()-1)=TRUE),0,IF(M596&lt;totalMonths,(totalMonths-M596)/totalMonths *(K596-K595)+Q595,0))</f>
        <v>205848</v>
      </c>
      <c r="R596">
        <f t="shared" si="48"/>
        <v>-385048</v>
      </c>
      <c r="S596">
        <f t="shared" si="49"/>
        <v>-371430.08333333331</v>
      </c>
    </row>
    <row r="597" spans="1:19" x14ac:dyDescent="0.25">
      <c r="A597" s="1"/>
      <c r="C597" s="1"/>
      <c r="D597" s="1">
        <v>42094</v>
      </c>
      <c r="E597" s="10">
        <v>2412</v>
      </c>
      <c r="F597" s="1">
        <v>42094</v>
      </c>
      <c r="G597">
        <v>-8516</v>
      </c>
      <c r="H597" s="1">
        <f t="shared" si="44"/>
        <v>42094</v>
      </c>
      <c r="I597">
        <f>IF(AND(MyRowHidden(ROW())=FALSE,MyRowHidden(ROW()-1)=TRUE),0,(E597-E596)*unitsOfDHp+I596)</f>
        <v>-179200</v>
      </c>
      <c r="J597">
        <f>IF(AND(MyRowHidden(ROW())=FALSE,MyRowHidden(ROW()-1)=TRUE),0,(G597-G596)*unitsOfExo+J596)</f>
        <v>-435312</v>
      </c>
      <c r="K597" s="9">
        <f t="shared" si="45"/>
        <v>435312</v>
      </c>
      <c r="L597">
        <f t="shared" si="46"/>
        <v>-614512</v>
      </c>
      <c r="M597">
        <f>IF(AND(MyRowHidden(ROW())=FALSE,MyRowHidden(ROW()-1)=TRUE),0,IF(MONTH(H597)&lt;&gt;MONTH(H596),M596+1,M596))</f>
        <v>2</v>
      </c>
      <c r="N597">
        <f t="shared" si="47"/>
        <v>-179200</v>
      </c>
      <c r="O597">
        <f>IF(AND(MyRowHidden(ROW())=FALSE,MyRowHidden(ROW()-1)=TRUE),0,IF(M597&lt;totalMonths,(totalMonths-M597)/totalMonths *(I597-I596)+O596,0))</f>
        <v>-165582.08333333331</v>
      </c>
      <c r="P597">
        <f>IF(AND(MyRowHidden(ROW())=FALSE,MyRowHidden(ROW()-1)=TRUE),0,IF(M597&lt;totalMonths,(totalMonths-M597)/totalMonths *(J597-J596)+P596,0))</f>
        <v>-409848</v>
      </c>
      <c r="Q597">
        <f>IF(AND(MyRowHidden(ROW())=FALSE,MyRowHidden(ROW()-1)=TRUE),0,IF(M597&lt;totalMonths,(totalMonths-M597)/totalMonths *(K597-K596)+Q596,0))</f>
        <v>409848</v>
      </c>
      <c r="R597">
        <f t="shared" si="48"/>
        <v>-589048</v>
      </c>
      <c r="S597">
        <f t="shared" si="49"/>
        <v>-575430.08333333326</v>
      </c>
    </row>
    <row r="598" spans="1:19" x14ac:dyDescent="0.25">
      <c r="A598" s="1"/>
      <c r="C598" s="1"/>
      <c r="D598" s="1">
        <v>42095</v>
      </c>
      <c r="E598" s="10">
        <v>2577</v>
      </c>
      <c r="F598" s="1">
        <v>42095</v>
      </c>
      <c r="G598">
        <v>-8291</v>
      </c>
      <c r="H598" s="1">
        <f t="shared" ref="H598:H661" si="50">D598</f>
        <v>42095</v>
      </c>
      <c r="I598">
        <f>IF(AND(MyRowHidden(ROW())=FALSE,MyRowHidden(ROW()-1)=TRUE),0,(E598-E597)*unitsOfDHp+I597)</f>
        <v>-173425</v>
      </c>
      <c r="J598">
        <f>IF(AND(MyRowHidden(ROW())=FALSE,MyRowHidden(ROW()-1)=TRUE),0,(G598-G597)*unitsOfExo+J597)</f>
        <v>-370512</v>
      </c>
      <c r="K598" s="9">
        <f t="shared" ref="K598:K661" si="51">-(J598-J597)+K597</f>
        <v>370512</v>
      </c>
      <c r="L598">
        <f t="shared" ref="L598:L661" si="52">I598+J598</f>
        <v>-543937</v>
      </c>
      <c r="M598">
        <f>IF(AND(MyRowHidden(ROW())=FALSE,MyRowHidden(ROW()-1)=TRUE),0,IF(MONTH(H598)&lt;&gt;MONTH(H597),M597+1,M597))</f>
        <v>3</v>
      </c>
      <c r="N598">
        <f t="shared" ref="N598:N661" si="53">I598</f>
        <v>-173425</v>
      </c>
      <c r="O598">
        <f>IF(AND(MyRowHidden(ROW())=FALSE,MyRowHidden(ROW()-1)=TRUE),0,IF(M598&lt;totalMonths,(totalMonths-M598)/totalMonths *(I598-I597)+O597,0))</f>
        <v>-161250.83333333331</v>
      </c>
      <c r="P598">
        <f>IF(AND(MyRowHidden(ROW())=FALSE,MyRowHidden(ROW()-1)=TRUE),0,IF(M598&lt;totalMonths,(totalMonths-M598)/totalMonths *(J598-J597)+P597,0))</f>
        <v>-361248</v>
      </c>
      <c r="Q598">
        <f>IF(AND(MyRowHidden(ROW())=FALSE,MyRowHidden(ROW()-1)=TRUE),0,IF(M598&lt;totalMonths,(totalMonths-M598)/totalMonths *(K598-K597)+Q597,0))</f>
        <v>361248</v>
      </c>
      <c r="R598">
        <f t="shared" ref="R598:R661" si="54">N598+P598</f>
        <v>-534673</v>
      </c>
      <c r="S598">
        <f t="shared" ref="S598:S661" si="55">O598+P598</f>
        <v>-522498.83333333331</v>
      </c>
    </row>
    <row r="599" spans="1:19" x14ac:dyDescent="0.25">
      <c r="A599" s="1"/>
      <c r="C599" s="1"/>
      <c r="D599" s="1">
        <v>42096</v>
      </c>
      <c r="E599" s="10">
        <v>2577</v>
      </c>
      <c r="F599" s="1">
        <v>42096</v>
      </c>
      <c r="G599">
        <v>-8003.5</v>
      </c>
      <c r="H599" s="1">
        <f t="shared" si="50"/>
        <v>42096</v>
      </c>
      <c r="I599">
        <f>IF(AND(MyRowHidden(ROW())=FALSE,MyRowHidden(ROW()-1)=TRUE),0,(E599-E598)*unitsOfDHp+I598)</f>
        <v>-173425</v>
      </c>
      <c r="J599">
        <f>IF(AND(MyRowHidden(ROW())=FALSE,MyRowHidden(ROW()-1)=TRUE),0,(G599-G598)*unitsOfExo+J598)</f>
        <v>-287712</v>
      </c>
      <c r="K599" s="9">
        <f t="shared" si="51"/>
        <v>287712</v>
      </c>
      <c r="L599">
        <f t="shared" si="52"/>
        <v>-461137</v>
      </c>
      <c r="M599">
        <f>IF(AND(MyRowHidden(ROW())=FALSE,MyRowHidden(ROW()-1)=TRUE),0,IF(MONTH(H599)&lt;&gt;MONTH(H598),M598+1,M598))</f>
        <v>3</v>
      </c>
      <c r="N599">
        <f t="shared" si="53"/>
        <v>-173425</v>
      </c>
      <c r="O599">
        <f>IF(AND(MyRowHidden(ROW())=FALSE,MyRowHidden(ROW()-1)=TRUE),0,IF(M599&lt;totalMonths,(totalMonths-M599)/totalMonths *(I599-I598)+O598,0))</f>
        <v>-161250.83333333331</v>
      </c>
      <c r="P599">
        <f>IF(AND(MyRowHidden(ROW())=FALSE,MyRowHidden(ROW()-1)=TRUE),0,IF(M599&lt;totalMonths,(totalMonths-M599)/totalMonths *(J599-J598)+P598,0))</f>
        <v>-299148</v>
      </c>
      <c r="Q599">
        <f>IF(AND(MyRowHidden(ROW())=FALSE,MyRowHidden(ROW()-1)=TRUE),0,IF(M599&lt;totalMonths,(totalMonths-M599)/totalMonths *(K599-K598)+Q598,0))</f>
        <v>299148</v>
      </c>
      <c r="R599">
        <f t="shared" si="54"/>
        <v>-472573</v>
      </c>
      <c r="S599">
        <f t="shared" si="55"/>
        <v>-460398.83333333331</v>
      </c>
    </row>
    <row r="600" spans="1:19" x14ac:dyDescent="0.25">
      <c r="A600" s="1"/>
      <c r="C600" s="1"/>
      <c r="D600" s="1">
        <v>42097</v>
      </c>
      <c r="E600" s="10">
        <v>2577</v>
      </c>
      <c r="F600" s="1">
        <v>42097</v>
      </c>
      <c r="G600">
        <v>-7891</v>
      </c>
      <c r="H600" s="1">
        <f t="shared" si="50"/>
        <v>42097</v>
      </c>
      <c r="I600">
        <f>IF(AND(MyRowHidden(ROW())=FALSE,MyRowHidden(ROW()-1)=TRUE),0,(E600-E599)*unitsOfDHp+I599)</f>
        <v>-173425</v>
      </c>
      <c r="J600">
        <f>IF(AND(MyRowHidden(ROW())=FALSE,MyRowHidden(ROW()-1)=TRUE),0,(G600-G599)*unitsOfExo+J599)</f>
        <v>-255312</v>
      </c>
      <c r="K600" s="9">
        <f t="shared" si="51"/>
        <v>255312</v>
      </c>
      <c r="L600">
        <f t="shared" si="52"/>
        <v>-428737</v>
      </c>
      <c r="M600">
        <f>IF(AND(MyRowHidden(ROW())=FALSE,MyRowHidden(ROW()-1)=TRUE),0,IF(MONTH(H600)&lt;&gt;MONTH(H599),M599+1,M599))</f>
        <v>3</v>
      </c>
      <c r="N600">
        <f t="shared" si="53"/>
        <v>-173425</v>
      </c>
      <c r="O600">
        <f>IF(AND(MyRowHidden(ROW())=FALSE,MyRowHidden(ROW()-1)=TRUE),0,IF(M600&lt;totalMonths,(totalMonths-M600)/totalMonths *(I600-I599)+O599,0))</f>
        <v>-161250.83333333331</v>
      </c>
      <c r="P600">
        <f>IF(AND(MyRowHidden(ROW())=FALSE,MyRowHidden(ROW()-1)=TRUE),0,IF(M600&lt;totalMonths,(totalMonths-M600)/totalMonths *(J600-J599)+P599,0))</f>
        <v>-274848</v>
      </c>
      <c r="Q600">
        <f>IF(AND(MyRowHidden(ROW())=FALSE,MyRowHidden(ROW()-1)=TRUE),0,IF(M600&lt;totalMonths,(totalMonths-M600)/totalMonths *(K600-K599)+Q599,0))</f>
        <v>274848</v>
      </c>
      <c r="R600">
        <f t="shared" si="54"/>
        <v>-448273</v>
      </c>
      <c r="S600">
        <f t="shared" si="55"/>
        <v>-436098.83333333331</v>
      </c>
    </row>
    <row r="601" spans="1:19" x14ac:dyDescent="0.25">
      <c r="A601" s="1"/>
      <c r="C601" s="1"/>
      <c r="D601" s="1">
        <v>42100</v>
      </c>
      <c r="E601" s="10">
        <v>2577</v>
      </c>
      <c r="F601" s="1">
        <v>42100</v>
      </c>
      <c r="G601">
        <v>-8091</v>
      </c>
      <c r="H601" s="1">
        <f t="shared" si="50"/>
        <v>42100</v>
      </c>
      <c r="I601">
        <f>IF(AND(MyRowHidden(ROW())=FALSE,MyRowHidden(ROW()-1)=TRUE),0,(E601-E600)*unitsOfDHp+I600)</f>
        <v>-173425</v>
      </c>
      <c r="J601">
        <f>IF(AND(MyRowHidden(ROW())=FALSE,MyRowHidden(ROW()-1)=TRUE),0,(G601-G600)*unitsOfExo+J600)</f>
        <v>-312912</v>
      </c>
      <c r="K601" s="9">
        <f t="shared" si="51"/>
        <v>312912</v>
      </c>
      <c r="L601">
        <f t="shared" si="52"/>
        <v>-486337</v>
      </c>
      <c r="M601">
        <f>IF(AND(MyRowHidden(ROW())=FALSE,MyRowHidden(ROW()-1)=TRUE),0,IF(MONTH(H601)&lt;&gt;MONTH(H600),M600+1,M600))</f>
        <v>3</v>
      </c>
      <c r="N601">
        <f t="shared" si="53"/>
        <v>-173425</v>
      </c>
      <c r="O601">
        <f>IF(AND(MyRowHidden(ROW())=FALSE,MyRowHidden(ROW()-1)=TRUE),0,IF(M601&lt;totalMonths,(totalMonths-M601)/totalMonths *(I601-I600)+O600,0))</f>
        <v>-161250.83333333331</v>
      </c>
      <c r="P601">
        <f>IF(AND(MyRowHidden(ROW())=FALSE,MyRowHidden(ROW()-1)=TRUE),0,IF(M601&lt;totalMonths,(totalMonths-M601)/totalMonths *(J601-J600)+P600,0))</f>
        <v>-318048</v>
      </c>
      <c r="Q601">
        <f>IF(AND(MyRowHidden(ROW())=FALSE,MyRowHidden(ROW()-1)=TRUE),0,IF(M601&lt;totalMonths,(totalMonths-M601)/totalMonths *(K601-K600)+Q600,0))</f>
        <v>318048</v>
      </c>
      <c r="R601">
        <f t="shared" si="54"/>
        <v>-491473</v>
      </c>
      <c r="S601">
        <f t="shared" si="55"/>
        <v>-479298.83333333331</v>
      </c>
    </row>
    <row r="602" spans="1:19" x14ac:dyDescent="0.25">
      <c r="A602" s="1"/>
      <c r="C602" s="1"/>
      <c r="D602" s="1">
        <v>42101</v>
      </c>
      <c r="E602" s="10">
        <v>2577</v>
      </c>
      <c r="F602" s="1">
        <v>42101</v>
      </c>
      <c r="G602">
        <v>-8216</v>
      </c>
      <c r="H602" s="1">
        <f t="shared" si="50"/>
        <v>42101</v>
      </c>
      <c r="I602">
        <f>IF(AND(MyRowHidden(ROW())=FALSE,MyRowHidden(ROW()-1)=TRUE),0,(E602-E601)*unitsOfDHp+I601)</f>
        <v>-173425</v>
      </c>
      <c r="J602">
        <f>IF(AND(MyRowHidden(ROW())=FALSE,MyRowHidden(ROW()-1)=TRUE),0,(G602-G601)*unitsOfExo+J601)</f>
        <v>-348912</v>
      </c>
      <c r="K602" s="9">
        <f t="shared" si="51"/>
        <v>348912</v>
      </c>
      <c r="L602">
        <f t="shared" si="52"/>
        <v>-522337</v>
      </c>
      <c r="M602">
        <f>IF(AND(MyRowHidden(ROW())=FALSE,MyRowHidden(ROW()-1)=TRUE),0,IF(MONTH(H602)&lt;&gt;MONTH(H601),M601+1,M601))</f>
        <v>3</v>
      </c>
      <c r="N602">
        <f t="shared" si="53"/>
        <v>-173425</v>
      </c>
      <c r="O602">
        <f>IF(AND(MyRowHidden(ROW())=FALSE,MyRowHidden(ROW()-1)=TRUE),0,IF(M602&lt;totalMonths,(totalMonths-M602)/totalMonths *(I602-I601)+O601,0))</f>
        <v>-161250.83333333331</v>
      </c>
      <c r="P602">
        <f>IF(AND(MyRowHidden(ROW())=FALSE,MyRowHidden(ROW()-1)=TRUE),0,IF(M602&lt;totalMonths,(totalMonths-M602)/totalMonths *(J602-J601)+P601,0))</f>
        <v>-345048</v>
      </c>
      <c r="Q602">
        <f>IF(AND(MyRowHidden(ROW())=FALSE,MyRowHidden(ROW()-1)=TRUE),0,IF(M602&lt;totalMonths,(totalMonths-M602)/totalMonths *(K602-K601)+Q601,0))</f>
        <v>345048</v>
      </c>
      <c r="R602">
        <f t="shared" si="54"/>
        <v>-518473</v>
      </c>
      <c r="S602">
        <f t="shared" si="55"/>
        <v>-506298.83333333331</v>
      </c>
    </row>
    <row r="603" spans="1:19" x14ac:dyDescent="0.25">
      <c r="A603" s="1"/>
      <c r="C603" s="1"/>
      <c r="D603" s="1">
        <v>42102</v>
      </c>
      <c r="E603" s="10">
        <v>2577</v>
      </c>
      <c r="F603" s="1">
        <v>42102</v>
      </c>
      <c r="G603">
        <v>-8453.5</v>
      </c>
      <c r="H603" s="1">
        <f t="shared" si="50"/>
        <v>42102</v>
      </c>
      <c r="I603">
        <f>IF(AND(MyRowHidden(ROW())=FALSE,MyRowHidden(ROW()-1)=TRUE),0,(E603-E602)*unitsOfDHp+I602)</f>
        <v>-173425</v>
      </c>
      <c r="J603">
        <f>IF(AND(MyRowHidden(ROW())=FALSE,MyRowHidden(ROW()-1)=TRUE),0,(G603-G602)*unitsOfExo+J602)</f>
        <v>-417312</v>
      </c>
      <c r="K603" s="9">
        <f t="shared" si="51"/>
        <v>417312</v>
      </c>
      <c r="L603">
        <f t="shared" si="52"/>
        <v>-590737</v>
      </c>
      <c r="M603">
        <f>IF(AND(MyRowHidden(ROW())=FALSE,MyRowHidden(ROW()-1)=TRUE),0,IF(MONTH(H603)&lt;&gt;MONTH(H602),M602+1,M602))</f>
        <v>3</v>
      </c>
      <c r="N603">
        <f t="shared" si="53"/>
        <v>-173425</v>
      </c>
      <c r="O603">
        <f>IF(AND(MyRowHidden(ROW())=FALSE,MyRowHidden(ROW()-1)=TRUE),0,IF(M603&lt;totalMonths,(totalMonths-M603)/totalMonths *(I603-I602)+O602,0))</f>
        <v>-161250.83333333331</v>
      </c>
      <c r="P603">
        <f>IF(AND(MyRowHidden(ROW())=FALSE,MyRowHidden(ROW()-1)=TRUE),0,IF(M603&lt;totalMonths,(totalMonths-M603)/totalMonths *(J603-J602)+P602,0))</f>
        <v>-396348</v>
      </c>
      <c r="Q603">
        <f>IF(AND(MyRowHidden(ROW())=FALSE,MyRowHidden(ROW()-1)=TRUE),0,IF(M603&lt;totalMonths,(totalMonths-M603)/totalMonths *(K603-K602)+Q602,0))</f>
        <v>396348</v>
      </c>
      <c r="R603">
        <f t="shared" si="54"/>
        <v>-569773</v>
      </c>
      <c r="S603">
        <f t="shared" si="55"/>
        <v>-557598.83333333326</v>
      </c>
    </row>
    <row r="604" spans="1:19" x14ac:dyDescent="0.25">
      <c r="A604" s="1"/>
      <c r="C604" s="1"/>
      <c r="D604" s="1">
        <v>42103</v>
      </c>
      <c r="E604" s="10">
        <v>2577</v>
      </c>
      <c r="F604" s="1">
        <v>42103</v>
      </c>
      <c r="G604">
        <v>-8428.5</v>
      </c>
      <c r="H604" s="1">
        <f t="shared" si="50"/>
        <v>42103</v>
      </c>
      <c r="I604">
        <f>IF(AND(MyRowHidden(ROW())=FALSE,MyRowHidden(ROW()-1)=TRUE),0,(E604-E603)*unitsOfDHp+I603)</f>
        <v>-173425</v>
      </c>
      <c r="J604">
        <f>IF(AND(MyRowHidden(ROW())=FALSE,MyRowHidden(ROW()-1)=TRUE),0,(G604-G603)*unitsOfExo+J603)</f>
        <v>-410112</v>
      </c>
      <c r="K604" s="9">
        <f t="shared" si="51"/>
        <v>410112</v>
      </c>
      <c r="L604">
        <f t="shared" si="52"/>
        <v>-583537</v>
      </c>
      <c r="M604">
        <f>IF(AND(MyRowHidden(ROW())=FALSE,MyRowHidden(ROW()-1)=TRUE),0,IF(MONTH(H604)&lt;&gt;MONTH(H603),M603+1,M603))</f>
        <v>3</v>
      </c>
      <c r="N604">
        <f t="shared" si="53"/>
        <v>-173425</v>
      </c>
      <c r="O604">
        <f>IF(AND(MyRowHidden(ROW())=FALSE,MyRowHidden(ROW()-1)=TRUE),0,IF(M604&lt;totalMonths,(totalMonths-M604)/totalMonths *(I604-I603)+O603,0))</f>
        <v>-161250.83333333331</v>
      </c>
      <c r="P604">
        <f>IF(AND(MyRowHidden(ROW())=FALSE,MyRowHidden(ROW()-1)=TRUE),0,IF(M604&lt;totalMonths,(totalMonths-M604)/totalMonths *(J604-J603)+P603,0))</f>
        <v>-390948</v>
      </c>
      <c r="Q604">
        <f>IF(AND(MyRowHidden(ROW())=FALSE,MyRowHidden(ROW()-1)=TRUE),0,IF(M604&lt;totalMonths,(totalMonths-M604)/totalMonths *(K604-K603)+Q603,0))</f>
        <v>390948</v>
      </c>
      <c r="R604">
        <f t="shared" si="54"/>
        <v>-564373</v>
      </c>
      <c r="S604">
        <f t="shared" si="55"/>
        <v>-552198.83333333326</v>
      </c>
    </row>
    <row r="605" spans="1:19" x14ac:dyDescent="0.25">
      <c r="A605" s="1"/>
      <c r="C605" s="1"/>
      <c r="D605" s="1">
        <v>42104</v>
      </c>
      <c r="E605" s="10">
        <v>2577</v>
      </c>
      <c r="F605" s="1">
        <v>42104</v>
      </c>
      <c r="G605">
        <v>-8553.5</v>
      </c>
      <c r="H605" s="1">
        <f t="shared" si="50"/>
        <v>42104</v>
      </c>
      <c r="I605">
        <f>IF(AND(MyRowHidden(ROW())=FALSE,MyRowHidden(ROW()-1)=TRUE),0,(E605-E604)*unitsOfDHp+I604)</f>
        <v>-173425</v>
      </c>
      <c r="J605">
        <f>IF(AND(MyRowHidden(ROW())=FALSE,MyRowHidden(ROW()-1)=TRUE),0,(G605-G604)*unitsOfExo+J604)</f>
        <v>-446112</v>
      </c>
      <c r="K605" s="9">
        <f t="shared" si="51"/>
        <v>446112</v>
      </c>
      <c r="L605">
        <f t="shared" si="52"/>
        <v>-619537</v>
      </c>
      <c r="M605">
        <f>IF(AND(MyRowHidden(ROW())=FALSE,MyRowHidden(ROW()-1)=TRUE),0,IF(MONTH(H605)&lt;&gt;MONTH(H604),M604+1,M604))</f>
        <v>3</v>
      </c>
      <c r="N605">
        <f t="shared" si="53"/>
        <v>-173425</v>
      </c>
      <c r="O605">
        <f>IF(AND(MyRowHidden(ROW())=FALSE,MyRowHidden(ROW()-1)=TRUE),0,IF(M605&lt;totalMonths,(totalMonths-M605)/totalMonths *(I605-I604)+O604,0))</f>
        <v>-161250.83333333331</v>
      </c>
      <c r="P605">
        <f>IF(AND(MyRowHidden(ROW())=FALSE,MyRowHidden(ROW()-1)=TRUE),0,IF(M605&lt;totalMonths,(totalMonths-M605)/totalMonths *(J605-J604)+P604,0))</f>
        <v>-417948</v>
      </c>
      <c r="Q605">
        <f>IF(AND(MyRowHidden(ROW())=FALSE,MyRowHidden(ROW()-1)=TRUE),0,IF(M605&lt;totalMonths,(totalMonths-M605)/totalMonths *(K605-K604)+Q604,0))</f>
        <v>417948</v>
      </c>
      <c r="R605">
        <f t="shared" si="54"/>
        <v>-591373</v>
      </c>
      <c r="S605">
        <f t="shared" si="55"/>
        <v>-579198.83333333326</v>
      </c>
    </row>
    <row r="606" spans="1:19" x14ac:dyDescent="0.25">
      <c r="A606" s="1"/>
      <c r="C606" s="1"/>
      <c r="D606" s="1">
        <v>42107</v>
      </c>
      <c r="E606" s="10">
        <v>2577</v>
      </c>
      <c r="F606" s="1">
        <v>42107</v>
      </c>
      <c r="G606">
        <v>-8766</v>
      </c>
      <c r="H606" s="1">
        <f t="shared" si="50"/>
        <v>42107</v>
      </c>
      <c r="I606">
        <f>IF(AND(MyRowHidden(ROW())=FALSE,MyRowHidden(ROW()-1)=TRUE),0,(E606-E605)*unitsOfDHp+I605)</f>
        <v>-173425</v>
      </c>
      <c r="J606">
        <f>IF(AND(MyRowHidden(ROW())=FALSE,MyRowHidden(ROW()-1)=TRUE),0,(G606-G605)*unitsOfExo+J605)</f>
        <v>-507312</v>
      </c>
      <c r="K606" s="9">
        <f t="shared" si="51"/>
        <v>507312</v>
      </c>
      <c r="L606">
        <f t="shared" si="52"/>
        <v>-680737</v>
      </c>
      <c r="M606">
        <f>IF(AND(MyRowHidden(ROW())=FALSE,MyRowHidden(ROW()-1)=TRUE),0,IF(MONTH(H606)&lt;&gt;MONTH(H605),M605+1,M605))</f>
        <v>3</v>
      </c>
      <c r="N606">
        <f t="shared" si="53"/>
        <v>-173425</v>
      </c>
      <c r="O606">
        <f>IF(AND(MyRowHidden(ROW())=FALSE,MyRowHidden(ROW()-1)=TRUE),0,IF(M606&lt;totalMonths,(totalMonths-M606)/totalMonths *(I606-I605)+O605,0))</f>
        <v>-161250.83333333331</v>
      </c>
      <c r="P606">
        <f>IF(AND(MyRowHidden(ROW())=FALSE,MyRowHidden(ROW()-1)=TRUE),0,IF(M606&lt;totalMonths,(totalMonths-M606)/totalMonths *(J606-J605)+P605,0))</f>
        <v>-463848</v>
      </c>
      <c r="Q606">
        <f>IF(AND(MyRowHidden(ROW())=FALSE,MyRowHidden(ROW()-1)=TRUE),0,IF(M606&lt;totalMonths,(totalMonths-M606)/totalMonths *(K606-K605)+Q605,0))</f>
        <v>463848</v>
      </c>
      <c r="R606">
        <f t="shared" si="54"/>
        <v>-637273</v>
      </c>
      <c r="S606">
        <f t="shared" si="55"/>
        <v>-625098.83333333326</v>
      </c>
    </row>
    <row r="607" spans="1:19" x14ac:dyDescent="0.25">
      <c r="A607" s="1"/>
      <c r="C607" s="1"/>
      <c r="D607" s="1">
        <v>42108</v>
      </c>
      <c r="E607" s="10">
        <v>2577</v>
      </c>
      <c r="F607" s="1">
        <v>42108</v>
      </c>
      <c r="G607">
        <v>-8641</v>
      </c>
      <c r="H607" s="1">
        <f t="shared" si="50"/>
        <v>42108</v>
      </c>
      <c r="I607">
        <f>IF(AND(MyRowHidden(ROW())=FALSE,MyRowHidden(ROW()-1)=TRUE),0,(E607-E606)*unitsOfDHp+I606)</f>
        <v>-173425</v>
      </c>
      <c r="J607">
        <f>IF(AND(MyRowHidden(ROW())=FALSE,MyRowHidden(ROW()-1)=TRUE),0,(G607-G606)*unitsOfExo+J606)</f>
        <v>-471312</v>
      </c>
      <c r="K607" s="9">
        <f t="shared" si="51"/>
        <v>471312</v>
      </c>
      <c r="L607">
        <f t="shared" si="52"/>
        <v>-644737</v>
      </c>
      <c r="M607">
        <f>IF(AND(MyRowHidden(ROW())=FALSE,MyRowHidden(ROW()-1)=TRUE),0,IF(MONTH(H607)&lt;&gt;MONTH(H606),M606+1,M606))</f>
        <v>3</v>
      </c>
      <c r="N607">
        <f t="shared" si="53"/>
        <v>-173425</v>
      </c>
      <c r="O607">
        <f>IF(AND(MyRowHidden(ROW())=FALSE,MyRowHidden(ROW()-1)=TRUE),0,IF(M607&lt;totalMonths,(totalMonths-M607)/totalMonths *(I607-I606)+O606,0))</f>
        <v>-161250.83333333331</v>
      </c>
      <c r="P607">
        <f>IF(AND(MyRowHidden(ROW())=FALSE,MyRowHidden(ROW()-1)=TRUE),0,IF(M607&lt;totalMonths,(totalMonths-M607)/totalMonths *(J607-J606)+P606,0))</f>
        <v>-436848</v>
      </c>
      <c r="Q607">
        <f>IF(AND(MyRowHidden(ROW())=FALSE,MyRowHidden(ROW()-1)=TRUE),0,IF(M607&lt;totalMonths,(totalMonths-M607)/totalMonths *(K607-K606)+Q606,0))</f>
        <v>436848</v>
      </c>
      <c r="R607">
        <f t="shared" si="54"/>
        <v>-610273</v>
      </c>
      <c r="S607">
        <f t="shared" si="55"/>
        <v>-598098.83333333326</v>
      </c>
    </row>
    <row r="608" spans="1:19" x14ac:dyDescent="0.25">
      <c r="A608" s="1"/>
      <c r="C608" s="1"/>
      <c r="D608" s="1">
        <v>42109</v>
      </c>
      <c r="E608" s="10">
        <v>2577</v>
      </c>
      <c r="F608" s="1">
        <v>42109</v>
      </c>
      <c r="G608">
        <v>-8591</v>
      </c>
      <c r="H608" s="1">
        <f t="shared" si="50"/>
        <v>42109</v>
      </c>
      <c r="I608">
        <f>IF(AND(MyRowHidden(ROW())=FALSE,MyRowHidden(ROW()-1)=TRUE),0,(E608-E607)*unitsOfDHp+I607)</f>
        <v>-173425</v>
      </c>
      <c r="J608">
        <f>IF(AND(MyRowHidden(ROW())=FALSE,MyRowHidden(ROW()-1)=TRUE),0,(G608-G607)*unitsOfExo+J607)</f>
        <v>-456912</v>
      </c>
      <c r="K608" s="9">
        <f t="shared" si="51"/>
        <v>456912</v>
      </c>
      <c r="L608">
        <f t="shared" si="52"/>
        <v>-630337</v>
      </c>
      <c r="M608">
        <f>IF(AND(MyRowHidden(ROW())=FALSE,MyRowHidden(ROW()-1)=TRUE),0,IF(MONTH(H608)&lt;&gt;MONTH(H607),M607+1,M607))</f>
        <v>3</v>
      </c>
      <c r="N608">
        <f t="shared" si="53"/>
        <v>-173425</v>
      </c>
      <c r="O608">
        <f>IF(AND(MyRowHidden(ROW())=FALSE,MyRowHidden(ROW()-1)=TRUE),0,IF(M608&lt;totalMonths,(totalMonths-M608)/totalMonths *(I608-I607)+O607,0))</f>
        <v>-161250.83333333331</v>
      </c>
      <c r="P608">
        <f>IF(AND(MyRowHidden(ROW())=FALSE,MyRowHidden(ROW()-1)=TRUE),0,IF(M608&lt;totalMonths,(totalMonths-M608)/totalMonths *(J608-J607)+P607,0))</f>
        <v>-426048</v>
      </c>
      <c r="Q608">
        <f>IF(AND(MyRowHidden(ROW())=FALSE,MyRowHidden(ROW()-1)=TRUE),0,IF(M608&lt;totalMonths,(totalMonths-M608)/totalMonths *(K608-K607)+Q607,0))</f>
        <v>426048</v>
      </c>
      <c r="R608">
        <f t="shared" si="54"/>
        <v>-599473</v>
      </c>
      <c r="S608">
        <f t="shared" si="55"/>
        <v>-587298.83333333326</v>
      </c>
    </row>
    <row r="609" spans="1:19" x14ac:dyDescent="0.25">
      <c r="A609" s="1"/>
      <c r="C609" s="1"/>
      <c r="D609" s="1">
        <v>42110</v>
      </c>
      <c r="E609" s="10">
        <v>2577</v>
      </c>
      <c r="F609" s="1">
        <v>42110</v>
      </c>
      <c r="G609">
        <v>-8478.5</v>
      </c>
      <c r="H609" s="1">
        <f t="shared" si="50"/>
        <v>42110</v>
      </c>
      <c r="I609">
        <f>IF(AND(MyRowHidden(ROW())=FALSE,MyRowHidden(ROW()-1)=TRUE),0,(E609-E608)*unitsOfDHp+I608)</f>
        <v>-173425</v>
      </c>
      <c r="J609">
        <f>IF(AND(MyRowHidden(ROW())=FALSE,MyRowHidden(ROW()-1)=TRUE),0,(G609-G608)*unitsOfExo+J608)</f>
        <v>-424512</v>
      </c>
      <c r="K609" s="9">
        <f t="shared" si="51"/>
        <v>424512</v>
      </c>
      <c r="L609">
        <f t="shared" si="52"/>
        <v>-597937</v>
      </c>
      <c r="M609">
        <f>IF(AND(MyRowHidden(ROW())=FALSE,MyRowHidden(ROW()-1)=TRUE),0,IF(MONTH(H609)&lt;&gt;MONTH(H608),M608+1,M608))</f>
        <v>3</v>
      </c>
      <c r="N609">
        <f t="shared" si="53"/>
        <v>-173425</v>
      </c>
      <c r="O609">
        <f>IF(AND(MyRowHidden(ROW())=FALSE,MyRowHidden(ROW()-1)=TRUE),0,IF(M609&lt;totalMonths,(totalMonths-M609)/totalMonths *(I609-I608)+O608,0))</f>
        <v>-161250.83333333331</v>
      </c>
      <c r="P609">
        <f>IF(AND(MyRowHidden(ROW())=FALSE,MyRowHidden(ROW()-1)=TRUE),0,IF(M609&lt;totalMonths,(totalMonths-M609)/totalMonths *(J609-J608)+P608,0))</f>
        <v>-401748</v>
      </c>
      <c r="Q609">
        <f>IF(AND(MyRowHidden(ROW())=FALSE,MyRowHidden(ROW()-1)=TRUE),0,IF(M609&lt;totalMonths,(totalMonths-M609)/totalMonths *(K609-K608)+Q608,0))</f>
        <v>401748</v>
      </c>
      <c r="R609">
        <f t="shared" si="54"/>
        <v>-575173</v>
      </c>
      <c r="S609">
        <f t="shared" si="55"/>
        <v>-562998.83333333326</v>
      </c>
    </row>
    <row r="610" spans="1:19" x14ac:dyDescent="0.25">
      <c r="A610" s="1"/>
      <c r="C610" s="1"/>
      <c r="D610" s="1">
        <v>42111</v>
      </c>
      <c r="E610" s="10">
        <v>2577</v>
      </c>
      <c r="F610" s="1">
        <v>42111</v>
      </c>
      <c r="G610">
        <v>-8428.5</v>
      </c>
      <c r="H610" s="1">
        <f t="shared" si="50"/>
        <v>42111</v>
      </c>
      <c r="I610">
        <f>IF(AND(MyRowHidden(ROW())=FALSE,MyRowHidden(ROW()-1)=TRUE),0,(E610-E609)*unitsOfDHp+I609)</f>
        <v>-173425</v>
      </c>
      <c r="J610">
        <f>IF(AND(MyRowHidden(ROW())=FALSE,MyRowHidden(ROW()-1)=TRUE),0,(G610-G609)*unitsOfExo+J609)</f>
        <v>-410112</v>
      </c>
      <c r="K610" s="9">
        <f t="shared" si="51"/>
        <v>410112</v>
      </c>
      <c r="L610">
        <f t="shared" si="52"/>
        <v>-583537</v>
      </c>
      <c r="M610">
        <f>IF(AND(MyRowHidden(ROW())=FALSE,MyRowHidden(ROW()-1)=TRUE),0,IF(MONTH(H610)&lt;&gt;MONTH(H609),M609+1,M609))</f>
        <v>3</v>
      </c>
      <c r="N610">
        <f t="shared" si="53"/>
        <v>-173425</v>
      </c>
      <c r="O610">
        <f>IF(AND(MyRowHidden(ROW())=FALSE,MyRowHidden(ROW()-1)=TRUE),0,IF(M610&lt;totalMonths,(totalMonths-M610)/totalMonths *(I610-I609)+O609,0))</f>
        <v>-161250.83333333331</v>
      </c>
      <c r="P610">
        <f>IF(AND(MyRowHidden(ROW())=FALSE,MyRowHidden(ROW()-1)=TRUE),0,IF(M610&lt;totalMonths,(totalMonths-M610)/totalMonths *(J610-J609)+P609,0))</f>
        <v>-390948</v>
      </c>
      <c r="Q610">
        <f>IF(AND(MyRowHidden(ROW())=FALSE,MyRowHidden(ROW()-1)=TRUE),0,IF(M610&lt;totalMonths,(totalMonths-M610)/totalMonths *(K610-K609)+Q609,0))</f>
        <v>390948</v>
      </c>
      <c r="R610">
        <f t="shared" si="54"/>
        <v>-564373</v>
      </c>
      <c r="S610">
        <f t="shared" si="55"/>
        <v>-552198.83333333326</v>
      </c>
    </row>
    <row r="611" spans="1:19" x14ac:dyDescent="0.25">
      <c r="A611" s="1"/>
      <c r="C611" s="1"/>
      <c r="D611" s="1">
        <v>42114</v>
      </c>
      <c r="E611" s="10">
        <v>2577</v>
      </c>
      <c r="F611" s="1">
        <v>42114</v>
      </c>
      <c r="G611">
        <v>-8416</v>
      </c>
      <c r="H611" s="1">
        <f t="shared" si="50"/>
        <v>42114</v>
      </c>
      <c r="I611">
        <f>IF(AND(MyRowHidden(ROW())=FALSE,MyRowHidden(ROW()-1)=TRUE),0,(E611-E610)*unitsOfDHp+I610)</f>
        <v>-173425</v>
      </c>
      <c r="J611">
        <f>IF(AND(MyRowHidden(ROW())=FALSE,MyRowHidden(ROW()-1)=TRUE),0,(G611-G610)*unitsOfExo+J610)</f>
        <v>-406512</v>
      </c>
      <c r="K611" s="9">
        <f t="shared" si="51"/>
        <v>406512</v>
      </c>
      <c r="L611">
        <f t="shared" si="52"/>
        <v>-579937</v>
      </c>
      <c r="M611">
        <f>IF(AND(MyRowHidden(ROW())=FALSE,MyRowHidden(ROW()-1)=TRUE),0,IF(MONTH(H611)&lt;&gt;MONTH(H610),M610+1,M610))</f>
        <v>3</v>
      </c>
      <c r="N611">
        <f t="shared" si="53"/>
        <v>-173425</v>
      </c>
      <c r="O611">
        <f>IF(AND(MyRowHidden(ROW())=FALSE,MyRowHidden(ROW()-1)=TRUE),0,IF(M611&lt;totalMonths,(totalMonths-M611)/totalMonths *(I611-I610)+O610,0))</f>
        <v>-161250.83333333331</v>
      </c>
      <c r="P611">
        <f>IF(AND(MyRowHidden(ROW())=FALSE,MyRowHidden(ROW()-1)=TRUE),0,IF(M611&lt;totalMonths,(totalMonths-M611)/totalMonths *(J611-J610)+P610,0))</f>
        <v>-388248</v>
      </c>
      <c r="Q611">
        <f>IF(AND(MyRowHidden(ROW())=FALSE,MyRowHidden(ROW()-1)=TRUE),0,IF(M611&lt;totalMonths,(totalMonths-M611)/totalMonths *(K611-K610)+Q610,0))</f>
        <v>388248</v>
      </c>
      <c r="R611">
        <f t="shared" si="54"/>
        <v>-561673</v>
      </c>
      <c r="S611">
        <f t="shared" si="55"/>
        <v>-549498.83333333326</v>
      </c>
    </row>
    <row r="612" spans="1:19" x14ac:dyDescent="0.25">
      <c r="A612" s="1"/>
      <c r="C612" s="1"/>
      <c r="D612" s="1">
        <v>42115</v>
      </c>
      <c r="E612" s="10">
        <v>2577</v>
      </c>
      <c r="F612" s="1">
        <v>42115</v>
      </c>
      <c r="G612">
        <v>-8703.5</v>
      </c>
      <c r="H612" s="1">
        <f t="shared" si="50"/>
        <v>42115</v>
      </c>
      <c r="I612">
        <f>IF(AND(MyRowHidden(ROW())=FALSE,MyRowHidden(ROW()-1)=TRUE),0,(E612-E611)*unitsOfDHp+I611)</f>
        <v>-173425</v>
      </c>
      <c r="J612">
        <f>IF(AND(MyRowHidden(ROW())=FALSE,MyRowHidden(ROW()-1)=TRUE),0,(G612-G611)*unitsOfExo+J611)</f>
        <v>-489312</v>
      </c>
      <c r="K612" s="9">
        <f t="shared" si="51"/>
        <v>489312</v>
      </c>
      <c r="L612">
        <f t="shared" si="52"/>
        <v>-662737</v>
      </c>
      <c r="M612">
        <f>IF(AND(MyRowHidden(ROW())=FALSE,MyRowHidden(ROW()-1)=TRUE),0,IF(MONTH(H612)&lt;&gt;MONTH(H611),M611+1,M611))</f>
        <v>3</v>
      </c>
      <c r="N612">
        <f t="shared" si="53"/>
        <v>-173425</v>
      </c>
      <c r="O612">
        <f>IF(AND(MyRowHidden(ROW())=FALSE,MyRowHidden(ROW()-1)=TRUE),0,IF(M612&lt;totalMonths,(totalMonths-M612)/totalMonths *(I612-I611)+O611,0))</f>
        <v>-161250.83333333331</v>
      </c>
      <c r="P612">
        <f>IF(AND(MyRowHidden(ROW())=FALSE,MyRowHidden(ROW()-1)=TRUE),0,IF(M612&lt;totalMonths,(totalMonths-M612)/totalMonths *(J612-J611)+P611,0))</f>
        <v>-450348</v>
      </c>
      <c r="Q612">
        <f>IF(AND(MyRowHidden(ROW())=FALSE,MyRowHidden(ROW()-1)=TRUE),0,IF(M612&lt;totalMonths,(totalMonths-M612)/totalMonths *(K612-K611)+Q611,0))</f>
        <v>450348</v>
      </c>
      <c r="R612">
        <f t="shared" si="54"/>
        <v>-623773</v>
      </c>
      <c r="S612">
        <f t="shared" si="55"/>
        <v>-611598.83333333326</v>
      </c>
    </row>
    <row r="613" spans="1:19" x14ac:dyDescent="0.25">
      <c r="A613" s="1"/>
      <c r="C613" s="1"/>
      <c r="D613" s="1">
        <v>42116</v>
      </c>
      <c r="E613" s="10">
        <v>2577</v>
      </c>
      <c r="F613" s="1">
        <v>42116</v>
      </c>
      <c r="G613">
        <v>-8728.5</v>
      </c>
      <c r="H613" s="1">
        <f t="shared" si="50"/>
        <v>42116</v>
      </c>
      <c r="I613">
        <f>IF(AND(MyRowHidden(ROW())=FALSE,MyRowHidden(ROW()-1)=TRUE),0,(E613-E612)*unitsOfDHp+I612)</f>
        <v>-173425</v>
      </c>
      <c r="J613">
        <f>IF(AND(MyRowHidden(ROW())=FALSE,MyRowHidden(ROW()-1)=TRUE),0,(G613-G612)*unitsOfExo+J612)</f>
        <v>-496512</v>
      </c>
      <c r="K613" s="9">
        <f t="shared" si="51"/>
        <v>496512</v>
      </c>
      <c r="L613">
        <f t="shared" si="52"/>
        <v>-669937</v>
      </c>
      <c r="M613">
        <f>IF(AND(MyRowHidden(ROW())=FALSE,MyRowHidden(ROW()-1)=TRUE),0,IF(MONTH(H613)&lt;&gt;MONTH(H612),M612+1,M612))</f>
        <v>3</v>
      </c>
      <c r="N613">
        <f t="shared" si="53"/>
        <v>-173425</v>
      </c>
      <c r="O613">
        <f>IF(AND(MyRowHidden(ROW())=FALSE,MyRowHidden(ROW()-1)=TRUE),0,IF(M613&lt;totalMonths,(totalMonths-M613)/totalMonths *(I613-I612)+O612,0))</f>
        <v>-161250.83333333331</v>
      </c>
      <c r="P613">
        <f>IF(AND(MyRowHidden(ROW())=FALSE,MyRowHidden(ROW()-1)=TRUE),0,IF(M613&lt;totalMonths,(totalMonths-M613)/totalMonths *(J613-J612)+P612,0))</f>
        <v>-455748</v>
      </c>
      <c r="Q613">
        <f>IF(AND(MyRowHidden(ROW())=FALSE,MyRowHidden(ROW()-1)=TRUE),0,IF(M613&lt;totalMonths,(totalMonths-M613)/totalMonths *(K613-K612)+Q612,0))</f>
        <v>455748</v>
      </c>
      <c r="R613">
        <f t="shared" si="54"/>
        <v>-629173</v>
      </c>
      <c r="S613">
        <f t="shared" si="55"/>
        <v>-616998.83333333326</v>
      </c>
    </row>
    <row r="614" spans="1:19" x14ac:dyDescent="0.25">
      <c r="A614" s="1"/>
      <c r="C614" s="1"/>
      <c r="D614" s="1">
        <v>42117</v>
      </c>
      <c r="E614" s="10">
        <v>2577</v>
      </c>
      <c r="F614" s="1">
        <v>42117</v>
      </c>
      <c r="G614">
        <v>-8603.5</v>
      </c>
      <c r="H614" s="1">
        <f t="shared" si="50"/>
        <v>42117</v>
      </c>
      <c r="I614">
        <f>IF(AND(MyRowHidden(ROW())=FALSE,MyRowHidden(ROW()-1)=TRUE),0,(E614-E613)*unitsOfDHp+I613)</f>
        <v>-173425</v>
      </c>
      <c r="J614">
        <f>IF(AND(MyRowHidden(ROW())=FALSE,MyRowHidden(ROW()-1)=TRUE),0,(G614-G613)*unitsOfExo+J613)</f>
        <v>-460512</v>
      </c>
      <c r="K614" s="9">
        <f t="shared" si="51"/>
        <v>460512</v>
      </c>
      <c r="L614">
        <f t="shared" si="52"/>
        <v>-633937</v>
      </c>
      <c r="M614">
        <f>IF(AND(MyRowHidden(ROW())=FALSE,MyRowHidden(ROW()-1)=TRUE),0,IF(MONTH(H614)&lt;&gt;MONTH(H613),M613+1,M613))</f>
        <v>3</v>
      </c>
      <c r="N614">
        <f t="shared" si="53"/>
        <v>-173425</v>
      </c>
      <c r="O614">
        <f>IF(AND(MyRowHidden(ROW())=FALSE,MyRowHidden(ROW()-1)=TRUE),0,IF(M614&lt;totalMonths,(totalMonths-M614)/totalMonths *(I614-I613)+O613,0))</f>
        <v>-161250.83333333331</v>
      </c>
      <c r="P614">
        <f>IF(AND(MyRowHidden(ROW())=FALSE,MyRowHidden(ROW()-1)=TRUE),0,IF(M614&lt;totalMonths,(totalMonths-M614)/totalMonths *(J614-J613)+P613,0))</f>
        <v>-428748</v>
      </c>
      <c r="Q614">
        <f>IF(AND(MyRowHidden(ROW())=FALSE,MyRowHidden(ROW()-1)=TRUE),0,IF(M614&lt;totalMonths,(totalMonths-M614)/totalMonths *(K614-K613)+Q613,0))</f>
        <v>428748</v>
      </c>
      <c r="R614">
        <f t="shared" si="54"/>
        <v>-602173</v>
      </c>
      <c r="S614">
        <f t="shared" si="55"/>
        <v>-589998.83333333326</v>
      </c>
    </row>
    <row r="615" spans="1:19" x14ac:dyDescent="0.25">
      <c r="A615" s="1"/>
      <c r="C615" s="1"/>
      <c r="D615" s="1">
        <v>42118</v>
      </c>
      <c r="E615" s="10">
        <v>2577</v>
      </c>
      <c r="F615" s="1">
        <v>42118</v>
      </c>
      <c r="G615">
        <v>-9153.5</v>
      </c>
      <c r="H615" s="1">
        <f t="shared" si="50"/>
        <v>42118</v>
      </c>
      <c r="I615">
        <f>IF(AND(MyRowHidden(ROW())=FALSE,MyRowHidden(ROW()-1)=TRUE),0,(E615-E614)*unitsOfDHp+I614)</f>
        <v>-173425</v>
      </c>
      <c r="J615">
        <f>IF(AND(MyRowHidden(ROW())=FALSE,MyRowHidden(ROW()-1)=TRUE),0,(G615-G614)*unitsOfExo+J614)</f>
        <v>-618912</v>
      </c>
      <c r="K615" s="9">
        <f t="shared" si="51"/>
        <v>618912</v>
      </c>
      <c r="L615">
        <f t="shared" si="52"/>
        <v>-792337</v>
      </c>
      <c r="M615">
        <f>IF(AND(MyRowHidden(ROW())=FALSE,MyRowHidden(ROW()-1)=TRUE),0,IF(MONTH(H615)&lt;&gt;MONTH(H614),M614+1,M614))</f>
        <v>3</v>
      </c>
      <c r="N615">
        <f t="shared" si="53"/>
        <v>-173425</v>
      </c>
      <c r="O615">
        <f>IF(AND(MyRowHidden(ROW())=FALSE,MyRowHidden(ROW()-1)=TRUE),0,IF(M615&lt;totalMonths,(totalMonths-M615)/totalMonths *(I615-I614)+O614,0))</f>
        <v>-161250.83333333331</v>
      </c>
      <c r="P615">
        <f>IF(AND(MyRowHidden(ROW())=FALSE,MyRowHidden(ROW()-1)=TRUE),0,IF(M615&lt;totalMonths,(totalMonths-M615)/totalMonths *(J615-J614)+P614,0))</f>
        <v>-547548</v>
      </c>
      <c r="Q615">
        <f>IF(AND(MyRowHidden(ROW())=FALSE,MyRowHidden(ROW()-1)=TRUE),0,IF(M615&lt;totalMonths,(totalMonths-M615)/totalMonths *(K615-K614)+Q614,0))</f>
        <v>547548</v>
      </c>
      <c r="R615">
        <f t="shared" si="54"/>
        <v>-720973</v>
      </c>
      <c r="S615">
        <f t="shared" si="55"/>
        <v>-708798.83333333326</v>
      </c>
    </row>
    <row r="616" spans="1:19" x14ac:dyDescent="0.25">
      <c r="A616" s="1"/>
      <c r="C616" s="1"/>
      <c r="D616" s="1">
        <v>42121</v>
      </c>
      <c r="E616" s="10">
        <v>2577</v>
      </c>
      <c r="F616" s="1">
        <v>42121</v>
      </c>
      <c r="G616">
        <v>-9428.5</v>
      </c>
      <c r="H616" s="1">
        <f t="shared" si="50"/>
        <v>42121</v>
      </c>
      <c r="I616">
        <f>IF(AND(MyRowHidden(ROW())=FALSE,MyRowHidden(ROW()-1)=TRUE),0,(E616-E615)*unitsOfDHp+I615)</f>
        <v>-173425</v>
      </c>
      <c r="J616">
        <f>IF(AND(MyRowHidden(ROW())=FALSE,MyRowHidden(ROW()-1)=TRUE),0,(G616-G615)*unitsOfExo+J615)</f>
        <v>-698112</v>
      </c>
      <c r="K616" s="9">
        <f t="shared" si="51"/>
        <v>698112</v>
      </c>
      <c r="L616">
        <f t="shared" si="52"/>
        <v>-871537</v>
      </c>
      <c r="M616">
        <f>IF(AND(MyRowHidden(ROW())=FALSE,MyRowHidden(ROW()-1)=TRUE),0,IF(MONTH(H616)&lt;&gt;MONTH(H615),M615+1,M615))</f>
        <v>3</v>
      </c>
      <c r="N616">
        <f t="shared" si="53"/>
        <v>-173425</v>
      </c>
      <c r="O616">
        <f>IF(AND(MyRowHidden(ROW())=FALSE,MyRowHidden(ROW()-1)=TRUE),0,IF(M616&lt;totalMonths,(totalMonths-M616)/totalMonths *(I616-I615)+O615,0))</f>
        <v>-161250.83333333331</v>
      </c>
      <c r="P616">
        <f>IF(AND(MyRowHidden(ROW())=FALSE,MyRowHidden(ROW()-1)=TRUE),0,IF(M616&lt;totalMonths,(totalMonths-M616)/totalMonths *(J616-J615)+P615,0))</f>
        <v>-606948</v>
      </c>
      <c r="Q616">
        <f>IF(AND(MyRowHidden(ROW())=FALSE,MyRowHidden(ROW()-1)=TRUE),0,IF(M616&lt;totalMonths,(totalMonths-M616)/totalMonths *(K616-K615)+Q615,0))</f>
        <v>606948</v>
      </c>
      <c r="R616">
        <f t="shared" si="54"/>
        <v>-780373</v>
      </c>
      <c r="S616">
        <f t="shared" si="55"/>
        <v>-768198.83333333326</v>
      </c>
    </row>
    <row r="617" spans="1:19" x14ac:dyDescent="0.25">
      <c r="A617" s="1"/>
      <c r="C617" s="1"/>
      <c r="D617" s="1">
        <v>42122</v>
      </c>
      <c r="E617" s="10">
        <v>2590</v>
      </c>
      <c r="F617" s="1">
        <v>42122</v>
      </c>
      <c r="G617">
        <v>-9391</v>
      </c>
      <c r="H617" s="1">
        <f t="shared" si="50"/>
        <v>42122</v>
      </c>
      <c r="I617">
        <f>IF(AND(MyRowHidden(ROW())=FALSE,MyRowHidden(ROW()-1)=TRUE),0,(E617-E616)*unitsOfDHp+I616)</f>
        <v>-172970</v>
      </c>
      <c r="J617">
        <f>IF(AND(MyRowHidden(ROW())=FALSE,MyRowHidden(ROW()-1)=TRUE),0,(G617-G616)*unitsOfExo+J616)</f>
        <v>-687312</v>
      </c>
      <c r="K617" s="9">
        <f t="shared" si="51"/>
        <v>687312</v>
      </c>
      <c r="L617">
        <f t="shared" si="52"/>
        <v>-860282</v>
      </c>
      <c r="M617">
        <f>IF(AND(MyRowHidden(ROW())=FALSE,MyRowHidden(ROW()-1)=TRUE),0,IF(MONTH(H617)&lt;&gt;MONTH(H616),M616+1,M616))</f>
        <v>3</v>
      </c>
      <c r="N617">
        <f t="shared" si="53"/>
        <v>-172970</v>
      </c>
      <c r="O617">
        <f>IF(AND(MyRowHidden(ROW())=FALSE,MyRowHidden(ROW()-1)=TRUE),0,IF(M617&lt;totalMonths,(totalMonths-M617)/totalMonths *(I617-I616)+O616,0))</f>
        <v>-160909.58333333331</v>
      </c>
      <c r="P617">
        <f>IF(AND(MyRowHidden(ROW())=FALSE,MyRowHidden(ROW()-1)=TRUE),0,IF(M617&lt;totalMonths,(totalMonths-M617)/totalMonths *(J617-J616)+P616,0))</f>
        <v>-598848</v>
      </c>
      <c r="Q617">
        <f>IF(AND(MyRowHidden(ROW())=FALSE,MyRowHidden(ROW()-1)=TRUE),0,IF(M617&lt;totalMonths,(totalMonths-M617)/totalMonths *(K617-K616)+Q616,0))</f>
        <v>598848</v>
      </c>
      <c r="R617">
        <f t="shared" si="54"/>
        <v>-771818</v>
      </c>
      <c r="S617">
        <f t="shared" si="55"/>
        <v>-759757.58333333326</v>
      </c>
    </row>
    <row r="618" spans="1:19" x14ac:dyDescent="0.25">
      <c r="A618" s="1"/>
      <c r="C618" s="1"/>
      <c r="D618" s="1">
        <v>42123</v>
      </c>
      <c r="E618" s="10">
        <v>2728</v>
      </c>
      <c r="F618" s="1">
        <v>42123</v>
      </c>
      <c r="G618">
        <v>-9316</v>
      </c>
      <c r="H618" s="1">
        <f t="shared" si="50"/>
        <v>42123</v>
      </c>
      <c r="I618">
        <f>IF(AND(MyRowHidden(ROW())=FALSE,MyRowHidden(ROW()-1)=TRUE),0,(E618-E617)*unitsOfDHp+I617)</f>
        <v>-168140</v>
      </c>
      <c r="J618">
        <f>IF(AND(MyRowHidden(ROW())=FALSE,MyRowHidden(ROW()-1)=TRUE),0,(G618-G617)*unitsOfExo+J617)</f>
        <v>-665712</v>
      </c>
      <c r="K618" s="9">
        <f t="shared" si="51"/>
        <v>665712</v>
      </c>
      <c r="L618">
        <f t="shared" si="52"/>
        <v>-833852</v>
      </c>
      <c r="M618">
        <f>IF(AND(MyRowHidden(ROW())=FALSE,MyRowHidden(ROW()-1)=TRUE),0,IF(MONTH(H618)&lt;&gt;MONTH(H617),M617+1,M617))</f>
        <v>3</v>
      </c>
      <c r="N618">
        <f t="shared" si="53"/>
        <v>-168140</v>
      </c>
      <c r="O618">
        <f>IF(AND(MyRowHidden(ROW())=FALSE,MyRowHidden(ROW()-1)=TRUE),0,IF(M618&lt;totalMonths,(totalMonths-M618)/totalMonths *(I618-I617)+O617,0))</f>
        <v>-157287.08333333331</v>
      </c>
      <c r="P618">
        <f>IF(AND(MyRowHidden(ROW())=FALSE,MyRowHidden(ROW()-1)=TRUE),0,IF(M618&lt;totalMonths,(totalMonths-M618)/totalMonths *(J618-J617)+P617,0))</f>
        <v>-582648</v>
      </c>
      <c r="Q618">
        <f>IF(AND(MyRowHidden(ROW())=FALSE,MyRowHidden(ROW()-1)=TRUE),0,IF(M618&lt;totalMonths,(totalMonths-M618)/totalMonths *(K618-K617)+Q617,0))</f>
        <v>582648</v>
      </c>
      <c r="R618">
        <f t="shared" si="54"/>
        <v>-750788</v>
      </c>
      <c r="S618">
        <f t="shared" si="55"/>
        <v>-739935.08333333326</v>
      </c>
    </row>
    <row r="619" spans="1:19" x14ac:dyDescent="0.25">
      <c r="A619" s="1"/>
      <c r="C619" s="1"/>
      <c r="D619" s="1">
        <v>42124</v>
      </c>
      <c r="E619" s="10">
        <v>2703</v>
      </c>
      <c r="F619" s="1">
        <v>42124</v>
      </c>
      <c r="G619">
        <v>-9416</v>
      </c>
      <c r="H619" s="1">
        <f t="shared" si="50"/>
        <v>42124</v>
      </c>
      <c r="I619">
        <f>IF(AND(MyRowHidden(ROW())=FALSE,MyRowHidden(ROW()-1)=TRUE),0,(E619-E618)*unitsOfDHp+I618)</f>
        <v>-169015</v>
      </c>
      <c r="J619">
        <f>IF(AND(MyRowHidden(ROW())=FALSE,MyRowHidden(ROW()-1)=TRUE),0,(G619-G618)*unitsOfExo+J618)</f>
        <v>-694512</v>
      </c>
      <c r="K619" s="9">
        <f t="shared" si="51"/>
        <v>694512</v>
      </c>
      <c r="L619">
        <f t="shared" si="52"/>
        <v>-863527</v>
      </c>
      <c r="M619">
        <f>IF(AND(MyRowHidden(ROW())=FALSE,MyRowHidden(ROW()-1)=TRUE),0,IF(MONTH(H619)&lt;&gt;MONTH(H618),M618+1,M618))</f>
        <v>3</v>
      </c>
      <c r="N619">
        <f t="shared" si="53"/>
        <v>-169015</v>
      </c>
      <c r="O619">
        <f>IF(AND(MyRowHidden(ROW())=FALSE,MyRowHidden(ROW()-1)=TRUE),0,IF(M619&lt;totalMonths,(totalMonths-M619)/totalMonths *(I619-I618)+O618,0))</f>
        <v>-157943.33333333331</v>
      </c>
      <c r="P619">
        <f>IF(AND(MyRowHidden(ROW())=FALSE,MyRowHidden(ROW()-1)=TRUE),0,IF(M619&lt;totalMonths,(totalMonths-M619)/totalMonths *(J619-J618)+P618,0))</f>
        <v>-604248</v>
      </c>
      <c r="Q619">
        <f>IF(AND(MyRowHidden(ROW())=FALSE,MyRowHidden(ROW()-1)=TRUE),0,IF(M619&lt;totalMonths,(totalMonths-M619)/totalMonths *(K619-K618)+Q618,0))</f>
        <v>604248</v>
      </c>
      <c r="R619">
        <f t="shared" si="54"/>
        <v>-773263</v>
      </c>
      <c r="S619">
        <f t="shared" si="55"/>
        <v>-762191.33333333326</v>
      </c>
    </row>
    <row r="620" spans="1:19" x14ac:dyDescent="0.25">
      <c r="A620" s="1"/>
      <c r="C620" s="1"/>
      <c r="D620" s="1">
        <v>42125</v>
      </c>
      <c r="E620" s="10">
        <v>2353</v>
      </c>
      <c r="F620" s="1">
        <v>42125</v>
      </c>
      <c r="G620">
        <v>-9578</v>
      </c>
      <c r="H620" s="1">
        <f t="shared" si="50"/>
        <v>42125</v>
      </c>
      <c r="I620">
        <f>IF(AND(MyRowHidden(ROW())=FALSE,MyRowHidden(ROW()-1)=TRUE),0,(E620-E619)*unitsOfDHp+I619)</f>
        <v>-181265</v>
      </c>
      <c r="J620">
        <f>IF(AND(MyRowHidden(ROW())=FALSE,MyRowHidden(ROW()-1)=TRUE),0,(G620-G619)*unitsOfExo+J619)</f>
        <v>-741168</v>
      </c>
      <c r="K620" s="9">
        <f t="shared" si="51"/>
        <v>741168</v>
      </c>
      <c r="L620">
        <f t="shared" si="52"/>
        <v>-922433</v>
      </c>
      <c r="M620">
        <f>IF(AND(MyRowHidden(ROW())=FALSE,MyRowHidden(ROW()-1)=TRUE),0,IF(MONTH(H620)&lt;&gt;MONTH(H619),M619+1,M619))</f>
        <v>4</v>
      </c>
      <c r="N620">
        <f t="shared" si="53"/>
        <v>-181265</v>
      </c>
      <c r="O620">
        <f>IF(AND(MyRowHidden(ROW())=FALSE,MyRowHidden(ROW()-1)=TRUE),0,IF(M620&lt;totalMonths,(totalMonths-M620)/totalMonths *(I620-I619)+O619,0))</f>
        <v>-166109.99999999997</v>
      </c>
      <c r="P620">
        <f>IF(AND(MyRowHidden(ROW())=FALSE,MyRowHidden(ROW()-1)=TRUE),0,IF(M620&lt;totalMonths,(totalMonths-M620)/totalMonths *(J620-J619)+P619,0))</f>
        <v>-635352</v>
      </c>
      <c r="Q620">
        <f>IF(AND(MyRowHidden(ROW())=FALSE,MyRowHidden(ROW()-1)=TRUE),0,IF(M620&lt;totalMonths,(totalMonths-M620)/totalMonths *(K620-K619)+Q619,0))</f>
        <v>635352</v>
      </c>
      <c r="R620">
        <f t="shared" si="54"/>
        <v>-816617</v>
      </c>
      <c r="S620">
        <f t="shared" si="55"/>
        <v>-801462</v>
      </c>
    </row>
    <row r="621" spans="1:19" x14ac:dyDescent="0.25">
      <c r="A621" s="1"/>
      <c r="C621" s="1"/>
      <c r="D621" s="1">
        <v>42128</v>
      </c>
      <c r="E621" s="10">
        <v>2440</v>
      </c>
      <c r="F621" s="1">
        <v>42128</v>
      </c>
      <c r="G621">
        <v>-9540.5</v>
      </c>
      <c r="H621" s="1">
        <f t="shared" si="50"/>
        <v>42128</v>
      </c>
      <c r="I621">
        <f>IF(AND(MyRowHidden(ROW())=FALSE,MyRowHidden(ROW()-1)=TRUE),0,(E621-E620)*unitsOfDHp+I620)</f>
        <v>-178220</v>
      </c>
      <c r="J621">
        <f>IF(AND(MyRowHidden(ROW())=FALSE,MyRowHidden(ROW()-1)=TRUE),0,(G621-G620)*unitsOfExo+J620)</f>
        <v>-730368</v>
      </c>
      <c r="K621" s="9">
        <f t="shared" si="51"/>
        <v>730368</v>
      </c>
      <c r="L621">
        <f t="shared" si="52"/>
        <v>-908588</v>
      </c>
      <c r="M621">
        <f>IF(AND(MyRowHidden(ROW())=FALSE,MyRowHidden(ROW()-1)=TRUE),0,IF(MONTH(H621)&lt;&gt;MONTH(H620),M620+1,M620))</f>
        <v>4</v>
      </c>
      <c r="N621">
        <f t="shared" si="53"/>
        <v>-178220</v>
      </c>
      <c r="O621">
        <f>IF(AND(MyRowHidden(ROW())=FALSE,MyRowHidden(ROW()-1)=TRUE),0,IF(M621&lt;totalMonths,(totalMonths-M621)/totalMonths *(I621-I620)+O620,0))</f>
        <v>-164079.99999999997</v>
      </c>
      <c r="P621">
        <f>IF(AND(MyRowHidden(ROW())=FALSE,MyRowHidden(ROW()-1)=TRUE),0,IF(M621&lt;totalMonths,(totalMonths-M621)/totalMonths *(J621-J620)+P620,0))</f>
        <v>-628152</v>
      </c>
      <c r="Q621">
        <f>IF(AND(MyRowHidden(ROW())=FALSE,MyRowHidden(ROW()-1)=TRUE),0,IF(M621&lt;totalMonths,(totalMonths-M621)/totalMonths *(K621-K620)+Q620,0))</f>
        <v>628152</v>
      </c>
      <c r="R621">
        <f t="shared" si="54"/>
        <v>-806372</v>
      </c>
      <c r="S621">
        <f t="shared" si="55"/>
        <v>-792232</v>
      </c>
    </row>
    <row r="622" spans="1:19" x14ac:dyDescent="0.25">
      <c r="A622" s="1"/>
      <c r="C622" s="1"/>
      <c r="D622" s="1">
        <v>42129</v>
      </c>
      <c r="E622" s="10">
        <v>2316</v>
      </c>
      <c r="F622" s="1">
        <v>42129</v>
      </c>
      <c r="G622">
        <v>-9703</v>
      </c>
      <c r="H622" s="1">
        <f t="shared" si="50"/>
        <v>42129</v>
      </c>
      <c r="I622">
        <f>IF(AND(MyRowHidden(ROW())=FALSE,MyRowHidden(ROW()-1)=TRUE),0,(E622-E621)*unitsOfDHp+I621)</f>
        <v>-182560</v>
      </c>
      <c r="J622">
        <f>IF(AND(MyRowHidden(ROW())=FALSE,MyRowHidden(ROW()-1)=TRUE),0,(G622-G621)*unitsOfExo+J621)</f>
        <v>-777168</v>
      </c>
      <c r="K622" s="9">
        <f t="shared" si="51"/>
        <v>777168</v>
      </c>
      <c r="L622">
        <f t="shared" si="52"/>
        <v>-959728</v>
      </c>
      <c r="M622">
        <f>IF(AND(MyRowHidden(ROW())=FALSE,MyRowHidden(ROW()-1)=TRUE),0,IF(MONTH(H622)&lt;&gt;MONTH(H621),M621+1,M621))</f>
        <v>4</v>
      </c>
      <c r="N622">
        <f t="shared" si="53"/>
        <v>-182560</v>
      </c>
      <c r="O622">
        <f>IF(AND(MyRowHidden(ROW())=FALSE,MyRowHidden(ROW()-1)=TRUE),0,IF(M622&lt;totalMonths,(totalMonths-M622)/totalMonths *(I622-I621)+O621,0))</f>
        <v>-166973.33333333331</v>
      </c>
      <c r="P622">
        <f>IF(AND(MyRowHidden(ROW())=FALSE,MyRowHidden(ROW()-1)=TRUE),0,IF(M622&lt;totalMonths,(totalMonths-M622)/totalMonths *(J622-J621)+P621,0))</f>
        <v>-659352</v>
      </c>
      <c r="Q622">
        <f>IF(AND(MyRowHidden(ROW())=FALSE,MyRowHidden(ROW()-1)=TRUE),0,IF(M622&lt;totalMonths,(totalMonths-M622)/totalMonths *(K622-K621)+Q621,0))</f>
        <v>659352</v>
      </c>
      <c r="R622">
        <f t="shared" si="54"/>
        <v>-841912</v>
      </c>
      <c r="S622">
        <f t="shared" si="55"/>
        <v>-826325.33333333326</v>
      </c>
    </row>
    <row r="623" spans="1:19" x14ac:dyDescent="0.25">
      <c r="A623" s="1"/>
      <c r="C623" s="1"/>
      <c r="D623" s="1">
        <v>42130</v>
      </c>
      <c r="E623" s="10">
        <v>2366</v>
      </c>
      <c r="F623" s="1">
        <v>42130</v>
      </c>
      <c r="G623">
        <v>-9440.5</v>
      </c>
      <c r="H623" s="1">
        <f t="shared" si="50"/>
        <v>42130</v>
      </c>
      <c r="I623">
        <f>IF(AND(MyRowHidden(ROW())=FALSE,MyRowHidden(ROW()-1)=TRUE),0,(E623-E622)*unitsOfDHp+I622)</f>
        <v>-180810</v>
      </c>
      <c r="J623">
        <f>IF(AND(MyRowHidden(ROW())=FALSE,MyRowHidden(ROW()-1)=TRUE),0,(G623-G622)*unitsOfExo+J622)</f>
        <v>-701568</v>
      </c>
      <c r="K623" s="9">
        <f t="shared" si="51"/>
        <v>701568</v>
      </c>
      <c r="L623">
        <f t="shared" si="52"/>
        <v>-882378</v>
      </c>
      <c r="M623">
        <f>IF(AND(MyRowHidden(ROW())=FALSE,MyRowHidden(ROW()-1)=TRUE),0,IF(MONTH(H623)&lt;&gt;MONTH(H622),M622+1,M622))</f>
        <v>4</v>
      </c>
      <c r="N623">
        <f t="shared" si="53"/>
        <v>-180810</v>
      </c>
      <c r="O623">
        <f>IF(AND(MyRowHidden(ROW())=FALSE,MyRowHidden(ROW()-1)=TRUE),0,IF(M623&lt;totalMonths,(totalMonths-M623)/totalMonths *(I623-I622)+O622,0))</f>
        <v>-165806.66666666666</v>
      </c>
      <c r="P623">
        <f>IF(AND(MyRowHidden(ROW())=FALSE,MyRowHidden(ROW()-1)=TRUE),0,IF(M623&lt;totalMonths,(totalMonths-M623)/totalMonths *(J623-J622)+P622,0))</f>
        <v>-608952</v>
      </c>
      <c r="Q623">
        <f>IF(AND(MyRowHidden(ROW())=FALSE,MyRowHidden(ROW()-1)=TRUE),0,IF(M623&lt;totalMonths,(totalMonths-M623)/totalMonths *(K623-K622)+Q622,0))</f>
        <v>608952</v>
      </c>
      <c r="R623">
        <f t="shared" si="54"/>
        <v>-789762</v>
      </c>
      <c r="S623">
        <f t="shared" si="55"/>
        <v>-774758.66666666663</v>
      </c>
    </row>
    <row r="624" spans="1:19" x14ac:dyDescent="0.25">
      <c r="A624" s="1"/>
      <c r="C624" s="1"/>
      <c r="D624" s="1">
        <v>42131</v>
      </c>
      <c r="E624" s="10">
        <v>2378</v>
      </c>
      <c r="F624" s="1">
        <v>42131</v>
      </c>
      <c r="G624">
        <v>-9615.5</v>
      </c>
      <c r="H624" s="1">
        <f t="shared" si="50"/>
        <v>42131</v>
      </c>
      <c r="I624">
        <f>IF(AND(MyRowHidden(ROW())=FALSE,MyRowHidden(ROW()-1)=TRUE),0,(E624-E623)*unitsOfDHp+I623)</f>
        <v>-180390</v>
      </c>
      <c r="J624">
        <f>IF(AND(MyRowHidden(ROW())=FALSE,MyRowHidden(ROW()-1)=TRUE),0,(G624-G623)*unitsOfExo+J623)</f>
        <v>-751968</v>
      </c>
      <c r="K624" s="9">
        <f t="shared" si="51"/>
        <v>751968</v>
      </c>
      <c r="L624">
        <f t="shared" si="52"/>
        <v>-932358</v>
      </c>
      <c r="M624">
        <f>IF(AND(MyRowHidden(ROW())=FALSE,MyRowHidden(ROW()-1)=TRUE),0,IF(MONTH(H624)&lt;&gt;MONTH(H623),M623+1,M623))</f>
        <v>4</v>
      </c>
      <c r="N624">
        <f t="shared" si="53"/>
        <v>-180390</v>
      </c>
      <c r="O624">
        <f>IF(AND(MyRowHidden(ROW())=FALSE,MyRowHidden(ROW()-1)=TRUE),0,IF(M624&lt;totalMonths,(totalMonths-M624)/totalMonths *(I624-I623)+O623,0))</f>
        <v>-165526.66666666666</v>
      </c>
      <c r="P624">
        <f>IF(AND(MyRowHidden(ROW())=FALSE,MyRowHidden(ROW()-1)=TRUE),0,IF(M624&lt;totalMonths,(totalMonths-M624)/totalMonths *(J624-J623)+P623,0))</f>
        <v>-642552</v>
      </c>
      <c r="Q624">
        <f>IF(AND(MyRowHidden(ROW())=FALSE,MyRowHidden(ROW()-1)=TRUE),0,IF(M624&lt;totalMonths,(totalMonths-M624)/totalMonths *(K624-K623)+Q623,0))</f>
        <v>642552</v>
      </c>
      <c r="R624">
        <f t="shared" si="54"/>
        <v>-822942</v>
      </c>
      <c r="S624">
        <f t="shared" si="55"/>
        <v>-808078.66666666663</v>
      </c>
    </row>
    <row r="625" spans="1:19" x14ac:dyDescent="0.25">
      <c r="A625" s="1"/>
      <c r="C625" s="1"/>
      <c r="D625" s="1">
        <v>42132</v>
      </c>
      <c r="E625" s="10">
        <v>2403</v>
      </c>
      <c r="F625" s="1">
        <v>42132</v>
      </c>
      <c r="G625">
        <v>-9603</v>
      </c>
      <c r="H625" s="1">
        <f t="shared" si="50"/>
        <v>42132</v>
      </c>
      <c r="I625">
        <f>IF(AND(MyRowHidden(ROW())=FALSE,MyRowHidden(ROW()-1)=TRUE),0,(E625-E624)*unitsOfDHp+I624)</f>
        <v>-179515</v>
      </c>
      <c r="J625">
        <f>IF(AND(MyRowHidden(ROW())=FALSE,MyRowHidden(ROW()-1)=TRUE),0,(G625-G624)*unitsOfExo+J624)</f>
        <v>-748368</v>
      </c>
      <c r="K625" s="9">
        <f t="shared" si="51"/>
        <v>748368</v>
      </c>
      <c r="L625">
        <f t="shared" si="52"/>
        <v>-927883</v>
      </c>
      <c r="M625">
        <f>IF(AND(MyRowHidden(ROW())=FALSE,MyRowHidden(ROW()-1)=TRUE),0,IF(MONTH(H625)&lt;&gt;MONTH(H624),M624+1,M624))</f>
        <v>4</v>
      </c>
      <c r="N625">
        <f t="shared" si="53"/>
        <v>-179515</v>
      </c>
      <c r="O625">
        <f>IF(AND(MyRowHidden(ROW())=FALSE,MyRowHidden(ROW()-1)=TRUE),0,IF(M625&lt;totalMonths,(totalMonths-M625)/totalMonths *(I625-I624)+O624,0))</f>
        <v>-164943.33333333331</v>
      </c>
      <c r="P625">
        <f>IF(AND(MyRowHidden(ROW())=FALSE,MyRowHidden(ROW()-1)=TRUE),0,IF(M625&lt;totalMonths,(totalMonths-M625)/totalMonths *(J625-J624)+P624,0))</f>
        <v>-640152</v>
      </c>
      <c r="Q625">
        <f>IF(AND(MyRowHidden(ROW())=FALSE,MyRowHidden(ROW()-1)=TRUE),0,IF(M625&lt;totalMonths,(totalMonths-M625)/totalMonths *(K625-K624)+Q624,0))</f>
        <v>640152</v>
      </c>
      <c r="R625">
        <f t="shared" si="54"/>
        <v>-819667</v>
      </c>
      <c r="S625">
        <f t="shared" si="55"/>
        <v>-805095.33333333326</v>
      </c>
    </row>
    <row r="626" spans="1:19" x14ac:dyDescent="0.25">
      <c r="A626" s="1"/>
      <c r="C626" s="1"/>
      <c r="D626" s="1">
        <v>42135</v>
      </c>
      <c r="E626" s="10">
        <v>2453</v>
      </c>
      <c r="F626" s="1">
        <v>42135</v>
      </c>
      <c r="G626">
        <v>-9740.5</v>
      </c>
      <c r="H626" s="1">
        <f t="shared" si="50"/>
        <v>42135</v>
      </c>
      <c r="I626">
        <f>IF(AND(MyRowHidden(ROW())=FALSE,MyRowHidden(ROW()-1)=TRUE),0,(E626-E625)*unitsOfDHp+I625)</f>
        <v>-177765</v>
      </c>
      <c r="J626">
        <f>IF(AND(MyRowHidden(ROW())=FALSE,MyRowHidden(ROW()-1)=TRUE),0,(G626-G625)*unitsOfExo+J625)</f>
        <v>-787968</v>
      </c>
      <c r="K626" s="9">
        <f t="shared" si="51"/>
        <v>787968</v>
      </c>
      <c r="L626">
        <f t="shared" si="52"/>
        <v>-965733</v>
      </c>
      <c r="M626">
        <f>IF(AND(MyRowHidden(ROW())=FALSE,MyRowHidden(ROW()-1)=TRUE),0,IF(MONTH(H626)&lt;&gt;MONTH(H625),M625+1,M625))</f>
        <v>4</v>
      </c>
      <c r="N626">
        <f t="shared" si="53"/>
        <v>-177765</v>
      </c>
      <c r="O626">
        <f>IF(AND(MyRowHidden(ROW())=FALSE,MyRowHidden(ROW()-1)=TRUE),0,IF(M626&lt;totalMonths,(totalMonths-M626)/totalMonths *(I626-I625)+O625,0))</f>
        <v>-163776.66666666666</v>
      </c>
      <c r="P626">
        <f>IF(AND(MyRowHidden(ROW())=FALSE,MyRowHidden(ROW()-1)=TRUE),0,IF(M626&lt;totalMonths,(totalMonths-M626)/totalMonths *(J626-J625)+P625,0))</f>
        <v>-666552</v>
      </c>
      <c r="Q626">
        <f>IF(AND(MyRowHidden(ROW())=FALSE,MyRowHidden(ROW()-1)=TRUE),0,IF(M626&lt;totalMonths,(totalMonths-M626)/totalMonths *(K626-K625)+Q625,0))</f>
        <v>666552</v>
      </c>
      <c r="R626">
        <f t="shared" si="54"/>
        <v>-844317</v>
      </c>
      <c r="S626">
        <f t="shared" si="55"/>
        <v>-830328.66666666663</v>
      </c>
    </row>
    <row r="627" spans="1:19" x14ac:dyDescent="0.25">
      <c r="A627" s="1"/>
      <c r="C627" s="1"/>
      <c r="D627" s="1">
        <v>42136</v>
      </c>
      <c r="E627" s="10">
        <v>2478</v>
      </c>
      <c r="F627" s="1">
        <v>42136</v>
      </c>
      <c r="G627">
        <v>-9553</v>
      </c>
      <c r="H627" s="1">
        <f t="shared" si="50"/>
        <v>42136</v>
      </c>
      <c r="I627">
        <f>IF(AND(MyRowHidden(ROW())=FALSE,MyRowHidden(ROW()-1)=TRUE),0,(E627-E626)*unitsOfDHp+I626)</f>
        <v>-176890</v>
      </c>
      <c r="J627">
        <f>IF(AND(MyRowHidden(ROW())=FALSE,MyRowHidden(ROW()-1)=TRUE),0,(G627-G626)*unitsOfExo+J626)</f>
        <v>-733968</v>
      </c>
      <c r="K627" s="9">
        <f t="shared" si="51"/>
        <v>733968</v>
      </c>
      <c r="L627">
        <f t="shared" si="52"/>
        <v>-910858</v>
      </c>
      <c r="M627">
        <f>IF(AND(MyRowHidden(ROW())=FALSE,MyRowHidden(ROW()-1)=TRUE),0,IF(MONTH(H627)&lt;&gt;MONTH(H626),M626+1,M626))</f>
        <v>4</v>
      </c>
      <c r="N627">
        <f t="shared" si="53"/>
        <v>-176890</v>
      </c>
      <c r="O627">
        <f>IF(AND(MyRowHidden(ROW())=FALSE,MyRowHidden(ROW()-1)=TRUE),0,IF(M627&lt;totalMonths,(totalMonths-M627)/totalMonths *(I627-I626)+O626,0))</f>
        <v>-163193.33333333331</v>
      </c>
      <c r="P627">
        <f>IF(AND(MyRowHidden(ROW())=FALSE,MyRowHidden(ROW()-1)=TRUE),0,IF(M627&lt;totalMonths,(totalMonths-M627)/totalMonths *(J627-J626)+P626,0))</f>
        <v>-630552</v>
      </c>
      <c r="Q627">
        <f>IF(AND(MyRowHidden(ROW())=FALSE,MyRowHidden(ROW()-1)=TRUE),0,IF(M627&lt;totalMonths,(totalMonths-M627)/totalMonths *(K627-K626)+Q626,0))</f>
        <v>630552</v>
      </c>
      <c r="R627">
        <f t="shared" si="54"/>
        <v>-807442</v>
      </c>
      <c r="S627">
        <f t="shared" si="55"/>
        <v>-793745.33333333326</v>
      </c>
    </row>
    <row r="628" spans="1:19" x14ac:dyDescent="0.25">
      <c r="A628" s="1"/>
      <c r="C628" s="1"/>
      <c r="D628" s="1">
        <v>42137</v>
      </c>
      <c r="E628" s="10">
        <v>2503</v>
      </c>
      <c r="F628" s="1">
        <v>42137</v>
      </c>
      <c r="G628">
        <v>-9640.5</v>
      </c>
      <c r="H628" s="1">
        <f t="shared" si="50"/>
        <v>42137</v>
      </c>
      <c r="I628">
        <f>IF(AND(MyRowHidden(ROW())=FALSE,MyRowHidden(ROW()-1)=TRUE),0,(E628-E627)*unitsOfDHp+I627)</f>
        <v>-176015</v>
      </c>
      <c r="J628">
        <f>IF(AND(MyRowHidden(ROW())=FALSE,MyRowHidden(ROW()-1)=TRUE),0,(G628-G627)*unitsOfExo+J627)</f>
        <v>-759168</v>
      </c>
      <c r="K628" s="9">
        <f t="shared" si="51"/>
        <v>759168</v>
      </c>
      <c r="L628">
        <f t="shared" si="52"/>
        <v>-935183</v>
      </c>
      <c r="M628">
        <f>IF(AND(MyRowHidden(ROW())=FALSE,MyRowHidden(ROW()-1)=TRUE),0,IF(MONTH(H628)&lt;&gt;MONTH(H627),M627+1,M627))</f>
        <v>4</v>
      </c>
      <c r="N628">
        <f t="shared" si="53"/>
        <v>-176015</v>
      </c>
      <c r="O628">
        <f>IF(AND(MyRowHidden(ROW())=FALSE,MyRowHidden(ROW()-1)=TRUE),0,IF(M628&lt;totalMonths,(totalMonths-M628)/totalMonths *(I628-I627)+O627,0))</f>
        <v>-162609.99999999997</v>
      </c>
      <c r="P628">
        <f>IF(AND(MyRowHidden(ROW())=FALSE,MyRowHidden(ROW()-1)=TRUE),0,IF(M628&lt;totalMonths,(totalMonths-M628)/totalMonths *(J628-J627)+P627,0))</f>
        <v>-647352</v>
      </c>
      <c r="Q628">
        <f>IF(AND(MyRowHidden(ROW())=FALSE,MyRowHidden(ROW()-1)=TRUE),0,IF(M628&lt;totalMonths,(totalMonths-M628)/totalMonths *(K628-K627)+Q627,0))</f>
        <v>647352</v>
      </c>
      <c r="R628">
        <f t="shared" si="54"/>
        <v>-823367</v>
      </c>
      <c r="S628">
        <f t="shared" si="55"/>
        <v>-809962</v>
      </c>
    </row>
    <row r="629" spans="1:19" x14ac:dyDescent="0.25">
      <c r="A629" s="1"/>
      <c r="C629" s="1"/>
      <c r="D629" s="1">
        <v>42138</v>
      </c>
      <c r="E629" s="10">
        <v>2578</v>
      </c>
      <c r="F629" s="1">
        <v>42138</v>
      </c>
      <c r="G629">
        <v>-9315.5</v>
      </c>
      <c r="H629" s="1">
        <f t="shared" si="50"/>
        <v>42138</v>
      </c>
      <c r="I629">
        <f>IF(AND(MyRowHidden(ROW())=FALSE,MyRowHidden(ROW()-1)=TRUE),0,(E629-E628)*unitsOfDHp+I628)</f>
        <v>-173390</v>
      </c>
      <c r="J629">
        <f>IF(AND(MyRowHidden(ROW())=FALSE,MyRowHidden(ROW()-1)=TRUE),0,(G629-G628)*unitsOfExo+J628)</f>
        <v>-665568</v>
      </c>
      <c r="K629" s="9">
        <f t="shared" si="51"/>
        <v>665568</v>
      </c>
      <c r="L629">
        <f t="shared" si="52"/>
        <v>-838958</v>
      </c>
      <c r="M629">
        <f>IF(AND(MyRowHidden(ROW())=FALSE,MyRowHidden(ROW()-1)=TRUE),0,IF(MONTH(H629)&lt;&gt;MONTH(H628),M628+1,M628))</f>
        <v>4</v>
      </c>
      <c r="N629">
        <f t="shared" si="53"/>
        <v>-173390</v>
      </c>
      <c r="O629">
        <f>IF(AND(MyRowHidden(ROW())=FALSE,MyRowHidden(ROW()-1)=TRUE),0,IF(M629&lt;totalMonths,(totalMonths-M629)/totalMonths *(I629-I628)+O628,0))</f>
        <v>-160859.99999999997</v>
      </c>
      <c r="P629">
        <f>IF(AND(MyRowHidden(ROW())=FALSE,MyRowHidden(ROW()-1)=TRUE),0,IF(M629&lt;totalMonths,(totalMonths-M629)/totalMonths *(J629-J628)+P628,0))</f>
        <v>-584952</v>
      </c>
      <c r="Q629">
        <f>IF(AND(MyRowHidden(ROW())=FALSE,MyRowHidden(ROW()-1)=TRUE),0,IF(M629&lt;totalMonths,(totalMonths-M629)/totalMonths *(K629-K628)+Q628,0))</f>
        <v>584952</v>
      </c>
      <c r="R629">
        <f t="shared" si="54"/>
        <v>-758342</v>
      </c>
      <c r="S629">
        <f t="shared" si="55"/>
        <v>-745812</v>
      </c>
    </row>
    <row r="630" spans="1:19" x14ac:dyDescent="0.25">
      <c r="A630" s="1"/>
      <c r="C630" s="1"/>
      <c r="D630" s="1">
        <v>42139</v>
      </c>
      <c r="E630" s="10">
        <v>2590</v>
      </c>
      <c r="F630" s="1">
        <v>42139</v>
      </c>
      <c r="G630">
        <v>-9465.5</v>
      </c>
      <c r="H630" s="1">
        <f t="shared" si="50"/>
        <v>42139</v>
      </c>
      <c r="I630">
        <f>IF(AND(MyRowHidden(ROW())=FALSE,MyRowHidden(ROW()-1)=TRUE),0,(E630-E629)*unitsOfDHp+I629)</f>
        <v>-172970</v>
      </c>
      <c r="J630">
        <f>IF(AND(MyRowHidden(ROW())=FALSE,MyRowHidden(ROW()-1)=TRUE),0,(G630-G629)*unitsOfExo+J629)</f>
        <v>-708768</v>
      </c>
      <c r="K630" s="9">
        <f t="shared" si="51"/>
        <v>708768</v>
      </c>
      <c r="L630">
        <f t="shared" si="52"/>
        <v>-881738</v>
      </c>
      <c r="M630">
        <f>IF(AND(MyRowHidden(ROW())=FALSE,MyRowHidden(ROW()-1)=TRUE),0,IF(MONTH(H630)&lt;&gt;MONTH(H629),M629+1,M629))</f>
        <v>4</v>
      </c>
      <c r="N630">
        <f t="shared" si="53"/>
        <v>-172970</v>
      </c>
      <c r="O630">
        <f>IF(AND(MyRowHidden(ROW())=FALSE,MyRowHidden(ROW()-1)=TRUE),0,IF(M630&lt;totalMonths,(totalMonths-M630)/totalMonths *(I630-I629)+O629,0))</f>
        <v>-160579.99999999997</v>
      </c>
      <c r="P630">
        <f>IF(AND(MyRowHidden(ROW())=FALSE,MyRowHidden(ROW()-1)=TRUE),0,IF(M630&lt;totalMonths,(totalMonths-M630)/totalMonths *(J630-J629)+P629,0))</f>
        <v>-613752</v>
      </c>
      <c r="Q630">
        <f>IF(AND(MyRowHidden(ROW())=FALSE,MyRowHidden(ROW()-1)=TRUE),0,IF(M630&lt;totalMonths,(totalMonths-M630)/totalMonths *(K630-K629)+Q629,0))</f>
        <v>613752</v>
      </c>
      <c r="R630">
        <f t="shared" si="54"/>
        <v>-786722</v>
      </c>
      <c r="S630">
        <f t="shared" si="55"/>
        <v>-774332</v>
      </c>
    </row>
    <row r="631" spans="1:19" x14ac:dyDescent="0.25">
      <c r="A631" s="1"/>
      <c r="C631" s="1"/>
      <c r="D631" s="1">
        <v>42142</v>
      </c>
      <c r="E631" s="10">
        <v>2941</v>
      </c>
      <c r="F631" s="1">
        <v>42142</v>
      </c>
      <c r="G631">
        <v>-9190.5</v>
      </c>
      <c r="H631" s="1">
        <f t="shared" si="50"/>
        <v>42142</v>
      </c>
      <c r="I631">
        <f>IF(AND(MyRowHidden(ROW())=FALSE,MyRowHidden(ROW()-1)=TRUE),0,(E631-E630)*unitsOfDHp+I630)</f>
        <v>-160685</v>
      </c>
      <c r="J631">
        <f>IF(AND(MyRowHidden(ROW())=FALSE,MyRowHidden(ROW()-1)=TRUE),0,(G631-G630)*unitsOfExo+J630)</f>
        <v>-629568</v>
      </c>
      <c r="K631" s="9">
        <f t="shared" si="51"/>
        <v>629568</v>
      </c>
      <c r="L631">
        <f t="shared" si="52"/>
        <v>-790253</v>
      </c>
      <c r="M631">
        <f>IF(AND(MyRowHidden(ROW())=FALSE,MyRowHidden(ROW()-1)=TRUE),0,IF(MONTH(H631)&lt;&gt;MONTH(H630),M630+1,M630))</f>
        <v>4</v>
      </c>
      <c r="N631">
        <f t="shared" si="53"/>
        <v>-160685</v>
      </c>
      <c r="O631">
        <f>IF(AND(MyRowHidden(ROW())=FALSE,MyRowHidden(ROW()-1)=TRUE),0,IF(M631&lt;totalMonths,(totalMonths-M631)/totalMonths *(I631-I630)+O630,0))</f>
        <v>-152389.99999999997</v>
      </c>
      <c r="P631">
        <f>IF(AND(MyRowHidden(ROW())=FALSE,MyRowHidden(ROW()-1)=TRUE),0,IF(M631&lt;totalMonths,(totalMonths-M631)/totalMonths *(J631-J630)+P630,0))</f>
        <v>-560952</v>
      </c>
      <c r="Q631">
        <f>IF(AND(MyRowHidden(ROW())=FALSE,MyRowHidden(ROW()-1)=TRUE),0,IF(M631&lt;totalMonths,(totalMonths-M631)/totalMonths *(K631-K630)+Q630,0))</f>
        <v>560952</v>
      </c>
      <c r="R631">
        <f t="shared" si="54"/>
        <v>-721637</v>
      </c>
      <c r="S631">
        <f t="shared" si="55"/>
        <v>-713342</v>
      </c>
    </row>
    <row r="632" spans="1:19" x14ac:dyDescent="0.25">
      <c r="A632" s="1"/>
      <c r="C632" s="1"/>
      <c r="D632" s="1">
        <v>42143</v>
      </c>
      <c r="E632" s="10">
        <v>2666</v>
      </c>
      <c r="F632" s="1">
        <v>42143</v>
      </c>
      <c r="G632">
        <v>-9603</v>
      </c>
      <c r="H632" s="1">
        <f t="shared" si="50"/>
        <v>42143</v>
      </c>
      <c r="I632">
        <f>IF(AND(MyRowHidden(ROW())=FALSE,MyRowHidden(ROW()-1)=TRUE),0,(E632-E631)*unitsOfDHp+I631)</f>
        <v>-170310</v>
      </c>
      <c r="J632">
        <f>IF(AND(MyRowHidden(ROW())=FALSE,MyRowHidden(ROW()-1)=TRUE),0,(G632-G631)*unitsOfExo+J631)</f>
        <v>-748368</v>
      </c>
      <c r="K632" s="9">
        <f t="shared" si="51"/>
        <v>748368</v>
      </c>
      <c r="L632">
        <f t="shared" si="52"/>
        <v>-918678</v>
      </c>
      <c r="M632">
        <f>IF(AND(MyRowHidden(ROW())=FALSE,MyRowHidden(ROW()-1)=TRUE),0,IF(MONTH(H632)&lt;&gt;MONTH(H631),M631+1,M631))</f>
        <v>4</v>
      </c>
      <c r="N632">
        <f t="shared" si="53"/>
        <v>-170310</v>
      </c>
      <c r="O632">
        <f>IF(AND(MyRowHidden(ROW())=FALSE,MyRowHidden(ROW()-1)=TRUE),0,IF(M632&lt;totalMonths,(totalMonths-M632)/totalMonths *(I632-I631)+O631,0))</f>
        <v>-158806.66666666663</v>
      </c>
      <c r="P632">
        <f>IF(AND(MyRowHidden(ROW())=FALSE,MyRowHidden(ROW()-1)=TRUE),0,IF(M632&lt;totalMonths,(totalMonths-M632)/totalMonths *(J632-J631)+P631,0))</f>
        <v>-640152</v>
      </c>
      <c r="Q632">
        <f>IF(AND(MyRowHidden(ROW())=FALSE,MyRowHidden(ROW()-1)=TRUE),0,IF(M632&lt;totalMonths,(totalMonths-M632)/totalMonths *(K632-K631)+Q631,0))</f>
        <v>640152</v>
      </c>
      <c r="R632">
        <f t="shared" si="54"/>
        <v>-810462</v>
      </c>
      <c r="S632">
        <f t="shared" si="55"/>
        <v>-798958.66666666663</v>
      </c>
    </row>
    <row r="633" spans="1:19" x14ac:dyDescent="0.25">
      <c r="A633" s="1"/>
      <c r="C633" s="1"/>
      <c r="D633" s="1">
        <v>42144</v>
      </c>
      <c r="E633" s="10">
        <v>2591</v>
      </c>
      <c r="F633" s="1">
        <v>42144</v>
      </c>
      <c r="G633">
        <v>-9703</v>
      </c>
      <c r="H633" s="1">
        <f t="shared" si="50"/>
        <v>42144</v>
      </c>
      <c r="I633">
        <f>IF(AND(MyRowHidden(ROW())=FALSE,MyRowHidden(ROW()-1)=TRUE),0,(E633-E632)*unitsOfDHp+I632)</f>
        <v>-172935</v>
      </c>
      <c r="J633">
        <f>IF(AND(MyRowHidden(ROW())=FALSE,MyRowHidden(ROW()-1)=TRUE),0,(G633-G632)*unitsOfExo+J632)</f>
        <v>-777168</v>
      </c>
      <c r="K633" s="9">
        <f t="shared" si="51"/>
        <v>777168</v>
      </c>
      <c r="L633">
        <f t="shared" si="52"/>
        <v>-950103</v>
      </c>
      <c r="M633">
        <f>IF(AND(MyRowHidden(ROW())=FALSE,MyRowHidden(ROW()-1)=TRUE),0,IF(MONTH(H633)&lt;&gt;MONTH(H632),M632+1,M632))</f>
        <v>4</v>
      </c>
      <c r="N633">
        <f t="shared" si="53"/>
        <v>-172935</v>
      </c>
      <c r="O633">
        <f>IF(AND(MyRowHidden(ROW())=FALSE,MyRowHidden(ROW()-1)=TRUE),0,IF(M633&lt;totalMonths,(totalMonths-M633)/totalMonths *(I633-I632)+O632,0))</f>
        <v>-160556.66666666663</v>
      </c>
      <c r="P633">
        <f>IF(AND(MyRowHidden(ROW())=FALSE,MyRowHidden(ROW()-1)=TRUE),0,IF(M633&lt;totalMonths,(totalMonths-M633)/totalMonths *(J633-J632)+P632,0))</f>
        <v>-659352</v>
      </c>
      <c r="Q633">
        <f>IF(AND(MyRowHidden(ROW())=FALSE,MyRowHidden(ROW()-1)=TRUE),0,IF(M633&lt;totalMonths,(totalMonths-M633)/totalMonths *(K633-K632)+Q632,0))</f>
        <v>659352</v>
      </c>
      <c r="R633">
        <f t="shared" si="54"/>
        <v>-832287</v>
      </c>
      <c r="S633">
        <f t="shared" si="55"/>
        <v>-819908.66666666663</v>
      </c>
    </row>
    <row r="634" spans="1:19" x14ac:dyDescent="0.25">
      <c r="A634" s="1"/>
      <c r="C634" s="1"/>
      <c r="D634" s="1">
        <v>42145</v>
      </c>
      <c r="E634" s="10">
        <v>2766</v>
      </c>
      <c r="F634" s="1">
        <v>42145</v>
      </c>
      <c r="G634">
        <v>-9453</v>
      </c>
      <c r="H634" s="1">
        <f t="shared" si="50"/>
        <v>42145</v>
      </c>
      <c r="I634">
        <f>IF(AND(MyRowHidden(ROW())=FALSE,MyRowHidden(ROW()-1)=TRUE),0,(E634-E633)*unitsOfDHp+I633)</f>
        <v>-166810</v>
      </c>
      <c r="J634">
        <f>IF(AND(MyRowHidden(ROW())=FALSE,MyRowHidden(ROW()-1)=TRUE),0,(G634-G633)*unitsOfExo+J633)</f>
        <v>-705168</v>
      </c>
      <c r="K634" s="9">
        <f t="shared" si="51"/>
        <v>705168</v>
      </c>
      <c r="L634">
        <f t="shared" si="52"/>
        <v>-871978</v>
      </c>
      <c r="M634">
        <f>IF(AND(MyRowHidden(ROW())=FALSE,MyRowHidden(ROW()-1)=TRUE),0,IF(MONTH(H634)&lt;&gt;MONTH(H633),M633+1,M633))</f>
        <v>4</v>
      </c>
      <c r="N634">
        <f t="shared" si="53"/>
        <v>-166810</v>
      </c>
      <c r="O634">
        <f>IF(AND(MyRowHidden(ROW())=FALSE,MyRowHidden(ROW()-1)=TRUE),0,IF(M634&lt;totalMonths,(totalMonths-M634)/totalMonths *(I634-I633)+O633,0))</f>
        <v>-156473.33333333328</v>
      </c>
      <c r="P634">
        <f>IF(AND(MyRowHidden(ROW())=FALSE,MyRowHidden(ROW()-1)=TRUE),0,IF(M634&lt;totalMonths,(totalMonths-M634)/totalMonths *(J634-J633)+P633,0))</f>
        <v>-611352</v>
      </c>
      <c r="Q634">
        <f>IF(AND(MyRowHidden(ROW())=FALSE,MyRowHidden(ROW()-1)=TRUE),0,IF(M634&lt;totalMonths,(totalMonths-M634)/totalMonths *(K634-K633)+Q633,0))</f>
        <v>611352</v>
      </c>
      <c r="R634">
        <f t="shared" si="54"/>
        <v>-778162</v>
      </c>
      <c r="S634">
        <f t="shared" si="55"/>
        <v>-767825.33333333326</v>
      </c>
    </row>
    <row r="635" spans="1:19" x14ac:dyDescent="0.25">
      <c r="A635" s="1"/>
      <c r="C635" s="1"/>
      <c r="D635" s="1">
        <v>42146</v>
      </c>
      <c r="E635" s="10">
        <v>2578</v>
      </c>
      <c r="F635" s="1">
        <v>42146</v>
      </c>
      <c r="G635">
        <v>-9653</v>
      </c>
      <c r="H635" s="1">
        <f t="shared" si="50"/>
        <v>42146</v>
      </c>
      <c r="I635">
        <f>IF(AND(MyRowHidden(ROW())=FALSE,MyRowHidden(ROW()-1)=TRUE),0,(E635-E634)*unitsOfDHp+I634)</f>
        <v>-173390</v>
      </c>
      <c r="J635">
        <f>IF(AND(MyRowHidden(ROW())=FALSE,MyRowHidden(ROW()-1)=TRUE),0,(G635-G634)*unitsOfExo+J634)</f>
        <v>-762768</v>
      </c>
      <c r="K635" s="9">
        <f t="shared" si="51"/>
        <v>762768</v>
      </c>
      <c r="L635">
        <f t="shared" si="52"/>
        <v>-936158</v>
      </c>
      <c r="M635">
        <f>IF(AND(MyRowHidden(ROW())=FALSE,MyRowHidden(ROW()-1)=TRUE),0,IF(MONTH(H635)&lt;&gt;MONTH(H634),M634+1,M634))</f>
        <v>4</v>
      </c>
      <c r="N635">
        <f t="shared" si="53"/>
        <v>-173390</v>
      </c>
      <c r="O635">
        <f>IF(AND(MyRowHidden(ROW())=FALSE,MyRowHidden(ROW()-1)=TRUE),0,IF(M635&lt;totalMonths,(totalMonths-M635)/totalMonths *(I635-I634)+O634,0))</f>
        <v>-160859.99999999994</v>
      </c>
      <c r="P635">
        <f>IF(AND(MyRowHidden(ROW())=FALSE,MyRowHidden(ROW()-1)=TRUE),0,IF(M635&lt;totalMonths,(totalMonths-M635)/totalMonths *(J635-J634)+P634,0))</f>
        <v>-649752</v>
      </c>
      <c r="Q635">
        <f>IF(AND(MyRowHidden(ROW())=FALSE,MyRowHidden(ROW()-1)=TRUE),0,IF(M635&lt;totalMonths,(totalMonths-M635)/totalMonths *(K635-K634)+Q634,0))</f>
        <v>649752</v>
      </c>
      <c r="R635">
        <f t="shared" si="54"/>
        <v>-823142</v>
      </c>
      <c r="S635">
        <f t="shared" si="55"/>
        <v>-810612</v>
      </c>
    </row>
    <row r="636" spans="1:19" x14ac:dyDescent="0.25">
      <c r="A636" s="1"/>
      <c r="C636" s="1"/>
      <c r="D636" s="1">
        <v>42149</v>
      </c>
      <c r="E636" s="10">
        <v>2678</v>
      </c>
      <c r="F636" s="1">
        <v>42149</v>
      </c>
      <c r="G636">
        <v>-9690.5</v>
      </c>
      <c r="H636" s="1">
        <f t="shared" si="50"/>
        <v>42149</v>
      </c>
      <c r="I636">
        <f>IF(AND(MyRowHidden(ROW())=FALSE,MyRowHidden(ROW()-1)=TRUE),0,(E636-E635)*unitsOfDHp+I635)</f>
        <v>-169890</v>
      </c>
      <c r="J636">
        <f>IF(AND(MyRowHidden(ROW())=FALSE,MyRowHidden(ROW()-1)=TRUE),0,(G636-G635)*unitsOfExo+J635)</f>
        <v>-773568</v>
      </c>
      <c r="K636" s="9">
        <f t="shared" si="51"/>
        <v>773568</v>
      </c>
      <c r="L636">
        <f t="shared" si="52"/>
        <v>-943458</v>
      </c>
      <c r="M636">
        <f>IF(AND(MyRowHidden(ROW())=FALSE,MyRowHidden(ROW()-1)=TRUE),0,IF(MONTH(H636)&lt;&gt;MONTH(H635),M635+1,M635))</f>
        <v>4</v>
      </c>
      <c r="N636">
        <f t="shared" si="53"/>
        <v>-169890</v>
      </c>
      <c r="O636">
        <f>IF(AND(MyRowHidden(ROW())=FALSE,MyRowHidden(ROW()-1)=TRUE),0,IF(M636&lt;totalMonths,(totalMonths-M636)/totalMonths *(I636-I635)+O635,0))</f>
        <v>-158526.6666666666</v>
      </c>
      <c r="P636">
        <f>IF(AND(MyRowHidden(ROW())=FALSE,MyRowHidden(ROW()-1)=TRUE),0,IF(M636&lt;totalMonths,(totalMonths-M636)/totalMonths *(J636-J635)+P635,0))</f>
        <v>-656952</v>
      </c>
      <c r="Q636">
        <f>IF(AND(MyRowHidden(ROW())=FALSE,MyRowHidden(ROW()-1)=TRUE),0,IF(M636&lt;totalMonths,(totalMonths-M636)/totalMonths *(K636-K635)+Q635,0))</f>
        <v>656952</v>
      </c>
      <c r="R636">
        <f t="shared" si="54"/>
        <v>-826842</v>
      </c>
      <c r="S636">
        <f t="shared" si="55"/>
        <v>-815478.66666666663</v>
      </c>
    </row>
    <row r="637" spans="1:19" x14ac:dyDescent="0.25">
      <c r="A637" s="1"/>
      <c r="C637" s="1"/>
      <c r="D637" s="1">
        <v>42150</v>
      </c>
      <c r="E637" s="10">
        <v>2256</v>
      </c>
      <c r="F637" s="1">
        <v>42150</v>
      </c>
      <c r="G637">
        <v>-9990.5</v>
      </c>
      <c r="H637" s="1">
        <f t="shared" si="50"/>
        <v>42150</v>
      </c>
      <c r="I637">
        <f>IF(AND(MyRowHidden(ROW())=FALSE,MyRowHidden(ROW()-1)=TRUE),0,(E637-E636)*unitsOfDHp+I636)</f>
        <v>-184660</v>
      </c>
      <c r="J637">
        <f>IF(AND(MyRowHidden(ROW())=FALSE,MyRowHidden(ROW()-1)=TRUE),0,(G637-G636)*unitsOfExo+J636)</f>
        <v>-859968</v>
      </c>
      <c r="K637" s="9">
        <f t="shared" si="51"/>
        <v>859968</v>
      </c>
      <c r="L637">
        <f t="shared" si="52"/>
        <v>-1044628</v>
      </c>
      <c r="M637">
        <f>IF(AND(MyRowHidden(ROW())=FALSE,MyRowHidden(ROW()-1)=TRUE),0,IF(MONTH(H637)&lt;&gt;MONTH(H636),M636+1,M636))</f>
        <v>4</v>
      </c>
      <c r="N637">
        <f t="shared" si="53"/>
        <v>-184660</v>
      </c>
      <c r="O637">
        <f>IF(AND(MyRowHidden(ROW())=FALSE,MyRowHidden(ROW()-1)=TRUE),0,IF(M637&lt;totalMonths,(totalMonths-M637)/totalMonths *(I637-I636)+O636,0))</f>
        <v>-168373.33333333326</v>
      </c>
      <c r="P637">
        <f>IF(AND(MyRowHidden(ROW())=FALSE,MyRowHidden(ROW()-1)=TRUE),0,IF(M637&lt;totalMonths,(totalMonths-M637)/totalMonths *(J637-J636)+P636,0))</f>
        <v>-714552</v>
      </c>
      <c r="Q637">
        <f>IF(AND(MyRowHidden(ROW())=FALSE,MyRowHidden(ROW()-1)=TRUE),0,IF(M637&lt;totalMonths,(totalMonths-M637)/totalMonths *(K637-K636)+Q636,0))</f>
        <v>714552</v>
      </c>
      <c r="R637">
        <f t="shared" si="54"/>
        <v>-899212</v>
      </c>
      <c r="S637">
        <f t="shared" si="55"/>
        <v>-882925.33333333326</v>
      </c>
    </row>
    <row r="638" spans="1:19" x14ac:dyDescent="0.25">
      <c r="A638" s="1"/>
      <c r="C638" s="1"/>
      <c r="D638" s="1">
        <v>42151</v>
      </c>
      <c r="E638" s="10">
        <v>2368</v>
      </c>
      <c r="F638" s="1">
        <v>42151</v>
      </c>
      <c r="G638">
        <v>-10190.5</v>
      </c>
      <c r="H638" s="1">
        <f t="shared" si="50"/>
        <v>42151</v>
      </c>
      <c r="I638">
        <f>IF(AND(MyRowHidden(ROW())=FALSE,MyRowHidden(ROW()-1)=TRUE),0,(E638-E637)*unitsOfDHp+I637)</f>
        <v>-180740</v>
      </c>
      <c r="J638">
        <f>IF(AND(MyRowHidden(ROW())=FALSE,MyRowHidden(ROW()-1)=TRUE),0,(G638-G637)*unitsOfExo+J637)</f>
        <v>-917568</v>
      </c>
      <c r="K638" s="9">
        <f t="shared" si="51"/>
        <v>917568</v>
      </c>
      <c r="L638">
        <f t="shared" si="52"/>
        <v>-1098308</v>
      </c>
      <c r="M638">
        <f>IF(AND(MyRowHidden(ROW())=FALSE,MyRowHidden(ROW()-1)=TRUE),0,IF(MONTH(H638)&lt;&gt;MONTH(H637),M637+1,M637))</f>
        <v>4</v>
      </c>
      <c r="N638">
        <f t="shared" si="53"/>
        <v>-180740</v>
      </c>
      <c r="O638">
        <f>IF(AND(MyRowHidden(ROW())=FALSE,MyRowHidden(ROW()-1)=TRUE),0,IF(M638&lt;totalMonths,(totalMonths-M638)/totalMonths *(I638-I637)+O637,0))</f>
        <v>-165759.99999999991</v>
      </c>
      <c r="P638">
        <f>IF(AND(MyRowHidden(ROW())=FALSE,MyRowHidden(ROW()-1)=TRUE),0,IF(M638&lt;totalMonths,(totalMonths-M638)/totalMonths *(J638-J637)+P637,0))</f>
        <v>-752952</v>
      </c>
      <c r="Q638">
        <f>IF(AND(MyRowHidden(ROW())=FALSE,MyRowHidden(ROW()-1)=TRUE),0,IF(M638&lt;totalMonths,(totalMonths-M638)/totalMonths *(K638-K637)+Q637,0))</f>
        <v>752952</v>
      </c>
      <c r="R638">
        <f t="shared" si="54"/>
        <v>-933692</v>
      </c>
      <c r="S638">
        <f t="shared" si="55"/>
        <v>-918711.99999999988</v>
      </c>
    </row>
    <row r="639" spans="1:19" x14ac:dyDescent="0.25">
      <c r="A639" s="1"/>
      <c r="C639" s="1"/>
      <c r="D639" s="1">
        <v>42152</v>
      </c>
      <c r="E639" s="10">
        <v>2358</v>
      </c>
      <c r="F639" s="1">
        <v>42152</v>
      </c>
      <c r="G639">
        <v>-10003</v>
      </c>
      <c r="H639" s="1">
        <f t="shared" si="50"/>
        <v>42152</v>
      </c>
      <c r="I639">
        <f>IF(AND(MyRowHidden(ROW())=FALSE,MyRowHidden(ROW()-1)=TRUE),0,(E639-E638)*unitsOfDHp+I638)</f>
        <v>-181090</v>
      </c>
      <c r="J639">
        <f>IF(AND(MyRowHidden(ROW())=FALSE,MyRowHidden(ROW()-1)=TRUE),0,(G639-G638)*unitsOfExo+J638)</f>
        <v>-863568</v>
      </c>
      <c r="K639" s="9">
        <f t="shared" si="51"/>
        <v>863568</v>
      </c>
      <c r="L639">
        <f t="shared" si="52"/>
        <v>-1044658</v>
      </c>
      <c r="M639">
        <f>IF(AND(MyRowHidden(ROW())=FALSE,MyRowHidden(ROW()-1)=TRUE),0,IF(MONTH(H639)&lt;&gt;MONTH(H638),M638+1,M638))</f>
        <v>4</v>
      </c>
      <c r="N639">
        <f t="shared" si="53"/>
        <v>-181090</v>
      </c>
      <c r="O639">
        <f>IF(AND(MyRowHidden(ROW())=FALSE,MyRowHidden(ROW()-1)=TRUE),0,IF(M639&lt;totalMonths,(totalMonths-M639)/totalMonths *(I639-I638)+O638,0))</f>
        <v>-165993.33333333326</v>
      </c>
      <c r="P639">
        <f>IF(AND(MyRowHidden(ROW())=FALSE,MyRowHidden(ROW()-1)=TRUE),0,IF(M639&lt;totalMonths,(totalMonths-M639)/totalMonths *(J639-J638)+P638,0))</f>
        <v>-716952</v>
      </c>
      <c r="Q639">
        <f>IF(AND(MyRowHidden(ROW())=FALSE,MyRowHidden(ROW()-1)=TRUE),0,IF(M639&lt;totalMonths,(totalMonths-M639)/totalMonths *(K639-K638)+Q638,0))</f>
        <v>716952</v>
      </c>
      <c r="R639">
        <f t="shared" si="54"/>
        <v>-898042</v>
      </c>
      <c r="S639">
        <f t="shared" si="55"/>
        <v>-882945.33333333326</v>
      </c>
    </row>
    <row r="640" spans="1:19" x14ac:dyDescent="0.25">
      <c r="A640" s="1"/>
      <c r="C640" s="1"/>
      <c r="D640" s="1">
        <v>42153</v>
      </c>
      <c r="E640" s="10">
        <v>2133</v>
      </c>
      <c r="F640" s="1">
        <v>42153</v>
      </c>
      <c r="G640">
        <v>-10165.5</v>
      </c>
      <c r="H640" s="1">
        <f t="shared" si="50"/>
        <v>42153</v>
      </c>
      <c r="I640">
        <f>IF(AND(MyRowHidden(ROW())=FALSE,MyRowHidden(ROW()-1)=TRUE),0,(E640-E639)*unitsOfDHp+I639)</f>
        <v>-188965</v>
      </c>
      <c r="J640">
        <f>IF(AND(MyRowHidden(ROW())=FALSE,MyRowHidden(ROW()-1)=TRUE),0,(G640-G639)*unitsOfExo+J639)</f>
        <v>-910368</v>
      </c>
      <c r="K640" s="9">
        <f t="shared" si="51"/>
        <v>910368</v>
      </c>
      <c r="L640">
        <f t="shared" si="52"/>
        <v>-1099333</v>
      </c>
      <c r="M640">
        <f>IF(AND(MyRowHidden(ROW())=FALSE,MyRowHidden(ROW()-1)=TRUE),0,IF(MONTH(H640)&lt;&gt;MONTH(H639),M639+1,M639))</f>
        <v>4</v>
      </c>
      <c r="N640">
        <f t="shared" si="53"/>
        <v>-188965</v>
      </c>
      <c r="O640">
        <f>IF(AND(MyRowHidden(ROW())=FALSE,MyRowHidden(ROW()-1)=TRUE),0,IF(M640&lt;totalMonths,(totalMonths-M640)/totalMonths *(I640-I639)+O639,0))</f>
        <v>-171243.33333333326</v>
      </c>
      <c r="P640">
        <f>IF(AND(MyRowHidden(ROW())=FALSE,MyRowHidden(ROW()-1)=TRUE),0,IF(M640&lt;totalMonths,(totalMonths-M640)/totalMonths *(J640-J639)+P639,0))</f>
        <v>-748152</v>
      </c>
      <c r="Q640">
        <f>IF(AND(MyRowHidden(ROW())=FALSE,MyRowHidden(ROW()-1)=TRUE),0,IF(M640&lt;totalMonths,(totalMonths-M640)/totalMonths *(K640-K639)+Q639,0))</f>
        <v>748152</v>
      </c>
      <c r="R640">
        <f t="shared" si="54"/>
        <v>-937117</v>
      </c>
      <c r="S640">
        <f t="shared" si="55"/>
        <v>-919395.33333333326</v>
      </c>
    </row>
    <row r="641" spans="1:19" x14ac:dyDescent="0.25">
      <c r="A641" s="1"/>
      <c r="C641" s="1"/>
      <c r="D641" s="1">
        <v>42156</v>
      </c>
      <c r="E641" s="10">
        <v>2270</v>
      </c>
      <c r="F641" s="1">
        <v>42156</v>
      </c>
      <c r="G641">
        <v>-10090.5</v>
      </c>
      <c r="H641" s="1">
        <f t="shared" si="50"/>
        <v>42156</v>
      </c>
      <c r="I641">
        <f>IF(AND(MyRowHidden(ROW())=FALSE,MyRowHidden(ROW()-1)=TRUE),0,(E641-E640)*unitsOfDHp+I640)</f>
        <v>-184170</v>
      </c>
      <c r="J641">
        <f>IF(AND(MyRowHidden(ROW())=FALSE,MyRowHidden(ROW()-1)=TRUE),0,(G641-G640)*unitsOfExo+J640)</f>
        <v>-888768</v>
      </c>
      <c r="K641" s="9">
        <f t="shared" si="51"/>
        <v>888768</v>
      </c>
      <c r="L641">
        <f t="shared" si="52"/>
        <v>-1072938</v>
      </c>
      <c r="M641">
        <f>IF(AND(MyRowHidden(ROW())=FALSE,MyRowHidden(ROW()-1)=TRUE),0,IF(MONTH(H641)&lt;&gt;MONTH(H640),M640+1,M640))</f>
        <v>5</v>
      </c>
      <c r="N641">
        <f t="shared" si="53"/>
        <v>-184170</v>
      </c>
      <c r="O641">
        <f>IF(AND(MyRowHidden(ROW())=FALSE,MyRowHidden(ROW()-1)=TRUE),0,IF(M641&lt;totalMonths,(totalMonths-M641)/totalMonths *(I641-I640)+O640,0))</f>
        <v>-168446.24999999991</v>
      </c>
      <c r="P641">
        <f>IF(AND(MyRowHidden(ROW())=FALSE,MyRowHidden(ROW()-1)=TRUE),0,IF(M641&lt;totalMonths,(totalMonths-M641)/totalMonths *(J641-J640)+P640,0))</f>
        <v>-735552</v>
      </c>
      <c r="Q641">
        <f>IF(AND(MyRowHidden(ROW())=FALSE,MyRowHidden(ROW()-1)=TRUE),0,IF(M641&lt;totalMonths,(totalMonths-M641)/totalMonths *(K641-K640)+Q640,0))</f>
        <v>735552</v>
      </c>
      <c r="R641">
        <f t="shared" si="54"/>
        <v>-919722</v>
      </c>
      <c r="S641">
        <f t="shared" si="55"/>
        <v>-903998.24999999988</v>
      </c>
    </row>
    <row r="642" spans="1:19" x14ac:dyDescent="0.25">
      <c r="A642" s="1"/>
      <c r="C642" s="1"/>
      <c r="D642" s="1">
        <v>42157</v>
      </c>
      <c r="E642" s="10">
        <v>2696</v>
      </c>
      <c r="F642" s="1">
        <v>42157</v>
      </c>
      <c r="G642">
        <v>-9728</v>
      </c>
      <c r="H642" s="1">
        <f t="shared" si="50"/>
        <v>42157</v>
      </c>
      <c r="I642">
        <f>IF(AND(MyRowHidden(ROW())=FALSE,MyRowHidden(ROW()-1)=TRUE),0,(E642-E641)*unitsOfDHp+I641)</f>
        <v>-169260</v>
      </c>
      <c r="J642">
        <f>IF(AND(MyRowHidden(ROW())=FALSE,MyRowHidden(ROW()-1)=TRUE),0,(G642-G641)*unitsOfExo+J641)</f>
        <v>-784368</v>
      </c>
      <c r="K642" s="9">
        <f t="shared" si="51"/>
        <v>784368</v>
      </c>
      <c r="L642">
        <f t="shared" si="52"/>
        <v>-953628</v>
      </c>
      <c r="M642">
        <f>IF(AND(MyRowHidden(ROW())=FALSE,MyRowHidden(ROW()-1)=TRUE),0,IF(MONTH(H642)&lt;&gt;MONTH(H641),M641+1,M641))</f>
        <v>5</v>
      </c>
      <c r="N642">
        <f t="shared" si="53"/>
        <v>-169260</v>
      </c>
      <c r="O642">
        <f>IF(AND(MyRowHidden(ROW())=FALSE,MyRowHidden(ROW()-1)=TRUE),0,IF(M642&lt;totalMonths,(totalMonths-M642)/totalMonths *(I642-I641)+O641,0))</f>
        <v>-159748.74999999991</v>
      </c>
      <c r="P642">
        <f>IF(AND(MyRowHidden(ROW())=FALSE,MyRowHidden(ROW()-1)=TRUE),0,IF(M642&lt;totalMonths,(totalMonths-M642)/totalMonths *(J642-J641)+P641,0))</f>
        <v>-674652</v>
      </c>
      <c r="Q642">
        <f>IF(AND(MyRowHidden(ROW())=FALSE,MyRowHidden(ROW()-1)=TRUE),0,IF(M642&lt;totalMonths,(totalMonths-M642)/totalMonths *(K642-K641)+Q641,0))</f>
        <v>674652</v>
      </c>
      <c r="R642">
        <f t="shared" si="54"/>
        <v>-843912</v>
      </c>
      <c r="S642">
        <f t="shared" si="55"/>
        <v>-834400.74999999988</v>
      </c>
    </row>
    <row r="643" spans="1:19" x14ac:dyDescent="0.25">
      <c r="A643" s="1"/>
      <c r="C643" s="1"/>
      <c r="D643" s="1">
        <v>42158</v>
      </c>
      <c r="E643" s="10">
        <v>2584</v>
      </c>
      <c r="F643" s="1">
        <v>42158</v>
      </c>
      <c r="G643">
        <v>-9815.5</v>
      </c>
      <c r="H643" s="1">
        <f t="shared" si="50"/>
        <v>42158</v>
      </c>
      <c r="I643">
        <f>IF(AND(MyRowHidden(ROW())=FALSE,MyRowHidden(ROW()-1)=TRUE),0,(E643-E642)*unitsOfDHp+I642)</f>
        <v>-173180</v>
      </c>
      <c r="J643">
        <f>IF(AND(MyRowHidden(ROW())=FALSE,MyRowHidden(ROW()-1)=TRUE),0,(G643-G642)*unitsOfExo+J642)</f>
        <v>-809568</v>
      </c>
      <c r="K643" s="9">
        <f t="shared" si="51"/>
        <v>809568</v>
      </c>
      <c r="L643">
        <f t="shared" si="52"/>
        <v>-982748</v>
      </c>
      <c r="M643">
        <f>IF(AND(MyRowHidden(ROW())=FALSE,MyRowHidden(ROW()-1)=TRUE),0,IF(MONTH(H643)&lt;&gt;MONTH(H642),M642+1,M642))</f>
        <v>5</v>
      </c>
      <c r="N643">
        <f t="shared" si="53"/>
        <v>-173180</v>
      </c>
      <c r="O643">
        <f>IF(AND(MyRowHidden(ROW())=FALSE,MyRowHidden(ROW()-1)=TRUE),0,IF(M643&lt;totalMonths,(totalMonths-M643)/totalMonths *(I643-I642)+O642,0))</f>
        <v>-162035.41666666657</v>
      </c>
      <c r="P643">
        <f>IF(AND(MyRowHidden(ROW())=FALSE,MyRowHidden(ROW()-1)=TRUE),0,IF(M643&lt;totalMonths,(totalMonths-M643)/totalMonths *(J643-J642)+P642,0))</f>
        <v>-689352</v>
      </c>
      <c r="Q643">
        <f>IF(AND(MyRowHidden(ROW())=FALSE,MyRowHidden(ROW()-1)=TRUE),0,IF(M643&lt;totalMonths,(totalMonths-M643)/totalMonths *(K643-K642)+Q642,0))</f>
        <v>689352</v>
      </c>
      <c r="R643">
        <f t="shared" si="54"/>
        <v>-862532</v>
      </c>
      <c r="S643">
        <f t="shared" si="55"/>
        <v>-851387.41666666651</v>
      </c>
    </row>
    <row r="644" spans="1:19" x14ac:dyDescent="0.25">
      <c r="A644" s="1"/>
      <c r="C644" s="1"/>
      <c r="D644" s="1">
        <v>42159</v>
      </c>
      <c r="E644" s="10">
        <v>2953</v>
      </c>
      <c r="F644" s="1">
        <v>42159</v>
      </c>
      <c r="G644">
        <v>-9515.5</v>
      </c>
      <c r="H644" s="1">
        <f t="shared" si="50"/>
        <v>42159</v>
      </c>
      <c r="I644">
        <f>IF(AND(MyRowHidden(ROW())=FALSE,MyRowHidden(ROW()-1)=TRUE),0,(E644-E643)*unitsOfDHp+I643)</f>
        <v>-160265</v>
      </c>
      <c r="J644">
        <f>IF(AND(MyRowHidden(ROW())=FALSE,MyRowHidden(ROW()-1)=TRUE),0,(G644-G643)*unitsOfExo+J643)</f>
        <v>-723168</v>
      </c>
      <c r="K644" s="9">
        <f t="shared" si="51"/>
        <v>723168</v>
      </c>
      <c r="L644">
        <f t="shared" si="52"/>
        <v>-883433</v>
      </c>
      <c r="M644">
        <f>IF(AND(MyRowHidden(ROW())=FALSE,MyRowHidden(ROW()-1)=TRUE),0,IF(MONTH(H644)&lt;&gt;MONTH(H643),M643+1,M643))</f>
        <v>5</v>
      </c>
      <c r="N644">
        <f t="shared" si="53"/>
        <v>-160265</v>
      </c>
      <c r="O644">
        <f>IF(AND(MyRowHidden(ROW())=FALSE,MyRowHidden(ROW()-1)=TRUE),0,IF(M644&lt;totalMonths,(totalMonths-M644)/totalMonths *(I644-I643)+O643,0))</f>
        <v>-154501.66666666657</v>
      </c>
      <c r="P644">
        <f>IF(AND(MyRowHidden(ROW())=FALSE,MyRowHidden(ROW()-1)=TRUE),0,IF(M644&lt;totalMonths,(totalMonths-M644)/totalMonths *(J644-J643)+P643,0))</f>
        <v>-638952</v>
      </c>
      <c r="Q644">
        <f>IF(AND(MyRowHidden(ROW())=FALSE,MyRowHidden(ROW()-1)=TRUE),0,IF(M644&lt;totalMonths,(totalMonths-M644)/totalMonths *(K644-K643)+Q643,0))</f>
        <v>638952</v>
      </c>
      <c r="R644">
        <f t="shared" si="54"/>
        <v>-799217</v>
      </c>
      <c r="S644">
        <f t="shared" si="55"/>
        <v>-793453.66666666651</v>
      </c>
    </row>
    <row r="645" spans="1:19" x14ac:dyDescent="0.25">
      <c r="A645" s="1"/>
      <c r="C645" s="1"/>
      <c r="D645" s="1">
        <v>42160</v>
      </c>
      <c r="E645" s="10">
        <v>2979</v>
      </c>
      <c r="F645" s="1">
        <v>42160</v>
      </c>
      <c r="G645">
        <v>-9678</v>
      </c>
      <c r="H645" s="1">
        <f t="shared" si="50"/>
        <v>42160</v>
      </c>
      <c r="I645">
        <f>IF(AND(MyRowHidden(ROW())=FALSE,MyRowHidden(ROW()-1)=TRUE),0,(E645-E644)*unitsOfDHp+I644)</f>
        <v>-159355</v>
      </c>
      <c r="J645">
        <f>IF(AND(MyRowHidden(ROW())=FALSE,MyRowHidden(ROW()-1)=TRUE),0,(G645-G644)*unitsOfExo+J644)</f>
        <v>-769968</v>
      </c>
      <c r="K645" s="9">
        <f t="shared" si="51"/>
        <v>769968</v>
      </c>
      <c r="L645">
        <f t="shared" si="52"/>
        <v>-929323</v>
      </c>
      <c r="M645">
        <f>IF(AND(MyRowHidden(ROW())=FALSE,MyRowHidden(ROW()-1)=TRUE),0,IF(MONTH(H645)&lt;&gt;MONTH(H644),M644+1,M644))</f>
        <v>5</v>
      </c>
      <c r="N645">
        <f t="shared" si="53"/>
        <v>-159355</v>
      </c>
      <c r="O645">
        <f>IF(AND(MyRowHidden(ROW())=FALSE,MyRowHidden(ROW()-1)=TRUE),0,IF(M645&lt;totalMonths,(totalMonths-M645)/totalMonths *(I645-I644)+O644,0))</f>
        <v>-153970.83333333323</v>
      </c>
      <c r="P645">
        <f>IF(AND(MyRowHidden(ROW())=FALSE,MyRowHidden(ROW()-1)=TRUE),0,IF(M645&lt;totalMonths,(totalMonths-M645)/totalMonths *(J645-J644)+P644,0))</f>
        <v>-666252</v>
      </c>
      <c r="Q645">
        <f>IF(AND(MyRowHidden(ROW())=FALSE,MyRowHidden(ROW()-1)=TRUE),0,IF(M645&lt;totalMonths,(totalMonths-M645)/totalMonths *(K645-K644)+Q644,0))</f>
        <v>666252</v>
      </c>
      <c r="R645">
        <f t="shared" si="54"/>
        <v>-825607</v>
      </c>
      <c r="S645">
        <f t="shared" si="55"/>
        <v>-820222.83333333326</v>
      </c>
    </row>
    <row r="646" spans="1:19" x14ac:dyDescent="0.25">
      <c r="A646" s="1"/>
      <c r="C646" s="1"/>
      <c r="D646" s="1">
        <v>42163</v>
      </c>
      <c r="E646" s="10">
        <v>2730</v>
      </c>
      <c r="F646" s="1">
        <v>42163</v>
      </c>
      <c r="G646">
        <v>-9465.5</v>
      </c>
      <c r="H646" s="1">
        <f t="shared" si="50"/>
        <v>42163</v>
      </c>
      <c r="I646">
        <f>IF(AND(MyRowHidden(ROW())=FALSE,MyRowHidden(ROW()-1)=TRUE),0,(E646-E645)*unitsOfDHp+I645)</f>
        <v>-168070</v>
      </c>
      <c r="J646">
        <f>IF(AND(MyRowHidden(ROW())=FALSE,MyRowHidden(ROW()-1)=TRUE),0,(G646-G645)*unitsOfExo+J645)</f>
        <v>-708768</v>
      </c>
      <c r="K646" s="9">
        <f t="shared" si="51"/>
        <v>708768</v>
      </c>
      <c r="L646">
        <f t="shared" si="52"/>
        <v>-876838</v>
      </c>
      <c r="M646">
        <f>IF(AND(MyRowHidden(ROW())=FALSE,MyRowHidden(ROW()-1)=TRUE),0,IF(MONTH(H646)&lt;&gt;MONTH(H645),M645+1,M645))</f>
        <v>5</v>
      </c>
      <c r="N646">
        <f t="shared" si="53"/>
        <v>-168070</v>
      </c>
      <c r="O646">
        <f>IF(AND(MyRowHidden(ROW())=FALSE,MyRowHidden(ROW()-1)=TRUE),0,IF(M646&lt;totalMonths,(totalMonths-M646)/totalMonths *(I646-I645)+O645,0))</f>
        <v>-159054.58333333323</v>
      </c>
      <c r="P646">
        <f>IF(AND(MyRowHidden(ROW())=FALSE,MyRowHidden(ROW()-1)=TRUE),0,IF(M646&lt;totalMonths,(totalMonths-M646)/totalMonths *(J646-J645)+P645,0))</f>
        <v>-630552</v>
      </c>
      <c r="Q646">
        <f>IF(AND(MyRowHidden(ROW())=FALSE,MyRowHidden(ROW()-1)=TRUE),0,IF(M646&lt;totalMonths,(totalMonths-M646)/totalMonths *(K646-K645)+Q645,0))</f>
        <v>630552</v>
      </c>
      <c r="R646">
        <f t="shared" si="54"/>
        <v>-798622</v>
      </c>
      <c r="S646">
        <f t="shared" si="55"/>
        <v>-789606.58333333326</v>
      </c>
    </row>
    <row r="647" spans="1:19" x14ac:dyDescent="0.25">
      <c r="A647" s="1"/>
      <c r="C647" s="1"/>
      <c r="D647" s="1">
        <v>42164</v>
      </c>
      <c r="E647" s="10">
        <v>2742</v>
      </c>
      <c r="F647" s="1">
        <v>42164</v>
      </c>
      <c r="G647">
        <v>-9428</v>
      </c>
      <c r="H647" s="1">
        <f t="shared" si="50"/>
        <v>42164</v>
      </c>
      <c r="I647">
        <f>IF(AND(MyRowHidden(ROW())=FALSE,MyRowHidden(ROW()-1)=TRUE),0,(E647-E646)*unitsOfDHp+I646)</f>
        <v>-167650</v>
      </c>
      <c r="J647">
        <f>IF(AND(MyRowHidden(ROW())=FALSE,MyRowHidden(ROW()-1)=TRUE),0,(G647-G646)*unitsOfExo+J646)</f>
        <v>-697968</v>
      </c>
      <c r="K647" s="9">
        <f t="shared" si="51"/>
        <v>697968</v>
      </c>
      <c r="L647">
        <f t="shared" si="52"/>
        <v>-865618</v>
      </c>
      <c r="M647">
        <f>IF(AND(MyRowHidden(ROW())=FALSE,MyRowHidden(ROW()-1)=TRUE),0,IF(MONTH(H647)&lt;&gt;MONTH(H646),M646+1,M646))</f>
        <v>5</v>
      </c>
      <c r="N647">
        <f t="shared" si="53"/>
        <v>-167650</v>
      </c>
      <c r="O647">
        <f>IF(AND(MyRowHidden(ROW())=FALSE,MyRowHidden(ROW()-1)=TRUE),0,IF(M647&lt;totalMonths,(totalMonths-M647)/totalMonths *(I647-I646)+O646,0))</f>
        <v>-158809.58333333323</v>
      </c>
      <c r="P647">
        <f>IF(AND(MyRowHidden(ROW())=FALSE,MyRowHidden(ROW()-1)=TRUE),0,IF(M647&lt;totalMonths,(totalMonths-M647)/totalMonths *(J647-J646)+P646,0))</f>
        <v>-624252</v>
      </c>
      <c r="Q647">
        <f>IF(AND(MyRowHidden(ROW())=FALSE,MyRowHidden(ROW()-1)=TRUE),0,IF(M647&lt;totalMonths,(totalMonths-M647)/totalMonths *(K647-K646)+Q646,0))</f>
        <v>624252</v>
      </c>
      <c r="R647">
        <f t="shared" si="54"/>
        <v>-791902</v>
      </c>
      <c r="S647">
        <f t="shared" si="55"/>
        <v>-783061.58333333326</v>
      </c>
    </row>
    <row r="648" spans="1:19" x14ac:dyDescent="0.25">
      <c r="A648" s="1"/>
      <c r="C648" s="1"/>
      <c r="D648" s="1">
        <v>42165</v>
      </c>
      <c r="E648" s="10">
        <v>3530</v>
      </c>
      <c r="F648" s="1">
        <v>42165</v>
      </c>
      <c r="G648">
        <v>-9728</v>
      </c>
      <c r="H648" s="1">
        <f t="shared" si="50"/>
        <v>42165</v>
      </c>
      <c r="I648">
        <f>IF(AND(MyRowHidden(ROW())=FALSE,MyRowHidden(ROW()-1)=TRUE),0,(E648-E647)*unitsOfDHp+I647)</f>
        <v>-140070</v>
      </c>
      <c r="J648">
        <f>IF(AND(MyRowHidden(ROW())=FALSE,MyRowHidden(ROW()-1)=TRUE),0,(G648-G647)*unitsOfExo+J647)</f>
        <v>-784368</v>
      </c>
      <c r="K648" s="9">
        <f t="shared" si="51"/>
        <v>784368</v>
      </c>
      <c r="L648">
        <f t="shared" si="52"/>
        <v>-924438</v>
      </c>
      <c r="M648">
        <f>IF(AND(MyRowHidden(ROW())=FALSE,MyRowHidden(ROW()-1)=TRUE),0,IF(MONTH(H648)&lt;&gt;MONTH(H647),M647+1,M647))</f>
        <v>5</v>
      </c>
      <c r="N648">
        <f t="shared" si="53"/>
        <v>-140070</v>
      </c>
      <c r="O648">
        <f>IF(AND(MyRowHidden(ROW())=FALSE,MyRowHidden(ROW()-1)=TRUE),0,IF(M648&lt;totalMonths,(totalMonths-M648)/totalMonths *(I648-I647)+O647,0))</f>
        <v>-142721.24999999988</v>
      </c>
      <c r="P648">
        <f>IF(AND(MyRowHidden(ROW())=FALSE,MyRowHidden(ROW()-1)=TRUE),0,IF(M648&lt;totalMonths,(totalMonths-M648)/totalMonths *(J648-J647)+P647,0))</f>
        <v>-674652</v>
      </c>
      <c r="Q648">
        <f>IF(AND(MyRowHidden(ROW())=FALSE,MyRowHidden(ROW()-1)=TRUE),0,IF(M648&lt;totalMonths,(totalMonths-M648)/totalMonths *(K648-K647)+Q647,0))</f>
        <v>674652</v>
      </c>
      <c r="R648">
        <f t="shared" si="54"/>
        <v>-814722</v>
      </c>
      <c r="S648">
        <f t="shared" si="55"/>
        <v>-817373.24999999988</v>
      </c>
    </row>
    <row r="649" spans="1:19" x14ac:dyDescent="0.25">
      <c r="A649" s="1"/>
      <c r="C649" s="1"/>
      <c r="D649" s="1">
        <v>42166</v>
      </c>
      <c r="E649" s="10">
        <v>3792</v>
      </c>
      <c r="F649" s="1">
        <v>42166</v>
      </c>
      <c r="G649">
        <v>-9928</v>
      </c>
      <c r="H649" s="1">
        <f t="shared" si="50"/>
        <v>42166</v>
      </c>
      <c r="I649">
        <f>IF(AND(MyRowHidden(ROW())=FALSE,MyRowHidden(ROW()-1)=TRUE),0,(E649-E648)*unitsOfDHp+I648)</f>
        <v>-130900</v>
      </c>
      <c r="J649">
        <f>IF(AND(MyRowHidden(ROW())=FALSE,MyRowHidden(ROW()-1)=TRUE),0,(G649-G648)*unitsOfExo+J648)</f>
        <v>-841968</v>
      </c>
      <c r="K649" s="9">
        <f t="shared" si="51"/>
        <v>841968</v>
      </c>
      <c r="L649">
        <f t="shared" si="52"/>
        <v>-972868</v>
      </c>
      <c r="M649">
        <f>IF(AND(MyRowHidden(ROW())=FALSE,MyRowHidden(ROW()-1)=TRUE),0,IF(MONTH(H649)&lt;&gt;MONTH(H648),M648+1,M648))</f>
        <v>5</v>
      </c>
      <c r="N649">
        <f t="shared" si="53"/>
        <v>-130900</v>
      </c>
      <c r="O649">
        <f>IF(AND(MyRowHidden(ROW())=FALSE,MyRowHidden(ROW()-1)=TRUE),0,IF(M649&lt;totalMonths,(totalMonths-M649)/totalMonths *(I649-I648)+O648,0))</f>
        <v>-137372.08333333323</v>
      </c>
      <c r="P649">
        <f>IF(AND(MyRowHidden(ROW())=FALSE,MyRowHidden(ROW()-1)=TRUE),0,IF(M649&lt;totalMonths,(totalMonths-M649)/totalMonths *(J649-J648)+P648,0))</f>
        <v>-708252</v>
      </c>
      <c r="Q649">
        <f>IF(AND(MyRowHidden(ROW())=FALSE,MyRowHidden(ROW()-1)=TRUE),0,IF(M649&lt;totalMonths,(totalMonths-M649)/totalMonths *(K649-K648)+Q648,0))</f>
        <v>708252</v>
      </c>
      <c r="R649">
        <f t="shared" si="54"/>
        <v>-839152</v>
      </c>
      <c r="S649">
        <f t="shared" si="55"/>
        <v>-845624.08333333326</v>
      </c>
    </row>
    <row r="650" spans="1:19" x14ac:dyDescent="0.25">
      <c r="A650" s="1"/>
      <c r="C650" s="1"/>
      <c r="D650" s="1">
        <v>42167</v>
      </c>
      <c r="E650" s="10">
        <v>4304</v>
      </c>
      <c r="F650" s="1">
        <v>42167</v>
      </c>
      <c r="G650">
        <v>-10028</v>
      </c>
      <c r="H650" s="1">
        <f t="shared" si="50"/>
        <v>42167</v>
      </c>
      <c r="I650">
        <f>IF(AND(MyRowHidden(ROW())=FALSE,MyRowHidden(ROW()-1)=TRUE),0,(E650-E649)*unitsOfDHp+I649)</f>
        <v>-112980</v>
      </c>
      <c r="J650">
        <f>IF(AND(MyRowHidden(ROW())=FALSE,MyRowHidden(ROW()-1)=TRUE),0,(G650-G649)*unitsOfExo+J649)</f>
        <v>-870768</v>
      </c>
      <c r="K650" s="9">
        <f t="shared" si="51"/>
        <v>870768</v>
      </c>
      <c r="L650">
        <f t="shared" si="52"/>
        <v>-983748</v>
      </c>
      <c r="M650">
        <f>IF(AND(MyRowHidden(ROW())=FALSE,MyRowHidden(ROW()-1)=TRUE),0,IF(MONTH(H650)&lt;&gt;MONTH(H649),M649+1,M649))</f>
        <v>5</v>
      </c>
      <c r="N650">
        <f t="shared" si="53"/>
        <v>-112980</v>
      </c>
      <c r="O650">
        <f>IF(AND(MyRowHidden(ROW())=FALSE,MyRowHidden(ROW()-1)=TRUE),0,IF(M650&lt;totalMonths,(totalMonths-M650)/totalMonths *(I650-I649)+O649,0))</f>
        <v>-126918.7499999999</v>
      </c>
      <c r="P650">
        <f>IF(AND(MyRowHidden(ROW())=FALSE,MyRowHidden(ROW()-1)=TRUE),0,IF(M650&lt;totalMonths,(totalMonths-M650)/totalMonths *(J650-J649)+P649,0))</f>
        <v>-725052</v>
      </c>
      <c r="Q650">
        <f>IF(AND(MyRowHidden(ROW())=FALSE,MyRowHidden(ROW()-1)=TRUE),0,IF(M650&lt;totalMonths,(totalMonths-M650)/totalMonths *(K650-K649)+Q649,0))</f>
        <v>725052</v>
      </c>
      <c r="R650">
        <f t="shared" si="54"/>
        <v>-838032</v>
      </c>
      <c r="S650">
        <f t="shared" si="55"/>
        <v>-851970.74999999988</v>
      </c>
    </row>
    <row r="651" spans="1:19" x14ac:dyDescent="0.25">
      <c r="A651" s="1"/>
      <c r="C651" s="1"/>
      <c r="D651" s="1">
        <v>42170</v>
      </c>
      <c r="E651" s="10">
        <v>4768</v>
      </c>
      <c r="F651" s="1">
        <v>42170</v>
      </c>
      <c r="G651">
        <v>-10303</v>
      </c>
      <c r="H651" s="1">
        <f t="shared" si="50"/>
        <v>42170</v>
      </c>
      <c r="I651">
        <f>IF(AND(MyRowHidden(ROW())=FALSE,MyRowHidden(ROW()-1)=TRUE),0,(E651-E650)*unitsOfDHp+I650)</f>
        <v>-96740</v>
      </c>
      <c r="J651">
        <f>IF(AND(MyRowHidden(ROW())=FALSE,MyRowHidden(ROW()-1)=TRUE),0,(G651-G650)*unitsOfExo+J650)</f>
        <v>-949968</v>
      </c>
      <c r="K651" s="9">
        <f t="shared" si="51"/>
        <v>949968</v>
      </c>
      <c r="L651">
        <f t="shared" si="52"/>
        <v>-1046708</v>
      </c>
      <c r="M651">
        <f>IF(AND(MyRowHidden(ROW())=FALSE,MyRowHidden(ROW()-1)=TRUE),0,IF(MONTH(H651)&lt;&gt;MONTH(H650),M650+1,M650))</f>
        <v>5</v>
      </c>
      <c r="N651">
        <f t="shared" si="53"/>
        <v>-96740</v>
      </c>
      <c r="O651">
        <f>IF(AND(MyRowHidden(ROW())=FALSE,MyRowHidden(ROW()-1)=TRUE),0,IF(M651&lt;totalMonths,(totalMonths-M651)/totalMonths *(I651-I650)+O650,0))</f>
        <v>-117445.41666666657</v>
      </c>
      <c r="P651">
        <f>IF(AND(MyRowHidden(ROW())=FALSE,MyRowHidden(ROW()-1)=TRUE),0,IF(M651&lt;totalMonths,(totalMonths-M651)/totalMonths *(J651-J650)+P650,0))</f>
        <v>-771252</v>
      </c>
      <c r="Q651">
        <f>IF(AND(MyRowHidden(ROW())=FALSE,MyRowHidden(ROW()-1)=TRUE),0,IF(M651&lt;totalMonths,(totalMonths-M651)/totalMonths *(K651-K650)+Q650,0))</f>
        <v>771252</v>
      </c>
      <c r="R651">
        <f t="shared" si="54"/>
        <v>-867992</v>
      </c>
      <c r="S651">
        <f t="shared" si="55"/>
        <v>-888697.41666666651</v>
      </c>
    </row>
    <row r="652" spans="1:19" x14ac:dyDescent="0.25">
      <c r="A652" s="1"/>
      <c r="C652" s="1"/>
      <c r="D652" s="1">
        <v>42171</v>
      </c>
      <c r="E652" s="10">
        <v>3806</v>
      </c>
      <c r="F652" s="1">
        <v>42171</v>
      </c>
      <c r="G652">
        <v>-10115.5</v>
      </c>
      <c r="H652" s="1">
        <f t="shared" si="50"/>
        <v>42171</v>
      </c>
      <c r="I652">
        <f>IF(AND(MyRowHidden(ROW())=FALSE,MyRowHidden(ROW()-1)=TRUE),0,(E652-E651)*unitsOfDHp+I651)</f>
        <v>-130410</v>
      </c>
      <c r="J652">
        <f>IF(AND(MyRowHidden(ROW())=FALSE,MyRowHidden(ROW()-1)=TRUE),0,(G652-G651)*unitsOfExo+J651)</f>
        <v>-895968</v>
      </c>
      <c r="K652" s="9">
        <f t="shared" si="51"/>
        <v>895968</v>
      </c>
      <c r="L652">
        <f t="shared" si="52"/>
        <v>-1026378</v>
      </c>
      <c r="M652">
        <f>IF(AND(MyRowHidden(ROW())=FALSE,MyRowHidden(ROW()-1)=TRUE),0,IF(MONTH(H652)&lt;&gt;MONTH(H651),M651+1,M651))</f>
        <v>5</v>
      </c>
      <c r="N652">
        <f t="shared" si="53"/>
        <v>-130410</v>
      </c>
      <c r="O652">
        <f>IF(AND(MyRowHidden(ROW())=FALSE,MyRowHidden(ROW()-1)=TRUE),0,IF(M652&lt;totalMonths,(totalMonths-M652)/totalMonths *(I652-I651)+O651,0))</f>
        <v>-137086.24999999991</v>
      </c>
      <c r="P652">
        <f>IF(AND(MyRowHidden(ROW())=FALSE,MyRowHidden(ROW()-1)=TRUE),0,IF(M652&lt;totalMonths,(totalMonths-M652)/totalMonths *(J652-J651)+P651,0))</f>
        <v>-739752</v>
      </c>
      <c r="Q652">
        <f>IF(AND(MyRowHidden(ROW())=FALSE,MyRowHidden(ROW()-1)=TRUE),0,IF(M652&lt;totalMonths,(totalMonths-M652)/totalMonths *(K652-K651)+Q651,0))</f>
        <v>739752</v>
      </c>
      <c r="R652">
        <f t="shared" si="54"/>
        <v>-870162</v>
      </c>
      <c r="S652">
        <f t="shared" si="55"/>
        <v>-876838.24999999988</v>
      </c>
    </row>
    <row r="653" spans="1:19" x14ac:dyDescent="0.25">
      <c r="A653" s="1"/>
      <c r="C653" s="1"/>
      <c r="D653" s="1">
        <v>42172</v>
      </c>
      <c r="E653" s="10">
        <v>3158</v>
      </c>
      <c r="F653" s="1">
        <v>42172</v>
      </c>
      <c r="G653">
        <v>-9790.5</v>
      </c>
      <c r="H653" s="1">
        <f t="shared" si="50"/>
        <v>42172</v>
      </c>
      <c r="I653">
        <f>IF(AND(MyRowHidden(ROW())=FALSE,MyRowHidden(ROW()-1)=TRUE),0,(E653-E652)*unitsOfDHp+I652)</f>
        <v>-153090</v>
      </c>
      <c r="J653">
        <f>IF(AND(MyRowHidden(ROW())=FALSE,MyRowHidden(ROW()-1)=TRUE),0,(G653-G652)*unitsOfExo+J652)</f>
        <v>-802368</v>
      </c>
      <c r="K653" s="9">
        <f t="shared" si="51"/>
        <v>802368</v>
      </c>
      <c r="L653">
        <f t="shared" si="52"/>
        <v>-955458</v>
      </c>
      <c r="M653">
        <f>IF(AND(MyRowHidden(ROW())=FALSE,MyRowHidden(ROW()-1)=TRUE),0,IF(MONTH(H653)&lt;&gt;MONTH(H652),M652+1,M652))</f>
        <v>5</v>
      </c>
      <c r="N653">
        <f t="shared" si="53"/>
        <v>-153090</v>
      </c>
      <c r="O653">
        <f>IF(AND(MyRowHidden(ROW())=FALSE,MyRowHidden(ROW()-1)=TRUE),0,IF(M653&lt;totalMonths,(totalMonths-M653)/totalMonths *(I653-I652)+O652,0))</f>
        <v>-150316.24999999991</v>
      </c>
      <c r="P653">
        <f>IF(AND(MyRowHidden(ROW())=FALSE,MyRowHidden(ROW()-1)=TRUE),0,IF(M653&lt;totalMonths,(totalMonths-M653)/totalMonths *(J653-J652)+P652,0))</f>
        <v>-685152</v>
      </c>
      <c r="Q653">
        <f>IF(AND(MyRowHidden(ROW())=FALSE,MyRowHidden(ROW()-1)=TRUE),0,IF(M653&lt;totalMonths,(totalMonths-M653)/totalMonths *(K653-K652)+Q652,0))</f>
        <v>685152</v>
      </c>
      <c r="R653">
        <f t="shared" si="54"/>
        <v>-838242</v>
      </c>
      <c r="S653">
        <f t="shared" si="55"/>
        <v>-835468.24999999988</v>
      </c>
    </row>
    <row r="654" spans="1:19" x14ac:dyDescent="0.25">
      <c r="A654" s="1"/>
      <c r="C654" s="1"/>
      <c r="D654" s="1">
        <v>42173</v>
      </c>
      <c r="E654" s="10">
        <v>3250</v>
      </c>
      <c r="F654" s="1">
        <v>42173</v>
      </c>
      <c r="G654">
        <v>-9740.5</v>
      </c>
      <c r="H654" s="1">
        <f t="shared" si="50"/>
        <v>42173</v>
      </c>
      <c r="I654">
        <f>IF(AND(MyRowHidden(ROW())=FALSE,MyRowHidden(ROW()-1)=TRUE),0,(E654-E653)*unitsOfDHp+I653)</f>
        <v>-149870</v>
      </c>
      <c r="J654">
        <f>IF(AND(MyRowHidden(ROW())=FALSE,MyRowHidden(ROW()-1)=TRUE),0,(G654-G653)*unitsOfExo+J653)</f>
        <v>-787968</v>
      </c>
      <c r="K654" s="9">
        <f t="shared" si="51"/>
        <v>787968</v>
      </c>
      <c r="L654">
        <f t="shared" si="52"/>
        <v>-937838</v>
      </c>
      <c r="M654">
        <f>IF(AND(MyRowHidden(ROW())=FALSE,MyRowHidden(ROW()-1)=TRUE),0,IF(MONTH(H654)&lt;&gt;MONTH(H653),M653+1,M653))</f>
        <v>5</v>
      </c>
      <c r="N654">
        <f t="shared" si="53"/>
        <v>-149870</v>
      </c>
      <c r="O654">
        <f>IF(AND(MyRowHidden(ROW())=FALSE,MyRowHidden(ROW()-1)=TRUE),0,IF(M654&lt;totalMonths,(totalMonths-M654)/totalMonths *(I654-I653)+O653,0))</f>
        <v>-148437.91666666657</v>
      </c>
      <c r="P654">
        <f>IF(AND(MyRowHidden(ROW())=FALSE,MyRowHidden(ROW()-1)=TRUE),0,IF(M654&lt;totalMonths,(totalMonths-M654)/totalMonths *(J654-J653)+P653,0))</f>
        <v>-676752</v>
      </c>
      <c r="Q654">
        <f>IF(AND(MyRowHidden(ROW())=FALSE,MyRowHidden(ROW()-1)=TRUE),0,IF(M654&lt;totalMonths,(totalMonths-M654)/totalMonths *(K654-K653)+Q653,0))</f>
        <v>676752</v>
      </c>
      <c r="R654">
        <f t="shared" si="54"/>
        <v>-826622</v>
      </c>
      <c r="S654">
        <f t="shared" si="55"/>
        <v>-825189.91666666651</v>
      </c>
    </row>
    <row r="655" spans="1:19" x14ac:dyDescent="0.25">
      <c r="A655" s="1"/>
      <c r="C655" s="1"/>
      <c r="D655" s="1">
        <v>42174</v>
      </c>
      <c r="E655" s="10">
        <v>2850</v>
      </c>
      <c r="F655" s="1">
        <v>42174</v>
      </c>
      <c r="G655">
        <v>-9965.5</v>
      </c>
      <c r="H655" s="1">
        <f t="shared" si="50"/>
        <v>42174</v>
      </c>
      <c r="I655">
        <f>IF(AND(MyRowHidden(ROW())=FALSE,MyRowHidden(ROW()-1)=TRUE),0,(E655-E654)*unitsOfDHp+I654)</f>
        <v>-163870</v>
      </c>
      <c r="J655">
        <f>IF(AND(MyRowHidden(ROW())=FALSE,MyRowHidden(ROW()-1)=TRUE),0,(G655-G654)*unitsOfExo+J654)</f>
        <v>-852768</v>
      </c>
      <c r="K655" s="9">
        <f t="shared" si="51"/>
        <v>852768</v>
      </c>
      <c r="L655">
        <f t="shared" si="52"/>
        <v>-1016638</v>
      </c>
      <c r="M655">
        <f>IF(AND(MyRowHidden(ROW())=FALSE,MyRowHidden(ROW()-1)=TRUE),0,IF(MONTH(H655)&lt;&gt;MONTH(H654),M654+1,M654))</f>
        <v>5</v>
      </c>
      <c r="N655">
        <f t="shared" si="53"/>
        <v>-163870</v>
      </c>
      <c r="O655">
        <f>IF(AND(MyRowHidden(ROW())=FALSE,MyRowHidden(ROW()-1)=TRUE),0,IF(M655&lt;totalMonths,(totalMonths-M655)/totalMonths *(I655-I654)+O654,0))</f>
        <v>-156604.58333333323</v>
      </c>
      <c r="P655">
        <f>IF(AND(MyRowHidden(ROW())=FALSE,MyRowHidden(ROW()-1)=TRUE),0,IF(M655&lt;totalMonths,(totalMonths-M655)/totalMonths *(J655-J654)+P654,0))</f>
        <v>-714552</v>
      </c>
      <c r="Q655">
        <f>IF(AND(MyRowHidden(ROW())=FALSE,MyRowHidden(ROW()-1)=TRUE),0,IF(M655&lt;totalMonths,(totalMonths-M655)/totalMonths *(K655-K654)+Q654,0))</f>
        <v>714552</v>
      </c>
      <c r="R655">
        <f t="shared" si="54"/>
        <v>-878422</v>
      </c>
      <c r="S655">
        <f t="shared" si="55"/>
        <v>-871156.58333333326</v>
      </c>
    </row>
    <row r="656" spans="1:19" x14ac:dyDescent="0.25">
      <c r="A656" s="1"/>
      <c r="C656" s="1"/>
      <c r="D656" s="1">
        <v>42177</v>
      </c>
      <c r="E656" s="10">
        <v>3262</v>
      </c>
      <c r="F656" s="1">
        <v>42177</v>
      </c>
      <c r="G656">
        <v>-9778</v>
      </c>
      <c r="H656" s="1">
        <f t="shared" si="50"/>
        <v>42177</v>
      </c>
      <c r="I656">
        <f>IF(AND(MyRowHidden(ROW())=FALSE,MyRowHidden(ROW()-1)=TRUE),0,(E656-E655)*unitsOfDHp+I655)</f>
        <v>-149450</v>
      </c>
      <c r="J656">
        <f>IF(AND(MyRowHidden(ROW())=FALSE,MyRowHidden(ROW()-1)=TRUE),0,(G656-G655)*unitsOfExo+J655)</f>
        <v>-798768</v>
      </c>
      <c r="K656" s="9">
        <f t="shared" si="51"/>
        <v>798768</v>
      </c>
      <c r="L656">
        <f t="shared" si="52"/>
        <v>-948218</v>
      </c>
      <c r="M656">
        <f>IF(AND(MyRowHidden(ROW())=FALSE,MyRowHidden(ROW()-1)=TRUE),0,IF(MONTH(H656)&lt;&gt;MONTH(H655),M655+1,M655))</f>
        <v>5</v>
      </c>
      <c r="N656">
        <f t="shared" si="53"/>
        <v>-149450</v>
      </c>
      <c r="O656">
        <f>IF(AND(MyRowHidden(ROW())=FALSE,MyRowHidden(ROW()-1)=TRUE),0,IF(M656&lt;totalMonths,(totalMonths-M656)/totalMonths *(I656-I655)+O655,0))</f>
        <v>-148192.91666666657</v>
      </c>
      <c r="P656">
        <f>IF(AND(MyRowHidden(ROW())=FALSE,MyRowHidden(ROW()-1)=TRUE),0,IF(M656&lt;totalMonths,(totalMonths-M656)/totalMonths *(J656-J655)+P655,0))</f>
        <v>-683052</v>
      </c>
      <c r="Q656">
        <f>IF(AND(MyRowHidden(ROW())=FALSE,MyRowHidden(ROW()-1)=TRUE),0,IF(M656&lt;totalMonths,(totalMonths-M656)/totalMonths *(K656-K655)+Q655,0))</f>
        <v>683052</v>
      </c>
      <c r="R656">
        <f t="shared" si="54"/>
        <v>-832502</v>
      </c>
      <c r="S656">
        <f t="shared" si="55"/>
        <v>-831244.91666666651</v>
      </c>
    </row>
    <row r="657" spans="1:19" x14ac:dyDescent="0.25">
      <c r="A657" s="1"/>
      <c r="C657" s="1"/>
      <c r="D657" s="1">
        <v>42178</v>
      </c>
      <c r="E657" s="10">
        <v>3916</v>
      </c>
      <c r="F657" s="1">
        <v>42178</v>
      </c>
      <c r="G657">
        <v>-9353</v>
      </c>
      <c r="H657" s="1">
        <f t="shared" si="50"/>
        <v>42178</v>
      </c>
      <c r="I657">
        <f>IF(AND(MyRowHidden(ROW())=FALSE,MyRowHidden(ROW()-1)=TRUE),0,(E657-E656)*unitsOfDHp+I656)</f>
        <v>-126560</v>
      </c>
      <c r="J657">
        <f>IF(AND(MyRowHidden(ROW())=FALSE,MyRowHidden(ROW()-1)=TRUE),0,(G657-G656)*unitsOfExo+J656)</f>
        <v>-676368</v>
      </c>
      <c r="K657" s="9">
        <f t="shared" si="51"/>
        <v>676368</v>
      </c>
      <c r="L657">
        <f t="shared" si="52"/>
        <v>-802928</v>
      </c>
      <c r="M657">
        <f>IF(AND(MyRowHidden(ROW())=FALSE,MyRowHidden(ROW()-1)=TRUE),0,IF(MONTH(H657)&lt;&gt;MONTH(H656),M656+1,M656))</f>
        <v>5</v>
      </c>
      <c r="N657">
        <f t="shared" si="53"/>
        <v>-126560</v>
      </c>
      <c r="O657">
        <f>IF(AND(MyRowHidden(ROW())=FALSE,MyRowHidden(ROW()-1)=TRUE),0,IF(M657&lt;totalMonths,(totalMonths-M657)/totalMonths *(I657-I656)+O656,0))</f>
        <v>-134840.41666666657</v>
      </c>
      <c r="P657">
        <f>IF(AND(MyRowHidden(ROW())=FALSE,MyRowHidden(ROW()-1)=TRUE),0,IF(M657&lt;totalMonths,(totalMonths-M657)/totalMonths *(J657-J656)+P656,0))</f>
        <v>-611652</v>
      </c>
      <c r="Q657">
        <f>IF(AND(MyRowHidden(ROW())=FALSE,MyRowHidden(ROW()-1)=TRUE),0,IF(M657&lt;totalMonths,(totalMonths-M657)/totalMonths *(K657-K656)+Q656,0))</f>
        <v>611652</v>
      </c>
      <c r="R657">
        <f t="shared" si="54"/>
        <v>-738212</v>
      </c>
      <c r="S657">
        <f t="shared" si="55"/>
        <v>-746492.41666666651</v>
      </c>
    </row>
    <row r="658" spans="1:19" x14ac:dyDescent="0.25">
      <c r="A658" s="1"/>
      <c r="C658" s="1"/>
      <c r="D658" s="1">
        <v>42179</v>
      </c>
      <c r="E658" s="10">
        <v>4056</v>
      </c>
      <c r="F658" s="1">
        <v>42179</v>
      </c>
      <c r="G658">
        <v>-9315.5</v>
      </c>
      <c r="H658" s="1">
        <f t="shared" si="50"/>
        <v>42179</v>
      </c>
      <c r="I658">
        <f>IF(AND(MyRowHidden(ROW())=FALSE,MyRowHidden(ROW()-1)=TRUE),0,(E658-E657)*unitsOfDHp+I657)</f>
        <v>-121660</v>
      </c>
      <c r="J658">
        <f>IF(AND(MyRowHidden(ROW())=FALSE,MyRowHidden(ROW()-1)=TRUE),0,(G658-G657)*unitsOfExo+J657)</f>
        <v>-665568</v>
      </c>
      <c r="K658" s="9">
        <f t="shared" si="51"/>
        <v>665568</v>
      </c>
      <c r="L658">
        <f t="shared" si="52"/>
        <v>-787228</v>
      </c>
      <c r="M658">
        <f>IF(AND(MyRowHidden(ROW())=FALSE,MyRowHidden(ROW()-1)=TRUE),0,IF(MONTH(H658)&lt;&gt;MONTH(H657),M657+1,M657))</f>
        <v>5</v>
      </c>
      <c r="N658">
        <f t="shared" si="53"/>
        <v>-121660</v>
      </c>
      <c r="O658">
        <f>IF(AND(MyRowHidden(ROW())=FALSE,MyRowHidden(ROW()-1)=TRUE),0,IF(M658&lt;totalMonths,(totalMonths-M658)/totalMonths *(I658-I657)+O657,0))</f>
        <v>-131982.08333333323</v>
      </c>
      <c r="P658">
        <f>IF(AND(MyRowHidden(ROW())=FALSE,MyRowHidden(ROW()-1)=TRUE),0,IF(M658&lt;totalMonths,(totalMonths-M658)/totalMonths *(J658-J657)+P657,0))</f>
        <v>-605352</v>
      </c>
      <c r="Q658">
        <f>IF(AND(MyRowHidden(ROW())=FALSE,MyRowHidden(ROW()-1)=TRUE),0,IF(M658&lt;totalMonths,(totalMonths-M658)/totalMonths *(K658-K657)+Q657,0))</f>
        <v>605352</v>
      </c>
      <c r="R658">
        <f t="shared" si="54"/>
        <v>-727012</v>
      </c>
      <c r="S658">
        <f t="shared" si="55"/>
        <v>-737334.08333333326</v>
      </c>
    </row>
    <row r="659" spans="1:19" x14ac:dyDescent="0.25">
      <c r="A659" s="1"/>
      <c r="C659" s="1"/>
      <c r="D659" s="1">
        <v>42180</v>
      </c>
      <c r="E659" s="10">
        <v>4392</v>
      </c>
      <c r="F659" s="1">
        <v>42180</v>
      </c>
      <c r="G659">
        <v>-8890.5</v>
      </c>
      <c r="H659" s="1">
        <f t="shared" si="50"/>
        <v>42180</v>
      </c>
      <c r="I659">
        <f>IF(AND(MyRowHidden(ROW())=FALSE,MyRowHidden(ROW()-1)=TRUE),0,(E659-E658)*unitsOfDHp+I658)</f>
        <v>-109900</v>
      </c>
      <c r="J659">
        <f>IF(AND(MyRowHidden(ROW())=FALSE,MyRowHidden(ROW()-1)=TRUE),0,(G659-G658)*unitsOfExo+J658)</f>
        <v>-543168</v>
      </c>
      <c r="K659" s="9">
        <f t="shared" si="51"/>
        <v>543168</v>
      </c>
      <c r="L659">
        <f t="shared" si="52"/>
        <v>-653068</v>
      </c>
      <c r="M659">
        <f>IF(AND(MyRowHidden(ROW())=FALSE,MyRowHidden(ROW()-1)=TRUE),0,IF(MONTH(H659)&lt;&gt;MONTH(H658),M658+1,M658))</f>
        <v>5</v>
      </c>
      <c r="N659">
        <f t="shared" si="53"/>
        <v>-109900</v>
      </c>
      <c r="O659">
        <f>IF(AND(MyRowHidden(ROW())=FALSE,MyRowHidden(ROW()-1)=TRUE),0,IF(M659&lt;totalMonths,(totalMonths-M659)/totalMonths *(I659-I658)+O658,0))</f>
        <v>-125122.08333333323</v>
      </c>
      <c r="P659">
        <f>IF(AND(MyRowHidden(ROW())=FALSE,MyRowHidden(ROW()-1)=TRUE),0,IF(M659&lt;totalMonths,(totalMonths-M659)/totalMonths *(J659-J658)+P658,0))</f>
        <v>-533952</v>
      </c>
      <c r="Q659">
        <f>IF(AND(MyRowHidden(ROW())=FALSE,MyRowHidden(ROW()-1)=TRUE),0,IF(M659&lt;totalMonths,(totalMonths-M659)/totalMonths *(K659-K658)+Q658,0))</f>
        <v>533952</v>
      </c>
      <c r="R659">
        <f t="shared" si="54"/>
        <v>-643852</v>
      </c>
      <c r="S659">
        <f t="shared" si="55"/>
        <v>-659074.08333333326</v>
      </c>
    </row>
    <row r="660" spans="1:19" x14ac:dyDescent="0.25">
      <c r="A660" s="1"/>
      <c r="C660" s="1"/>
      <c r="D660" s="1">
        <v>42181</v>
      </c>
      <c r="E660" s="10">
        <v>4538</v>
      </c>
      <c r="F660" s="1">
        <v>42181</v>
      </c>
      <c r="G660">
        <v>-8328</v>
      </c>
      <c r="H660" s="1">
        <f t="shared" si="50"/>
        <v>42181</v>
      </c>
      <c r="I660">
        <f>IF(AND(MyRowHidden(ROW())=FALSE,MyRowHidden(ROW()-1)=TRUE),0,(E660-E659)*unitsOfDHp+I659)</f>
        <v>-104790</v>
      </c>
      <c r="J660">
        <f>IF(AND(MyRowHidden(ROW())=FALSE,MyRowHidden(ROW()-1)=TRUE),0,(G660-G659)*unitsOfExo+J659)</f>
        <v>-381168</v>
      </c>
      <c r="K660" s="9">
        <f t="shared" si="51"/>
        <v>381168</v>
      </c>
      <c r="L660">
        <f t="shared" si="52"/>
        <v>-485958</v>
      </c>
      <c r="M660">
        <f>IF(AND(MyRowHidden(ROW())=FALSE,MyRowHidden(ROW()-1)=TRUE),0,IF(MONTH(H660)&lt;&gt;MONTH(H659),M659+1,M659))</f>
        <v>5</v>
      </c>
      <c r="N660">
        <f t="shared" si="53"/>
        <v>-104790</v>
      </c>
      <c r="O660">
        <f>IF(AND(MyRowHidden(ROW())=FALSE,MyRowHidden(ROW()-1)=TRUE),0,IF(M660&lt;totalMonths,(totalMonths-M660)/totalMonths *(I660-I659)+O659,0))</f>
        <v>-122141.2499999999</v>
      </c>
      <c r="P660">
        <f>IF(AND(MyRowHidden(ROW())=FALSE,MyRowHidden(ROW()-1)=TRUE),0,IF(M660&lt;totalMonths,(totalMonths-M660)/totalMonths *(J660-J659)+P659,0))</f>
        <v>-439452</v>
      </c>
      <c r="Q660">
        <f>IF(AND(MyRowHidden(ROW())=FALSE,MyRowHidden(ROW()-1)=TRUE),0,IF(M660&lt;totalMonths,(totalMonths-M660)/totalMonths *(K660-K659)+Q659,0))</f>
        <v>439452</v>
      </c>
      <c r="R660">
        <f t="shared" si="54"/>
        <v>-544242</v>
      </c>
      <c r="S660">
        <f t="shared" si="55"/>
        <v>-561593.24999999988</v>
      </c>
    </row>
    <row r="661" spans="1:19" x14ac:dyDescent="0.25">
      <c r="A661" s="1"/>
      <c r="C661" s="1"/>
      <c r="D661" s="1">
        <v>42184</v>
      </c>
      <c r="E661" s="10">
        <v>3965</v>
      </c>
      <c r="F661" s="1">
        <v>42184</v>
      </c>
      <c r="G661">
        <v>-8265.5</v>
      </c>
      <c r="H661" s="1">
        <f t="shared" si="50"/>
        <v>42184</v>
      </c>
      <c r="I661">
        <f>IF(AND(MyRowHidden(ROW())=FALSE,MyRowHidden(ROW()-1)=TRUE),0,(E661-E660)*unitsOfDHp+I660)</f>
        <v>-124845</v>
      </c>
      <c r="J661">
        <f>IF(AND(MyRowHidden(ROW())=FALSE,MyRowHidden(ROW()-1)=TRUE),0,(G661-G660)*unitsOfExo+J660)</f>
        <v>-363168</v>
      </c>
      <c r="K661" s="9">
        <f t="shared" si="51"/>
        <v>363168</v>
      </c>
      <c r="L661">
        <f t="shared" si="52"/>
        <v>-488013</v>
      </c>
      <c r="M661">
        <f>IF(AND(MyRowHidden(ROW())=FALSE,MyRowHidden(ROW()-1)=TRUE),0,IF(MONTH(H661)&lt;&gt;MONTH(H660),M660+1,M660))</f>
        <v>5</v>
      </c>
      <c r="N661">
        <f t="shared" si="53"/>
        <v>-124845</v>
      </c>
      <c r="O661">
        <f>IF(AND(MyRowHidden(ROW())=FALSE,MyRowHidden(ROW()-1)=TRUE),0,IF(M661&lt;totalMonths,(totalMonths-M661)/totalMonths *(I661-I660)+O660,0))</f>
        <v>-133839.99999999988</v>
      </c>
      <c r="P661">
        <f>IF(AND(MyRowHidden(ROW())=FALSE,MyRowHidden(ROW()-1)=TRUE),0,IF(M661&lt;totalMonths,(totalMonths-M661)/totalMonths *(J661-J660)+P660,0))</f>
        <v>-428952</v>
      </c>
      <c r="Q661">
        <f>IF(AND(MyRowHidden(ROW())=FALSE,MyRowHidden(ROW()-1)=TRUE),0,IF(M661&lt;totalMonths,(totalMonths-M661)/totalMonths *(K661-K660)+Q660,0))</f>
        <v>428952</v>
      </c>
      <c r="R661">
        <f t="shared" si="54"/>
        <v>-553797</v>
      </c>
      <c r="S661">
        <f t="shared" si="55"/>
        <v>-562791.99999999988</v>
      </c>
    </row>
    <row r="662" spans="1:19" x14ac:dyDescent="0.25">
      <c r="A662" s="1"/>
      <c r="C662" s="1"/>
      <c r="D662" s="1">
        <v>42185</v>
      </c>
      <c r="E662" s="10">
        <v>4338</v>
      </c>
      <c r="F662" s="1">
        <v>42185</v>
      </c>
      <c r="G662">
        <v>-7040.5</v>
      </c>
      <c r="H662" s="1">
        <f t="shared" ref="H662:H725" si="56">D662</f>
        <v>42185</v>
      </c>
      <c r="I662">
        <f>IF(AND(MyRowHidden(ROW())=FALSE,MyRowHidden(ROW()-1)=TRUE),0,(E662-E661)*unitsOfDHp+I661)</f>
        <v>-111790</v>
      </c>
      <c r="J662">
        <f>IF(AND(MyRowHidden(ROW())=FALSE,MyRowHidden(ROW()-1)=TRUE),0,(G662-G661)*unitsOfExo+J661)</f>
        <v>-10368</v>
      </c>
      <c r="K662" s="9">
        <f t="shared" ref="K662:K725" si="57">-(J662-J661)+K661</f>
        <v>10368</v>
      </c>
      <c r="L662">
        <f t="shared" ref="L662:L725" si="58">I662+J662</f>
        <v>-122158</v>
      </c>
      <c r="M662">
        <f>IF(AND(MyRowHidden(ROW())=FALSE,MyRowHidden(ROW()-1)=TRUE),0,IF(MONTH(H662)&lt;&gt;MONTH(H661),M661+1,M661))</f>
        <v>5</v>
      </c>
      <c r="N662">
        <f t="shared" ref="N662:N725" si="59">I662</f>
        <v>-111790</v>
      </c>
      <c r="O662">
        <f>IF(AND(MyRowHidden(ROW())=FALSE,MyRowHidden(ROW()-1)=TRUE),0,IF(M662&lt;totalMonths,(totalMonths-M662)/totalMonths *(I662-I661)+O661,0))</f>
        <v>-126224.58333333321</v>
      </c>
      <c r="P662">
        <f>IF(AND(MyRowHidden(ROW())=FALSE,MyRowHidden(ROW()-1)=TRUE),0,IF(M662&lt;totalMonths,(totalMonths-M662)/totalMonths *(J662-J661)+P661,0))</f>
        <v>-223152</v>
      </c>
      <c r="Q662">
        <f>IF(AND(MyRowHidden(ROW())=FALSE,MyRowHidden(ROW()-1)=TRUE),0,IF(M662&lt;totalMonths,(totalMonths-M662)/totalMonths *(K662-K661)+Q661,0))</f>
        <v>223152</v>
      </c>
      <c r="R662">
        <f t="shared" ref="R662:R725" si="60">N662+P662</f>
        <v>-334942</v>
      </c>
      <c r="S662">
        <f t="shared" ref="S662:S725" si="61">O662+P662</f>
        <v>-349376.5833333332</v>
      </c>
    </row>
    <row r="663" spans="1:19" x14ac:dyDescent="0.25">
      <c r="A663" s="1"/>
      <c r="C663" s="1"/>
      <c r="D663" s="1">
        <v>42186</v>
      </c>
      <c r="E663" s="10">
        <v>3440</v>
      </c>
      <c r="F663" s="1">
        <v>42186</v>
      </c>
      <c r="G663">
        <v>-7152.5</v>
      </c>
      <c r="H663" s="1">
        <f t="shared" si="56"/>
        <v>42186</v>
      </c>
      <c r="I663">
        <f>IF(AND(MyRowHidden(ROW())=FALSE,MyRowHidden(ROW()-1)=TRUE),0,(E663-E662)*unitsOfDHp+I662)</f>
        <v>-143220</v>
      </c>
      <c r="J663">
        <f>IF(AND(MyRowHidden(ROW())=FALSE,MyRowHidden(ROW()-1)=TRUE),0,(G663-G662)*unitsOfExo+J662)</f>
        <v>-42624</v>
      </c>
      <c r="K663" s="9">
        <f t="shared" si="57"/>
        <v>42624</v>
      </c>
      <c r="L663">
        <f t="shared" si="58"/>
        <v>-185844</v>
      </c>
      <c r="M663">
        <f>IF(AND(MyRowHidden(ROW())=FALSE,MyRowHidden(ROW()-1)=TRUE),0,IF(MONTH(H663)&lt;&gt;MONTH(H662),M662+1,M662))</f>
        <v>6</v>
      </c>
      <c r="N663">
        <f t="shared" si="59"/>
        <v>-143220</v>
      </c>
      <c r="O663">
        <f>IF(AND(MyRowHidden(ROW())=FALSE,MyRowHidden(ROW()-1)=TRUE),0,IF(M663&lt;totalMonths,(totalMonths-M663)/totalMonths *(I663-I662)+O662,0))</f>
        <v>-141939.5833333332</v>
      </c>
      <c r="P663">
        <f>IF(AND(MyRowHidden(ROW())=FALSE,MyRowHidden(ROW()-1)=TRUE),0,IF(M663&lt;totalMonths,(totalMonths-M663)/totalMonths *(J663-J662)+P662,0))</f>
        <v>-239280</v>
      </c>
      <c r="Q663">
        <f>IF(AND(MyRowHidden(ROW())=FALSE,MyRowHidden(ROW()-1)=TRUE),0,IF(M663&lt;totalMonths,(totalMonths-M663)/totalMonths *(K663-K662)+Q662,0))</f>
        <v>239280</v>
      </c>
      <c r="R663">
        <f t="shared" si="60"/>
        <v>-382500</v>
      </c>
      <c r="S663">
        <f t="shared" si="61"/>
        <v>-381219.5833333332</v>
      </c>
    </row>
    <row r="664" spans="1:19" x14ac:dyDescent="0.25">
      <c r="A664" s="1"/>
      <c r="C664" s="1"/>
      <c r="D664" s="1">
        <v>42187</v>
      </c>
      <c r="E664" s="10">
        <v>5140</v>
      </c>
      <c r="F664" s="1">
        <v>42187</v>
      </c>
      <c r="G664">
        <v>-6527.5</v>
      </c>
      <c r="H664" s="1">
        <f t="shared" si="56"/>
        <v>42187</v>
      </c>
      <c r="I664">
        <f>IF(AND(MyRowHidden(ROW())=FALSE,MyRowHidden(ROW()-1)=TRUE),0,(E664-E663)*unitsOfDHp+I663)</f>
        <v>-83720</v>
      </c>
      <c r="J664">
        <f>IF(AND(MyRowHidden(ROW())=FALSE,MyRowHidden(ROW()-1)=TRUE),0,(G664-G663)*unitsOfExo+J663)</f>
        <v>137376</v>
      </c>
      <c r="K664" s="9">
        <f t="shared" si="57"/>
        <v>-137376</v>
      </c>
      <c r="L664">
        <f t="shared" si="58"/>
        <v>53656</v>
      </c>
      <c r="M664">
        <f>IF(AND(MyRowHidden(ROW())=FALSE,MyRowHidden(ROW()-1)=TRUE),0,IF(MONTH(H664)&lt;&gt;MONTH(H663),M663+1,M663))</f>
        <v>6</v>
      </c>
      <c r="N664">
        <f t="shared" si="59"/>
        <v>-83720</v>
      </c>
      <c r="O664">
        <f>IF(AND(MyRowHidden(ROW())=FALSE,MyRowHidden(ROW()-1)=TRUE),0,IF(M664&lt;totalMonths,(totalMonths-M664)/totalMonths *(I664-I663)+O663,0))</f>
        <v>-112189.5833333332</v>
      </c>
      <c r="P664">
        <f>IF(AND(MyRowHidden(ROW())=FALSE,MyRowHidden(ROW()-1)=TRUE),0,IF(M664&lt;totalMonths,(totalMonths-M664)/totalMonths *(J664-J663)+P663,0))</f>
        <v>-149280</v>
      </c>
      <c r="Q664">
        <f>IF(AND(MyRowHidden(ROW())=FALSE,MyRowHidden(ROW()-1)=TRUE),0,IF(M664&lt;totalMonths,(totalMonths-M664)/totalMonths *(K664-K663)+Q663,0))</f>
        <v>149280</v>
      </c>
      <c r="R664">
        <f t="shared" si="60"/>
        <v>-233000</v>
      </c>
      <c r="S664">
        <f t="shared" si="61"/>
        <v>-261469.5833333332</v>
      </c>
    </row>
    <row r="665" spans="1:19" x14ac:dyDescent="0.25">
      <c r="A665" s="1"/>
      <c r="C665" s="1"/>
      <c r="D665" s="1">
        <v>42188</v>
      </c>
      <c r="E665" s="10">
        <v>4940</v>
      </c>
      <c r="F665" s="1">
        <v>42188</v>
      </c>
      <c r="G665">
        <v>-6577.5</v>
      </c>
      <c r="H665" s="1">
        <f t="shared" si="56"/>
        <v>42188</v>
      </c>
      <c r="I665">
        <f>IF(AND(MyRowHidden(ROW())=FALSE,MyRowHidden(ROW()-1)=TRUE),0,(E665-E664)*unitsOfDHp+I664)</f>
        <v>-90720</v>
      </c>
      <c r="J665">
        <f>IF(AND(MyRowHidden(ROW())=FALSE,MyRowHidden(ROW()-1)=TRUE),0,(G665-G664)*unitsOfExo+J664)</f>
        <v>122976</v>
      </c>
      <c r="K665" s="9">
        <f t="shared" si="57"/>
        <v>-122976</v>
      </c>
      <c r="L665">
        <f t="shared" si="58"/>
        <v>32256</v>
      </c>
      <c r="M665">
        <f>IF(AND(MyRowHidden(ROW())=FALSE,MyRowHidden(ROW()-1)=TRUE),0,IF(MONTH(H665)&lt;&gt;MONTH(H664),M664+1,M664))</f>
        <v>6</v>
      </c>
      <c r="N665">
        <f t="shared" si="59"/>
        <v>-90720</v>
      </c>
      <c r="O665">
        <f>IF(AND(MyRowHidden(ROW())=FALSE,MyRowHidden(ROW()-1)=TRUE),0,IF(M665&lt;totalMonths,(totalMonths-M665)/totalMonths *(I665-I664)+O664,0))</f>
        <v>-115689.5833333332</v>
      </c>
      <c r="P665">
        <f>IF(AND(MyRowHidden(ROW())=FALSE,MyRowHidden(ROW()-1)=TRUE),0,IF(M665&lt;totalMonths,(totalMonths-M665)/totalMonths *(J665-J664)+P664,0))</f>
        <v>-156480</v>
      </c>
      <c r="Q665">
        <f>IF(AND(MyRowHidden(ROW())=FALSE,MyRowHidden(ROW()-1)=TRUE),0,IF(M665&lt;totalMonths,(totalMonths-M665)/totalMonths *(K665-K664)+Q664,0))</f>
        <v>156480</v>
      </c>
      <c r="R665">
        <f t="shared" si="60"/>
        <v>-247200</v>
      </c>
      <c r="S665">
        <f t="shared" si="61"/>
        <v>-272169.5833333332</v>
      </c>
    </row>
    <row r="666" spans="1:19" x14ac:dyDescent="0.25">
      <c r="A666" s="1"/>
      <c r="C666" s="1"/>
      <c r="D666" s="1">
        <v>42191</v>
      </c>
      <c r="E666" s="10">
        <v>5140</v>
      </c>
      <c r="F666" s="1">
        <v>42191</v>
      </c>
      <c r="G666">
        <v>-6640</v>
      </c>
      <c r="H666" s="1">
        <f t="shared" si="56"/>
        <v>42191</v>
      </c>
      <c r="I666">
        <f>IF(AND(MyRowHidden(ROW())=FALSE,MyRowHidden(ROW()-1)=TRUE),0,(E666-E665)*unitsOfDHp+I665)</f>
        <v>-83720</v>
      </c>
      <c r="J666">
        <f>IF(AND(MyRowHidden(ROW())=FALSE,MyRowHidden(ROW()-1)=TRUE),0,(G666-G665)*unitsOfExo+J665)</f>
        <v>104976</v>
      </c>
      <c r="K666" s="9">
        <f t="shared" si="57"/>
        <v>-104976</v>
      </c>
      <c r="L666">
        <f t="shared" si="58"/>
        <v>21256</v>
      </c>
      <c r="M666">
        <f>IF(AND(MyRowHidden(ROW())=FALSE,MyRowHidden(ROW()-1)=TRUE),0,IF(MONTH(H666)&lt;&gt;MONTH(H665),M665+1,M665))</f>
        <v>6</v>
      </c>
      <c r="N666">
        <f t="shared" si="59"/>
        <v>-83720</v>
      </c>
      <c r="O666">
        <f>IF(AND(MyRowHidden(ROW())=FALSE,MyRowHidden(ROW()-1)=TRUE),0,IF(M666&lt;totalMonths,(totalMonths-M666)/totalMonths *(I666-I665)+O665,0))</f>
        <v>-112189.5833333332</v>
      </c>
      <c r="P666">
        <f>IF(AND(MyRowHidden(ROW())=FALSE,MyRowHidden(ROW()-1)=TRUE),0,IF(M666&lt;totalMonths,(totalMonths-M666)/totalMonths *(J666-J665)+P665,0))</f>
        <v>-165480</v>
      </c>
      <c r="Q666">
        <f>IF(AND(MyRowHidden(ROW())=FALSE,MyRowHidden(ROW()-1)=TRUE),0,IF(M666&lt;totalMonths,(totalMonths-M666)/totalMonths *(K666-K665)+Q665,0))</f>
        <v>165480</v>
      </c>
      <c r="R666">
        <f t="shared" si="60"/>
        <v>-249200</v>
      </c>
      <c r="S666">
        <f t="shared" si="61"/>
        <v>-277669.5833333332</v>
      </c>
    </row>
    <row r="667" spans="1:19" x14ac:dyDescent="0.25">
      <c r="A667" s="1"/>
      <c r="C667" s="1"/>
      <c r="D667" s="1">
        <v>42192</v>
      </c>
      <c r="E667" s="10">
        <v>4666</v>
      </c>
      <c r="F667" s="1">
        <v>42192</v>
      </c>
      <c r="G667">
        <v>-6877.5</v>
      </c>
      <c r="H667" s="1">
        <f t="shared" si="56"/>
        <v>42192</v>
      </c>
      <c r="I667">
        <f>IF(AND(MyRowHidden(ROW())=FALSE,MyRowHidden(ROW()-1)=TRUE),0,(E667-E666)*unitsOfDHp+I666)</f>
        <v>-100310</v>
      </c>
      <c r="J667">
        <f>IF(AND(MyRowHidden(ROW())=FALSE,MyRowHidden(ROW()-1)=TRUE),0,(G667-G666)*unitsOfExo+J666)</f>
        <v>36576</v>
      </c>
      <c r="K667" s="9">
        <f t="shared" si="57"/>
        <v>-36576</v>
      </c>
      <c r="L667">
        <f t="shared" si="58"/>
        <v>-63734</v>
      </c>
      <c r="M667">
        <f>IF(AND(MyRowHidden(ROW())=FALSE,MyRowHidden(ROW()-1)=TRUE),0,IF(MONTH(H667)&lt;&gt;MONTH(H666),M666+1,M666))</f>
        <v>6</v>
      </c>
      <c r="N667">
        <f t="shared" si="59"/>
        <v>-100310</v>
      </c>
      <c r="O667">
        <f>IF(AND(MyRowHidden(ROW())=FALSE,MyRowHidden(ROW()-1)=TRUE),0,IF(M667&lt;totalMonths,(totalMonths-M667)/totalMonths *(I667-I666)+O666,0))</f>
        <v>-120484.5833333332</v>
      </c>
      <c r="P667">
        <f>IF(AND(MyRowHidden(ROW())=FALSE,MyRowHidden(ROW()-1)=TRUE),0,IF(M667&lt;totalMonths,(totalMonths-M667)/totalMonths *(J667-J666)+P666,0))</f>
        <v>-199680</v>
      </c>
      <c r="Q667">
        <f>IF(AND(MyRowHidden(ROW())=FALSE,MyRowHidden(ROW()-1)=TRUE),0,IF(M667&lt;totalMonths,(totalMonths-M667)/totalMonths *(K667-K666)+Q666,0))</f>
        <v>199680</v>
      </c>
      <c r="R667">
        <f t="shared" si="60"/>
        <v>-299990</v>
      </c>
      <c r="S667">
        <f t="shared" si="61"/>
        <v>-320164.5833333332</v>
      </c>
    </row>
    <row r="668" spans="1:19" x14ac:dyDescent="0.25">
      <c r="A668" s="1"/>
      <c r="C668" s="1"/>
      <c r="D668" s="1">
        <v>42193</v>
      </c>
      <c r="E668" s="10">
        <v>5041</v>
      </c>
      <c r="F668" s="1">
        <v>42193</v>
      </c>
      <c r="G668">
        <v>-6765</v>
      </c>
      <c r="H668" s="1">
        <f t="shared" si="56"/>
        <v>42193</v>
      </c>
      <c r="I668">
        <f>IF(AND(MyRowHidden(ROW())=FALSE,MyRowHidden(ROW()-1)=TRUE),0,(E668-E667)*unitsOfDHp+I667)</f>
        <v>-87185</v>
      </c>
      <c r="J668">
        <f>IF(AND(MyRowHidden(ROW())=FALSE,MyRowHidden(ROW()-1)=TRUE),0,(G668-G667)*unitsOfExo+J667)</f>
        <v>68976</v>
      </c>
      <c r="K668" s="9">
        <f t="shared" si="57"/>
        <v>-68976</v>
      </c>
      <c r="L668">
        <f t="shared" si="58"/>
        <v>-18209</v>
      </c>
      <c r="M668">
        <f>IF(AND(MyRowHidden(ROW())=FALSE,MyRowHidden(ROW()-1)=TRUE),0,IF(MONTH(H668)&lt;&gt;MONTH(H667),M667+1,M667))</f>
        <v>6</v>
      </c>
      <c r="N668">
        <f t="shared" si="59"/>
        <v>-87185</v>
      </c>
      <c r="O668">
        <f>IF(AND(MyRowHidden(ROW())=FALSE,MyRowHidden(ROW()-1)=TRUE),0,IF(M668&lt;totalMonths,(totalMonths-M668)/totalMonths *(I668-I667)+O667,0))</f>
        <v>-113922.0833333332</v>
      </c>
      <c r="P668">
        <f>IF(AND(MyRowHidden(ROW())=FALSE,MyRowHidden(ROW()-1)=TRUE),0,IF(M668&lt;totalMonths,(totalMonths-M668)/totalMonths *(J668-J667)+P667,0))</f>
        <v>-183480</v>
      </c>
      <c r="Q668">
        <f>IF(AND(MyRowHidden(ROW())=FALSE,MyRowHidden(ROW()-1)=TRUE),0,IF(M668&lt;totalMonths,(totalMonths-M668)/totalMonths *(K668-K667)+Q667,0))</f>
        <v>183480</v>
      </c>
      <c r="R668">
        <f t="shared" si="60"/>
        <v>-270665</v>
      </c>
      <c r="S668">
        <f t="shared" si="61"/>
        <v>-297402.0833333332</v>
      </c>
    </row>
    <row r="669" spans="1:19" x14ac:dyDescent="0.25">
      <c r="A669" s="1"/>
      <c r="C669" s="1"/>
      <c r="D669" s="1">
        <v>42194</v>
      </c>
      <c r="E669" s="10">
        <v>6078</v>
      </c>
      <c r="F669" s="1">
        <v>42194</v>
      </c>
      <c r="G669">
        <v>-6402.5</v>
      </c>
      <c r="H669" s="1">
        <f t="shared" si="56"/>
        <v>42194</v>
      </c>
      <c r="I669">
        <f>IF(AND(MyRowHidden(ROW())=FALSE,MyRowHidden(ROW()-1)=TRUE),0,(E669-E668)*unitsOfDHp+I668)</f>
        <v>-50890</v>
      </c>
      <c r="J669">
        <f>IF(AND(MyRowHidden(ROW())=FALSE,MyRowHidden(ROW()-1)=TRUE),0,(G669-G668)*unitsOfExo+J668)</f>
        <v>173376</v>
      </c>
      <c r="K669" s="9">
        <f t="shared" si="57"/>
        <v>-173376</v>
      </c>
      <c r="L669">
        <f t="shared" si="58"/>
        <v>122486</v>
      </c>
      <c r="M669">
        <f>IF(AND(MyRowHidden(ROW())=FALSE,MyRowHidden(ROW()-1)=TRUE),0,IF(MONTH(H669)&lt;&gt;MONTH(H668),M668+1,M668))</f>
        <v>6</v>
      </c>
      <c r="N669">
        <f t="shared" si="59"/>
        <v>-50890</v>
      </c>
      <c r="O669">
        <f>IF(AND(MyRowHidden(ROW())=FALSE,MyRowHidden(ROW()-1)=TRUE),0,IF(M669&lt;totalMonths,(totalMonths-M669)/totalMonths *(I669-I668)+O668,0))</f>
        <v>-95774.583333333198</v>
      </c>
      <c r="P669">
        <f>IF(AND(MyRowHidden(ROW())=FALSE,MyRowHidden(ROW()-1)=TRUE),0,IF(M669&lt;totalMonths,(totalMonths-M669)/totalMonths *(J669-J668)+P668,0))</f>
        <v>-131280</v>
      </c>
      <c r="Q669">
        <f>IF(AND(MyRowHidden(ROW())=FALSE,MyRowHidden(ROW()-1)=TRUE),0,IF(M669&lt;totalMonths,(totalMonths-M669)/totalMonths *(K669-K668)+Q668,0))</f>
        <v>131280</v>
      </c>
      <c r="R669">
        <f t="shared" si="60"/>
        <v>-182170</v>
      </c>
      <c r="S669">
        <f t="shared" si="61"/>
        <v>-227054.5833333332</v>
      </c>
    </row>
    <row r="670" spans="1:19" x14ac:dyDescent="0.25">
      <c r="A670" s="1"/>
      <c r="C670" s="1"/>
      <c r="D670" s="1">
        <v>42195</v>
      </c>
      <c r="E670" s="10">
        <v>6756</v>
      </c>
      <c r="F670" s="1">
        <v>42195</v>
      </c>
      <c r="G670">
        <v>-6202.5</v>
      </c>
      <c r="H670" s="1">
        <f t="shared" si="56"/>
        <v>42195</v>
      </c>
      <c r="I670">
        <f>IF(AND(MyRowHidden(ROW())=FALSE,MyRowHidden(ROW()-1)=TRUE),0,(E670-E669)*unitsOfDHp+I669)</f>
        <v>-27160</v>
      </c>
      <c r="J670">
        <f>IF(AND(MyRowHidden(ROW())=FALSE,MyRowHidden(ROW()-1)=TRUE),0,(G670-G669)*unitsOfExo+J669)</f>
        <v>230976</v>
      </c>
      <c r="K670" s="9">
        <f t="shared" si="57"/>
        <v>-230976</v>
      </c>
      <c r="L670">
        <f t="shared" si="58"/>
        <v>203816</v>
      </c>
      <c r="M670">
        <f>IF(AND(MyRowHidden(ROW())=FALSE,MyRowHidden(ROW()-1)=TRUE),0,IF(MONTH(H670)&lt;&gt;MONTH(H669),M669+1,M669))</f>
        <v>6</v>
      </c>
      <c r="N670">
        <f t="shared" si="59"/>
        <v>-27160</v>
      </c>
      <c r="O670">
        <f>IF(AND(MyRowHidden(ROW())=FALSE,MyRowHidden(ROW()-1)=TRUE),0,IF(M670&lt;totalMonths,(totalMonths-M670)/totalMonths *(I670-I669)+O669,0))</f>
        <v>-83909.583333333198</v>
      </c>
      <c r="P670">
        <f>IF(AND(MyRowHidden(ROW())=FALSE,MyRowHidden(ROW()-1)=TRUE),0,IF(M670&lt;totalMonths,(totalMonths-M670)/totalMonths *(J670-J669)+P669,0))</f>
        <v>-102480</v>
      </c>
      <c r="Q670">
        <f>IF(AND(MyRowHidden(ROW())=FALSE,MyRowHidden(ROW()-1)=TRUE),0,IF(M670&lt;totalMonths,(totalMonths-M670)/totalMonths *(K670-K669)+Q669,0))</f>
        <v>102480</v>
      </c>
      <c r="R670">
        <f t="shared" si="60"/>
        <v>-129640</v>
      </c>
      <c r="S670">
        <f t="shared" si="61"/>
        <v>-186389.5833333332</v>
      </c>
    </row>
    <row r="671" spans="1:19" x14ac:dyDescent="0.25">
      <c r="A671" s="1"/>
      <c r="C671" s="1"/>
      <c r="D671" s="1">
        <v>42198</v>
      </c>
      <c r="E671" s="10">
        <v>7244</v>
      </c>
      <c r="F671" s="1">
        <v>42198</v>
      </c>
      <c r="G671">
        <v>-5877.5</v>
      </c>
      <c r="H671" s="1">
        <f t="shared" si="56"/>
        <v>42198</v>
      </c>
      <c r="I671">
        <f>IF(AND(MyRowHidden(ROW())=FALSE,MyRowHidden(ROW()-1)=TRUE),0,(E671-E670)*unitsOfDHp+I670)</f>
        <v>-10080</v>
      </c>
      <c r="J671">
        <f>IF(AND(MyRowHidden(ROW())=FALSE,MyRowHidden(ROW()-1)=TRUE),0,(G671-G670)*unitsOfExo+J670)</f>
        <v>324576</v>
      </c>
      <c r="K671" s="9">
        <f t="shared" si="57"/>
        <v>-324576</v>
      </c>
      <c r="L671">
        <f t="shared" si="58"/>
        <v>314496</v>
      </c>
      <c r="M671">
        <f>IF(AND(MyRowHidden(ROW())=FALSE,MyRowHidden(ROW()-1)=TRUE),0,IF(MONTH(H671)&lt;&gt;MONTH(H670),M670+1,M670))</f>
        <v>6</v>
      </c>
      <c r="N671">
        <f t="shared" si="59"/>
        <v>-10080</v>
      </c>
      <c r="O671">
        <f>IF(AND(MyRowHidden(ROW())=FALSE,MyRowHidden(ROW()-1)=TRUE),0,IF(M671&lt;totalMonths,(totalMonths-M671)/totalMonths *(I671-I670)+O670,0))</f>
        <v>-75369.583333333198</v>
      </c>
      <c r="P671">
        <f>IF(AND(MyRowHidden(ROW())=FALSE,MyRowHidden(ROW()-1)=TRUE),0,IF(M671&lt;totalMonths,(totalMonths-M671)/totalMonths *(J671-J670)+P670,0))</f>
        <v>-55680</v>
      </c>
      <c r="Q671">
        <f>IF(AND(MyRowHidden(ROW())=FALSE,MyRowHidden(ROW()-1)=TRUE),0,IF(M671&lt;totalMonths,(totalMonths-M671)/totalMonths *(K671-K670)+Q670,0))</f>
        <v>55680</v>
      </c>
      <c r="R671">
        <f t="shared" si="60"/>
        <v>-65760</v>
      </c>
      <c r="S671">
        <f t="shared" si="61"/>
        <v>-131049.5833333332</v>
      </c>
    </row>
    <row r="672" spans="1:19" x14ac:dyDescent="0.25">
      <c r="A672" s="1"/>
      <c r="C672" s="1"/>
      <c r="D672" s="1">
        <v>42199</v>
      </c>
      <c r="E672" s="10">
        <v>6508</v>
      </c>
      <c r="F672" s="1">
        <v>42199</v>
      </c>
      <c r="G672">
        <v>-6365</v>
      </c>
      <c r="H672" s="1">
        <f t="shared" si="56"/>
        <v>42199</v>
      </c>
      <c r="I672">
        <f>IF(AND(MyRowHidden(ROW())=FALSE,MyRowHidden(ROW()-1)=TRUE),0,(E672-E671)*unitsOfDHp+I671)</f>
        <v>-35840</v>
      </c>
      <c r="J672">
        <f>IF(AND(MyRowHidden(ROW())=FALSE,MyRowHidden(ROW()-1)=TRUE),0,(G672-G671)*unitsOfExo+J671)</f>
        <v>184176</v>
      </c>
      <c r="K672" s="9">
        <f t="shared" si="57"/>
        <v>-184176</v>
      </c>
      <c r="L672">
        <f t="shared" si="58"/>
        <v>148336</v>
      </c>
      <c r="M672">
        <f>IF(AND(MyRowHidden(ROW())=FALSE,MyRowHidden(ROW()-1)=TRUE),0,IF(MONTH(H672)&lt;&gt;MONTH(H671),M671+1,M671))</f>
        <v>6</v>
      </c>
      <c r="N672">
        <f t="shared" si="59"/>
        <v>-35840</v>
      </c>
      <c r="O672">
        <f>IF(AND(MyRowHidden(ROW())=FALSE,MyRowHidden(ROW()-1)=TRUE),0,IF(M672&lt;totalMonths,(totalMonths-M672)/totalMonths *(I672-I671)+O671,0))</f>
        <v>-88249.583333333198</v>
      </c>
      <c r="P672">
        <f>IF(AND(MyRowHidden(ROW())=FALSE,MyRowHidden(ROW()-1)=TRUE),0,IF(M672&lt;totalMonths,(totalMonths-M672)/totalMonths *(J672-J671)+P671,0))</f>
        <v>-125880</v>
      </c>
      <c r="Q672">
        <f>IF(AND(MyRowHidden(ROW())=FALSE,MyRowHidden(ROW()-1)=TRUE),0,IF(M672&lt;totalMonths,(totalMonths-M672)/totalMonths *(K672-K671)+Q671,0))</f>
        <v>125880</v>
      </c>
      <c r="R672">
        <f t="shared" si="60"/>
        <v>-161720</v>
      </c>
      <c r="S672">
        <f t="shared" si="61"/>
        <v>-214129.5833333332</v>
      </c>
    </row>
    <row r="673" spans="1:19" x14ac:dyDescent="0.25">
      <c r="A673" s="1"/>
      <c r="C673" s="1"/>
      <c r="D673" s="1">
        <v>42200</v>
      </c>
      <c r="E673" s="10">
        <v>6596</v>
      </c>
      <c r="F673" s="1">
        <v>42200</v>
      </c>
      <c r="G673">
        <v>-6565</v>
      </c>
      <c r="H673" s="1">
        <f t="shared" si="56"/>
        <v>42200</v>
      </c>
      <c r="I673">
        <f>IF(AND(MyRowHidden(ROW())=FALSE,MyRowHidden(ROW()-1)=TRUE),0,(E673-E672)*unitsOfDHp+I672)</f>
        <v>-32760</v>
      </c>
      <c r="J673">
        <f>IF(AND(MyRowHidden(ROW())=FALSE,MyRowHidden(ROW()-1)=TRUE),0,(G673-G672)*unitsOfExo+J672)</f>
        <v>126576</v>
      </c>
      <c r="K673" s="9">
        <f t="shared" si="57"/>
        <v>-126576</v>
      </c>
      <c r="L673">
        <f t="shared" si="58"/>
        <v>93816</v>
      </c>
      <c r="M673">
        <f>IF(AND(MyRowHidden(ROW())=FALSE,MyRowHidden(ROW()-1)=TRUE),0,IF(MONTH(H673)&lt;&gt;MONTH(H672),M672+1,M672))</f>
        <v>6</v>
      </c>
      <c r="N673">
        <f t="shared" si="59"/>
        <v>-32760</v>
      </c>
      <c r="O673">
        <f>IF(AND(MyRowHidden(ROW())=FALSE,MyRowHidden(ROW()-1)=TRUE),0,IF(M673&lt;totalMonths,(totalMonths-M673)/totalMonths *(I673-I672)+O672,0))</f>
        <v>-86709.583333333198</v>
      </c>
      <c r="P673">
        <f>IF(AND(MyRowHidden(ROW())=FALSE,MyRowHidden(ROW()-1)=TRUE),0,IF(M673&lt;totalMonths,(totalMonths-M673)/totalMonths *(J673-J672)+P672,0))</f>
        <v>-154680</v>
      </c>
      <c r="Q673">
        <f>IF(AND(MyRowHidden(ROW())=FALSE,MyRowHidden(ROW()-1)=TRUE),0,IF(M673&lt;totalMonths,(totalMonths-M673)/totalMonths *(K673-K672)+Q672,0))</f>
        <v>154680</v>
      </c>
      <c r="R673">
        <f t="shared" si="60"/>
        <v>-187440</v>
      </c>
      <c r="S673">
        <f t="shared" si="61"/>
        <v>-241389.5833333332</v>
      </c>
    </row>
    <row r="674" spans="1:19" x14ac:dyDescent="0.25">
      <c r="A674" s="1"/>
      <c r="C674" s="1"/>
      <c r="D674" s="1">
        <v>42201</v>
      </c>
      <c r="E674" s="10">
        <v>6558</v>
      </c>
      <c r="F674" s="1">
        <v>42201</v>
      </c>
      <c r="G674">
        <v>-6402.5</v>
      </c>
      <c r="H674" s="1">
        <f t="shared" si="56"/>
        <v>42201</v>
      </c>
      <c r="I674">
        <f>IF(AND(MyRowHidden(ROW())=FALSE,MyRowHidden(ROW()-1)=TRUE),0,(E674-E673)*unitsOfDHp+I673)</f>
        <v>-34090</v>
      </c>
      <c r="J674">
        <f>IF(AND(MyRowHidden(ROW())=FALSE,MyRowHidden(ROW()-1)=TRUE),0,(G674-G673)*unitsOfExo+J673)</f>
        <v>173376</v>
      </c>
      <c r="K674" s="9">
        <f t="shared" si="57"/>
        <v>-173376</v>
      </c>
      <c r="L674">
        <f t="shared" si="58"/>
        <v>139286</v>
      </c>
      <c r="M674">
        <f>IF(AND(MyRowHidden(ROW())=FALSE,MyRowHidden(ROW()-1)=TRUE),0,IF(MONTH(H674)&lt;&gt;MONTH(H673),M673+1,M673))</f>
        <v>6</v>
      </c>
      <c r="N674">
        <f t="shared" si="59"/>
        <v>-34090</v>
      </c>
      <c r="O674">
        <f>IF(AND(MyRowHidden(ROW())=FALSE,MyRowHidden(ROW()-1)=TRUE),0,IF(M674&lt;totalMonths,(totalMonths-M674)/totalMonths *(I674-I673)+O673,0))</f>
        <v>-87374.583333333198</v>
      </c>
      <c r="P674">
        <f>IF(AND(MyRowHidden(ROW())=FALSE,MyRowHidden(ROW()-1)=TRUE),0,IF(M674&lt;totalMonths,(totalMonths-M674)/totalMonths *(J674-J673)+P673,0))</f>
        <v>-131280</v>
      </c>
      <c r="Q674">
        <f>IF(AND(MyRowHidden(ROW())=FALSE,MyRowHidden(ROW()-1)=TRUE),0,IF(M674&lt;totalMonths,(totalMonths-M674)/totalMonths *(K674-K673)+Q673,0))</f>
        <v>131280</v>
      </c>
      <c r="R674">
        <f t="shared" si="60"/>
        <v>-165370</v>
      </c>
      <c r="S674">
        <f t="shared" si="61"/>
        <v>-218654.5833333332</v>
      </c>
    </row>
    <row r="675" spans="1:19" x14ac:dyDescent="0.25">
      <c r="A675" s="1"/>
      <c r="C675" s="1"/>
      <c r="D675" s="1">
        <v>42202</v>
      </c>
      <c r="E675" s="10">
        <v>6461</v>
      </c>
      <c r="F675" s="1">
        <v>42202</v>
      </c>
      <c r="G675">
        <v>-6940</v>
      </c>
      <c r="H675" s="1">
        <f t="shared" si="56"/>
        <v>42202</v>
      </c>
      <c r="I675">
        <f>IF(AND(MyRowHidden(ROW())=FALSE,MyRowHidden(ROW()-1)=TRUE),0,(E675-E674)*unitsOfDHp+I674)</f>
        <v>-37485</v>
      </c>
      <c r="J675">
        <f>IF(AND(MyRowHidden(ROW())=FALSE,MyRowHidden(ROW()-1)=TRUE),0,(G675-G674)*unitsOfExo+J674)</f>
        <v>18576</v>
      </c>
      <c r="K675" s="9">
        <f t="shared" si="57"/>
        <v>-18576</v>
      </c>
      <c r="L675">
        <f t="shared" si="58"/>
        <v>-18909</v>
      </c>
      <c r="M675">
        <f>IF(AND(MyRowHidden(ROW())=FALSE,MyRowHidden(ROW()-1)=TRUE),0,IF(MONTH(H675)&lt;&gt;MONTH(H674),M674+1,M674))</f>
        <v>6</v>
      </c>
      <c r="N675">
        <f t="shared" si="59"/>
        <v>-37485</v>
      </c>
      <c r="O675">
        <f>IF(AND(MyRowHidden(ROW())=FALSE,MyRowHidden(ROW()-1)=TRUE),0,IF(M675&lt;totalMonths,(totalMonths-M675)/totalMonths *(I675-I674)+O674,0))</f>
        <v>-89072.083333333198</v>
      </c>
      <c r="P675">
        <f>IF(AND(MyRowHidden(ROW())=FALSE,MyRowHidden(ROW()-1)=TRUE),0,IF(M675&lt;totalMonths,(totalMonths-M675)/totalMonths *(J675-J674)+P674,0))</f>
        <v>-208680</v>
      </c>
      <c r="Q675">
        <f>IF(AND(MyRowHidden(ROW())=FALSE,MyRowHidden(ROW()-1)=TRUE),0,IF(M675&lt;totalMonths,(totalMonths-M675)/totalMonths *(K675-K674)+Q674,0))</f>
        <v>208680</v>
      </c>
      <c r="R675">
        <f t="shared" si="60"/>
        <v>-246165</v>
      </c>
      <c r="S675">
        <f t="shared" si="61"/>
        <v>-297752.0833333332</v>
      </c>
    </row>
    <row r="676" spans="1:19" x14ac:dyDescent="0.25">
      <c r="A676" s="1"/>
      <c r="C676" s="1"/>
      <c r="D676" s="1">
        <v>42205</v>
      </c>
      <c r="E676" s="10">
        <v>6574</v>
      </c>
      <c r="F676" s="1">
        <v>42205</v>
      </c>
      <c r="G676">
        <v>-7627.5</v>
      </c>
      <c r="H676" s="1">
        <f t="shared" si="56"/>
        <v>42205</v>
      </c>
      <c r="I676">
        <f>IF(AND(MyRowHidden(ROW())=FALSE,MyRowHidden(ROW()-1)=TRUE),0,(E676-E675)*unitsOfDHp+I675)</f>
        <v>-33530</v>
      </c>
      <c r="J676">
        <f>IF(AND(MyRowHidden(ROW())=FALSE,MyRowHidden(ROW()-1)=TRUE),0,(G676-G675)*unitsOfExo+J675)</f>
        <v>-179424</v>
      </c>
      <c r="K676" s="9">
        <f t="shared" si="57"/>
        <v>179424</v>
      </c>
      <c r="L676">
        <f t="shared" si="58"/>
        <v>-212954</v>
      </c>
      <c r="M676">
        <f>IF(AND(MyRowHidden(ROW())=FALSE,MyRowHidden(ROW()-1)=TRUE),0,IF(MONTH(H676)&lt;&gt;MONTH(H675),M675+1,M675))</f>
        <v>6</v>
      </c>
      <c r="N676">
        <f t="shared" si="59"/>
        <v>-33530</v>
      </c>
      <c r="O676">
        <f>IF(AND(MyRowHidden(ROW())=FALSE,MyRowHidden(ROW()-1)=TRUE),0,IF(M676&lt;totalMonths,(totalMonths-M676)/totalMonths *(I676-I675)+O675,0))</f>
        <v>-87094.583333333198</v>
      </c>
      <c r="P676">
        <f>IF(AND(MyRowHidden(ROW())=FALSE,MyRowHidden(ROW()-1)=TRUE),0,IF(M676&lt;totalMonths,(totalMonths-M676)/totalMonths *(J676-J675)+P675,0))</f>
        <v>-307680</v>
      </c>
      <c r="Q676">
        <f>IF(AND(MyRowHidden(ROW())=FALSE,MyRowHidden(ROW()-1)=TRUE),0,IF(M676&lt;totalMonths,(totalMonths-M676)/totalMonths *(K676-K675)+Q675,0))</f>
        <v>307680</v>
      </c>
      <c r="R676">
        <f t="shared" si="60"/>
        <v>-341210</v>
      </c>
      <c r="S676">
        <f t="shared" si="61"/>
        <v>-394774.5833333332</v>
      </c>
    </row>
    <row r="677" spans="1:19" x14ac:dyDescent="0.25">
      <c r="A677" s="1"/>
      <c r="C677" s="1"/>
      <c r="D677" s="1">
        <v>42206</v>
      </c>
      <c r="E677" s="10">
        <v>6499</v>
      </c>
      <c r="F677" s="1">
        <v>42206</v>
      </c>
      <c r="G677">
        <v>-7565</v>
      </c>
      <c r="H677" s="1">
        <f t="shared" si="56"/>
        <v>42206</v>
      </c>
      <c r="I677">
        <f>IF(AND(MyRowHidden(ROW())=FALSE,MyRowHidden(ROW()-1)=TRUE),0,(E677-E676)*unitsOfDHp+I676)</f>
        <v>-36155</v>
      </c>
      <c r="J677">
        <f>IF(AND(MyRowHidden(ROW())=FALSE,MyRowHidden(ROW()-1)=TRUE),0,(G677-G676)*unitsOfExo+J676)</f>
        <v>-161424</v>
      </c>
      <c r="K677" s="9">
        <f t="shared" si="57"/>
        <v>161424</v>
      </c>
      <c r="L677">
        <f t="shared" si="58"/>
        <v>-197579</v>
      </c>
      <c r="M677">
        <f>IF(AND(MyRowHidden(ROW())=FALSE,MyRowHidden(ROW()-1)=TRUE),0,IF(MONTH(H677)&lt;&gt;MONTH(H676),M676+1,M676))</f>
        <v>6</v>
      </c>
      <c r="N677">
        <f t="shared" si="59"/>
        <v>-36155</v>
      </c>
      <c r="O677">
        <f>IF(AND(MyRowHidden(ROW())=FALSE,MyRowHidden(ROW()-1)=TRUE),0,IF(M677&lt;totalMonths,(totalMonths-M677)/totalMonths *(I677-I676)+O676,0))</f>
        <v>-88407.083333333198</v>
      </c>
      <c r="P677">
        <f>IF(AND(MyRowHidden(ROW())=FALSE,MyRowHidden(ROW()-1)=TRUE),0,IF(M677&lt;totalMonths,(totalMonths-M677)/totalMonths *(J677-J676)+P676,0))</f>
        <v>-298680</v>
      </c>
      <c r="Q677">
        <f>IF(AND(MyRowHidden(ROW())=FALSE,MyRowHidden(ROW()-1)=TRUE),0,IF(M677&lt;totalMonths,(totalMonths-M677)/totalMonths *(K677-K676)+Q676,0))</f>
        <v>298680</v>
      </c>
      <c r="R677">
        <f t="shared" si="60"/>
        <v>-334835</v>
      </c>
      <c r="S677">
        <f t="shared" si="61"/>
        <v>-387087.0833333332</v>
      </c>
    </row>
    <row r="678" spans="1:19" x14ac:dyDescent="0.25">
      <c r="A678" s="1"/>
      <c r="C678" s="1"/>
      <c r="D678" s="1">
        <v>42207</v>
      </c>
      <c r="E678" s="10">
        <v>6712</v>
      </c>
      <c r="F678" s="1">
        <v>42207</v>
      </c>
      <c r="G678">
        <v>-7827.5</v>
      </c>
      <c r="H678" s="1">
        <f t="shared" si="56"/>
        <v>42207</v>
      </c>
      <c r="I678">
        <f>IF(AND(MyRowHidden(ROW())=FALSE,MyRowHidden(ROW()-1)=TRUE),0,(E678-E677)*unitsOfDHp+I677)</f>
        <v>-28700</v>
      </c>
      <c r="J678">
        <f>IF(AND(MyRowHidden(ROW())=FALSE,MyRowHidden(ROW()-1)=TRUE),0,(G678-G677)*unitsOfExo+J677)</f>
        <v>-237024</v>
      </c>
      <c r="K678" s="9">
        <f t="shared" si="57"/>
        <v>237024</v>
      </c>
      <c r="L678">
        <f t="shared" si="58"/>
        <v>-265724</v>
      </c>
      <c r="M678">
        <f>IF(AND(MyRowHidden(ROW())=FALSE,MyRowHidden(ROW()-1)=TRUE),0,IF(MONTH(H678)&lt;&gt;MONTH(H677),M677+1,M677))</f>
        <v>6</v>
      </c>
      <c r="N678">
        <f t="shared" si="59"/>
        <v>-28700</v>
      </c>
      <c r="O678">
        <f>IF(AND(MyRowHidden(ROW())=FALSE,MyRowHidden(ROW()-1)=TRUE),0,IF(M678&lt;totalMonths,(totalMonths-M678)/totalMonths *(I678-I677)+O677,0))</f>
        <v>-84679.583333333198</v>
      </c>
      <c r="P678">
        <f>IF(AND(MyRowHidden(ROW())=FALSE,MyRowHidden(ROW()-1)=TRUE),0,IF(M678&lt;totalMonths,(totalMonths-M678)/totalMonths *(J678-J677)+P677,0))</f>
        <v>-336480</v>
      </c>
      <c r="Q678">
        <f>IF(AND(MyRowHidden(ROW())=FALSE,MyRowHidden(ROW()-1)=TRUE),0,IF(M678&lt;totalMonths,(totalMonths-M678)/totalMonths *(K678-K677)+Q677,0))</f>
        <v>336480</v>
      </c>
      <c r="R678">
        <f t="shared" si="60"/>
        <v>-365180</v>
      </c>
      <c r="S678">
        <f t="shared" si="61"/>
        <v>-421159.5833333332</v>
      </c>
    </row>
    <row r="679" spans="1:19" x14ac:dyDescent="0.25">
      <c r="A679" s="1"/>
      <c r="C679" s="1"/>
      <c r="D679" s="1">
        <v>42208</v>
      </c>
      <c r="E679" s="10">
        <v>6724</v>
      </c>
      <c r="F679" s="1">
        <v>42208</v>
      </c>
      <c r="G679">
        <v>-7890</v>
      </c>
      <c r="H679" s="1">
        <f t="shared" si="56"/>
        <v>42208</v>
      </c>
      <c r="I679">
        <f>IF(AND(MyRowHidden(ROW())=FALSE,MyRowHidden(ROW()-1)=TRUE),0,(E679-E678)*unitsOfDHp+I678)</f>
        <v>-28280</v>
      </c>
      <c r="J679">
        <f>IF(AND(MyRowHidden(ROW())=FALSE,MyRowHidden(ROW()-1)=TRUE),0,(G679-G678)*unitsOfExo+J678)</f>
        <v>-255024</v>
      </c>
      <c r="K679" s="9">
        <f t="shared" si="57"/>
        <v>255024</v>
      </c>
      <c r="L679">
        <f t="shared" si="58"/>
        <v>-283304</v>
      </c>
      <c r="M679">
        <f>IF(AND(MyRowHidden(ROW())=FALSE,MyRowHidden(ROW()-1)=TRUE),0,IF(MONTH(H679)&lt;&gt;MONTH(H678),M678+1,M678))</f>
        <v>6</v>
      </c>
      <c r="N679">
        <f t="shared" si="59"/>
        <v>-28280</v>
      </c>
      <c r="O679">
        <f>IF(AND(MyRowHidden(ROW())=FALSE,MyRowHidden(ROW()-1)=TRUE),0,IF(M679&lt;totalMonths,(totalMonths-M679)/totalMonths *(I679-I678)+O678,0))</f>
        <v>-84469.583333333198</v>
      </c>
      <c r="P679">
        <f>IF(AND(MyRowHidden(ROW())=FALSE,MyRowHidden(ROW()-1)=TRUE),0,IF(M679&lt;totalMonths,(totalMonths-M679)/totalMonths *(J679-J678)+P678,0))</f>
        <v>-345480</v>
      </c>
      <c r="Q679">
        <f>IF(AND(MyRowHidden(ROW())=FALSE,MyRowHidden(ROW()-1)=TRUE),0,IF(M679&lt;totalMonths,(totalMonths-M679)/totalMonths *(K679-K678)+Q678,0))</f>
        <v>345480</v>
      </c>
      <c r="R679">
        <f t="shared" si="60"/>
        <v>-373760</v>
      </c>
      <c r="S679">
        <f t="shared" si="61"/>
        <v>-429949.5833333332</v>
      </c>
    </row>
    <row r="680" spans="1:19" x14ac:dyDescent="0.25">
      <c r="A680" s="1"/>
      <c r="C680" s="1"/>
      <c r="D680" s="1">
        <v>42209</v>
      </c>
      <c r="E680" s="10">
        <v>6775</v>
      </c>
      <c r="F680" s="1">
        <v>42209</v>
      </c>
      <c r="G680">
        <v>-8202.5</v>
      </c>
      <c r="H680" s="1">
        <f t="shared" si="56"/>
        <v>42209</v>
      </c>
      <c r="I680">
        <f>IF(AND(MyRowHidden(ROW())=FALSE,MyRowHidden(ROW()-1)=TRUE),0,(E680-E679)*unitsOfDHp+I679)</f>
        <v>-26495</v>
      </c>
      <c r="J680">
        <f>IF(AND(MyRowHidden(ROW())=FALSE,MyRowHidden(ROW()-1)=TRUE),0,(G680-G679)*unitsOfExo+J679)</f>
        <v>-345024</v>
      </c>
      <c r="K680" s="9">
        <f t="shared" si="57"/>
        <v>345024</v>
      </c>
      <c r="L680">
        <f t="shared" si="58"/>
        <v>-371519</v>
      </c>
      <c r="M680">
        <f>IF(AND(MyRowHidden(ROW())=FALSE,MyRowHidden(ROW()-1)=TRUE),0,IF(MONTH(H680)&lt;&gt;MONTH(H679),M679+1,M679))</f>
        <v>6</v>
      </c>
      <c r="N680">
        <f t="shared" si="59"/>
        <v>-26495</v>
      </c>
      <c r="O680">
        <f>IF(AND(MyRowHidden(ROW())=FALSE,MyRowHidden(ROW()-1)=TRUE),0,IF(M680&lt;totalMonths,(totalMonths-M680)/totalMonths *(I680-I679)+O679,0))</f>
        <v>-83577.083333333198</v>
      </c>
      <c r="P680">
        <f>IF(AND(MyRowHidden(ROW())=FALSE,MyRowHidden(ROW()-1)=TRUE),0,IF(M680&lt;totalMonths,(totalMonths-M680)/totalMonths *(J680-J679)+P679,0))</f>
        <v>-390480</v>
      </c>
      <c r="Q680">
        <f>IF(AND(MyRowHidden(ROW())=FALSE,MyRowHidden(ROW()-1)=TRUE),0,IF(M680&lt;totalMonths,(totalMonths-M680)/totalMonths *(K680-K679)+Q679,0))</f>
        <v>390480</v>
      </c>
      <c r="R680">
        <f t="shared" si="60"/>
        <v>-416975</v>
      </c>
      <c r="S680">
        <f t="shared" si="61"/>
        <v>-474057.0833333332</v>
      </c>
    </row>
    <row r="681" spans="1:19" x14ac:dyDescent="0.25">
      <c r="A681" s="1"/>
      <c r="C681" s="1"/>
      <c r="D681" s="1">
        <v>42212</v>
      </c>
      <c r="E681" s="10">
        <v>6862</v>
      </c>
      <c r="F681" s="1">
        <v>42212</v>
      </c>
      <c r="G681">
        <v>-9090</v>
      </c>
      <c r="H681" s="1">
        <f t="shared" si="56"/>
        <v>42212</v>
      </c>
      <c r="I681">
        <f>IF(AND(MyRowHidden(ROW())=FALSE,MyRowHidden(ROW()-1)=TRUE),0,(E681-E680)*unitsOfDHp+I680)</f>
        <v>-23450</v>
      </c>
      <c r="J681">
        <f>IF(AND(MyRowHidden(ROW())=FALSE,MyRowHidden(ROW()-1)=TRUE),0,(G681-G680)*unitsOfExo+J680)</f>
        <v>-600624</v>
      </c>
      <c r="K681" s="9">
        <f t="shared" si="57"/>
        <v>600624</v>
      </c>
      <c r="L681">
        <f t="shared" si="58"/>
        <v>-624074</v>
      </c>
      <c r="M681">
        <f>IF(AND(MyRowHidden(ROW())=FALSE,MyRowHidden(ROW()-1)=TRUE),0,IF(MONTH(H681)&lt;&gt;MONTH(H680),M680+1,M680))</f>
        <v>6</v>
      </c>
      <c r="N681">
        <f t="shared" si="59"/>
        <v>-23450</v>
      </c>
      <c r="O681">
        <f>IF(AND(MyRowHidden(ROW())=FALSE,MyRowHidden(ROW()-1)=TRUE),0,IF(M681&lt;totalMonths,(totalMonths-M681)/totalMonths *(I681-I680)+O680,0))</f>
        <v>-82054.583333333198</v>
      </c>
      <c r="P681">
        <f>IF(AND(MyRowHidden(ROW())=FALSE,MyRowHidden(ROW()-1)=TRUE),0,IF(M681&lt;totalMonths,(totalMonths-M681)/totalMonths *(J681-J680)+P680,0))</f>
        <v>-518280</v>
      </c>
      <c r="Q681">
        <f>IF(AND(MyRowHidden(ROW())=FALSE,MyRowHidden(ROW()-1)=TRUE),0,IF(M681&lt;totalMonths,(totalMonths-M681)/totalMonths *(K681-K680)+Q680,0))</f>
        <v>518280</v>
      </c>
      <c r="R681">
        <f t="shared" si="60"/>
        <v>-541730</v>
      </c>
      <c r="S681">
        <f t="shared" si="61"/>
        <v>-600334.58333333326</v>
      </c>
    </row>
    <row r="682" spans="1:19" x14ac:dyDescent="0.25">
      <c r="A682" s="1"/>
      <c r="C682" s="1"/>
      <c r="D682" s="1">
        <v>42213</v>
      </c>
      <c r="E682" s="10">
        <v>6537</v>
      </c>
      <c r="F682" s="1">
        <v>42213</v>
      </c>
      <c r="G682">
        <v>-9390</v>
      </c>
      <c r="H682" s="1">
        <f t="shared" si="56"/>
        <v>42213</v>
      </c>
      <c r="I682">
        <f>IF(AND(MyRowHidden(ROW())=FALSE,MyRowHidden(ROW()-1)=TRUE),0,(E682-E681)*unitsOfDHp+I681)</f>
        <v>-34825</v>
      </c>
      <c r="J682">
        <f>IF(AND(MyRowHidden(ROW())=FALSE,MyRowHidden(ROW()-1)=TRUE),0,(G682-G681)*unitsOfExo+J681)</f>
        <v>-687024</v>
      </c>
      <c r="K682" s="9">
        <f t="shared" si="57"/>
        <v>687024</v>
      </c>
      <c r="L682">
        <f t="shared" si="58"/>
        <v>-721849</v>
      </c>
      <c r="M682">
        <f>IF(AND(MyRowHidden(ROW())=FALSE,MyRowHidden(ROW()-1)=TRUE),0,IF(MONTH(H682)&lt;&gt;MONTH(H681),M681+1,M681))</f>
        <v>6</v>
      </c>
      <c r="N682">
        <f t="shared" si="59"/>
        <v>-34825</v>
      </c>
      <c r="O682">
        <f>IF(AND(MyRowHidden(ROW())=FALSE,MyRowHidden(ROW()-1)=TRUE),0,IF(M682&lt;totalMonths,(totalMonths-M682)/totalMonths *(I682-I681)+O681,0))</f>
        <v>-87742.083333333198</v>
      </c>
      <c r="P682">
        <f>IF(AND(MyRowHidden(ROW())=FALSE,MyRowHidden(ROW()-1)=TRUE),0,IF(M682&lt;totalMonths,(totalMonths-M682)/totalMonths *(J682-J681)+P681,0))</f>
        <v>-561480</v>
      </c>
      <c r="Q682">
        <f>IF(AND(MyRowHidden(ROW())=FALSE,MyRowHidden(ROW()-1)=TRUE),0,IF(M682&lt;totalMonths,(totalMonths-M682)/totalMonths *(K682-K681)+Q681,0))</f>
        <v>561480</v>
      </c>
      <c r="R682">
        <f t="shared" si="60"/>
        <v>-596305</v>
      </c>
      <c r="S682">
        <f t="shared" si="61"/>
        <v>-649222.08333333326</v>
      </c>
    </row>
    <row r="683" spans="1:19" x14ac:dyDescent="0.25">
      <c r="A683" s="1"/>
      <c r="C683" s="1"/>
      <c r="D683" s="1">
        <v>42214</v>
      </c>
      <c r="E683" s="10">
        <v>6813</v>
      </c>
      <c r="F683" s="1">
        <v>42214</v>
      </c>
      <c r="G683">
        <v>-9490</v>
      </c>
      <c r="H683" s="1">
        <f t="shared" si="56"/>
        <v>42214</v>
      </c>
      <c r="I683">
        <f>IF(AND(MyRowHidden(ROW())=FALSE,MyRowHidden(ROW()-1)=TRUE),0,(E683-E682)*unitsOfDHp+I682)</f>
        <v>-25165</v>
      </c>
      <c r="J683">
        <f>IF(AND(MyRowHidden(ROW())=FALSE,MyRowHidden(ROW()-1)=TRUE),0,(G683-G682)*unitsOfExo+J682)</f>
        <v>-715824</v>
      </c>
      <c r="K683" s="9">
        <f t="shared" si="57"/>
        <v>715824</v>
      </c>
      <c r="L683">
        <f t="shared" si="58"/>
        <v>-740989</v>
      </c>
      <c r="M683">
        <f>IF(AND(MyRowHidden(ROW())=FALSE,MyRowHidden(ROW()-1)=TRUE),0,IF(MONTH(H683)&lt;&gt;MONTH(H682),M682+1,M682))</f>
        <v>6</v>
      </c>
      <c r="N683">
        <f t="shared" si="59"/>
        <v>-25165</v>
      </c>
      <c r="O683">
        <f>IF(AND(MyRowHidden(ROW())=FALSE,MyRowHidden(ROW()-1)=TRUE),0,IF(M683&lt;totalMonths,(totalMonths-M683)/totalMonths *(I683-I682)+O682,0))</f>
        <v>-82912.083333333198</v>
      </c>
      <c r="P683">
        <f>IF(AND(MyRowHidden(ROW())=FALSE,MyRowHidden(ROW()-1)=TRUE),0,IF(M683&lt;totalMonths,(totalMonths-M683)/totalMonths *(J683-J682)+P682,0))</f>
        <v>-575880</v>
      </c>
      <c r="Q683">
        <f>IF(AND(MyRowHidden(ROW())=FALSE,MyRowHidden(ROW()-1)=TRUE),0,IF(M683&lt;totalMonths,(totalMonths-M683)/totalMonths *(K683-K682)+Q682,0))</f>
        <v>575880</v>
      </c>
      <c r="R683">
        <f t="shared" si="60"/>
        <v>-601045</v>
      </c>
      <c r="S683">
        <f t="shared" si="61"/>
        <v>-658792.08333333326</v>
      </c>
    </row>
    <row r="684" spans="1:19" x14ac:dyDescent="0.25">
      <c r="A684" s="1"/>
      <c r="C684" s="1"/>
      <c r="D684" s="1">
        <v>42215</v>
      </c>
      <c r="E684" s="10">
        <v>6976</v>
      </c>
      <c r="F684" s="1">
        <v>42215</v>
      </c>
      <c r="G684">
        <v>-9390</v>
      </c>
      <c r="H684" s="1">
        <f t="shared" si="56"/>
        <v>42215</v>
      </c>
      <c r="I684">
        <f>IF(AND(MyRowHidden(ROW())=FALSE,MyRowHidden(ROW()-1)=TRUE),0,(E684-E683)*unitsOfDHp+I683)</f>
        <v>-19460</v>
      </c>
      <c r="J684">
        <f>IF(AND(MyRowHidden(ROW())=FALSE,MyRowHidden(ROW()-1)=TRUE),0,(G684-G683)*unitsOfExo+J683)</f>
        <v>-687024</v>
      </c>
      <c r="K684" s="9">
        <f t="shared" si="57"/>
        <v>687024</v>
      </c>
      <c r="L684">
        <f t="shared" si="58"/>
        <v>-706484</v>
      </c>
      <c r="M684">
        <f>IF(AND(MyRowHidden(ROW())=FALSE,MyRowHidden(ROW()-1)=TRUE),0,IF(MONTH(H684)&lt;&gt;MONTH(H683),M683+1,M683))</f>
        <v>6</v>
      </c>
      <c r="N684">
        <f t="shared" si="59"/>
        <v>-19460</v>
      </c>
      <c r="O684">
        <f>IF(AND(MyRowHidden(ROW())=FALSE,MyRowHidden(ROW()-1)=TRUE),0,IF(M684&lt;totalMonths,(totalMonths-M684)/totalMonths *(I684-I683)+O683,0))</f>
        <v>-80059.583333333198</v>
      </c>
      <c r="P684">
        <f>IF(AND(MyRowHidden(ROW())=FALSE,MyRowHidden(ROW()-1)=TRUE),0,IF(M684&lt;totalMonths,(totalMonths-M684)/totalMonths *(J684-J683)+P683,0))</f>
        <v>-561480</v>
      </c>
      <c r="Q684">
        <f>IF(AND(MyRowHidden(ROW())=FALSE,MyRowHidden(ROW()-1)=TRUE),0,IF(M684&lt;totalMonths,(totalMonths-M684)/totalMonths *(K684-K683)+Q683,0))</f>
        <v>561480</v>
      </c>
      <c r="R684">
        <f t="shared" si="60"/>
        <v>-580940</v>
      </c>
      <c r="S684">
        <f t="shared" si="61"/>
        <v>-641539.58333333326</v>
      </c>
    </row>
    <row r="685" spans="1:19" x14ac:dyDescent="0.25">
      <c r="A685" s="1"/>
      <c r="C685" s="1"/>
      <c r="D685" s="1">
        <v>42216</v>
      </c>
      <c r="E685" s="10">
        <v>7001</v>
      </c>
      <c r="F685" s="1">
        <v>42216</v>
      </c>
      <c r="G685">
        <v>-9215</v>
      </c>
      <c r="H685" s="1">
        <f t="shared" si="56"/>
        <v>42216</v>
      </c>
      <c r="I685">
        <f>IF(AND(MyRowHidden(ROW())=FALSE,MyRowHidden(ROW()-1)=TRUE),0,(E685-E684)*unitsOfDHp+I684)</f>
        <v>-18585</v>
      </c>
      <c r="J685">
        <f>IF(AND(MyRowHidden(ROW())=FALSE,MyRowHidden(ROW()-1)=TRUE),0,(G685-G684)*unitsOfExo+J684)</f>
        <v>-636624</v>
      </c>
      <c r="K685" s="9">
        <f t="shared" si="57"/>
        <v>636624</v>
      </c>
      <c r="L685">
        <f t="shared" si="58"/>
        <v>-655209</v>
      </c>
      <c r="M685">
        <f>IF(AND(MyRowHidden(ROW())=FALSE,MyRowHidden(ROW()-1)=TRUE),0,IF(MONTH(H685)&lt;&gt;MONTH(H684),M684+1,M684))</f>
        <v>6</v>
      </c>
      <c r="N685">
        <f t="shared" si="59"/>
        <v>-18585</v>
      </c>
      <c r="O685">
        <f>IF(AND(MyRowHidden(ROW())=FALSE,MyRowHidden(ROW()-1)=TRUE),0,IF(M685&lt;totalMonths,(totalMonths-M685)/totalMonths *(I685-I684)+O684,0))</f>
        <v>-79622.083333333198</v>
      </c>
      <c r="P685">
        <f>IF(AND(MyRowHidden(ROW())=FALSE,MyRowHidden(ROW()-1)=TRUE),0,IF(M685&lt;totalMonths,(totalMonths-M685)/totalMonths *(J685-J684)+P684,0))</f>
        <v>-536280</v>
      </c>
      <c r="Q685">
        <f>IF(AND(MyRowHidden(ROW())=FALSE,MyRowHidden(ROW()-1)=TRUE),0,IF(M685&lt;totalMonths,(totalMonths-M685)/totalMonths *(K685-K684)+Q684,0))</f>
        <v>536280</v>
      </c>
      <c r="R685">
        <f t="shared" si="60"/>
        <v>-554865</v>
      </c>
      <c r="S685">
        <f t="shared" si="61"/>
        <v>-615902.08333333326</v>
      </c>
    </row>
    <row r="686" spans="1:19" x14ac:dyDescent="0.25">
      <c r="A686" s="1"/>
      <c r="C686" s="1"/>
      <c r="D686" s="1">
        <v>42219</v>
      </c>
      <c r="E686" s="10">
        <v>6926</v>
      </c>
      <c r="F686" s="1">
        <v>42219</v>
      </c>
      <c r="G686">
        <v>-9515</v>
      </c>
      <c r="H686" s="1">
        <f t="shared" si="56"/>
        <v>42219</v>
      </c>
      <c r="I686">
        <f>IF(AND(MyRowHidden(ROW())=FALSE,MyRowHidden(ROW()-1)=TRUE),0,(E686-E685)*unitsOfDHp+I685)</f>
        <v>-21210</v>
      </c>
      <c r="J686">
        <f>IF(AND(MyRowHidden(ROW())=FALSE,MyRowHidden(ROW()-1)=TRUE),0,(G686-G685)*unitsOfExo+J685)</f>
        <v>-723024</v>
      </c>
      <c r="K686" s="9">
        <f t="shared" si="57"/>
        <v>723024</v>
      </c>
      <c r="L686">
        <f t="shared" si="58"/>
        <v>-744234</v>
      </c>
      <c r="M686">
        <f>IF(AND(MyRowHidden(ROW())=FALSE,MyRowHidden(ROW()-1)=TRUE),0,IF(MONTH(H686)&lt;&gt;MONTH(H685),M685+1,M685))</f>
        <v>7</v>
      </c>
      <c r="N686">
        <f t="shared" si="59"/>
        <v>-21210</v>
      </c>
      <c r="O686">
        <f>IF(AND(MyRowHidden(ROW())=FALSE,MyRowHidden(ROW()-1)=TRUE),0,IF(M686&lt;totalMonths,(totalMonths-M686)/totalMonths *(I686-I685)+O685,0))</f>
        <v>-80715.833333333198</v>
      </c>
      <c r="P686">
        <f>IF(AND(MyRowHidden(ROW())=FALSE,MyRowHidden(ROW()-1)=TRUE),0,IF(M686&lt;totalMonths,(totalMonths-M686)/totalMonths *(J686-J685)+P685,0))</f>
        <v>-572280</v>
      </c>
      <c r="Q686">
        <f>IF(AND(MyRowHidden(ROW())=FALSE,MyRowHidden(ROW()-1)=TRUE),0,IF(M686&lt;totalMonths,(totalMonths-M686)/totalMonths *(K686-K685)+Q685,0))</f>
        <v>572280</v>
      </c>
      <c r="R686">
        <f t="shared" si="60"/>
        <v>-593490</v>
      </c>
      <c r="S686">
        <f t="shared" si="61"/>
        <v>-652995.83333333326</v>
      </c>
    </row>
    <row r="687" spans="1:19" x14ac:dyDescent="0.25">
      <c r="A687" s="1"/>
      <c r="C687" s="1"/>
      <c r="D687" s="1">
        <v>42220</v>
      </c>
      <c r="E687" s="10">
        <v>6776</v>
      </c>
      <c r="F687" s="1">
        <v>42220</v>
      </c>
      <c r="G687">
        <v>-9590</v>
      </c>
      <c r="H687" s="1">
        <f t="shared" si="56"/>
        <v>42220</v>
      </c>
      <c r="I687">
        <f>IF(AND(MyRowHidden(ROW())=FALSE,MyRowHidden(ROW()-1)=TRUE),0,(E687-E686)*unitsOfDHp+I686)</f>
        <v>-26460</v>
      </c>
      <c r="J687">
        <f>IF(AND(MyRowHidden(ROW())=FALSE,MyRowHidden(ROW()-1)=TRUE),0,(G687-G686)*unitsOfExo+J686)</f>
        <v>-744624</v>
      </c>
      <c r="K687" s="9">
        <f t="shared" si="57"/>
        <v>744624</v>
      </c>
      <c r="L687">
        <f t="shared" si="58"/>
        <v>-771084</v>
      </c>
      <c r="M687">
        <f>IF(AND(MyRowHidden(ROW())=FALSE,MyRowHidden(ROW()-1)=TRUE),0,IF(MONTH(H687)&lt;&gt;MONTH(H686),M686+1,M686))</f>
        <v>7</v>
      </c>
      <c r="N687">
        <f t="shared" si="59"/>
        <v>-26460</v>
      </c>
      <c r="O687">
        <f>IF(AND(MyRowHidden(ROW())=FALSE,MyRowHidden(ROW()-1)=TRUE),0,IF(M687&lt;totalMonths,(totalMonths-M687)/totalMonths *(I687-I686)+O686,0))</f>
        <v>-82903.333333333198</v>
      </c>
      <c r="P687">
        <f>IF(AND(MyRowHidden(ROW())=FALSE,MyRowHidden(ROW()-1)=TRUE),0,IF(M687&lt;totalMonths,(totalMonths-M687)/totalMonths *(J687-J686)+P686,0))</f>
        <v>-581280</v>
      </c>
      <c r="Q687">
        <f>IF(AND(MyRowHidden(ROW())=FALSE,MyRowHidden(ROW()-1)=TRUE),0,IF(M687&lt;totalMonths,(totalMonths-M687)/totalMonths *(K687-K686)+Q686,0))</f>
        <v>581280</v>
      </c>
      <c r="R687">
        <f t="shared" si="60"/>
        <v>-607740</v>
      </c>
      <c r="S687">
        <f t="shared" si="61"/>
        <v>-664183.33333333326</v>
      </c>
    </row>
    <row r="688" spans="1:19" x14ac:dyDescent="0.25">
      <c r="A688" s="1"/>
      <c r="C688" s="1"/>
      <c r="D688" s="1">
        <v>42221</v>
      </c>
      <c r="E688" s="10">
        <v>7114</v>
      </c>
      <c r="F688" s="1">
        <v>42221</v>
      </c>
      <c r="G688">
        <v>-9340</v>
      </c>
      <c r="H688" s="1">
        <f t="shared" si="56"/>
        <v>42221</v>
      </c>
      <c r="I688">
        <f>IF(AND(MyRowHidden(ROW())=FALSE,MyRowHidden(ROW()-1)=TRUE),0,(E688-E687)*unitsOfDHp+I687)</f>
        <v>-14630</v>
      </c>
      <c r="J688">
        <f>IF(AND(MyRowHidden(ROW())=FALSE,MyRowHidden(ROW()-1)=TRUE),0,(G688-G687)*unitsOfExo+J687)</f>
        <v>-672624</v>
      </c>
      <c r="K688" s="9">
        <f t="shared" si="57"/>
        <v>672624</v>
      </c>
      <c r="L688">
        <f t="shared" si="58"/>
        <v>-687254</v>
      </c>
      <c r="M688">
        <f>IF(AND(MyRowHidden(ROW())=FALSE,MyRowHidden(ROW()-1)=TRUE),0,IF(MONTH(H688)&lt;&gt;MONTH(H687),M687+1,M687))</f>
        <v>7</v>
      </c>
      <c r="N688">
        <f t="shared" si="59"/>
        <v>-14630</v>
      </c>
      <c r="O688">
        <f>IF(AND(MyRowHidden(ROW())=FALSE,MyRowHidden(ROW()-1)=TRUE),0,IF(M688&lt;totalMonths,(totalMonths-M688)/totalMonths *(I688-I687)+O687,0))</f>
        <v>-77974.166666666526</v>
      </c>
      <c r="P688">
        <f>IF(AND(MyRowHidden(ROW())=FALSE,MyRowHidden(ROW()-1)=TRUE),0,IF(M688&lt;totalMonths,(totalMonths-M688)/totalMonths *(J688-J687)+P687,0))</f>
        <v>-551280</v>
      </c>
      <c r="Q688">
        <f>IF(AND(MyRowHidden(ROW())=FALSE,MyRowHidden(ROW()-1)=TRUE),0,IF(M688&lt;totalMonths,(totalMonths-M688)/totalMonths *(K688-K687)+Q687,0))</f>
        <v>551280</v>
      </c>
      <c r="R688">
        <f t="shared" si="60"/>
        <v>-565910</v>
      </c>
      <c r="S688">
        <f t="shared" si="61"/>
        <v>-629254.16666666651</v>
      </c>
    </row>
    <row r="689" spans="1:19" x14ac:dyDescent="0.25">
      <c r="A689" s="1"/>
      <c r="C689" s="1"/>
      <c r="D689" s="1">
        <v>42222</v>
      </c>
      <c r="E689" s="10">
        <v>7176</v>
      </c>
      <c r="F689" s="1">
        <v>42222</v>
      </c>
      <c r="G689">
        <v>-9377.5</v>
      </c>
      <c r="H689" s="1">
        <f t="shared" si="56"/>
        <v>42222</v>
      </c>
      <c r="I689">
        <f>IF(AND(MyRowHidden(ROW())=FALSE,MyRowHidden(ROW()-1)=TRUE),0,(E689-E688)*unitsOfDHp+I688)</f>
        <v>-12460</v>
      </c>
      <c r="J689">
        <f>IF(AND(MyRowHidden(ROW())=FALSE,MyRowHidden(ROW()-1)=TRUE),0,(G689-G688)*unitsOfExo+J688)</f>
        <v>-683424</v>
      </c>
      <c r="K689" s="9">
        <f t="shared" si="57"/>
        <v>683424</v>
      </c>
      <c r="L689">
        <f t="shared" si="58"/>
        <v>-695884</v>
      </c>
      <c r="M689">
        <f>IF(AND(MyRowHidden(ROW())=FALSE,MyRowHidden(ROW()-1)=TRUE),0,IF(MONTH(H689)&lt;&gt;MONTH(H688),M688+1,M688))</f>
        <v>7</v>
      </c>
      <c r="N689">
        <f t="shared" si="59"/>
        <v>-12460</v>
      </c>
      <c r="O689">
        <f>IF(AND(MyRowHidden(ROW())=FALSE,MyRowHidden(ROW()-1)=TRUE),0,IF(M689&lt;totalMonths,(totalMonths-M689)/totalMonths *(I689-I688)+O688,0))</f>
        <v>-77069.999999999854</v>
      </c>
      <c r="P689">
        <f>IF(AND(MyRowHidden(ROW())=FALSE,MyRowHidden(ROW()-1)=TRUE),0,IF(M689&lt;totalMonths,(totalMonths-M689)/totalMonths *(J689-J688)+P688,0))</f>
        <v>-555780</v>
      </c>
      <c r="Q689">
        <f>IF(AND(MyRowHidden(ROW())=FALSE,MyRowHidden(ROW()-1)=TRUE),0,IF(M689&lt;totalMonths,(totalMonths-M689)/totalMonths *(K689-K688)+Q688,0))</f>
        <v>555780</v>
      </c>
      <c r="R689">
        <f t="shared" si="60"/>
        <v>-568240</v>
      </c>
      <c r="S689">
        <f t="shared" si="61"/>
        <v>-632849.99999999988</v>
      </c>
    </row>
    <row r="690" spans="1:19" x14ac:dyDescent="0.25">
      <c r="A690" s="1"/>
      <c r="C690" s="1"/>
      <c r="D690" s="1">
        <v>42223</v>
      </c>
      <c r="E690" s="10">
        <v>7301</v>
      </c>
      <c r="F690" s="1">
        <v>42223</v>
      </c>
      <c r="G690">
        <v>-9302.5</v>
      </c>
      <c r="H690" s="1">
        <f t="shared" si="56"/>
        <v>42223</v>
      </c>
      <c r="I690">
        <f>IF(AND(MyRowHidden(ROW())=FALSE,MyRowHidden(ROW()-1)=TRUE),0,(E690-E689)*unitsOfDHp+I689)</f>
        <v>-8085</v>
      </c>
      <c r="J690">
        <f>IF(AND(MyRowHidden(ROW())=FALSE,MyRowHidden(ROW()-1)=TRUE),0,(G690-G689)*unitsOfExo+J689)</f>
        <v>-661824</v>
      </c>
      <c r="K690" s="9">
        <f t="shared" si="57"/>
        <v>661824</v>
      </c>
      <c r="L690">
        <f t="shared" si="58"/>
        <v>-669909</v>
      </c>
      <c r="M690">
        <f>IF(AND(MyRowHidden(ROW())=FALSE,MyRowHidden(ROW()-1)=TRUE),0,IF(MONTH(H690)&lt;&gt;MONTH(H689),M689+1,M689))</f>
        <v>7</v>
      </c>
      <c r="N690">
        <f t="shared" si="59"/>
        <v>-8085</v>
      </c>
      <c r="O690">
        <f>IF(AND(MyRowHidden(ROW())=FALSE,MyRowHidden(ROW()-1)=TRUE),0,IF(M690&lt;totalMonths,(totalMonths-M690)/totalMonths *(I690-I689)+O689,0))</f>
        <v>-75247.083333333183</v>
      </c>
      <c r="P690">
        <f>IF(AND(MyRowHidden(ROW())=FALSE,MyRowHidden(ROW()-1)=TRUE),0,IF(M690&lt;totalMonths,(totalMonths-M690)/totalMonths *(J690-J689)+P689,0))</f>
        <v>-546780</v>
      </c>
      <c r="Q690">
        <f>IF(AND(MyRowHidden(ROW())=FALSE,MyRowHidden(ROW()-1)=TRUE),0,IF(M690&lt;totalMonths,(totalMonths-M690)/totalMonths *(K690-K689)+Q689,0))</f>
        <v>546780</v>
      </c>
      <c r="R690">
        <f t="shared" si="60"/>
        <v>-554865</v>
      </c>
      <c r="S690">
        <f t="shared" si="61"/>
        <v>-622027.08333333314</v>
      </c>
    </row>
    <row r="691" spans="1:19" x14ac:dyDescent="0.25">
      <c r="A691" s="1"/>
      <c r="C691" s="1"/>
      <c r="D691" s="1">
        <v>42226</v>
      </c>
      <c r="E691" s="10">
        <v>7714</v>
      </c>
      <c r="F691" s="1">
        <v>42226</v>
      </c>
      <c r="G691">
        <v>-8615</v>
      </c>
      <c r="H691" s="1">
        <f t="shared" si="56"/>
        <v>42226</v>
      </c>
      <c r="I691">
        <f>IF(AND(MyRowHidden(ROW())=FALSE,MyRowHidden(ROW()-1)=TRUE),0,(E691-E690)*unitsOfDHp+I690)</f>
        <v>6370</v>
      </c>
      <c r="J691">
        <f>IF(AND(MyRowHidden(ROW())=FALSE,MyRowHidden(ROW()-1)=TRUE),0,(G691-G690)*unitsOfExo+J690)</f>
        <v>-463824</v>
      </c>
      <c r="K691" s="9">
        <f t="shared" si="57"/>
        <v>463824</v>
      </c>
      <c r="L691">
        <f t="shared" si="58"/>
        <v>-457454</v>
      </c>
      <c r="M691">
        <f>IF(AND(MyRowHidden(ROW())=FALSE,MyRowHidden(ROW()-1)=TRUE),0,IF(MONTH(H691)&lt;&gt;MONTH(H690),M690+1,M690))</f>
        <v>7</v>
      </c>
      <c r="N691">
        <f t="shared" si="59"/>
        <v>6370</v>
      </c>
      <c r="O691">
        <f>IF(AND(MyRowHidden(ROW())=FALSE,MyRowHidden(ROW()-1)=TRUE),0,IF(M691&lt;totalMonths,(totalMonths-M691)/totalMonths *(I691-I690)+O690,0))</f>
        <v>-69224.166666666511</v>
      </c>
      <c r="P691">
        <f>IF(AND(MyRowHidden(ROW())=FALSE,MyRowHidden(ROW()-1)=TRUE),0,IF(M691&lt;totalMonths,(totalMonths-M691)/totalMonths *(J691-J690)+P690,0))</f>
        <v>-464280</v>
      </c>
      <c r="Q691">
        <f>IF(AND(MyRowHidden(ROW())=FALSE,MyRowHidden(ROW()-1)=TRUE),0,IF(M691&lt;totalMonths,(totalMonths-M691)/totalMonths *(K691-K690)+Q690,0))</f>
        <v>464280</v>
      </c>
      <c r="R691">
        <f t="shared" si="60"/>
        <v>-457910</v>
      </c>
      <c r="S691">
        <f t="shared" si="61"/>
        <v>-533504.16666666651</v>
      </c>
    </row>
    <row r="692" spans="1:19" x14ac:dyDescent="0.25">
      <c r="A692" s="1"/>
      <c r="C692" s="1"/>
      <c r="D692" s="1">
        <v>42227</v>
      </c>
      <c r="E692" s="10">
        <v>7576</v>
      </c>
      <c r="F692" s="1">
        <v>42227</v>
      </c>
      <c r="G692">
        <v>-8927.5</v>
      </c>
      <c r="H692" s="1">
        <f t="shared" si="56"/>
        <v>42227</v>
      </c>
      <c r="I692">
        <f>IF(AND(MyRowHidden(ROW())=FALSE,MyRowHidden(ROW()-1)=TRUE),0,(E692-E691)*unitsOfDHp+I691)</f>
        <v>1540</v>
      </c>
      <c r="J692">
        <f>IF(AND(MyRowHidden(ROW())=FALSE,MyRowHidden(ROW()-1)=TRUE),0,(G692-G691)*unitsOfExo+J691)</f>
        <v>-553824</v>
      </c>
      <c r="K692" s="9">
        <f t="shared" si="57"/>
        <v>553824</v>
      </c>
      <c r="L692">
        <f t="shared" si="58"/>
        <v>-552284</v>
      </c>
      <c r="M692">
        <f>IF(AND(MyRowHidden(ROW())=FALSE,MyRowHidden(ROW()-1)=TRUE),0,IF(MONTH(H692)&lt;&gt;MONTH(H691),M691+1,M691))</f>
        <v>7</v>
      </c>
      <c r="N692">
        <f t="shared" si="59"/>
        <v>1540</v>
      </c>
      <c r="O692">
        <f>IF(AND(MyRowHidden(ROW())=FALSE,MyRowHidden(ROW()-1)=TRUE),0,IF(M692&lt;totalMonths,(totalMonths-M692)/totalMonths *(I692-I691)+O691,0))</f>
        <v>-71236.666666666511</v>
      </c>
      <c r="P692">
        <f>IF(AND(MyRowHidden(ROW())=FALSE,MyRowHidden(ROW()-1)=TRUE),0,IF(M692&lt;totalMonths,(totalMonths-M692)/totalMonths *(J692-J691)+P691,0))</f>
        <v>-501780</v>
      </c>
      <c r="Q692">
        <f>IF(AND(MyRowHidden(ROW())=FALSE,MyRowHidden(ROW()-1)=TRUE),0,IF(M692&lt;totalMonths,(totalMonths-M692)/totalMonths *(K692-K691)+Q691,0))</f>
        <v>501780</v>
      </c>
      <c r="R692">
        <f t="shared" si="60"/>
        <v>-500240</v>
      </c>
      <c r="S692">
        <f t="shared" si="61"/>
        <v>-573016.66666666651</v>
      </c>
    </row>
    <row r="693" spans="1:19" x14ac:dyDescent="0.25">
      <c r="A693" s="1"/>
      <c r="C693" s="1"/>
      <c r="D693" s="1">
        <v>42228</v>
      </c>
      <c r="E693" s="10">
        <v>5602</v>
      </c>
      <c r="F693" s="1">
        <v>42228</v>
      </c>
      <c r="G693">
        <v>-10077.5</v>
      </c>
      <c r="H693" s="1">
        <f t="shared" si="56"/>
        <v>42228</v>
      </c>
      <c r="I693">
        <f>IF(AND(MyRowHidden(ROW())=FALSE,MyRowHidden(ROW()-1)=TRUE),0,(E693-E692)*unitsOfDHp+I692)</f>
        <v>-67550</v>
      </c>
      <c r="J693">
        <f>IF(AND(MyRowHidden(ROW())=FALSE,MyRowHidden(ROW()-1)=TRUE),0,(G693-G692)*unitsOfExo+J692)</f>
        <v>-885024</v>
      </c>
      <c r="K693" s="9">
        <f t="shared" si="57"/>
        <v>885024</v>
      </c>
      <c r="L693">
        <f t="shared" si="58"/>
        <v>-952574</v>
      </c>
      <c r="M693">
        <f>IF(AND(MyRowHidden(ROW())=FALSE,MyRowHidden(ROW()-1)=TRUE),0,IF(MONTH(H693)&lt;&gt;MONTH(H692),M692+1,M692))</f>
        <v>7</v>
      </c>
      <c r="N693">
        <f t="shared" si="59"/>
        <v>-67550</v>
      </c>
      <c r="O693">
        <f>IF(AND(MyRowHidden(ROW())=FALSE,MyRowHidden(ROW()-1)=TRUE),0,IF(M693&lt;totalMonths,(totalMonths-M693)/totalMonths *(I693-I692)+O692,0))</f>
        <v>-100024.16666666651</v>
      </c>
      <c r="P693">
        <f>IF(AND(MyRowHidden(ROW())=FALSE,MyRowHidden(ROW()-1)=TRUE),0,IF(M693&lt;totalMonths,(totalMonths-M693)/totalMonths *(J693-J692)+P692,0))</f>
        <v>-639780</v>
      </c>
      <c r="Q693">
        <f>IF(AND(MyRowHidden(ROW())=FALSE,MyRowHidden(ROW()-1)=TRUE),0,IF(M693&lt;totalMonths,(totalMonths-M693)/totalMonths *(K693-K692)+Q692,0))</f>
        <v>639780</v>
      </c>
      <c r="R693">
        <f t="shared" si="60"/>
        <v>-707330</v>
      </c>
      <c r="S693">
        <f t="shared" si="61"/>
        <v>-739804.16666666651</v>
      </c>
    </row>
    <row r="694" spans="1:19" x14ac:dyDescent="0.25">
      <c r="A694" s="1"/>
      <c r="C694" s="1"/>
      <c r="D694" s="1">
        <v>42229</v>
      </c>
      <c r="E694" s="10">
        <v>6194</v>
      </c>
      <c r="F694" s="1">
        <v>42229</v>
      </c>
      <c r="G694">
        <v>-9865</v>
      </c>
      <c r="H694" s="1">
        <f t="shared" si="56"/>
        <v>42229</v>
      </c>
      <c r="I694">
        <f>IF(AND(MyRowHidden(ROW())=FALSE,MyRowHidden(ROW()-1)=TRUE),0,(E694-E693)*unitsOfDHp+I693)</f>
        <v>-46830</v>
      </c>
      <c r="J694">
        <f>IF(AND(MyRowHidden(ROW())=FALSE,MyRowHidden(ROW()-1)=TRUE),0,(G694-G693)*unitsOfExo+J693)</f>
        <v>-823824</v>
      </c>
      <c r="K694" s="9">
        <f t="shared" si="57"/>
        <v>823824</v>
      </c>
      <c r="L694">
        <f t="shared" si="58"/>
        <v>-870654</v>
      </c>
      <c r="M694">
        <f>IF(AND(MyRowHidden(ROW())=FALSE,MyRowHidden(ROW()-1)=TRUE),0,IF(MONTH(H694)&lt;&gt;MONTH(H693),M693+1,M693))</f>
        <v>7</v>
      </c>
      <c r="N694">
        <f t="shared" si="59"/>
        <v>-46830</v>
      </c>
      <c r="O694">
        <f>IF(AND(MyRowHidden(ROW())=FALSE,MyRowHidden(ROW()-1)=TRUE),0,IF(M694&lt;totalMonths,(totalMonths-M694)/totalMonths *(I694-I693)+O693,0))</f>
        <v>-91390.833333333183</v>
      </c>
      <c r="P694">
        <f>IF(AND(MyRowHidden(ROW())=FALSE,MyRowHidden(ROW()-1)=TRUE),0,IF(M694&lt;totalMonths,(totalMonths-M694)/totalMonths *(J694-J693)+P693,0))</f>
        <v>-614280</v>
      </c>
      <c r="Q694">
        <f>IF(AND(MyRowHidden(ROW())=FALSE,MyRowHidden(ROW()-1)=TRUE),0,IF(M694&lt;totalMonths,(totalMonths-M694)/totalMonths *(K694-K693)+Q693,0))</f>
        <v>614280</v>
      </c>
      <c r="R694">
        <f t="shared" si="60"/>
        <v>-661110</v>
      </c>
      <c r="S694">
        <f t="shared" si="61"/>
        <v>-705670.83333333314</v>
      </c>
    </row>
    <row r="695" spans="1:19" x14ac:dyDescent="0.25">
      <c r="A695" s="1"/>
      <c r="C695" s="1"/>
      <c r="D695" s="1">
        <v>42230</v>
      </c>
      <c r="E695" s="10">
        <v>6232</v>
      </c>
      <c r="F695" s="1">
        <v>42230</v>
      </c>
      <c r="G695">
        <v>-9802.5</v>
      </c>
      <c r="H695" s="1">
        <f t="shared" si="56"/>
        <v>42230</v>
      </c>
      <c r="I695">
        <f>IF(AND(MyRowHidden(ROW())=FALSE,MyRowHidden(ROW()-1)=TRUE),0,(E695-E694)*unitsOfDHp+I694)</f>
        <v>-45500</v>
      </c>
      <c r="J695">
        <f>IF(AND(MyRowHidden(ROW())=FALSE,MyRowHidden(ROW()-1)=TRUE),0,(G695-G694)*unitsOfExo+J694)</f>
        <v>-805824</v>
      </c>
      <c r="K695" s="9">
        <f t="shared" si="57"/>
        <v>805824</v>
      </c>
      <c r="L695">
        <f t="shared" si="58"/>
        <v>-851324</v>
      </c>
      <c r="M695">
        <f>IF(AND(MyRowHidden(ROW())=FALSE,MyRowHidden(ROW()-1)=TRUE),0,IF(MONTH(H695)&lt;&gt;MONTH(H694),M694+1,M694))</f>
        <v>7</v>
      </c>
      <c r="N695">
        <f t="shared" si="59"/>
        <v>-45500</v>
      </c>
      <c r="O695">
        <f>IF(AND(MyRowHidden(ROW())=FALSE,MyRowHidden(ROW()-1)=TRUE),0,IF(M695&lt;totalMonths,(totalMonths-M695)/totalMonths *(I695-I694)+O694,0))</f>
        <v>-90836.666666666511</v>
      </c>
      <c r="P695">
        <f>IF(AND(MyRowHidden(ROW())=FALSE,MyRowHidden(ROW()-1)=TRUE),0,IF(M695&lt;totalMonths,(totalMonths-M695)/totalMonths *(J695-J694)+P694,0))</f>
        <v>-606780</v>
      </c>
      <c r="Q695">
        <f>IF(AND(MyRowHidden(ROW())=FALSE,MyRowHidden(ROW()-1)=TRUE),0,IF(M695&lt;totalMonths,(totalMonths-M695)/totalMonths *(K695-K694)+Q694,0))</f>
        <v>606780</v>
      </c>
      <c r="R695">
        <f t="shared" si="60"/>
        <v>-652280</v>
      </c>
      <c r="S695">
        <f t="shared" si="61"/>
        <v>-697616.66666666651</v>
      </c>
    </row>
    <row r="696" spans="1:19" x14ac:dyDescent="0.25">
      <c r="A696" s="1"/>
      <c r="C696" s="1"/>
      <c r="D696" s="1">
        <v>42233</v>
      </c>
      <c r="E696" s="10">
        <v>6344</v>
      </c>
      <c r="F696" s="1">
        <v>42233</v>
      </c>
      <c r="G696">
        <v>-9752.5</v>
      </c>
      <c r="H696" s="1">
        <f t="shared" si="56"/>
        <v>42233</v>
      </c>
      <c r="I696">
        <f>IF(AND(MyRowHidden(ROW())=FALSE,MyRowHidden(ROW()-1)=TRUE),0,(E696-E695)*unitsOfDHp+I695)</f>
        <v>-41580</v>
      </c>
      <c r="J696">
        <f>IF(AND(MyRowHidden(ROW())=FALSE,MyRowHidden(ROW()-1)=TRUE),0,(G696-G695)*unitsOfExo+J695)</f>
        <v>-791424</v>
      </c>
      <c r="K696" s="9">
        <f t="shared" si="57"/>
        <v>791424</v>
      </c>
      <c r="L696">
        <f t="shared" si="58"/>
        <v>-833004</v>
      </c>
      <c r="M696">
        <f>IF(AND(MyRowHidden(ROW())=FALSE,MyRowHidden(ROW()-1)=TRUE),0,IF(MONTH(H696)&lt;&gt;MONTH(H695),M695+1,M695))</f>
        <v>7</v>
      </c>
      <c r="N696">
        <f t="shared" si="59"/>
        <v>-41580</v>
      </c>
      <c r="O696">
        <f>IF(AND(MyRowHidden(ROW())=FALSE,MyRowHidden(ROW()-1)=TRUE),0,IF(M696&lt;totalMonths,(totalMonths-M696)/totalMonths *(I696-I695)+O695,0))</f>
        <v>-89203.333333333183</v>
      </c>
      <c r="P696">
        <f>IF(AND(MyRowHidden(ROW())=FALSE,MyRowHidden(ROW()-1)=TRUE),0,IF(M696&lt;totalMonths,(totalMonths-M696)/totalMonths *(J696-J695)+P695,0))</f>
        <v>-600780</v>
      </c>
      <c r="Q696">
        <f>IF(AND(MyRowHidden(ROW())=FALSE,MyRowHidden(ROW()-1)=TRUE),0,IF(M696&lt;totalMonths,(totalMonths-M696)/totalMonths *(K696-K695)+Q695,0))</f>
        <v>600780</v>
      </c>
      <c r="R696">
        <f t="shared" si="60"/>
        <v>-642360</v>
      </c>
      <c r="S696">
        <f t="shared" si="61"/>
        <v>-689983.33333333314</v>
      </c>
    </row>
    <row r="697" spans="1:19" x14ac:dyDescent="0.25">
      <c r="A697" s="1"/>
      <c r="C697" s="1"/>
      <c r="D697" s="1">
        <v>42234</v>
      </c>
      <c r="E697" s="10">
        <v>6244</v>
      </c>
      <c r="F697" s="1">
        <v>42234</v>
      </c>
      <c r="G697">
        <v>-9640</v>
      </c>
      <c r="H697" s="1">
        <f t="shared" si="56"/>
        <v>42234</v>
      </c>
      <c r="I697">
        <f>IF(AND(MyRowHidden(ROW())=FALSE,MyRowHidden(ROW()-1)=TRUE),0,(E697-E696)*unitsOfDHp+I696)</f>
        <v>-45080</v>
      </c>
      <c r="J697">
        <f>IF(AND(MyRowHidden(ROW())=FALSE,MyRowHidden(ROW()-1)=TRUE),0,(G697-G696)*unitsOfExo+J696)</f>
        <v>-759024</v>
      </c>
      <c r="K697" s="9">
        <f t="shared" si="57"/>
        <v>759024</v>
      </c>
      <c r="L697">
        <f t="shared" si="58"/>
        <v>-804104</v>
      </c>
      <c r="M697">
        <f>IF(AND(MyRowHidden(ROW())=FALSE,MyRowHidden(ROW()-1)=TRUE),0,IF(MONTH(H697)&lt;&gt;MONTH(H696),M696+1,M696))</f>
        <v>7</v>
      </c>
      <c r="N697">
        <f t="shared" si="59"/>
        <v>-45080</v>
      </c>
      <c r="O697">
        <f>IF(AND(MyRowHidden(ROW())=FALSE,MyRowHidden(ROW()-1)=TRUE),0,IF(M697&lt;totalMonths,(totalMonths-M697)/totalMonths *(I697-I696)+O696,0))</f>
        <v>-90661.666666666511</v>
      </c>
      <c r="P697">
        <f>IF(AND(MyRowHidden(ROW())=FALSE,MyRowHidden(ROW()-1)=TRUE),0,IF(M697&lt;totalMonths,(totalMonths-M697)/totalMonths *(J697-J696)+P696,0))</f>
        <v>-587280</v>
      </c>
      <c r="Q697">
        <f>IF(AND(MyRowHidden(ROW())=FALSE,MyRowHidden(ROW()-1)=TRUE),0,IF(M697&lt;totalMonths,(totalMonths-M697)/totalMonths *(K697-K696)+Q696,0))</f>
        <v>587280</v>
      </c>
      <c r="R697">
        <f t="shared" si="60"/>
        <v>-632360</v>
      </c>
      <c r="S697">
        <f t="shared" si="61"/>
        <v>-677941.66666666651</v>
      </c>
    </row>
    <row r="698" spans="1:19" x14ac:dyDescent="0.25">
      <c r="A698" s="1"/>
      <c r="C698" s="1"/>
      <c r="D698" s="1">
        <v>42235</v>
      </c>
      <c r="E698" s="10">
        <v>6246</v>
      </c>
      <c r="F698" s="1">
        <v>42235</v>
      </c>
      <c r="G698">
        <v>-9577.5</v>
      </c>
      <c r="H698" s="1">
        <f t="shared" si="56"/>
        <v>42235</v>
      </c>
      <c r="I698">
        <f>IF(AND(MyRowHidden(ROW())=FALSE,MyRowHidden(ROW()-1)=TRUE),0,(E698-E697)*unitsOfDHp+I697)</f>
        <v>-45010</v>
      </c>
      <c r="J698">
        <f>IF(AND(MyRowHidden(ROW())=FALSE,MyRowHidden(ROW()-1)=TRUE),0,(G698-G697)*unitsOfExo+J697)</f>
        <v>-741024</v>
      </c>
      <c r="K698" s="9">
        <f t="shared" si="57"/>
        <v>741024</v>
      </c>
      <c r="L698">
        <f t="shared" si="58"/>
        <v>-786034</v>
      </c>
      <c r="M698">
        <f>IF(AND(MyRowHidden(ROW())=FALSE,MyRowHidden(ROW()-1)=TRUE),0,IF(MONTH(H698)&lt;&gt;MONTH(H697),M697+1,M697))</f>
        <v>7</v>
      </c>
      <c r="N698">
        <f t="shared" si="59"/>
        <v>-45010</v>
      </c>
      <c r="O698">
        <f>IF(AND(MyRowHidden(ROW())=FALSE,MyRowHidden(ROW()-1)=TRUE),0,IF(M698&lt;totalMonths,(totalMonths-M698)/totalMonths *(I698-I697)+O697,0))</f>
        <v>-90632.49999999984</v>
      </c>
      <c r="P698">
        <f>IF(AND(MyRowHidden(ROW())=FALSE,MyRowHidden(ROW()-1)=TRUE),0,IF(M698&lt;totalMonths,(totalMonths-M698)/totalMonths *(J698-J697)+P697,0))</f>
        <v>-579780</v>
      </c>
      <c r="Q698">
        <f>IF(AND(MyRowHidden(ROW())=FALSE,MyRowHidden(ROW()-1)=TRUE),0,IF(M698&lt;totalMonths,(totalMonths-M698)/totalMonths *(K698-K697)+Q697,0))</f>
        <v>579780</v>
      </c>
      <c r="R698">
        <f t="shared" si="60"/>
        <v>-624790</v>
      </c>
      <c r="S698">
        <f t="shared" si="61"/>
        <v>-670412.49999999988</v>
      </c>
    </row>
    <row r="699" spans="1:19" x14ac:dyDescent="0.25">
      <c r="A699" s="1"/>
      <c r="C699" s="1"/>
      <c r="D699" s="1">
        <v>42236</v>
      </c>
      <c r="E699" s="10">
        <v>6053</v>
      </c>
      <c r="F699" s="1">
        <v>42236</v>
      </c>
      <c r="G699">
        <v>-9415</v>
      </c>
      <c r="H699" s="1">
        <f t="shared" si="56"/>
        <v>42236</v>
      </c>
      <c r="I699">
        <f>IF(AND(MyRowHidden(ROW())=FALSE,MyRowHidden(ROW()-1)=TRUE),0,(E699-E698)*unitsOfDHp+I698)</f>
        <v>-51765</v>
      </c>
      <c r="J699">
        <f>IF(AND(MyRowHidden(ROW())=FALSE,MyRowHidden(ROW()-1)=TRUE),0,(G699-G698)*unitsOfExo+J698)</f>
        <v>-694224</v>
      </c>
      <c r="K699" s="9">
        <f t="shared" si="57"/>
        <v>694224</v>
      </c>
      <c r="L699">
        <f t="shared" si="58"/>
        <v>-745989</v>
      </c>
      <c r="M699">
        <f>IF(AND(MyRowHidden(ROW())=FALSE,MyRowHidden(ROW()-1)=TRUE),0,IF(MONTH(H699)&lt;&gt;MONTH(H698),M698+1,M698))</f>
        <v>7</v>
      </c>
      <c r="N699">
        <f t="shared" si="59"/>
        <v>-51765</v>
      </c>
      <c r="O699">
        <f>IF(AND(MyRowHidden(ROW())=FALSE,MyRowHidden(ROW()-1)=TRUE),0,IF(M699&lt;totalMonths,(totalMonths-M699)/totalMonths *(I699-I698)+O698,0))</f>
        <v>-93447.083333333168</v>
      </c>
      <c r="P699">
        <f>IF(AND(MyRowHidden(ROW())=FALSE,MyRowHidden(ROW()-1)=TRUE),0,IF(M699&lt;totalMonths,(totalMonths-M699)/totalMonths *(J699-J698)+P698,0))</f>
        <v>-560280</v>
      </c>
      <c r="Q699">
        <f>IF(AND(MyRowHidden(ROW())=FALSE,MyRowHidden(ROW()-1)=TRUE),0,IF(M699&lt;totalMonths,(totalMonths-M699)/totalMonths *(K699-K698)+Q698,0))</f>
        <v>560280</v>
      </c>
      <c r="R699">
        <f t="shared" si="60"/>
        <v>-612045</v>
      </c>
      <c r="S699">
        <f t="shared" si="61"/>
        <v>-653727.08333333314</v>
      </c>
    </row>
    <row r="700" spans="1:19" x14ac:dyDescent="0.25">
      <c r="A700" s="1"/>
      <c r="C700" s="1"/>
      <c r="D700" s="1">
        <v>42237</v>
      </c>
      <c r="E700" s="10">
        <v>6040</v>
      </c>
      <c r="F700" s="1">
        <v>42237</v>
      </c>
      <c r="G700">
        <v>-9690</v>
      </c>
      <c r="H700" s="1">
        <f t="shared" si="56"/>
        <v>42237</v>
      </c>
      <c r="I700">
        <f>IF(AND(MyRowHidden(ROW())=FALSE,MyRowHidden(ROW()-1)=TRUE),0,(E700-E699)*unitsOfDHp+I699)</f>
        <v>-52220</v>
      </c>
      <c r="J700">
        <f>IF(AND(MyRowHidden(ROW())=FALSE,MyRowHidden(ROW()-1)=TRUE),0,(G700-G699)*unitsOfExo+J699)</f>
        <v>-773424</v>
      </c>
      <c r="K700" s="9">
        <f t="shared" si="57"/>
        <v>773424</v>
      </c>
      <c r="L700">
        <f t="shared" si="58"/>
        <v>-825644</v>
      </c>
      <c r="M700">
        <f>IF(AND(MyRowHidden(ROW())=FALSE,MyRowHidden(ROW()-1)=TRUE),0,IF(MONTH(H700)&lt;&gt;MONTH(H699),M699+1,M699))</f>
        <v>7</v>
      </c>
      <c r="N700">
        <f t="shared" si="59"/>
        <v>-52220</v>
      </c>
      <c r="O700">
        <f>IF(AND(MyRowHidden(ROW())=FALSE,MyRowHidden(ROW()-1)=TRUE),0,IF(M700&lt;totalMonths,(totalMonths-M700)/totalMonths *(I700-I699)+O699,0))</f>
        <v>-93636.666666666497</v>
      </c>
      <c r="P700">
        <f>IF(AND(MyRowHidden(ROW())=FALSE,MyRowHidden(ROW()-1)=TRUE),0,IF(M700&lt;totalMonths,(totalMonths-M700)/totalMonths *(J700-J699)+P699,0))</f>
        <v>-593280</v>
      </c>
      <c r="Q700">
        <f>IF(AND(MyRowHidden(ROW())=FALSE,MyRowHidden(ROW()-1)=TRUE),0,IF(M700&lt;totalMonths,(totalMonths-M700)/totalMonths *(K700-K699)+Q699,0))</f>
        <v>593280</v>
      </c>
      <c r="R700">
        <f t="shared" si="60"/>
        <v>-645500</v>
      </c>
      <c r="S700">
        <f t="shared" si="61"/>
        <v>-686916.66666666651</v>
      </c>
    </row>
    <row r="701" spans="1:19" x14ac:dyDescent="0.25">
      <c r="A701" s="1"/>
      <c r="C701" s="1"/>
      <c r="D701" s="1">
        <v>42240</v>
      </c>
      <c r="E701" s="10">
        <v>6102</v>
      </c>
      <c r="F701" s="1">
        <v>42240</v>
      </c>
      <c r="G701">
        <v>-9527.5</v>
      </c>
      <c r="H701" s="1">
        <f t="shared" si="56"/>
        <v>42240</v>
      </c>
      <c r="I701">
        <f>IF(AND(MyRowHidden(ROW())=FALSE,MyRowHidden(ROW()-1)=TRUE),0,(E701-E700)*unitsOfDHp+I700)</f>
        <v>-50050</v>
      </c>
      <c r="J701">
        <f>IF(AND(MyRowHidden(ROW())=FALSE,MyRowHidden(ROW()-1)=TRUE),0,(G701-G700)*unitsOfExo+J700)</f>
        <v>-726624</v>
      </c>
      <c r="K701" s="9">
        <f t="shared" si="57"/>
        <v>726624</v>
      </c>
      <c r="L701">
        <f t="shared" si="58"/>
        <v>-776674</v>
      </c>
      <c r="M701">
        <f>IF(AND(MyRowHidden(ROW())=FALSE,MyRowHidden(ROW()-1)=TRUE),0,IF(MONTH(H701)&lt;&gt;MONTH(H700),M700+1,M700))</f>
        <v>7</v>
      </c>
      <c r="N701">
        <f t="shared" si="59"/>
        <v>-50050</v>
      </c>
      <c r="O701">
        <f>IF(AND(MyRowHidden(ROW())=FALSE,MyRowHidden(ROW()-1)=TRUE),0,IF(M701&lt;totalMonths,(totalMonths-M701)/totalMonths *(I701-I700)+O700,0))</f>
        <v>-92732.499999999825</v>
      </c>
      <c r="P701">
        <f>IF(AND(MyRowHidden(ROW())=FALSE,MyRowHidden(ROW()-1)=TRUE),0,IF(M701&lt;totalMonths,(totalMonths-M701)/totalMonths *(J701-J700)+P700,0))</f>
        <v>-573780</v>
      </c>
      <c r="Q701">
        <f>IF(AND(MyRowHidden(ROW())=FALSE,MyRowHidden(ROW()-1)=TRUE),0,IF(M701&lt;totalMonths,(totalMonths-M701)/totalMonths *(K701-K700)+Q700,0))</f>
        <v>573780</v>
      </c>
      <c r="R701">
        <f t="shared" si="60"/>
        <v>-623830</v>
      </c>
      <c r="S701">
        <f t="shared" si="61"/>
        <v>-666512.49999999977</v>
      </c>
    </row>
    <row r="702" spans="1:19" x14ac:dyDescent="0.25">
      <c r="A702" s="1"/>
      <c r="C702" s="1"/>
      <c r="D702" s="1">
        <v>42241</v>
      </c>
      <c r="E702" s="10">
        <v>5966</v>
      </c>
      <c r="F702" s="1">
        <v>42241</v>
      </c>
      <c r="G702">
        <v>-9715</v>
      </c>
      <c r="H702" s="1">
        <f t="shared" si="56"/>
        <v>42241</v>
      </c>
      <c r="I702">
        <f>IF(AND(MyRowHidden(ROW())=FALSE,MyRowHidden(ROW()-1)=TRUE),0,(E702-E701)*unitsOfDHp+I701)</f>
        <v>-54810</v>
      </c>
      <c r="J702">
        <f>IF(AND(MyRowHidden(ROW())=FALSE,MyRowHidden(ROW()-1)=TRUE),0,(G702-G701)*unitsOfExo+J701)</f>
        <v>-780624</v>
      </c>
      <c r="K702" s="9">
        <f t="shared" si="57"/>
        <v>780624</v>
      </c>
      <c r="L702">
        <f t="shared" si="58"/>
        <v>-835434</v>
      </c>
      <c r="M702">
        <f>IF(AND(MyRowHidden(ROW())=FALSE,MyRowHidden(ROW()-1)=TRUE),0,IF(MONTH(H702)&lt;&gt;MONTH(H701),M701+1,M701))</f>
        <v>7</v>
      </c>
      <c r="N702">
        <f t="shared" si="59"/>
        <v>-54810</v>
      </c>
      <c r="O702">
        <f>IF(AND(MyRowHidden(ROW())=FALSE,MyRowHidden(ROW()-1)=TRUE),0,IF(M702&lt;totalMonths,(totalMonths-M702)/totalMonths *(I702-I701)+O701,0))</f>
        <v>-94715.833333333154</v>
      </c>
      <c r="P702">
        <f>IF(AND(MyRowHidden(ROW())=FALSE,MyRowHidden(ROW()-1)=TRUE),0,IF(M702&lt;totalMonths,(totalMonths-M702)/totalMonths *(J702-J701)+P701,0))</f>
        <v>-596280</v>
      </c>
      <c r="Q702">
        <f>IF(AND(MyRowHidden(ROW())=FALSE,MyRowHidden(ROW()-1)=TRUE),0,IF(M702&lt;totalMonths,(totalMonths-M702)/totalMonths *(K702-K701)+Q701,0))</f>
        <v>596280</v>
      </c>
      <c r="R702">
        <f t="shared" si="60"/>
        <v>-651090</v>
      </c>
      <c r="S702">
        <f t="shared" si="61"/>
        <v>-690995.83333333314</v>
      </c>
    </row>
    <row r="703" spans="1:19" x14ac:dyDescent="0.25">
      <c r="A703" s="1"/>
      <c r="C703" s="1"/>
      <c r="D703" s="1">
        <v>42242</v>
      </c>
      <c r="E703" s="10">
        <v>6054</v>
      </c>
      <c r="F703" s="1">
        <v>42242</v>
      </c>
      <c r="G703">
        <v>-9840</v>
      </c>
      <c r="H703" s="1">
        <f t="shared" si="56"/>
        <v>42242</v>
      </c>
      <c r="I703">
        <f>IF(AND(MyRowHidden(ROW())=FALSE,MyRowHidden(ROW()-1)=TRUE),0,(E703-E702)*unitsOfDHp+I702)</f>
        <v>-51730</v>
      </c>
      <c r="J703">
        <f>IF(AND(MyRowHidden(ROW())=FALSE,MyRowHidden(ROW()-1)=TRUE),0,(G703-G702)*unitsOfExo+J702)</f>
        <v>-816624</v>
      </c>
      <c r="K703" s="9">
        <f t="shared" si="57"/>
        <v>816624</v>
      </c>
      <c r="L703">
        <f t="shared" si="58"/>
        <v>-868354</v>
      </c>
      <c r="M703">
        <f>IF(AND(MyRowHidden(ROW())=FALSE,MyRowHidden(ROW()-1)=TRUE),0,IF(MONTH(H703)&lt;&gt;MONTH(H702),M702+1,M702))</f>
        <v>7</v>
      </c>
      <c r="N703">
        <f t="shared" si="59"/>
        <v>-51730</v>
      </c>
      <c r="O703">
        <f>IF(AND(MyRowHidden(ROW())=FALSE,MyRowHidden(ROW()-1)=TRUE),0,IF(M703&lt;totalMonths,(totalMonths-M703)/totalMonths *(I703-I702)+O702,0))</f>
        <v>-93432.499999999825</v>
      </c>
      <c r="P703">
        <f>IF(AND(MyRowHidden(ROW())=FALSE,MyRowHidden(ROW()-1)=TRUE),0,IF(M703&lt;totalMonths,(totalMonths-M703)/totalMonths *(J703-J702)+P702,0))</f>
        <v>-611280</v>
      </c>
      <c r="Q703">
        <f>IF(AND(MyRowHidden(ROW())=FALSE,MyRowHidden(ROW()-1)=TRUE),0,IF(M703&lt;totalMonths,(totalMonths-M703)/totalMonths *(K703-K702)+Q702,0))</f>
        <v>611280</v>
      </c>
      <c r="R703">
        <f t="shared" si="60"/>
        <v>-663010</v>
      </c>
      <c r="S703">
        <f t="shared" si="61"/>
        <v>-704712.49999999977</v>
      </c>
    </row>
    <row r="704" spans="1:19" x14ac:dyDescent="0.25">
      <c r="A704" s="1"/>
      <c r="C704" s="1"/>
      <c r="D704" s="1">
        <v>42243</v>
      </c>
      <c r="E704" s="10">
        <v>6092</v>
      </c>
      <c r="F704" s="1">
        <v>42243</v>
      </c>
      <c r="G704">
        <v>-9852.5</v>
      </c>
      <c r="H704" s="1">
        <f t="shared" si="56"/>
        <v>42243</v>
      </c>
      <c r="I704">
        <f>IF(AND(MyRowHidden(ROW())=FALSE,MyRowHidden(ROW()-1)=TRUE),0,(E704-E703)*unitsOfDHp+I703)</f>
        <v>-50400</v>
      </c>
      <c r="J704">
        <f>IF(AND(MyRowHidden(ROW())=FALSE,MyRowHidden(ROW()-1)=TRUE),0,(G704-G703)*unitsOfExo+J703)</f>
        <v>-820224</v>
      </c>
      <c r="K704" s="9">
        <f t="shared" si="57"/>
        <v>820224</v>
      </c>
      <c r="L704">
        <f t="shared" si="58"/>
        <v>-870624</v>
      </c>
      <c r="M704">
        <f>IF(AND(MyRowHidden(ROW())=FALSE,MyRowHidden(ROW()-1)=TRUE),0,IF(MONTH(H704)&lt;&gt;MONTH(H703),M703+1,M703))</f>
        <v>7</v>
      </c>
      <c r="N704">
        <f t="shared" si="59"/>
        <v>-50400</v>
      </c>
      <c r="O704">
        <f>IF(AND(MyRowHidden(ROW())=FALSE,MyRowHidden(ROW()-1)=TRUE),0,IF(M704&lt;totalMonths,(totalMonths-M704)/totalMonths *(I704-I703)+O703,0))</f>
        <v>-92878.333333333154</v>
      </c>
      <c r="P704">
        <f>IF(AND(MyRowHidden(ROW())=FALSE,MyRowHidden(ROW()-1)=TRUE),0,IF(M704&lt;totalMonths,(totalMonths-M704)/totalMonths *(J704-J703)+P703,0))</f>
        <v>-612780</v>
      </c>
      <c r="Q704">
        <f>IF(AND(MyRowHidden(ROW())=FALSE,MyRowHidden(ROW()-1)=TRUE),0,IF(M704&lt;totalMonths,(totalMonths-M704)/totalMonths *(K704-K703)+Q703,0))</f>
        <v>612780</v>
      </c>
      <c r="R704">
        <f t="shared" si="60"/>
        <v>-663180</v>
      </c>
      <c r="S704">
        <f t="shared" si="61"/>
        <v>-705658.33333333314</v>
      </c>
    </row>
    <row r="705" spans="1:19" x14ac:dyDescent="0.25">
      <c r="A705" s="1"/>
      <c r="C705" s="1"/>
      <c r="D705" s="1">
        <v>42244</v>
      </c>
      <c r="E705" s="10">
        <v>6104</v>
      </c>
      <c r="F705" s="1">
        <v>42244</v>
      </c>
      <c r="G705">
        <v>-9752.5</v>
      </c>
      <c r="H705" s="1">
        <f t="shared" si="56"/>
        <v>42244</v>
      </c>
      <c r="I705">
        <f>IF(AND(MyRowHidden(ROW())=FALSE,MyRowHidden(ROW()-1)=TRUE),0,(E705-E704)*unitsOfDHp+I704)</f>
        <v>-49980</v>
      </c>
      <c r="J705">
        <f>IF(AND(MyRowHidden(ROW())=FALSE,MyRowHidden(ROW()-1)=TRUE),0,(G705-G704)*unitsOfExo+J704)</f>
        <v>-791424</v>
      </c>
      <c r="K705" s="9">
        <f t="shared" si="57"/>
        <v>791424</v>
      </c>
      <c r="L705">
        <f t="shared" si="58"/>
        <v>-841404</v>
      </c>
      <c r="M705">
        <f>IF(AND(MyRowHidden(ROW())=FALSE,MyRowHidden(ROW()-1)=TRUE),0,IF(MONTH(H705)&lt;&gt;MONTH(H704),M704+1,M704))</f>
        <v>7</v>
      </c>
      <c r="N705">
        <f t="shared" si="59"/>
        <v>-49980</v>
      </c>
      <c r="O705">
        <f>IF(AND(MyRowHidden(ROW())=FALSE,MyRowHidden(ROW()-1)=TRUE),0,IF(M705&lt;totalMonths,(totalMonths-M705)/totalMonths *(I705-I704)+O704,0))</f>
        <v>-92703.333333333154</v>
      </c>
      <c r="P705">
        <f>IF(AND(MyRowHidden(ROW())=FALSE,MyRowHidden(ROW()-1)=TRUE),0,IF(M705&lt;totalMonths,(totalMonths-M705)/totalMonths *(J705-J704)+P704,0))</f>
        <v>-600780</v>
      </c>
      <c r="Q705">
        <f>IF(AND(MyRowHidden(ROW())=FALSE,MyRowHidden(ROW()-1)=TRUE),0,IF(M705&lt;totalMonths,(totalMonths-M705)/totalMonths *(K705-K704)+Q704,0))</f>
        <v>600780</v>
      </c>
      <c r="R705">
        <f t="shared" si="60"/>
        <v>-650760</v>
      </c>
      <c r="S705">
        <f t="shared" si="61"/>
        <v>-693483.33333333314</v>
      </c>
    </row>
    <row r="706" spans="1:19" x14ac:dyDescent="0.25">
      <c r="A706" s="1"/>
      <c r="C706" s="1"/>
      <c r="D706" s="1">
        <v>42247</v>
      </c>
      <c r="E706" s="10">
        <v>6129</v>
      </c>
      <c r="F706" s="1">
        <v>42247</v>
      </c>
      <c r="G706">
        <v>-9840</v>
      </c>
      <c r="H706" s="1">
        <f t="shared" si="56"/>
        <v>42247</v>
      </c>
      <c r="I706">
        <f>IF(AND(MyRowHidden(ROW())=FALSE,MyRowHidden(ROW()-1)=TRUE),0,(E706-E705)*unitsOfDHp+I705)</f>
        <v>-49105</v>
      </c>
      <c r="J706">
        <f>IF(AND(MyRowHidden(ROW())=FALSE,MyRowHidden(ROW()-1)=TRUE),0,(G706-G705)*unitsOfExo+J705)</f>
        <v>-816624</v>
      </c>
      <c r="K706" s="9">
        <f t="shared" si="57"/>
        <v>816624</v>
      </c>
      <c r="L706">
        <f t="shared" si="58"/>
        <v>-865729</v>
      </c>
      <c r="M706">
        <f>IF(AND(MyRowHidden(ROW())=FALSE,MyRowHidden(ROW()-1)=TRUE),0,IF(MONTH(H706)&lt;&gt;MONTH(H705),M705+1,M705))</f>
        <v>7</v>
      </c>
      <c r="N706">
        <f t="shared" si="59"/>
        <v>-49105</v>
      </c>
      <c r="O706">
        <f>IF(AND(MyRowHidden(ROW())=FALSE,MyRowHidden(ROW()-1)=TRUE),0,IF(M706&lt;totalMonths,(totalMonths-M706)/totalMonths *(I706-I705)+O705,0))</f>
        <v>-92338.749999999825</v>
      </c>
      <c r="P706">
        <f>IF(AND(MyRowHidden(ROW())=FALSE,MyRowHidden(ROW()-1)=TRUE),0,IF(M706&lt;totalMonths,(totalMonths-M706)/totalMonths *(J706-J705)+P705,0))</f>
        <v>-611280</v>
      </c>
      <c r="Q706">
        <f>IF(AND(MyRowHidden(ROW())=FALSE,MyRowHidden(ROW()-1)=TRUE),0,IF(M706&lt;totalMonths,(totalMonths-M706)/totalMonths *(K706-K705)+Q705,0))</f>
        <v>611280</v>
      </c>
      <c r="R706">
        <f t="shared" si="60"/>
        <v>-660385</v>
      </c>
      <c r="S706">
        <f t="shared" si="61"/>
        <v>-703618.74999999977</v>
      </c>
    </row>
    <row r="707" spans="1:19" x14ac:dyDescent="0.25">
      <c r="A707" s="1"/>
      <c r="C707" s="1"/>
      <c r="D707" s="1">
        <v>42248</v>
      </c>
      <c r="E707" s="10">
        <v>6154</v>
      </c>
      <c r="F707" s="1">
        <v>42248</v>
      </c>
      <c r="G707">
        <v>-10102</v>
      </c>
      <c r="H707" s="1">
        <f t="shared" si="56"/>
        <v>42248</v>
      </c>
      <c r="I707">
        <f>IF(AND(MyRowHidden(ROW())=FALSE,MyRowHidden(ROW()-1)=TRUE),0,(E707-E706)*unitsOfDHp+I706)</f>
        <v>-48230</v>
      </c>
      <c r="J707">
        <f>IF(AND(MyRowHidden(ROW())=FALSE,MyRowHidden(ROW()-1)=TRUE),0,(G707-G706)*unitsOfExo+J706)</f>
        <v>-892080</v>
      </c>
      <c r="K707" s="9">
        <f t="shared" si="57"/>
        <v>892080</v>
      </c>
      <c r="L707">
        <f t="shared" si="58"/>
        <v>-940310</v>
      </c>
      <c r="M707">
        <f>IF(AND(MyRowHidden(ROW())=FALSE,MyRowHidden(ROW()-1)=TRUE),0,IF(MONTH(H707)&lt;&gt;MONTH(H706),M706+1,M706))</f>
        <v>8</v>
      </c>
      <c r="N707">
        <f t="shared" si="59"/>
        <v>-48230</v>
      </c>
      <c r="O707">
        <f>IF(AND(MyRowHidden(ROW())=FALSE,MyRowHidden(ROW()-1)=TRUE),0,IF(M707&lt;totalMonths,(totalMonths-M707)/totalMonths *(I707-I706)+O706,0))</f>
        <v>-92047.083333333154</v>
      </c>
      <c r="P707">
        <f>IF(AND(MyRowHidden(ROW())=FALSE,MyRowHidden(ROW()-1)=TRUE),0,IF(M707&lt;totalMonths,(totalMonths-M707)/totalMonths *(J707-J706)+P706,0))</f>
        <v>-636432</v>
      </c>
      <c r="Q707">
        <f>IF(AND(MyRowHidden(ROW())=FALSE,MyRowHidden(ROW()-1)=TRUE),0,IF(M707&lt;totalMonths,(totalMonths-M707)/totalMonths *(K707-K706)+Q706,0))</f>
        <v>636432</v>
      </c>
      <c r="R707">
        <f t="shared" si="60"/>
        <v>-684662</v>
      </c>
      <c r="S707">
        <f t="shared" si="61"/>
        <v>-728479.08333333314</v>
      </c>
    </row>
    <row r="708" spans="1:19" x14ac:dyDescent="0.25">
      <c r="A708" s="1"/>
      <c r="C708" s="1"/>
      <c r="D708" s="1">
        <v>42249</v>
      </c>
      <c r="E708" s="10">
        <v>6179</v>
      </c>
      <c r="F708" s="1">
        <v>42249</v>
      </c>
      <c r="G708">
        <v>-10264.5</v>
      </c>
      <c r="H708" s="1">
        <f t="shared" si="56"/>
        <v>42249</v>
      </c>
      <c r="I708">
        <f>IF(AND(MyRowHidden(ROW())=FALSE,MyRowHidden(ROW()-1)=TRUE),0,(E708-E707)*unitsOfDHp+I707)</f>
        <v>-47355</v>
      </c>
      <c r="J708">
        <f>IF(AND(MyRowHidden(ROW())=FALSE,MyRowHidden(ROW()-1)=TRUE),0,(G708-G707)*unitsOfExo+J707)</f>
        <v>-938880</v>
      </c>
      <c r="K708" s="9">
        <f t="shared" si="57"/>
        <v>938880</v>
      </c>
      <c r="L708">
        <f t="shared" si="58"/>
        <v>-986235</v>
      </c>
      <c r="M708">
        <f>IF(AND(MyRowHidden(ROW())=FALSE,MyRowHidden(ROW()-1)=TRUE),0,IF(MONTH(H708)&lt;&gt;MONTH(H707),M707+1,M707))</f>
        <v>8</v>
      </c>
      <c r="N708">
        <f t="shared" si="59"/>
        <v>-47355</v>
      </c>
      <c r="O708">
        <f>IF(AND(MyRowHidden(ROW())=FALSE,MyRowHidden(ROW()-1)=TRUE),0,IF(M708&lt;totalMonths,(totalMonths-M708)/totalMonths *(I708-I707)+O707,0))</f>
        <v>-91755.416666666482</v>
      </c>
      <c r="P708">
        <f>IF(AND(MyRowHidden(ROW())=FALSE,MyRowHidden(ROW()-1)=TRUE),0,IF(M708&lt;totalMonths,(totalMonths-M708)/totalMonths *(J708-J707)+P707,0))</f>
        <v>-652032</v>
      </c>
      <c r="Q708">
        <f>IF(AND(MyRowHidden(ROW())=FALSE,MyRowHidden(ROW()-1)=TRUE),0,IF(M708&lt;totalMonths,(totalMonths-M708)/totalMonths *(K708-K707)+Q707,0))</f>
        <v>652032</v>
      </c>
      <c r="R708">
        <f t="shared" si="60"/>
        <v>-699387</v>
      </c>
      <c r="S708">
        <f t="shared" si="61"/>
        <v>-743787.41666666651</v>
      </c>
    </row>
    <row r="709" spans="1:19" x14ac:dyDescent="0.25">
      <c r="A709" s="1"/>
      <c r="C709" s="1"/>
      <c r="D709" s="1">
        <v>42250</v>
      </c>
      <c r="E709" s="10">
        <v>6130</v>
      </c>
      <c r="F709" s="1">
        <v>42250</v>
      </c>
      <c r="G709">
        <v>-10464.5</v>
      </c>
      <c r="H709" s="1">
        <f t="shared" si="56"/>
        <v>42250</v>
      </c>
      <c r="I709">
        <f>IF(AND(MyRowHidden(ROW())=FALSE,MyRowHidden(ROW()-1)=TRUE),0,(E709-E708)*unitsOfDHp+I708)</f>
        <v>-49070</v>
      </c>
      <c r="J709">
        <f>IF(AND(MyRowHidden(ROW())=FALSE,MyRowHidden(ROW()-1)=TRUE),0,(G709-G708)*unitsOfExo+J708)</f>
        <v>-996480</v>
      </c>
      <c r="K709" s="9">
        <f t="shared" si="57"/>
        <v>996480</v>
      </c>
      <c r="L709">
        <f t="shared" si="58"/>
        <v>-1045550</v>
      </c>
      <c r="M709">
        <f>IF(AND(MyRowHidden(ROW())=FALSE,MyRowHidden(ROW()-1)=TRUE),0,IF(MONTH(H709)&lt;&gt;MONTH(H708),M708+1,M708))</f>
        <v>8</v>
      </c>
      <c r="N709">
        <f t="shared" si="59"/>
        <v>-49070</v>
      </c>
      <c r="O709">
        <f>IF(AND(MyRowHidden(ROW())=FALSE,MyRowHidden(ROW()-1)=TRUE),0,IF(M709&lt;totalMonths,(totalMonths-M709)/totalMonths *(I709-I708)+O708,0))</f>
        <v>-92327.083333333154</v>
      </c>
      <c r="P709">
        <f>IF(AND(MyRowHidden(ROW())=FALSE,MyRowHidden(ROW()-1)=TRUE),0,IF(M709&lt;totalMonths,(totalMonths-M709)/totalMonths *(J709-J708)+P708,0))</f>
        <v>-671232</v>
      </c>
      <c r="Q709">
        <f>IF(AND(MyRowHidden(ROW())=FALSE,MyRowHidden(ROW()-1)=TRUE),0,IF(M709&lt;totalMonths,(totalMonths-M709)/totalMonths *(K709-K708)+Q708,0))</f>
        <v>671232</v>
      </c>
      <c r="R709">
        <f t="shared" si="60"/>
        <v>-720302</v>
      </c>
      <c r="S709">
        <f t="shared" si="61"/>
        <v>-763559.08333333314</v>
      </c>
    </row>
    <row r="710" spans="1:19" x14ac:dyDescent="0.25">
      <c r="A710" s="1"/>
      <c r="C710" s="1"/>
      <c r="D710" s="1">
        <v>42251</v>
      </c>
      <c r="E710" s="10">
        <v>6158</v>
      </c>
      <c r="F710" s="1">
        <v>42251</v>
      </c>
      <c r="G710">
        <v>-10389.5</v>
      </c>
      <c r="H710" s="1">
        <f t="shared" si="56"/>
        <v>42251</v>
      </c>
      <c r="I710">
        <f>IF(AND(MyRowHidden(ROW())=FALSE,MyRowHidden(ROW()-1)=TRUE),0,(E710-E709)*unitsOfDHp+I709)</f>
        <v>-48090</v>
      </c>
      <c r="J710">
        <f>IF(AND(MyRowHidden(ROW())=FALSE,MyRowHidden(ROW()-1)=TRUE),0,(G710-G709)*unitsOfExo+J709)</f>
        <v>-974880</v>
      </c>
      <c r="K710" s="9">
        <f t="shared" si="57"/>
        <v>974880</v>
      </c>
      <c r="L710">
        <f t="shared" si="58"/>
        <v>-1022970</v>
      </c>
      <c r="M710">
        <f>IF(AND(MyRowHidden(ROW())=FALSE,MyRowHidden(ROW()-1)=TRUE),0,IF(MONTH(H710)&lt;&gt;MONTH(H709),M709+1,M709))</f>
        <v>8</v>
      </c>
      <c r="N710">
        <f t="shared" si="59"/>
        <v>-48090</v>
      </c>
      <c r="O710">
        <f>IF(AND(MyRowHidden(ROW())=FALSE,MyRowHidden(ROW()-1)=TRUE),0,IF(M710&lt;totalMonths,(totalMonths-M710)/totalMonths *(I710-I709)+O709,0))</f>
        <v>-92000.416666666482</v>
      </c>
      <c r="P710">
        <f>IF(AND(MyRowHidden(ROW())=FALSE,MyRowHidden(ROW()-1)=TRUE),0,IF(M710&lt;totalMonths,(totalMonths-M710)/totalMonths *(J710-J709)+P709,0))</f>
        <v>-664032</v>
      </c>
      <c r="Q710">
        <f>IF(AND(MyRowHidden(ROW())=FALSE,MyRowHidden(ROW()-1)=TRUE),0,IF(M710&lt;totalMonths,(totalMonths-M710)/totalMonths *(K710-K709)+Q709,0))</f>
        <v>664032</v>
      </c>
      <c r="R710">
        <f t="shared" si="60"/>
        <v>-712122</v>
      </c>
      <c r="S710">
        <f t="shared" si="61"/>
        <v>-756032.41666666651</v>
      </c>
    </row>
    <row r="711" spans="1:19" x14ac:dyDescent="0.25">
      <c r="A711" s="1"/>
      <c r="C711" s="1"/>
      <c r="D711" s="1">
        <v>42254</v>
      </c>
      <c r="E711" s="10">
        <v>6233</v>
      </c>
      <c r="F711" s="1">
        <v>42254</v>
      </c>
      <c r="G711">
        <v>-10414.5</v>
      </c>
      <c r="H711" s="1">
        <f t="shared" si="56"/>
        <v>42254</v>
      </c>
      <c r="I711">
        <f>IF(AND(MyRowHidden(ROW())=FALSE,MyRowHidden(ROW()-1)=TRUE),0,(E711-E710)*unitsOfDHp+I710)</f>
        <v>-45465</v>
      </c>
      <c r="J711">
        <f>IF(AND(MyRowHidden(ROW())=FALSE,MyRowHidden(ROW()-1)=TRUE),0,(G711-G710)*unitsOfExo+J710)</f>
        <v>-982080</v>
      </c>
      <c r="K711" s="9">
        <f t="shared" si="57"/>
        <v>982080</v>
      </c>
      <c r="L711">
        <f t="shared" si="58"/>
        <v>-1027545</v>
      </c>
      <c r="M711">
        <f>IF(AND(MyRowHidden(ROW())=FALSE,MyRowHidden(ROW()-1)=TRUE),0,IF(MONTH(H711)&lt;&gt;MONTH(H710),M710+1,M710))</f>
        <v>8</v>
      </c>
      <c r="N711">
        <f t="shared" si="59"/>
        <v>-45465</v>
      </c>
      <c r="O711">
        <f>IF(AND(MyRowHidden(ROW())=FALSE,MyRowHidden(ROW()-1)=TRUE),0,IF(M711&lt;totalMonths,(totalMonths-M711)/totalMonths *(I711-I710)+O710,0))</f>
        <v>-91125.416666666482</v>
      </c>
      <c r="P711">
        <f>IF(AND(MyRowHidden(ROW())=FALSE,MyRowHidden(ROW()-1)=TRUE),0,IF(M711&lt;totalMonths,(totalMonths-M711)/totalMonths *(J711-J710)+P710,0))</f>
        <v>-666432</v>
      </c>
      <c r="Q711">
        <f>IF(AND(MyRowHidden(ROW())=FALSE,MyRowHidden(ROW()-1)=TRUE),0,IF(M711&lt;totalMonths,(totalMonths-M711)/totalMonths *(K711-K710)+Q710,0))</f>
        <v>666432</v>
      </c>
      <c r="R711">
        <f t="shared" si="60"/>
        <v>-711897</v>
      </c>
      <c r="S711">
        <f t="shared" si="61"/>
        <v>-757557.41666666651</v>
      </c>
    </row>
    <row r="712" spans="1:19" x14ac:dyDescent="0.25">
      <c r="A712" s="1"/>
      <c r="C712" s="1"/>
      <c r="D712" s="1">
        <v>42255</v>
      </c>
      <c r="E712" s="10">
        <v>6308</v>
      </c>
      <c r="F712" s="1">
        <v>42255</v>
      </c>
      <c r="G712">
        <v>-10239.5</v>
      </c>
      <c r="H712" s="1">
        <f t="shared" si="56"/>
        <v>42255</v>
      </c>
      <c r="I712">
        <f>IF(AND(MyRowHidden(ROW())=FALSE,MyRowHidden(ROW()-1)=TRUE),0,(E712-E711)*unitsOfDHp+I711)</f>
        <v>-42840</v>
      </c>
      <c r="J712">
        <f>IF(AND(MyRowHidden(ROW())=FALSE,MyRowHidden(ROW()-1)=TRUE),0,(G712-G711)*unitsOfExo+J711)</f>
        <v>-931680</v>
      </c>
      <c r="K712" s="9">
        <f t="shared" si="57"/>
        <v>931680</v>
      </c>
      <c r="L712">
        <f t="shared" si="58"/>
        <v>-974520</v>
      </c>
      <c r="M712">
        <f>IF(AND(MyRowHidden(ROW())=FALSE,MyRowHidden(ROW()-1)=TRUE),0,IF(MONTH(H712)&lt;&gt;MONTH(H711),M711+1,M711))</f>
        <v>8</v>
      </c>
      <c r="N712">
        <f t="shared" si="59"/>
        <v>-42840</v>
      </c>
      <c r="O712">
        <f>IF(AND(MyRowHidden(ROW())=FALSE,MyRowHidden(ROW()-1)=TRUE),0,IF(M712&lt;totalMonths,(totalMonths-M712)/totalMonths *(I712-I711)+O711,0))</f>
        <v>-90250.416666666482</v>
      </c>
      <c r="P712">
        <f>IF(AND(MyRowHidden(ROW())=FALSE,MyRowHidden(ROW()-1)=TRUE),0,IF(M712&lt;totalMonths,(totalMonths-M712)/totalMonths *(J712-J711)+P711,0))</f>
        <v>-649632</v>
      </c>
      <c r="Q712">
        <f>IF(AND(MyRowHidden(ROW())=FALSE,MyRowHidden(ROW()-1)=TRUE),0,IF(M712&lt;totalMonths,(totalMonths-M712)/totalMonths *(K712-K711)+Q711,0))</f>
        <v>649632</v>
      </c>
      <c r="R712">
        <f t="shared" si="60"/>
        <v>-692472</v>
      </c>
      <c r="S712">
        <f t="shared" si="61"/>
        <v>-739882.41666666651</v>
      </c>
    </row>
    <row r="713" spans="1:19" x14ac:dyDescent="0.25">
      <c r="A713" s="1"/>
      <c r="C713" s="1"/>
      <c r="D713" s="1">
        <v>42256</v>
      </c>
      <c r="E713" s="10">
        <v>6270</v>
      </c>
      <c r="F713" s="1">
        <v>42256</v>
      </c>
      <c r="G713">
        <v>-10089.5</v>
      </c>
      <c r="H713" s="1">
        <f t="shared" si="56"/>
        <v>42256</v>
      </c>
      <c r="I713">
        <f>IF(AND(MyRowHidden(ROW())=FALSE,MyRowHidden(ROW()-1)=TRUE),0,(E713-E712)*unitsOfDHp+I712)</f>
        <v>-44170</v>
      </c>
      <c r="J713">
        <f>IF(AND(MyRowHidden(ROW())=FALSE,MyRowHidden(ROW()-1)=TRUE),0,(G713-G712)*unitsOfExo+J712)</f>
        <v>-888480</v>
      </c>
      <c r="K713" s="9">
        <f t="shared" si="57"/>
        <v>888480</v>
      </c>
      <c r="L713">
        <f t="shared" si="58"/>
        <v>-932650</v>
      </c>
      <c r="M713">
        <f>IF(AND(MyRowHidden(ROW())=FALSE,MyRowHidden(ROW()-1)=TRUE),0,IF(MONTH(H713)&lt;&gt;MONTH(H712),M712+1,M712))</f>
        <v>8</v>
      </c>
      <c r="N713">
        <f t="shared" si="59"/>
        <v>-44170</v>
      </c>
      <c r="O713">
        <f>IF(AND(MyRowHidden(ROW())=FALSE,MyRowHidden(ROW()-1)=TRUE),0,IF(M713&lt;totalMonths,(totalMonths-M713)/totalMonths *(I713-I712)+O712,0))</f>
        <v>-90693.749999999811</v>
      </c>
      <c r="P713">
        <f>IF(AND(MyRowHidden(ROW())=FALSE,MyRowHidden(ROW()-1)=TRUE),0,IF(M713&lt;totalMonths,(totalMonths-M713)/totalMonths *(J713-J712)+P712,0))</f>
        <v>-635232</v>
      </c>
      <c r="Q713">
        <f>IF(AND(MyRowHidden(ROW())=FALSE,MyRowHidden(ROW()-1)=TRUE),0,IF(M713&lt;totalMonths,(totalMonths-M713)/totalMonths *(K713-K712)+Q712,0))</f>
        <v>635232</v>
      </c>
      <c r="R713">
        <f t="shared" si="60"/>
        <v>-679402</v>
      </c>
      <c r="S713">
        <f t="shared" si="61"/>
        <v>-725925.74999999977</v>
      </c>
    </row>
    <row r="714" spans="1:19" x14ac:dyDescent="0.25">
      <c r="A714" s="1"/>
      <c r="C714" s="1"/>
      <c r="D714" s="1">
        <v>42257</v>
      </c>
      <c r="E714" s="10">
        <v>6300</v>
      </c>
      <c r="F714" s="1">
        <v>42257</v>
      </c>
      <c r="G714">
        <v>-9839.5</v>
      </c>
      <c r="H714" s="1">
        <f t="shared" si="56"/>
        <v>42257</v>
      </c>
      <c r="I714">
        <f>IF(AND(MyRowHidden(ROW())=FALSE,MyRowHidden(ROW()-1)=TRUE),0,(E714-E713)*unitsOfDHp+I713)</f>
        <v>-43120</v>
      </c>
      <c r="J714">
        <f>IF(AND(MyRowHidden(ROW())=FALSE,MyRowHidden(ROW()-1)=TRUE),0,(G714-G713)*unitsOfExo+J713)</f>
        <v>-816480</v>
      </c>
      <c r="K714" s="9">
        <f t="shared" si="57"/>
        <v>816480</v>
      </c>
      <c r="L714">
        <f t="shared" si="58"/>
        <v>-859600</v>
      </c>
      <c r="M714">
        <f>IF(AND(MyRowHidden(ROW())=FALSE,MyRowHidden(ROW()-1)=TRUE),0,IF(MONTH(H714)&lt;&gt;MONTH(H713),M713+1,M713))</f>
        <v>8</v>
      </c>
      <c r="N714">
        <f t="shared" si="59"/>
        <v>-43120</v>
      </c>
      <c r="O714">
        <f>IF(AND(MyRowHidden(ROW())=FALSE,MyRowHidden(ROW()-1)=TRUE),0,IF(M714&lt;totalMonths,(totalMonths-M714)/totalMonths *(I714-I713)+O713,0))</f>
        <v>-90343.749999999811</v>
      </c>
      <c r="P714">
        <f>IF(AND(MyRowHidden(ROW())=FALSE,MyRowHidden(ROW()-1)=TRUE),0,IF(M714&lt;totalMonths,(totalMonths-M714)/totalMonths *(J714-J713)+P713,0))</f>
        <v>-611232</v>
      </c>
      <c r="Q714">
        <f>IF(AND(MyRowHidden(ROW())=FALSE,MyRowHidden(ROW()-1)=TRUE),0,IF(M714&lt;totalMonths,(totalMonths-M714)/totalMonths *(K714-K713)+Q713,0))</f>
        <v>611232</v>
      </c>
      <c r="R714">
        <f t="shared" si="60"/>
        <v>-654352</v>
      </c>
      <c r="S714">
        <f t="shared" si="61"/>
        <v>-701575.74999999977</v>
      </c>
    </row>
    <row r="715" spans="1:19" x14ac:dyDescent="0.25">
      <c r="A715" s="1"/>
      <c r="C715" s="1"/>
      <c r="D715" s="1">
        <v>42258</v>
      </c>
      <c r="E715" s="10">
        <v>6150</v>
      </c>
      <c r="F715" s="1">
        <v>42258</v>
      </c>
      <c r="G715">
        <v>-9352</v>
      </c>
      <c r="H715" s="1">
        <f t="shared" si="56"/>
        <v>42258</v>
      </c>
      <c r="I715">
        <f>IF(AND(MyRowHidden(ROW())=FALSE,MyRowHidden(ROW()-1)=TRUE),0,(E715-E714)*unitsOfDHp+I714)</f>
        <v>-48370</v>
      </c>
      <c r="J715">
        <f>IF(AND(MyRowHidden(ROW())=FALSE,MyRowHidden(ROW()-1)=TRUE),0,(G715-G714)*unitsOfExo+J714)</f>
        <v>-676080</v>
      </c>
      <c r="K715" s="9">
        <f t="shared" si="57"/>
        <v>676080</v>
      </c>
      <c r="L715">
        <f t="shared" si="58"/>
        <v>-724450</v>
      </c>
      <c r="M715">
        <f>IF(AND(MyRowHidden(ROW())=FALSE,MyRowHidden(ROW()-1)=TRUE),0,IF(MONTH(H715)&lt;&gt;MONTH(H714),M714+1,M714))</f>
        <v>8</v>
      </c>
      <c r="N715">
        <f t="shared" si="59"/>
        <v>-48370</v>
      </c>
      <c r="O715">
        <f>IF(AND(MyRowHidden(ROW())=FALSE,MyRowHidden(ROW()-1)=TRUE),0,IF(M715&lt;totalMonths,(totalMonths-M715)/totalMonths *(I715-I714)+O714,0))</f>
        <v>-92093.749999999811</v>
      </c>
      <c r="P715">
        <f>IF(AND(MyRowHidden(ROW())=FALSE,MyRowHidden(ROW()-1)=TRUE),0,IF(M715&lt;totalMonths,(totalMonths-M715)/totalMonths *(J715-J714)+P714,0))</f>
        <v>-564432</v>
      </c>
      <c r="Q715">
        <f>IF(AND(MyRowHidden(ROW())=FALSE,MyRowHidden(ROW()-1)=TRUE),0,IF(M715&lt;totalMonths,(totalMonths-M715)/totalMonths *(K715-K714)+Q714,0))</f>
        <v>564432</v>
      </c>
      <c r="R715">
        <f t="shared" si="60"/>
        <v>-612802</v>
      </c>
      <c r="S715">
        <f t="shared" si="61"/>
        <v>-656525.74999999977</v>
      </c>
    </row>
    <row r="716" spans="1:19" x14ac:dyDescent="0.25">
      <c r="A716" s="1"/>
      <c r="C716" s="1"/>
      <c r="D716" s="1">
        <v>42261</v>
      </c>
      <c r="E716" s="10">
        <v>7740</v>
      </c>
      <c r="F716" s="1">
        <v>42261</v>
      </c>
      <c r="G716">
        <v>-8889.5</v>
      </c>
      <c r="H716" s="1">
        <f t="shared" si="56"/>
        <v>42261</v>
      </c>
      <c r="I716">
        <f>IF(AND(MyRowHidden(ROW())=FALSE,MyRowHidden(ROW()-1)=TRUE),0,(E716-E715)*unitsOfDHp+I715)</f>
        <v>7280</v>
      </c>
      <c r="J716">
        <f>IF(AND(MyRowHidden(ROW())=FALSE,MyRowHidden(ROW()-1)=TRUE),0,(G716-G715)*unitsOfExo+J715)</f>
        <v>-542880</v>
      </c>
      <c r="K716" s="9">
        <f t="shared" si="57"/>
        <v>542880</v>
      </c>
      <c r="L716">
        <f t="shared" si="58"/>
        <v>-535600</v>
      </c>
      <c r="M716">
        <f>IF(AND(MyRowHidden(ROW())=FALSE,MyRowHidden(ROW()-1)=TRUE),0,IF(MONTH(H716)&lt;&gt;MONTH(H715),M715+1,M715))</f>
        <v>8</v>
      </c>
      <c r="N716">
        <f t="shared" si="59"/>
        <v>7280</v>
      </c>
      <c r="O716">
        <f>IF(AND(MyRowHidden(ROW())=FALSE,MyRowHidden(ROW()-1)=TRUE),0,IF(M716&lt;totalMonths,(totalMonths-M716)/totalMonths *(I716-I715)+O715,0))</f>
        <v>-73543.749999999811</v>
      </c>
      <c r="P716">
        <f>IF(AND(MyRowHidden(ROW())=FALSE,MyRowHidden(ROW()-1)=TRUE),0,IF(M716&lt;totalMonths,(totalMonths-M716)/totalMonths *(J716-J715)+P715,0))</f>
        <v>-520032</v>
      </c>
      <c r="Q716">
        <f>IF(AND(MyRowHidden(ROW())=FALSE,MyRowHidden(ROW()-1)=TRUE),0,IF(M716&lt;totalMonths,(totalMonths-M716)/totalMonths *(K716-K715)+Q715,0))</f>
        <v>520032</v>
      </c>
      <c r="R716">
        <f t="shared" si="60"/>
        <v>-512752</v>
      </c>
      <c r="S716">
        <f t="shared" si="61"/>
        <v>-593575.74999999977</v>
      </c>
    </row>
    <row r="717" spans="1:19" x14ac:dyDescent="0.25">
      <c r="A717" s="1"/>
      <c r="C717" s="1"/>
      <c r="D717" s="1">
        <v>42262</v>
      </c>
      <c r="E717" s="10">
        <v>7515</v>
      </c>
      <c r="F717" s="1">
        <v>42262</v>
      </c>
      <c r="G717">
        <v>-8989.5</v>
      </c>
      <c r="H717" s="1">
        <f t="shared" si="56"/>
        <v>42262</v>
      </c>
      <c r="I717">
        <f>IF(AND(MyRowHidden(ROW())=FALSE,MyRowHidden(ROW()-1)=TRUE),0,(E717-E716)*unitsOfDHp+I716)</f>
        <v>-595</v>
      </c>
      <c r="J717">
        <f>IF(AND(MyRowHidden(ROW())=FALSE,MyRowHidden(ROW()-1)=TRUE),0,(G717-G716)*unitsOfExo+J716)</f>
        <v>-571680</v>
      </c>
      <c r="K717" s="9">
        <f t="shared" si="57"/>
        <v>571680</v>
      </c>
      <c r="L717">
        <f t="shared" si="58"/>
        <v>-572275</v>
      </c>
      <c r="M717">
        <f>IF(AND(MyRowHidden(ROW())=FALSE,MyRowHidden(ROW()-1)=TRUE),0,IF(MONTH(H717)&lt;&gt;MONTH(H716),M716+1,M716))</f>
        <v>8</v>
      </c>
      <c r="N717">
        <f t="shared" si="59"/>
        <v>-595</v>
      </c>
      <c r="O717">
        <f>IF(AND(MyRowHidden(ROW())=FALSE,MyRowHidden(ROW()-1)=TRUE),0,IF(M717&lt;totalMonths,(totalMonths-M717)/totalMonths *(I717-I716)+O716,0))</f>
        <v>-76168.749999999811</v>
      </c>
      <c r="P717">
        <f>IF(AND(MyRowHidden(ROW())=FALSE,MyRowHidden(ROW()-1)=TRUE),0,IF(M717&lt;totalMonths,(totalMonths-M717)/totalMonths *(J717-J716)+P716,0))</f>
        <v>-529632</v>
      </c>
      <c r="Q717">
        <f>IF(AND(MyRowHidden(ROW())=FALSE,MyRowHidden(ROW()-1)=TRUE),0,IF(M717&lt;totalMonths,(totalMonths-M717)/totalMonths *(K717-K716)+Q716,0))</f>
        <v>529632</v>
      </c>
      <c r="R717">
        <f t="shared" si="60"/>
        <v>-530227</v>
      </c>
      <c r="S717">
        <f t="shared" si="61"/>
        <v>-605800.74999999977</v>
      </c>
    </row>
    <row r="718" spans="1:19" x14ac:dyDescent="0.25">
      <c r="A718" s="1"/>
      <c r="C718" s="1"/>
      <c r="D718" s="1">
        <v>42263</v>
      </c>
      <c r="E718" s="10">
        <v>7290</v>
      </c>
      <c r="F718" s="1">
        <v>42263</v>
      </c>
      <c r="G718">
        <v>-9239.5</v>
      </c>
      <c r="H718" s="1">
        <f t="shared" si="56"/>
        <v>42263</v>
      </c>
      <c r="I718">
        <f>IF(AND(MyRowHidden(ROW())=FALSE,MyRowHidden(ROW()-1)=TRUE),0,(E718-E717)*unitsOfDHp+I717)</f>
        <v>-8470</v>
      </c>
      <c r="J718">
        <f>IF(AND(MyRowHidden(ROW())=FALSE,MyRowHidden(ROW()-1)=TRUE),0,(G718-G717)*unitsOfExo+J717)</f>
        <v>-643680</v>
      </c>
      <c r="K718" s="9">
        <f t="shared" si="57"/>
        <v>643680</v>
      </c>
      <c r="L718">
        <f t="shared" si="58"/>
        <v>-652150</v>
      </c>
      <c r="M718">
        <f>IF(AND(MyRowHidden(ROW())=FALSE,MyRowHidden(ROW()-1)=TRUE),0,IF(MONTH(H718)&lt;&gt;MONTH(H717),M717+1,M717))</f>
        <v>8</v>
      </c>
      <c r="N718">
        <f t="shared" si="59"/>
        <v>-8470</v>
      </c>
      <c r="O718">
        <f>IF(AND(MyRowHidden(ROW())=FALSE,MyRowHidden(ROW()-1)=TRUE),0,IF(M718&lt;totalMonths,(totalMonths-M718)/totalMonths *(I718-I717)+O717,0))</f>
        <v>-78793.749999999811</v>
      </c>
      <c r="P718">
        <f>IF(AND(MyRowHidden(ROW())=FALSE,MyRowHidden(ROW()-1)=TRUE),0,IF(M718&lt;totalMonths,(totalMonths-M718)/totalMonths *(J718-J717)+P717,0))</f>
        <v>-553632</v>
      </c>
      <c r="Q718">
        <f>IF(AND(MyRowHidden(ROW())=FALSE,MyRowHidden(ROW()-1)=TRUE),0,IF(M718&lt;totalMonths,(totalMonths-M718)/totalMonths *(K718-K717)+Q717,0))</f>
        <v>553632</v>
      </c>
      <c r="R718">
        <f t="shared" si="60"/>
        <v>-562102</v>
      </c>
      <c r="S718">
        <f t="shared" si="61"/>
        <v>-632425.74999999977</v>
      </c>
    </row>
    <row r="719" spans="1:19" x14ac:dyDescent="0.25">
      <c r="A719" s="1"/>
      <c r="C719" s="1"/>
      <c r="D719" s="1">
        <v>42264</v>
      </c>
      <c r="E719" s="10">
        <v>6916</v>
      </c>
      <c r="F719" s="1">
        <v>42264</v>
      </c>
      <c r="G719">
        <v>-9464.5</v>
      </c>
      <c r="H719" s="1">
        <f t="shared" si="56"/>
        <v>42264</v>
      </c>
      <c r="I719">
        <f>IF(AND(MyRowHidden(ROW())=FALSE,MyRowHidden(ROW()-1)=TRUE),0,(E719-E718)*unitsOfDHp+I718)</f>
        <v>-21560</v>
      </c>
      <c r="J719">
        <f>IF(AND(MyRowHidden(ROW())=FALSE,MyRowHidden(ROW()-1)=TRUE),0,(G719-G718)*unitsOfExo+J718)</f>
        <v>-708480</v>
      </c>
      <c r="K719" s="9">
        <f t="shared" si="57"/>
        <v>708480</v>
      </c>
      <c r="L719">
        <f t="shared" si="58"/>
        <v>-730040</v>
      </c>
      <c r="M719">
        <f>IF(AND(MyRowHidden(ROW())=FALSE,MyRowHidden(ROW()-1)=TRUE),0,IF(MONTH(H719)&lt;&gt;MONTH(H718),M718+1,M718))</f>
        <v>8</v>
      </c>
      <c r="N719">
        <f t="shared" si="59"/>
        <v>-21560</v>
      </c>
      <c r="O719">
        <f>IF(AND(MyRowHidden(ROW())=FALSE,MyRowHidden(ROW()-1)=TRUE),0,IF(M719&lt;totalMonths,(totalMonths-M719)/totalMonths *(I719-I718)+O718,0))</f>
        <v>-83157.083333333139</v>
      </c>
      <c r="P719">
        <f>IF(AND(MyRowHidden(ROW())=FALSE,MyRowHidden(ROW()-1)=TRUE),0,IF(M719&lt;totalMonths,(totalMonths-M719)/totalMonths *(J719-J718)+P718,0))</f>
        <v>-575232</v>
      </c>
      <c r="Q719">
        <f>IF(AND(MyRowHidden(ROW())=FALSE,MyRowHidden(ROW()-1)=TRUE),0,IF(M719&lt;totalMonths,(totalMonths-M719)/totalMonths *(K719-K718)+Q718,0))</f>
        <v>575232</v>
      </c>
      <c r="R719">
        <f t="shared" si="60"/>
        <v>-596792</v>
      </c>
      <c r="S719">
        <f t="shared" si="61"/>
        <v>-658389.08333333314</v>
      </c>
    </row>
    <row r="720" spans="1:19" x14ac:dyDescent="0.25">
      <c r="A720" s="1"/>
      <c r="C720" s="1"/>
      <c r="D720" s="1">
        <v>42265</v>
      </c>
      <c r="E720" s="10">
        <v>6495</v>
      </c>
      <c r="F720" s="1">
        <v>42265</v>
      </c>
      <c r="G720">
        <v>-9639.5</v>
      </c>
      <c r="H720" s="1">
        <f t="shared" si="56"/>
        <v>42265</v>
      </c>
      <c r="I720">
        <f>IF(AND(MyRowHidden(ROW())=FALSE,MyRowHidden(ROW()-1)=TRUE),0,(E720-E719)*unitsOfDHp+I719)</f>
        <v>-36295</v>
      </c>
      <c r="J720">
        <f>IF(AND(MyRowHidden(ROW())=FALSE,MyRowHidden(ROW()-1)=TRUE),0,(G720-G719)*unitsOfExo+J719)</f>
        <v>-758880</v>
      </c>
      <c r="K720" s="9">
        <f t="shared" si="57"/>
        <v>758880</v>
      </c>
      <c r="L720">
        <f t="shared" si="58"/>
        <v>-795175</v>
      </c>
      <c r="M720">
        <f>IF(AND(MyRowHidden(ROW())=FALSE,MyRowHidden(ROW()-1)=TRUE),0,IF(MONTH(H720)&lt;&gt;MONTH(H719),M719+1,M719))</f>
        <v>8</v>
      </c>
      <c r="N720">
        <f t="shared" si="59"/>
        <v>-36295</v>
      </c>
      <c r="O720">
        <f>IF(AND(MyRowHidden(ROW())=FALSE,MyRowHidden(ROW()-1)=TRUE),0,IF(M720&lt;totalMonths,(totalMonths-M720)/totalMonths *(I720-I719)+O719,0))</f>
        <v>-88068.749999999811</v>
      </c>
      <c r="P720">
        <f>IF(AND(MyRowHidden(ROW())=FALSE,MyRowHidden(ROW()-1)=TRUE),0,IF(M720&lt;totalMonths,(totalMonths-M720)/totalMonths *(J720-J719)+P719,0))</f>
        <v>-592032</v>
      </c>
      <c r="Q720">
        <f>IF(AND(MyRowHidden(ROW())=FALSE,MyRowHidden(ROW()-1)=TRUE),0,IF(M720&lt;totalMonths,(totalMonths-M720)/totalMonths *(K720-K719)+Q719,0))</f>
        <v>592032</v>
      </c>
      <c r="R720">
        <f t="shared" si="60"/>
        <v>-628327</v>
      </c>
      <c r="S720">
        <f t="shared" si="61"/>
        <v>-680100.74999999977</v>
      </c>
    </row>
    <row r="721" spans="1:19" x14ac:dyDescent="0.25">
      <c r="A721" s="1"/>
      <c r="C721" s="1"/>
      <c r="D721" s="1">
        <v>42268</v>
      </c>
      <c r="E721" s="10">
        <v>6820</v>
      </c>
      <c r="F721" s="1">
        <v>42268</v>
      </c>
      <c r="G721">
        <v>-9339.5</v>
      </c>
      <c r="H721" s="1">
        <f t="shared" si="56"/>
        <v>42268</v>
      </c>
      <c r="I721">
        <f>IF(AND(MyRowHidden(ROW())=FALSE,MyRowHidden(ROW()-1)=TRUE),0,(E721-E720)*unitsOfDHp+I720)</f>
        <v>-24920</v>
      </c>
      <c r="J721">
        <f>IF(AND(MyRowHidden(ROW())=FALSE,MyRowHidden(ROW()-1)=TRUE),0,(G721-G720)*unitsOfExo+J720)</f>
        <v>-672480</v>
      </c>
      <c r="K721" s="9">
        <f t="shared" si="57"/>
        <v>672480</v>
      </c>
      <c r="L721">
        <f t="shared" si="58"/>
        <v>-697400</v>
      </c>
      <c r="M721">
        <f>IF(AND(MyRowHidden(ROW())=FALSE,MyRowHidden(ROW()-1)=TRUE),0,IF(MONTH(H721)&lt;&gt;MONTH(H720),M720+1,M720))</f>
        <v>8</v>
      </c>
      <c r="N721">
        <f t="shared" si="59"/>
        <v>-24920</v>
      </c>
      <c r="O721">
        <f>IF(AND(MyRowHidden(ROW())=FALSE,MyRowHidden(ROW()-1)=TRUE),0,IF(M721&lt;totalMonths,(totalMonths-M721)/totalMonths *(I721-I720)+O720,0))</f>
        <v>-84277.083333333139</v>
      </c>
      <c r="P721">
        <f>IF(AND(MyRowHidden(ROW())=FALSE,MyRowHidden(ROW()-1)=TRUE),0,IF(M721&lt;totalMonths,(totalMonths-M721)/totalMonths *(J721-J720)+P720,0))</f>
        <v>-563232</v>
      </c>
      <c r="Q721">
        <f>IF(AND(MyRowHidden(ROW())=FALSE,MyRowHidden(ROW()-1)=TRUE),0,IF(M721&lt;totalMonths,(totalMonths-M721)/totalMonths *(K721-K720)+Q720,0))</f>
        <v>563232</v>
      </c>
      <c r="R721">
        <f t="shared" si="60"/>
        <v>-588152</v>
      </c>
      <c r="S721">
        <f t="shared" si="61"/>
        <v>-647509.08333333314</v>
      </c>
    </row>
    <row r="722" spans="1:19" x14ac:dyDescent="0.25">
      <c r="A722" s="1"/>
      <c r="C722" s="1"/>
      <c r="D722" s="1">
        <v>42269</v>
      </c>
      <c r="E722" s="10">
        <v>6645</v>
      </c>
      <c r="F722" s="1">
        <v>42269</v>
      </c>
      <c r="G722">
        <v>-9552</v>
      </c>
      <c r="H722" s="1">
        <f t="shared" si="56"/>
        <v>42269</v>
      </c>
      <c r="I722">
        <f>IF(AND(MyRowHidden(ROW())=FALSE,MyRowHidden(ROW()-1)=TRUE),0,(E722-E721)*unitsOfDHp+I721)</f>
        <v>-31045</v>
      </c>
      <c r="J722">
        <f>IF(AND(MyRowHidden(ROW())=FALSE,MyRowHidden(ROW()-1)=TRUE),0,(G722-G721)*unitsOfExo+J721)</f>
        <v>-733680</v>
      </c>
      <c r="K722" s="9">
        <f t="shared" si="57"/>
        <v>733680</v>
      </c>
      <c r="L722">
        <f t="shared" si="58"/>
        <v>-764725</v>
      </c>
      <c r="M722">
        <f>IF(AND(MyRowHidden(ROW())=FALSE,MyRowHidden(ROW()-1)=TRUE),0,IF(MONTH(H722)&lt;&gt;MONTH(H721),M721+1,M721))</f>
        <v>8</v>
      </c>
      <c r="N722">
        <f t="shared" si="59"/>
        <v>-31045</v>
      </c>
      <c r="O722">
        <f>IF(AND(MyRowHidden(ROW())=FALSE,MyRowHidden(ROW()-1)=TRUE),0,IF(M722&lt;totalMonths,(totalMonths-M722)/totalMonths *(I722-I721)+O721,0))</f>
        <v>-86318.749999999811</v>
      </c>
      <c r="P722">
        <f>IF(AND(MyRowHidden(ROW())=FALSE,MyRowHidden(ROW()-1)=TRUE),0,IF(M722&lt;totalMonths,(totalMonths-M722)/totalMonths *(J722-J721)+P721,0))</f>
        <v>-583632</v>
      </c>
      <c r="Q722">
        <f>IF(AND(MyRowHidden(ROW())=FALSE,MyRowHidden(ROW()-1)=TRUE),0,IF(M722&lt;totalMonths,(totalMonths-M722)/totalMonths *(K722-K721)+Q721,0))</f>
        <v>583632</v>
      </c>
      <c r="R722">
        <f t="shared" si="60"/>
        <v>-614677</v>
      </c>
      <c r="S722">
        <f t="shared" si="61"/>
        <v>-669950.74999999977</v>
      </c>
    </row>
    <row r="723" spans="1:19" x14ac:dyDescent="0.25">
      <c r="A723" s="1"/>
      <c r="C723" s="1"/>
      <c r="D723" s="1">
        <v>42270</v>
      </c>
      <c r="E723" s="10">
        <v>6821</v>
      </c>
      <c r="F723" s="1">
        <v>42270</v>
      </c>
      <c r="G723">
        <v>-9427</v>
      </c>
      <c r="H723" s="1">
        <f t="shared" si="56"/>
        <v>42270</v>
      </c>
      <c r="I723">
        <f>IF(AND(MyRowHidden(ROW())=FALSE,MyRowHidden(ROW()-1)=TRUE),0,(E723-E722)*unitsOfDHp+I722)</f>
        <v>-24885</v>
      </c>
      <c r="J723">
        <f>IF(AND(MyRowHidden(ROW())=FALSE,MyRowHidden(ROW()-1)=TRUE),0,(G723-G722)*unitsOfExo+J722)</f>
        <v>-697680</v>
      </c>
      <c r="K723" s="9">
        <f t="shared" si="57"/>
        <v>697680</v>
      </c>
      <c r="L723">
        <f t="shared" si="58"/>
        <v>-722565</v>
      </c>
      <c r="M723">
        <f>IF(AND(MyRowHidden(ROW())=FALSE,MyRowHidden(ROW()-1)=TRUE),0,IF(MONTH(H723)&lt;&gt;MONTH(H722),M722+1,M722))</f>
        <v>8</v>
      </c>
      <c r="N723">
        <f t="shared" si="59"/>
        <v>-24885</v>
      </c>
      <c r="O723">
        <f>IF(AND(MyRowHidden(ROW())=FALSE,MyRowHidden(ROW()-1)=TRUE),0,IF(M723&lt;totalMonths,(totalMonths-M723)/totalMonths *(I723-I722)+O722,0))</f>
        <v>-84265.416666666482</v>
      </c>
      <c r="P723">
        <f>IF(AND(MyRowHidden(ROW())=FALSE,MyRowHidden(ROW()-1)=TRUE),0,IF(M723&lt;totalMonths,(totalMonths-M723)/totalMonths *(J723-J722)+P722,0))</f>
        <v>-571632</v>
      </c>
      <c r="Q723">
        <f>IF(AND(MyRowHidden(ROW())=FALSE,MyRowHidden(ROW()-1)=TRUE),0,IF(M723&lt;totalMonths,(totalMonths-M723)/totalMonths *(K723-K722)+Q722,0))</f>
        <v>571632</v>
      </c>
      <c r="R723">
        <f t="shared" si="60"/>
        <v>-596517</v>
      </c>
      <c r="S723">
        <f t="shared" si="61"/>
        <v>-655897.41666666651</v>
      </c>
    </row>
    <row r="724" spans="1:19" x14ac:dyDescent="0.25">
      <c r="A724" s="1"/>
      <c r="C724" s="1"/>
      <c r="D724" s="1">
        <v>42271</v>
      </c>
      <c r="E724" s="10">
        <v>6708</v>
      </c>
      <c r="F724" s="1">
        <v>42271</v>
      </c>
      <c r="G724">
        <v>-9514.5</v>
      </c>
      <c r="H724" s="1">
        <f t="shared" si="56"/>
        <v>42271</v>
      </c>
      <c r="I724">
        <f>IF(AND(MyRowHidden(ROW())=FALSE,MyRowHidden(ROW()-1)=TRUE),0,(E724-E723)*unitsOfDHp+I723)</f>
        <v>-28840</v>
      </c>
      <c r="J724">
        <f>IF(AND(MyRowHidden(ROW())=FALSE,MyRowHidden(ROW()-1)=TRUE),0,(G724-G723)*unitsOfExo+J723)</f>
        <v>-722880</v>
      </c>
      <c r="K724" s="9">
        <f t="shared" si="57"/>
        <v>722880</v>
      </c>
      <c r="L724">
        <f t="shared" si="58"/>
        <v>-751720</v>
      </c>
      <c r="M724">
        <f>IF(AND(MyRowHidden(ROW())=FALSE,MyRowHidden(ROW()-1)=TRUE),0,IF(MONTH(H724)&lt;&gt;MONTH(H723),M723+1,M723))</f>
        <v>8</v>
      </c>
      <c r="N724">
        <f t="shared" si="59"/>
        <v>-28840</v>
      </c>
      <c r="O724">
        <f>IF(AND(MyRowHidden(ROW())=FALSE,MyRowHidden(ROW()-1)=TRUE),0,IF(M724&lt;totalMonths,(totalMonths-M724)/totalMonths *(I724-I723)+O723,0))</f>
        <v>-85583.749999999811</v>
      </c>
      <c r="P724">
        <f>IF(AND(MyRowHidden(ROW())=FALSE,MyRowHidden(ROW()-1)=TRUE),0,IF(M724&lt;totalMonths,(totalMonths-M724)/totalMonths *(J724-J723)+P723,0))</f>
        <v>-580032</v>
      </c>
      <c r="Q724">
        <f>IF(AND(MyRowHidden(ROW())=FALSE,MyRowHidden(ROW()-1)=TRUE),0,IF(M724&lt;totalMonths,(totalMonths-M724)/totalMonths *(K724-K723)+Q723,0))</f>
        <v>580032</v>
      </c>
      <c r="R724">
        <f t="shared" si="60"/>
        <v>-608872</v>
      </c>
      <c r="S724">
        <f t="shared" si="61"/>
        <v>-665615.74999999977</v>
      </c>
    </row>
    <row r="725" spans="1:19" x14ac:dyDescent="0.25">
      <c r="A725" s="1"/>
      <c r="C725" s="1"/>
      <c r="D725" s="1">
        <v>42272</v>
      </c>
      <c r="E725" s="10">
        <v>7072</v>
      </c>
      <c r="F725" s="1">
        <v>42272</v>
      </c>
      <c r="G725">
        <v>-9139.5</v>
      </c>
      <c r="H725" s="1">
        <f t="shared" si="56"/>
        <v>42272</v>
      </c>
      <c r="I725">
        <f>IF(AND(MyRowHidden(ROW())=FALSE,MyRowHidden(ROW()-1)=TRUE),0,(E725-E724)*unitsOfDHp+I724)</f>
        <v>-16100</v>
      </c>
      <c r="J725">
        <f>IF(AND(MyRowHidden(ROW())=FALSE,MyRowHidden(ROW()-1)=TRUE),0,(G725-G724)*unitsOfExo+J724)</f>
        <v>-614880</v>
      </c>
      <c r="K725" s="9">
        <f t="shared" si="57"/>
        <v>614880</v>
      </c>
      <c r="L725">
        <f t="shared" si="58"/>
        <v>-630980</v>
      </c>
      <c r="M725">
        <f>IF(AND(MyRowHidden(ROW())=FALSE,MyRowHidden(ROW()-1)=TRUE),0,IF(MONTH(H725)&lt;&gt;MONTH(H724),M724+1,M724))</f>
        <v>8</v>
      </c>
      <c r="N725">
        <f t="shared" si="59"/>
        <v>-16100</v>
      </c>
      <c r="O725">
        <f>IF(AND(MyRowHidden(ROW())=FALSE,MyRowHidden(ROW()-1)=TRUE),0,IF(M725&lt;totalMonths,(totalMonths-M725)/totalMonths *(I725-I724)+O724,0))</f>
        <v>-81337.083333333139</v>
      </c>
      <c r="P725">
        <f>IF(AND(MyRowHidden(ROW())=FALSE,MyRowHidden(ROW()-1)=TRUE),0,IF(M725&lt;totalMonths,(totalMonths-M725)/totalMonths *(J725-J724)+P724,0))</f>
        <v>-544032</v>
      </c>
      <c r="Q725">
        <f>IF(AND(MyRowHidden(ROW())=FALSE,MyRowHidden(ROW()-1)=TRUE),0,IF(M725&lt;totalMonths,(totalMonths-M725)/totalMonths *(K725-K724)+Q724,0))</f>
        <v>544032</v>
      </c>
      <c r="R725">
        <f t="shared" si="60"/>
        <v>-560132</v>
      </c>
      <c r="S725">
        <f t="shared" si="61"/>
        <v>-625369.08333333314</v>
      </c>
    </row>
    <row r="726" spans="1:19" x14ac:dyDescent="0.25">
      <c r="A726" s="1"/>
      <c r="C726" s="1"/>
      <c r="D726" s="1">
        <v>42275</v>
      </c>
      <c r="E726" s="10">
        <v>6997</v>
      </c>
      <c r="F726" s="1">
        <v>42275</v>
      </c>
      <c r="G726">
        <v>-9239.5</v>
      </c>
      <c r="H726" s="1">
        <f t="shared" ref="H726:H789" si="62">D726</f>
        <v>42275</v>
      </c>
      <c r="I726">
        <f>IF(AND(MyRowHidden(ROW())=FALSE,MyRowHidden(ROW()-1)=TRUE),0,(E726-E725)*unitsOfDHp+I725)</f>
        <v>-18725</v>
      </c>
      <c r="J726">
        <f>IF(AND(MyRowHidden(ROW())=FALSE,MyRowHidden(ROW()-1)=TRUE),0,(G726-G725)*unitsOfExo+J725)</f>
        <v>-643680</v>
      </c>
      <c r="K726" s="9">
        <f t="shared" ref="K726:K789" si="63">-(J726-J725)+K725</f>
        <v>643680</v>
      </c>
      <c r="L726">
        <f t="shared" ref="L726:L789" si="64">I726+J726</f>
        <v>-662405</v>
      </c>
      <c r="M726">
        <f>IF(AND(MyRowHidden(ROW())=FALSE,MyRowHidden(ROW()-1)=TRUE),0,IF(MONTH(H726)&lt;&gt;MONTH(H725),M725+1,M725))</f>
        <v>8</v>
      </c>
      <c r="N726">
        <f t="shared" ref="N726:N789" si="65">I726</f>
        <v>-18725</v>
      </c>
      <c r="O726">
        <f>IF(AND(MyRowHidden(ROW())=FALSE,MyRowHidden(ROW()-1)=TRUE),0,IF(M726&lt;totalMonths,(totalMonths-M726)/totalMonths *(I726-I725)+O725,0))</f>
        <v>-82212.083333333139</v>
      </c>
      <c r="P726">
        <f>IF(AND(MyRowHidden(ROW())=FALSE,MyRowHidden(ROW()-1)=TRUE),0,IF(M726&lt;totalMonths,(totalMonths-M726)/totalMonths *(J726-J725)+P725,0))</f>
        <v>-553632</v>
      </c>
      <c r="Q726">
        <f>IF(AND(MyRowHidden(ROW())=FALSE,MyRowHidden(ROW()-1)=TRUE),0,IF(M726&lt;totalMonths,(totalMonths-M726)/totalMonths *(K726-K725)+Q725,0))</f>
        <v>553632</v>
      </c>
      <c r="R726">
        <f t="shared" ref="R726:R789" si="66">N726+P726</f>
        <v>-572357</v>
      </c>
      <c r="S726">
        <f t="shared" ref="S726:S789" si="67">O726+P726</f>
        <v>-635844.08333333314</v>
      </c>
    </row>
    <row r="727" spans="1:19" x14ac:dyDescent="0.25">
      <c r="A727" s="1"/>
      <c r="C727" s="1"/>
      <c r="D727" s="1">
        <v>42276</v>
      </c>
      <c r="E727" s="10">
        <v>7097</v>
      </c>
      <c r="F727" s="1">
        <v>42276</v>
      </c>
      <c r="G727">
        <v>-9114.5</v>
      </c>
      <c r="H727" s="1">
        <f t="shared" si="62"/>
        <v>42276</v>
      </c>
      <c r="I727">
        <f>IF(AND(MyRowHidden(ROW())=FALSE,MyRowHidden(ROW()-1)=TRUE),0,(E727-E726)*unitsOfDHp+I726)</f>
        <v>-15225</v>
      </c>
      <c r="J727">
        <f>IF(AND(MyRowHidden(ROW())=FALSE,MyRowHidden(ROW()-1)=TRUE),0,(G727-G726)*unitsOfExo+J726)</f>
        <v>-607680</v>
      </c>
      <c r="K727" s="9">
        <f t="shared" si="63"/>
        <v>607680</v>
      </c>
      <c r="L727">
        <f t="shared" si="64"/>
        <v>-622905</v>
      </c>
      <c r="M727">
        <f>IF(AND(MyRowHidden(ROW())=FALSE,MyRowHidden(ROW()-1)=TRUE),0,IF(MONTH(H727)&lt;&gt;MONTH(H726),M726+1,M726))</f>
        <v>8</v>
      </c>
      <c r="N727">
        <f t="shared" si="65"/>
        <v>-15225</v>
      </c>
      <c r="O727">
        <f>IF(AND(MyRowHidden(ROW())=FALSE,MyRowHidden(ROW()-1)=TRUE),0,IF(M727&lt;totalMonths,(totalMonths-M727)/totalMonths *(I727-I726)+O726,0))</f>
        <v>-81045.416666666468</v>
      </c>
      <c r="P727">
        <f>IF(AND(MyRowHidden(ROW())=FALSE,MyRowHidden(ROW()-1)=TRUE),0,IF(M727&lt;totalMonths,(totalMonths-M727)/totalMonths *(J727-J726)+P726,0))</f>
        <v>-541632</v>
      </c>
      <c r="Q727">
        <f>IF(AND(MyRowHidden(ROW())=FALSE,MyRowHidden(ROW()-1)=TRUE),0,IF(M727&lt;totalMonths,(totalMonths-M727)/totalMonths *(K727-K726)+Q726,0))</f>
        <v>541632</v>
      </c>
      <c r="R727">
        <f t="shared" si="66"/>
        <v>-556857</v>
      </c>
      <c r="S727">
        <f t="shared" si="67"/>
        <v>-622677.41666666651</v>
      </c>
    </row>
    <row r="728" spans="1:19" x14ac:dyDescent="0.25">
      <c r="A728" s="1"/>
      <c r="C728" s="1"/>
      <c r="D728" s="1">
        <v>42277</v>
      </c>
      <c r="E728" s="10">
        <v>7197</v>
      </c>
      <c r="F728" s="1">
        <v>42277</v>
      </c>
      <c r="G728">
        <v>-9277</v>
      </c>
      <c r="H728" s="1">
        <f t="shared" si="62"/>
        <v>42277</v>
      </c>
      <c r="I728">
        <f>IF(AND(MyRowHidden(ROW())=FALSE,MyRowHidden(ROW()-1)=TRUE),0,(E728-E727)*unitsOfDHp+I727)</f>
        <v>-11725</v>
      </c>
      <c r="J728">
        <f>IF(AND(MyRowHidden(ROW())=FALSE,MyRowHidden(ROW()-1)=TRUE),0,(G728-G727)*unitsOfExo+J727)</f>
        <v>-654480</v>
      </c>
      <c r="K728" s="9">
        <f t="shared" si="63"/>
        <v>654480</v>
      </c>
      <c r="L728">
        <f t="shared" si="64"/>
        <v>-666205</v>
      </c>
      <c r="M728">
        <f>IF(AND(MyRowHidden(ROW())=FALSE,MyRowHidden(ROW()-1)=TRUE),0,IF(MONTH(H728)&lt;&gt;MONTH(H727),M727+1,M727))</f>
        <v>8</v>
      </c>
      <c r="N728">
        <f t="shared" si="65"/>
        <v>-11725</v>
      </c>
      <c r="O728">
        <f>IF(AND(MyRowHidden(ROW())=FALSE,MyRowHidden(ROW()-1)=TRUE),0,IF(M728&lt;totalMonths,(totalMonths-M728)/totalMonths *(I728-I727)+O727,0))</f>
        <v>-79878.749999999796</v>
      </c>
      <c r="P728">
        <f>IF(AND(MyRowHidden(ROW())=FALSE,MyRowHidden(ROW()-1)=TRUE),0,IF(M728&lt;totalMonths,(totalMonths-M728)/totalMonths *(J728-J727)+P727,0))</f>
        <v>-557232</v>
      </c>
      <c r="Q728">
        <f>IF(AND(MyRowHidden(ROW())=FALSE,MyRowHidden(ROW()-1)=TRUE),0,IF(M728&lt;totalMonths,(totalMonths-M728)/totalMonths *(K728-K727)+Q727,0))</f>
        <v>557232</v>
      </c>
      <c r="R728">
        <f t="shared" si="66"/>
        <v>-568957</v>
      </c>
      <c r="S728">
        <f t="shared" si="67"/>
        <v>-637110.74999999977</v>
      </c>
    </row>
    <row r="729" spans="1:19" x14ac:dyDescent="0.25">
      <c r="A729" s="1"/>
      <c r="C729" s="1"/>
      <c r="D729" s="1">
        <v>42278</v>
      </c>
      <c r="E729" s="10">
        <v>7660</v>
      </c>
      <c r="F729" s="1">
        <v>42278</v>
      </c>
      <c r="G729">
        <v>-9039.5</v>
      </c>
      <c r="H729" s="1">
        <f t="shared" si="62"/>
        <v>42278</v>
      </c>
      <c r="I729">
        <f>IF(AND(MyRowHidden(ROW())=FALSE,MyRowHidden(ROW()-1)=TRUE),0,(E729-E728)*unitsOfDHp+I728)</f>
        <v>4480</v>
      </c>
      <c r="J729">
        <f>IF(AND(MyRowHidden(ROW())=FALSE,MyRowHidden(ROW()-1)=TRUE),0,(G729-G728)*unitsOfExo+J728)</f>
        <v>-586080</v>
      </c>
      <c r="K729" s="9">
        <f t="shared" si="63"/>
        <v>586080</v>
      </c>
      <c r="L729">
        <f t="shared" si="64"/>
        <v>-581600</v>
      </c>
      <c r="M729">
        <f>IF(AND(MyRowHidden(ROW())=FALSE,MyRowHidden(ROW()-1)=TRUE),0,IF(MONTH(H729)&lt;&gt;MONTH(H728),M728+1,M728))</f>
        <v>9</v>
      </c>
      <c r="N729">
        <f t="shared" si="65"/>
        <v>4480</v>
      </c>
      <c r="O729">
        <f>IF(AND(MyRowHidden(ROW())=FALSE,MyRowHidden(ROW()-1)=TRUE),0,IF(M729&lt;totalMonths,(totalMonths-M729)/totalMonths *(I729-I728)+O728,0))</f>
        <v>-75827.499999999796</v>
      </c>
      <c r="P729">
        <f>IF(AND(MyRowHidden(ROW())=FALSE,MyRowHidden(ROW()-1)=TRUE),0,IF(M729&lt;totalMonths,(totalMonths-M729)/totalMonths *(J729-J728)+P728,0))</f>
        <v>-540132</v>
      </c>
      <c r="Q729">
        <f>IF(AND(MyRowHidden(ROW())=FALSE,MyRowHidden(ROW()-1)=TRUE),0,IF(M729&lt;totalMonths,(totalMonths-M729)/totalMonths *(K729-K728)+Q728,0))</f>
        <v>540132</v>
      </c>
      <c r="R729">
        <f t="shared" si="66"/>
        <v>-535652</v>
      </c>
      <c r="S729">
        <f t="shared" si="67"/>
        <v>-615959.49999999977</v>
      </c>
    </row>
    <row r="730" spans="1:19" x14ac:dyDescent="0.25">
      <c r="A730" s="1"/>
      <c r="C730" s="1"/>
      <c r="D730" s="1">
        <v>42279</v>
      </c>
      <c r="E730" s="10">
        <v>7724</v>
      </c>
      <c r="F730" s="1">
        <v>42279</v>
      </c>
      <c r="G730">
        <v>-9039.5</v>
      </c>
      <c r="H730" s="1">
        <f t="shared" si="62"/>
        <v>42279</v>
      </c>
      <c r="I730">
        <f>IF(AND(MyRowHidden(ROW())=FALSE,MyRowHidden(ROW()-1)=TRUE),0,(E730-E729)*unitsOfDHp+I729)</f>
        <v>6720</v>
      </c>
      <c r="J730">
        <f>IF(AND(MyRowHidden(ROW())=FALSE,MyRowHidden(ROW()-1)=TRUE),0,(G730-G729)*unitsOfExo+J729)</f>
        <v>-586080</v>
      </c>
      <c r="K730" s="9">
        <f t="shared" si="63"/>
        <v>586080</v>
      </c>
      <c r="L730">
        <f t="shared" si="64"/>
        <v>-579360</v>
      </c>
      <c r="M730">
        <f>IF(AND(MyRowHidden(ROW())=FALSE,MyRowHidden(ROW()-1)=TRUE),0,IF(MONTH(H730)&lt;&gt;MONTH(H729),M729+1,M729))</f>
        <v>9</v>
      </c>
      <c r="N730">
        <f t="shared" si="65"/>
        <v>6720</v>
      </c>
      <c r="O730">
        <f>IF(AND(MyRowHidden(ROW())=FALSE,MyRowHidden(ROW()-1)=TRUE),0,IF(M730&lt;totalMonths,(totalMonths-M730)/totalMonths *(I730-I729)+O729,0))</f>
        <v>-75267.499999999796</v>
      </c>
      <c r="P730">
        <f>IF(AND(MyRowHidden(ROW())=FALSE,MyRowHidden(ROW()-1)=TRUE),0,IF(M730&lt;totalMonths,(totalMonths-M730)/totalMonths *(J730-J729)+P729,0))</f>
        <v>-540132</v>
      </c>
      <c r="Q730">
        <f>IF(AND(MyRowHidden(ROW())=FALSE,MyRowHidden(ROW()-1)=TRUE),0,IF(M730&lt;totalMonths,(totalMonths-M730)/totalMonths *(K730-K729)+Q729,0))</f>
        <v>540132</v>
      </c>
      <c r="R730">
        <f t="shared" si="66"/>
        <v>-533412</v>
      </c>
      <c r="S730">
        <f t="shared" si="67"/>
        <v>-615399.49999999977</v>
      </c>
    </row>
    <row r="731" spans="1:19" x14ac:dyDescent="0.25">
      <c r="A731" s="1"/>
      <c r="C731" s="1"/>
      <c r="D731" s="1">
        <v>42282</v>
      </c>
      <c r="E731" s="10">
        <v>8162</v>
      </c>
      <c r="F731" s="1">
        <v>42282</v>
      </c>
      <c r="G731">
        <v>-8902</v>
      </c>
      <c r="H731" s="1">
        <f t="shared" si="62"/>
        <v>42282</v>
      </c>
      <c r="I731">
        <f>IF(AND(MyRowHidden(ROW())=FALSE,MyRowHidden(ROW()-1)=TRUE),0,(E731-E730)*unitsOfDHp+I730)</f>
        <v>22050</v>
      </c>
      <c r="J731">
        <f>IF(AND(MyRowHidden(ROW())=FALSE,MyRowHidden(ROW()-1)=TRUE),0,(G731-G730)*unitsOfExo+J730)</f>
        <v>-546480</v>
      </c>
      <c r="K731" s="9">
        <f t="shared" si="63"/>
        <v>546480</v>
      </c>
      <c r="L731">
        <f t="shared" si="64"/>
        <v>-524430</v>
      </c>
      <c r="M731">
        <f>IF(AND(MyRowHidden(ROW())=FALSE,MyRowHidden(ROW()-1)=TRUE),0,IF(MONTH(H731)&lt;&gt;MONTH(H730),M730+1,M730))</f>
        <v>9</v>
      </c>
      <c r="N731">
        <f t="shared" si="65"/>
        <v>22050</v>
      </c>
      <c r="O731">
        <f>IF(AND(MyRowHidden(ROW())=FALSE,MyRowHidden(ROW()-1)=TRUE),0,IF(M731&lt;totalMonths,(totalMonths-M731)/totalMonths *(I731-I730)+O730,0))</f>
        <v>-71434.999999999796</v>
      </c>
      <c r="P731">
        <f>IF(AND(MyRowHidden(ROW())=FALSE,MyRowHidden(ROW()-1)=TRUE),0,IF(M731&lt;totalMonths,(totalMonths-M731)/totalMonths *(J731-J730)+P730,0))</f>
        <v>-530232</v>
      </c>
      <c r="Q731">
        <f>IF(AND(MyRowHidden(ROW())=FALSE,MyRowHidden(ROW()-1)=TRUE),0,IF(M731&lt;totalMonths,(totalMonths-M731)/totalMonths *(K731-K730)+Q730,0))</f>
        <v>530232</v>
      </c>
      <c r="R731">
        <f t="shared" si="66"/>
        <v>-508182</v>
      </c>
      <c r="S731">
        <f t="shared" si="67"/>
        <v>-601666.99999999977</v>
      </c>
    </row>
    <row r="732" spans="1:19" x14ac:dyDescent="0.25">
      <c r="A732" s="1"/>
      <c r="C732" s="1"/>
      <c r="D732" s="1">
        <v>42283</v>
      </c>
      <c r="E732" s="10">
        <v>8202</v>
      </c>
      <c r="F732" s="1">
        <v>42283</v>
      </c>
      <c r="G732">
        <v>-8664.5</v>
      </c>
      <c r="H732" s="1">
        <f t="shared" si="62"/>
        <v>42283</v>
      </c>
      <c r="I732">
        <f>IF(AND(MyRowHidden(ROW())=FALSE,MyRowHidden(ROW()-1)=TRUE),0,(E732-E731)*unitsOfDHp+I731)</f>
        <v>23450</v>
      </c>
      <c r="J732">
        <f>IF(AND(MyRowHidden(ROW())=FALSE,MyRowHidden(ROW()-1)=TRUE),0,(G732-G731)*unitsOfExo+J731)</f>
        <v>-478080</v>
      </c>
      <c r="K732" s="9">
        <f t="shared" si="63"/>
        <v>478080</v>
      </c>
      <c r="L732">
        <f t="shared" si="64"/>
        <v>-454630</v>
      </c>
      <c r="M732">
        <f>IF(AND(MyRowHidden(ROW())=FALSE,MyRowHidden(ROW()-1)=TRUE),0,IF(MONTH(H732)&lt;&gt;MONTH(H731),M731+1,M731))</f>
        <v>9</v>
      </c>
      <c r="N732">
        <f t="shared" si="65"/>
        <v>23450</v>
      </c>
      <c r="O732">
        <f>IF(AND(MyRowHidden(ROW())=FALSE,MyRowHidden(ROW()-1)=TRUE),0,IF(M732&lt;totalMonths,(totalMonths-M732)/totalMonths *(I732-I731)+O731,0))</f>
        <v>-71084.999999999796</v>
      </c>
      <c r="P732">
        <f>IF(AND(MyRowHidden(ROW())=FALSE,MyRowHidden(ROW()-1)=TRUE),0,IF(M732&lt;totalMonths,(totalMonths-M732)/totalMonths *(J732-J731)+P731,0))</f>
        <v>-513132</v>
      </c>
      <c r="Q732">
        <f>IF(AND(MyRowHidden(ROW())=FALSE,MyRowHidden(ROW()-1)=TRUE),0,IF(M732&lt;totalMonths,(totalMonths-M732)/totalMonths *(K732-K731)+Q731,0))</f>
        <v>513132</v>
      </c>
      <c r="R732">
        <f t="shared" si="66"/>
        <v>-489682</v>
      </c>
      <c r="S732">
        <f t="shared" si="67"/>
        <v>-584216.99999999977</v>
      </c>
    </row>
    <row r="733" spans="1:19" x14ac:dyDescent="0.25">
      <c r="A733" s="1"/>
      <c r="C733" s="1"/>
      <c r="D733" s="1">
        <v>42284</v>
      </c>
      <c r="E733" s="10">
        <v>8102</v>
      </c>
      <c r="F733" s="1">
        <v>42284</v>
      </c>
      <c r="G733">
        <v>-8752</v>
      </c>
      <c r="H733" s="1">
        <f t="shared" si="62"/>
        <v>42284</v>
      </c>
      <c r="I733">
        <f>IF(AND(MyRowHidden(ROW())=FALSE,MyRowHidden(ROW()-1)=TRUE),0,(E733-E732)*unitsOfDHp+I732)</f>
        <v>19950</v>
      </c>
      <c r="J733">
        <f>IF(AND(MyRowHidden(ROW())=FALSE,MyRowHidden(ROW()-1)=TRUE),0,(G733-G732)*unitsOfExo+J732)</f>
        <v>-503280</v>
      </c>
      <c r="K733" s="9">
        <f t="shared" si="63"/>
        <v>503280</v>
      </c>
      <c r="L733">
        <f t="shared" si="64"/>
        <v>-483330</v>
      </c>
      <c r="M733">
        <f>IF(AND(MyRowHidden(ROW())=FALSE,MyRowHidden(ROW()-1)=TRUE),0,IF(MONTH(H733)&lt;&gt;MONTH(H732),M732+1,M732))</f>
        <v>9</v>
      </c>
      <c r="N733">
        <f t="shared" si="65"/>
        <v>19950</v>
      </c>
      <c r="O733">
        <f>IF(AND(MyRowHidden(ROW())=FALSE,MyRowHidden(ROW()-1)=TRUE),0,IF(M733&lt;totalMonths,(totalMonths-M733)/totalMonths *(I733-I732)+O732,0))</f>
        <v>-71959.999999999796</v>
      </c>
      <c r="P733">
        <f>IF(AND(MyRowHidden(ROW())=FALSE,MyRowHidden(ROW()-1)=TRUE),0,IF(M733&lt;totalMonths,(totalMonths-M733)/totalMonths *(J733-J732)+P732,0))</f>
        <v>-519432</v>
      </c>
      <c r="Q733">
        <f>IF(AND(MyRowHidden(ROW())=FALSE,MyRowHidden(ROW()-1)=TRUE),0,IF(M733&lt;totalMonths,(totalMonths-M733)/totalMonths *(K733-K732)+Q732,0))</f>
        <v>519432</v>
      </c>
      <c r="R733">
        <f t="shared" si="66"/>
        <v>-499482</v>
      </c>
      <c r="S733">
        <f t="shared" si="67"/>
        <v>-591391.99999999977</v>
      </c>
    </row>
    <row r="734" spans="1:19" x14ac:dyDescent="0.25">
      <c r="A734" s="1"/>
      <c r="C734" s="1"/>
      <c r="D734" s="1">
        <v>42285</v>
      </c>
      <c r="E734" s="10">
        <v>7655</v>
      </c>
      <c r="F734" s="1">
        <v>42285</v>
      </c>
      <c r="G734">
        <v>-8952</v>
      </c>
      <c r="H734" s="1">
        <f t="shared" si="62"/>
        <v>42285</v>
      </c>
      <c r="I734">
        <f>IF(AND(MyRowHidden(ROW())=FALSE,MyRowHidden(ROW()-1)=TRUE),0,(E734-E733)*unitsOfDHp+I733)</f>
        <v>4305</v>
      </c>
      <c r="J734">
        <f>IF(AND(MyRowHidden(ROW())=FALSE,MyRowHidden(ROW()-1)=TRUE),0,(G734-G733)*unitsOfExo+J733)</f>
        <v>-560880</v>
      </c>
      <c r="K734" s="9">
        <f t="shared" si="63"/>
        <v>560880</v>
      </c>
      <c r="L734">
        <f t="shared" si="64"/>
        <v>-556575</v>
      </c>
      <c r="M734">
        <f>IF(AND(MyRowHidden(ROW())=FALSE,MyRowHidden(ROW()-1)=TRUE),0,IF(MONTH(H734)&lt;&gt;MONTH(H733),M733+1,M733))</f>
        <v>9</v>
      </c>
      <c r="N734">
        <f t="shared" si="65"/>
        <v>4305</v>
      </c>
      <c r="O734">
        <f>IF(AND(MyRowHidden(ROW())=FALSE,MyRowHidden(ROW()-1)=TRUE),0,IF(M734&lt;totalMonths,(totalMonths-M734)/totalMonths *(I734-I733)+O733,0))</f>
        <v>-75871.249999999796</v>
      </c>
      <c r="P734">
        <f>IF(AND(MyRowHidden(ROW())=FALSE,MyRowHidden(ROW()-1)=TRUE),0,IF(M734&lt;totalMonths,(totalMonths-M734)/totalMonths *(J734-J733)+P733,0))</f>
        <v>-533832</v>
      </c>
      <c r="Q734">
        <f>IF(AND(MyRowHidden(ROW())=FALSE,MyRowHidden(ROW()-1)=TRUE),0,IF(M734&lt;totalMonths,(totalMonths-M734)/totalMonths *(K734-K733)+Q733,0))</f>
        <v>533832</v>
      </c>
      <c r="R734">
        <f t="shared" si="66"/>
        <v>-529527</v>
      </c>
      <c r="S734">
        <f t="shared" si="67"/>
        <v>-609703.24999999977</v>
      </c>
    </row>
    <row r="735" spans="1:19" x14ac:dyDescent="0.25">
      <c r="A735" s="1"/>
      <c r="C735" s="1"/>
      <c r="D735" s="1">
        <v>42286</v>
      </c>
      <c r="E735" s="10">
        <v>6523</v>
      </c>
      <c r="F735" s="1">
        <v>42286</v>
      </c>
      <c r="G735">
        <v>-9277</v>
      </c>
      <c r="H735" s="1">
        <f t="shared" si="62"/>
        <v>42286</v>
      </c>
      <c r="I735">
        <f>IF(AND(MyRowHidden(ROW())=FALSE,MyRowHidden(ROW()-1)=TRUE),0,(E735-E734)*unitsOfDHp+I734)</f>
        <v>-35315</v>
      </c>
      <c r="J735">
        <f>IF(AND(MyRowHidden(ROW())=FALSE,MyRowHidden(ROW()-1)=TRUE),0,(G735-G734)*unitsOfExo+J734)</f>
        <v>-654480</v>
      </c>
      <c r="K735" s="9">
        <f t="shared" si="63"/>
        <v>654480</v>
      </c>
      <c r="L735">
        <f t="shared" si="64"/>
        <v>-689795</v>
      </c>
      <c r="M735">
        <f>IF(AND(MyRowHidden(ROW())=FALSE,MyRowHidden(ROW()-1)=TRUE),0,IF(MONTH(H735)&lt;&gt;MONTH(H734),M734+1,M734))</f>
        <v>9</v>
      </c>
      <c r="N735">
        <f t="shared" si="65"/>
        <v>-35315</v>
      </c>
      <c r="O735">
        <f>IF(AND(MyRowHidden(ROW())=FALSE,MyRowHidden(ROW()-1)=TRUE),0,IF(M735&lt;totalMonths,(totalMonths-M735)/totalMonths *(I735-I734)+O734,0))</f>
        <v>-85776.249999999796</v>
      </c>
      <c r="P735">
        <f>IF(AND(MyRowHidden(ROW())=FALSE,MyRowHidden(ROW()-1)=TRUE),0,IF(M735&lt;totalMonths,(totalMonths-M735)/totalMonths *(J735-J734)+P734,0))</f>
        <v>-557232</v>
      </c>
      <c r="Q735">
        <f>IF(AND(MyRowHidden(ROW())=FALSE,MyRowHidden(ROW()-1)=TRUE),0,IF(M735&lt;totalMonths,(totalMonths-M735)/totalMonths *(K735-K734)+Q734,0))</f>
        <v>557232</v>
      </c>
      <c r="R735">
        <f t="shared" si="66"/>
        <v>-592547</v>
      </c>
      <c r="S735">
        <f t="shared" si="67"/>
        <v>-643008.24999999977</v>
      </c>
    </row>
    <row r="736" spans="1:19" x14ac:dyDescent="0.25">
      <c r="A736" s="1"/>
      <c r="C736" s="1"/>
      <c r="D736" s="1">
        <v>42289</v>
      </c>
      <c r="E736" s="10">
        <v>6652</v>
      </c>
      <c r="F736" s="1">
        <v>42289</v>
      </c>
      <c r="G736">
        <v>-9489.5</v>
      </c>
      <c r="H736" s="1">
        <f t="shared" si="62"/>
        <v>42289</v>
      </c>
      <c r="I736">
        <f>IF(AND(MyRowHidden(ROW())=FALSE,MyRowHidden(ROW()-1)=TRUE),0,(E736-E735)*unitsOfDHp+I735)</f>
        <v>-30800</v>
      </c>
      <c r="J736">
        <f>IF(AND(MyRowHidden(ROW())=FALSE,MyRowHidden(ROW()-1)=TRUE),0,(G736-G735)*unitsOfExo+J735)</f>
        <v>-715680</v>
      </c>
      <c r="K736" s="9">
        <f t="shared" si="63"/>
        <v>715680</v>
      </c>
      <c r="L736">
        <f t="shared" si="64"/>
        <v>-746480</v>
      </c>
      <c r="M736">
        <f>IF(AND(MyRowHidden(ROW())=FALSE,MyRowHidden(ROW()-1)=TRUE),0,IF(MONTH(H736)&lt;&gt;MONTH(H735),M735+1,M735))</f>
        <v>9</v>
      </c>
      <c r="N736">
        <f t="shared" si="65"/>
        <v>-30800</v>
      </c>
      <c r="O736">
        <f>IF(AND(MyRowHidden(ROW())=FALSE,MyRowHidden(ROW()-1)=TRUE),0,IF(M736&lt;totalMonths,(totalMonths-M736)/totalMonths *(I736-I735)+O735,0))</f>
        <v>-84647.499999999796</v>
      </c>
      <c r="P736">
        <f>IF(AND(MyRowHidden(ROW())=FALSE,MyRowHidden(ROW()-1)=TRUE),0,IF(M736&lt;totalMonths,(totalMonths-M736)/totalMonths *(J736-J735)+P735,0))</f>
        <v>-572532</v>
      </c>
      <c r="Q736">
        <f>IF(AND(MyRowHidden(ROW())=FALSE,MyRowHidden(ROW()-1)=TRUE),0,IF(M736&lt;totalMonths,(totalMonths-M736)/totalMonths *(K736-K735)+Q735,0))</f>
        <v>572532</v>
      </c>
      <c r="R736">
        <f t="shared" si="66"/>
        <v>-603332</v>
      </c>
      <c r="S736">
        <f t="shared" si="67"/>
        <v>-657179.49999999977</v>
      </c>
    </row>
    <row r="737" spans="1:19" x14ac:dyDescent="0.25">
      <c r="A737" s="1"/>
      <c r="C737" s="1"/>
      <c r="D737" s="1">
        <v>42290</v>
      </c>
      <c r="E737" s="10">
        <v>7002</v>
      </c>
      <c r="F737" s="1">
        <v>42290</v>
      </c>
      <c r="G737">
        <v>-9339.5</v>
      </c>
      <c r="H737" s="1">
        <f t="shared" si="62"/>
        <v>42290</v>
      </c>
      <c r="I737">
        <f>IF(AND(MyRowHidden(ROW())=FALSE,MyRowHidden(ROW()-1)=TRUE),0,(E737-E736)*unitsOfDHp+I736)</f>
        <v>-18550</v>
      </c>
      <c r="J737">
        <f>IF(AND(MyRowHidden(ROW())=FALSE,MyRowHidden(ROW()-1)=TRUE),0,(G737-G736)*unitsOfExo+J736)</f>
        <v>-672480</v>
      </c>
      <c r="K737" s="9">
        <f t="shared" si="63"/>
        <v>672480</v>
      </c>
      <c r="L737">
        <f t="shared" si="64"/>
        <v>-691030</v>
      </c>
      <c r="M737">
        <f>IF(AND(MyRowHidden(ROW())=FALSE,MyRowHidden(ROW()-1)=TRUE),0,IF(MONTH(H737)&lt;&gt;MONTH(H736),M736+1,M736))</f>
        <v>9</v>
      </c>
      <c r="N737">
        <f t="shared" si="65"/>
        <v>-18550</v>
      </c>
      <c r="O737">
        <f>IF(AND(MyRowHidden(ROW())=FALSE,MyRowHidden(ROW()-1)=TRUE),0,IF(M737&lt;totalMonths,(totalMonths-M737)/totalMonths *(I737-I736)+O736,0))</f>
        <v>-81584.999999999796</v>
      </c>
      <c r="P737">
        <f>IF(AND(MyRowHidden(ROW())=FALSE,MyRowHidden(ROW()-1)=TRUE),0,IF(M737&lt;totalMonths,(totalMonths-M737)/totalMonths *(J737-J736)+P736,0))</f>
        <v>-561732</v>
      </c>
      <c r="Q737">
        <f>IF(AND(MyRowHidden(ROW())=FALSE,MyRowHidden(ROW()-1)=TRUE),0,IF(M737&lt;totalMonths,(totalMonths-M737)/totalMonths *(K737-K736)+Q736,0))</f>
        <v>561732</v>
      </c>
      <c r="R737">
        <f t="shared" si="66"/>
        <v>-580282</v>
      </c>
      <c r="S737">
        <f t="shared" si="67"/>
        <v>-643316.99999999977</v>
      </c>
    </row>
    <row r="738" spans="1:19" x14ac:dyDescent="0.25">
      <c r="A738" s="1"/>
      <c r="C738" s="1"/>
      <c r="D738" s="1">
        <v>42291</v>
      </c>
      <c r="E738" s="10">
        <v>6696</v>
      </c>
      <c r="F738" s="1">
        <v>42291</v>
      </c>
      <c r="G738">
        <v>-9589.5</v>
      </c>
      <c r="H738" s="1">
        <f t="shared" si="62"/>
        <v>42291</v>
      </c>
      <c r="I738">
        <f>IF(AND(MyRowHidden(ROW())=FALSE,MyRowHidden(ROW()-1)=TRUE),0,(E738-E737)*unitsOfDHp+I737)</f>
        <v>-29260</v>
      </c>
      <c r="J738">
        <f>IF(AND(MyRowHidden(ROW())=FALSE,MyRowHidden(ROW()-1)=TRUE),0,(G738-G737)*unitsOfExo+J737)</f>
        <v>-744480</v>
      </c>
      <c r="K738" s="9">
        <f t="shared" si="63"/>
        <v>744480</v>
      </c>
      <c r="L738">
        <f t="shared" si="64"/>
        <v>-773740</v>
      </c>
      <c r="M738">
        <f>IF(AND(MyRowHidden(ROW())=FALSE,MyRowHidden(ROW()-1)=TRUE),0,IF(MONTH(H738)&lt;&gt;MONTH(H737),M737+1,M737))</f>
        <v>9</v>
      </c>
      <c r="N738">
        <f t="shared" si="65"/>
        <v>-29260</v>
      </c>
      <c r="O738">
        <f>IF(AND(MyRowHidden(ROW())=FALSE,MyRowHidden(ROW()-1)=TRUE),0,IF(M738&lt;totalMonths,(totalMonths-M738)/totalMonths *(I738-I737)+O737,0))</f>
        <v>-84262.499999999796</v>
      </c>
      <c r="P738">
        <f>IF(AND(MyRowHidden(ROW())=FALSE,MyRowHidden(ROW()-1)=TRUE),0,IF(M738&lt;totalMonths,(totalMonths-M738)/totalMonths *(J738-J737)+P737,0))</f>
        <v>-579732</v>
      </c>
      <c r="Q738">
        <f>IF(AND(MyRowHidden(ROW())=FALSE,MyRowHidden(ROW()-1)=TRUE),0,IF(M738&lt;totalMonths,(totalMonths-M738)/totalMonths *(K738-K737)+Q737,0))</f>
        <v>579732</v>
      </c>
      <c r="R738">
        <f t="shared" si="66"/>
        <v>-608992</v>
      </c>
      <c r="S738">
        <f t="shared" si="67"/>
        <v>-663994.49999999977</v>
      </c>
    </row>
    <row r="739" spans="1:19" x14ac:dyDescent="0.25">
      <c r="A739" s="1"/>
      <c r="C739" s="1"/>
      <c r="D739" s="1">
        <v>42292</v>
      </c>
      <c r="E739" s="10">
        <v>7059</v>
      </c>
      <c r="F739" s="1">
        <v>42292</v>
      </c>
      <c r="G739">
        <v>-9764.5</v>
      </c>
      <c r="H739" s="1">
        <f t="shared" si="62"/>
        <v>42292</v>
      </c>
      <c r="I739">
        <f>IF(AND(MyRowHidden(ROW())=FALSE,MyRowHidden(ROW()-1)=TRUE),0,(E739-E738)*unitsOfDHp+I738)</f>
        <v>-16555</v>
      </c>
      <c r="J739">
        <f>IF(AND(MyRowHidden(ROW())=FALSE,MyRowHidden(ROW()-1)=TRUE),0,(G739-G738)*unitsOfExo+J738)</f>
        <v>-794880</v>
      </c>
      <c r="K739" s="9">
        <f t="shared" si="63"/>
        <v>794880</v>
      </c>
      <c r="L739">
        <f t="shared" si="64"/>
        <v>-811435</v>
      </c>
      <c r="M739">
        <f>IF(AND(MyRowHidden(ROW())=FALSE,MyRowHidden(ROW()-1)=TRUE),0,IF(MONTH(H739)&lt;&gt;MONTH(H738),M738+1,M738))</f>
        <v>9</v>
      </c>
      <c r="N739">
        <f t="shared" si="65"/>
        <v>-16555</v>
      </c>
      <c r="O739">
        <f>IF(AND(MyRowHidden(ROW())=FALSE,MyRowHidden(ROW()-1)=TRUE),0,IF(M739&lt;totalMonths,(totalMonths-M739)/totalMonths *(I739-I738)+O738,0))</f>
        <v>-81086.249999999796</v>
      </c>
      <c r="P739">
        <f>IF(AND(MyRowHidden(ROW())=FALSE,MyRowHidden(ROW()-1)=TRUE),0,IF(M739&lt;totalMonths,(totalMonths-M739)/totalMonths *(J739-J738)+P738,0))</f>
        <v>-592332</v>
      </c>
      <c r="Q739">
        <f>IF(AND(MyRowHidden(ROW())=FALSE,MyRowHidden(ROW()-1)=TRUE),0,IF(M739&lt;totalMonths,(totalMonths-M739)/totalMonths *(K739-K738)+Q738,0))</f>
        <v>592332</v>
      </c>
      <c r="R739">
        <f t="shared" si="66"/>
        <v>-608887</v>
      </c>
      <c r="S739">
        <f t="shared" si="67"/>
        <v>-673418.24999999977</v>
      </c>
    </row>
    <row r="740" spans="1:19" x14ac:dyDescent="0.25">
      <c r="A740" s="1"/>
      <c r="C740" s="1"/>
      <c r="D740" s="1">
        <v>42293</v>
      </c>
      <c r="E740" s="10">
        <v>6846</v>
      </c>
      <c r="F740" s="1">
        <v>42293</v>
      </c>
      <c r="G740">
        <v>-9739.5</v>
      </c>
      <c r="H740" s="1">
        <f t="shared" si="62"/>
        <v>42293</v>
      </c>
      <c r="I740">
        <f>IF(AND(MyRowHidden(ROW())=FALSE,MyRowHidden(ROW()-1)=TRUE),0,(E740-E739)*unitsOfDHp+I739)</f>
        <v>-24010</v>
      </c>
      <c r="J740">
        <f>IF(AND(MyRowHidden(ROW())=FALSE,MyRowHidden(ROW()-1)=TRUE),0,(G740-G739)*unitsOfExo+J739)</f>
        <v>-787680</v>
      </c>
      <c r="K740" s="9">
        <f t="shared" si="63"/>
        <v>787680</v>
      </c>
      <c r="L740">
        <f t="shared" si="64"/>
        <v>-811690</v>
      </c>
      <c r="M740">
        <f>IF(AND(MyRowHidden(ROW())=FALSE,MyRowHidden(ROW()-1)=TRUE),0,IF(MONTH(H740)&lt;&gt;MONTH(H739),M739+1,M739))</f>
        <v>9</v>
      </c>
      <c r="N740">
        <f t="shared" si="65"/>
        <v>-24010</v>
      </c>
      <c r="O740">
        <f>IF(AND(MyRowHidden(ROW())=FALSE,MyRowHidden(ROW()-1)=TRUE),0,IF(M740&lt;totalMonths,(totalMonths-M740)/totalMonths *(I740-I739)+O739,0))</f>
        <v>-82949.999999999796</v>
      </c>
      <c r="P740">
        <f>IF(AND(MyRowHidden(ROW())=FALSE,MyRowHidden(ROW()-1)=TRUE),0,IF(M740&lt;totalMonths,(totalMonths-M740)/totalMonths *(J740-J739)+P739,0))</f>
        <v>-590532</v>
      </c>
      <c r="Q740">
        <f>IF(AND(MyRowHidden(ROW())=FALSE,MyRowHidden(ROW()-1)=TRUE),0,IF(M740&lt;totalMonths,(totalMonths-M740)/totalMonths *(K740-K739)+Q739,0))</f>
        <v>590532</v>
      </c>
      <c r="R740">
        <f t="shared" si="66"/>
        <v>-614542</v>
      </c>
      <c r="S740">
        <f t="shared" si="67"/>
        <v>-673481.99999999977</v>
      </c>
    </row>
    <row r="741" spans="1:19" x14ac:dyDescent="0.25">
      <c r="A741" s="1"/>
      <c r="C741" s="1"/>
      <c r="D741" s="1">
        <v>42296</v>
      </c>
      <c r="E741" s="10">
        <v>7371</v>
      </c>
      <c r="F741" s="1">
        <v>42296</v>
      </c>
      <c r="G741">
        <v>-9864.5</v>
      </c>
      <c r="H741" s="1">
        <f t="shared" si="62"/>
        <v>42296</v>
      </c>
      <c r="I741">
        <f>IF(AND(MyRowHidden(ROW())=FALSE,MyRowHidden(ROW()-1)=TRUE),0,(E741-E740)*unitsOfDHp+I740)</f>
        <v>-5635</v>
      </c>
      <c r="J741">
        <f>IF(AND(MyRowHidden(ROW())=FALSE,MyRowHidden(ROW()-1)=TRUE),0,(G741-G740)*unitsOfExo+J740)</f>
        <v>-823680</v>
      </c>
      <c r="K741" s="9">
        <f t="shared" si="63"/>
        <v>823680</v>
      </c>
      <c r="L741">
        <f t="shared" si="64"/>
        <v>-829315</v>
      </c>
      <c r="M741">
        <f>IF(AND(MyRowHidden(ROW())=FALSE,MyRowHidden(ROW()-1)=TRUE),0,IF(MONTH(H741)&lt;&gt;MONTH(H740),M740+1,M740))</f>
        <v>9</v>
      </c>
      <c r="N741">
        <f t="shared" si="65"/>
        <v>-5635</v>
      </c>
      <c r="O741">
        <f>IF(AND(MyRowHidden(ROW())=FALSE,MyRowHidden(ROW()-1)=TRUE),0,IF(M741&lt;totalMonths,(totalMonths-M741)/totalMonths *(I741-I740)+O740,0))</f>
        <v>-78356.249999999796</v>
      </c>
      <c r="P741">
        <f>IF(AND(MyRowHidden(ROW())=FALSE,MyRowHidden(ROW()-1)=TRUE),0,IF(M741&lt;totalMonths,(totalMonths-M741)/totalMonths *(J741-J740)+P740,0))</f>
        <v>-599532</v>
      </c>
      <c r="Q741">
        <f>IF(AND(MyRowHidden(ROW())=FALSE,MyRowHidden(ROW()-1)=TRUE),0,IF(M741&lt;totalMonths,(totalMonths-M741)/totalMonths *(K741-K740)+Q740,0))</f>
        <v>599532</v>
      </c>
      <c r="R741">
        <f t="shared" si="66"/>
        <v>-605167</v>
      </c>
      <c r="S741">
        <f t="shared" si="67"/>
        <v>-677888.24999999977</v>
      </c>
    </row>
    <row r="742" spans="1:19" x14ac:dyDescent="0.25">
      <c r="A742" s="1"/>
      <c r="C742" s="1"/>
      <c r="D742" s="1">
        <v>42297</v>
      </c>
      <c r="E742" s="10">
        <v>7096</v>
      </c>
      <c r="F742" s="1">
        <v>42297</v>
      </c>
      <c r="G742">
        <v>-9789.5</v>
      </c>
      <c r="H742" s="1">
        <f t="shared" si="62"/>
        <v>42297</v>
      </c>
      <c r="I742">
        <f>IF(AND(MyRowHidden(ROW())=FALSE,MyRowHidden(ROW()-1)=TRUE),0,(E742-E741)*unitsOfDHp+I741)</f>
        <v>-15260</v>
      </c>
      <c r="J742">
        <f>IF(AND(MyRowHidden(ROW())=FALSE,MyRowHidden(ROW()-1)=TRUE),0,(G742-G741)*unitsOfExo+J741)</f>
        <v>-802080</v>
      </c>
      <c r="K742" s="9">
        <f t="shared" si="63"/>
        <v>802080</v>
      </c>
      <c r="L742">
        <f t="shared" si="64"/>
        <v>-817340</v>
      </c>
      <c r="M742">
        <f>IF(AND(MyRowHidden(ROW())=FALSE,MyRowHidden(ROW()-1)=TRUE),0,IF(MONTH(H742)&lt;&gt;MONTH(H741),M741+1,M741))</f>
        <v>9</v>
      </c>
      <c r="N742">
        <f t="shared" si="65"/>
        <v>-15260</v>
      </c>
      <c r="O742">
        <f>IF(AND(MyRowHidden(ROW())=FALSE,MyRowHidden(ROW()-1)=TRUE),0,IF(M742&lt;totalMonths,(totalMonths-M742)/totalMonths *(I742-I741)+O741,0))</f>
        <v>-80762.499999999796</v>
      </c>
      <c r="P742">
        <f>IF(AND(MyRowHidden(ROW())=FALSE,MyRowHidden(ROW()-1)=TRUE),0,IF(M742&lt;totalMonths,(totalMonths-M742)/totalMonths *(J742-J741)+P741,0))</f>
        <v>-594132</v>
      </c>
      <c r="Q742">
        <f>IF(AND(MyRowHidden(ROW())=FALSE,MyRowHidden(ROW()-1)=TRUE),0,IF(M742&lt;totalMonths,(totalMonths-M742)/totalMonths *(K742-K741)+Q741,0))</f>
        <v>594132</v>
      </c>
      <c r="R742">
        <f t="shared" si="66"/>
        <v>-609392</v>
      </c>
      <c r="S742">
        <f t="shared" si="67"/>
        <v>-674894.49999999977</v>
      </c>
    </row>
    <row r="743" spans="1:19" x14ac:dyDescent="0.25">
      <c r="A743" s="1"/>
      <c r="C743" s="1"/>
      <c r="D743" s="1">
        <v>42298</v>
      </c>
      <c r="E743" s="10">
        <v>6788</v>
      </c>
      <c r="F743" s="1">
        <v>42298</v>
      </c>
      <c r="G743">
        <v>-9527</v>
      </c>
      <c r="H743" s="1">
        <f t="shared" si="62"/>
        <v>42298</v>
      </c>
      <c r="I743">
        <f>IF(AND(MyRowHidden(ROW())=FALSE,MyRowHidden(ROW()-1)=TRUE),0,(E743-E742)*unitsOfDHp+I742)</f>
        <v>-26040</v>
      </c>
      <c r="J743">
        <f>IF(AND(MyRowHidden(ROW())=FALSE,MyRowHidden(ROW()-1)=TRUE),0,(G743-G742)*unitsOfExo+J742)</f>
        <v>-726480</v>
      </c>
      <c r="K743" s="9">
        <f t="shared" si="63"/>
        <v>726480</v>
      </c>
      <c r="L743">
        <f t="shared" si="64"/>
        <v>-752520</v>
      </c>
      <c r="M743">
        <f>IF(AND(MyRowHidden(ROW())=FALSE,MyRowHidden(ROW()-1)=TRUE),0,IF(MONTH(H743)&lt;&gt;MONTH(H742),M742+1,M742))</f>
        <v>9</v>
      </c>
      <c r="N743">
        <f t="shared" si="65"/>
        <v>-26040</v>
      </c>
      <c r="O743">
        <f>IF(AND(MyRowHidden(ROW())=FALSE,MyRowHidden(ROW()-1)=TRUE),0,IF(M743&lt;totalMonths,(totalMonths-M743)/totalMonths *(I743-I742)+O742,0))</f>
        <v>-83457.499999999796</v>
      </c>
      <c r="P743">
        <f>IF(AND(MyRowHidden(ROW())=FALSE,MyRowHidden(ROW()-1)=TRUE),0,IF(M743&lt;totalMonths,(totalMonths-M743)/totalMonths *(J743-J742)+P742,0))</f>
        <v>-575232</v>
      </c>
      <c r="Q743">
        <f>IF(AND(MyRowHidden(ROW())=FALSE,MyRowHidden(ROW()-1)=TRUE),0,IF(M743&lt;totalMonths,(totalMonths-M743)/totalMonths *(K743-K742)+Q742,0))</f>
        <v>575232</v>
      </c>
      <c r="R743">
        <f t="shared" si="66"/>
        <v>-601272</v>
      </c>
      <c r="S743">
        <f t="shared" si="67"/>
        <v>-658689.49999999977</v>
      </c>
    </row>
    <row r="744" spans="1:19" x14ac:dyDescent="0.25">
      <c r="A744" s="1"/>
      <c r="C744" s="1"/>
      <c r="D744" s="1">
        <v>42299</v>
      </c>
      <c r="E744" s="10">
        <v>6702</v>
      </c>
      <c r="F744" s="1">
        <v>42299</v>
      </c>
      <c r="G744">
        <v>-9589.5</v>
      </c>
      <c r="H744" s="1">
        <f t="shared" si="62"/>
        <v>42299</v>
      </c>
      <c r="I744">
        <f>IF(AND(MyRowHidden(ROW())=FALSE,MyRowHidden(ROW()-1)=TRUE),0,(E744-E743)*unitsOfDHp+I743)</f>
        <v>-29050</v>
      </c>
      <c r="J744">
        <f>IF(AND(MyRowHidden(ROW())=FALSE,MyRowHidden(ROW()-1)=TRUE),0,(G744-G743)*unitsOfExo+J743)</f>
        <v>-744480</v>
      </c>
      <c r="K744" s="9">
        <f t="shared" si="63"/>
        <v>744480</v>
      </c>
      <c r="L744">
        <f t="shared" si="64"/>
        <v>-773530</v>
      </c>
      <c r="M744">
        <f>IF(AND(MyRowHidden(ROW())=FALSE,MyRowHidden(ROW()-1)=TRUE),0,IF(MONTH(H744)&lt;&gt;MONTH(H743),M743+1,M743))</f>
        <v>9</v>
      </c>
      <c r="N744">
        <f t="shared" si="65"/>
        <v>-29050</v>
      </c>
      <c r="O744">
        <f>IF(AND(MyRowHidden(ROW())=FALSE,MyRowHidden(ROW()-1)=TRUE),0,IF(M744&lt;totalMonths,(totalMonths-M744)/totalMonths *(I744-I743)+O743,0))</f>
        <v>-84209.999999999796</v>
      </c>
      <c r="P744">
        <f>IF(AND(MyRowHidden(ROW())=FALSE,MyRowHidden(ROW()-1)=TRUE),0,IF(M744&lt;totalMonths,(totalMonths-M744)/totalMonths *(J744-J743)+P743,0))</f>
        <v>-579732</v>
      </c>
      <c r="Q744">
        <f>IF(AND(MyRowHidden(ROW())=FALSE,MyRowHidden(ROW()-1)=TRUE),0,IF(M744&lt;totalMonths,(totalMonths-M744)/totalMonths *(K744-K743)+Q743,0))</f>
        <v>579732</v>
      </c>
      <c r="R744">
        <f t="shared" si="66"/>
        <v>-608782</v>
      </c>
      <c r="S744">
        <f t="shared" si="67"/>
        <v>-663941.99999999977</v>
      </c>
    </row>
    <row r="745" spans="1:19" x14ac:dyDescent="0.25">
      <c r="A745" s="1"/>
      <c r="C745" s="1"/>
      <c r="D745" s="1">
        <v>42300</v>
      </c>
      <c r="E745" s="10">
        <v>6640</v>
      </c>
      <c r="F745" s="1">
        <v>42300</v>
      </c>
      <c r="G745">
        <v>-9639.5</v>
      </c>
      <c r="H745" s="1">
        <f t="shared" si="62"/>
        <v>42300</v>
      </c>
      <c r="I745">
        <f>IF(AND(MyRowHidden(ROW())=FALSE,MyRowHidden(ROW()-1)=TRUE),0,(E745-E744)*unitsOfDHp+I744)</f>
        <v>-31220</v>
      </c>
      <c r="J745">
        <f>IF(AND(MyRowHidden(ROW())=FALSE,MyRowHidden(ROW()-1)=TRUE),0,(G745-G744)*unitsOfExo+J744)</f>
        <v>-758880</v>
      </c>
      <c r="K745" s="9">
        <f t="shared" si="63"/>
        <v>758880</v>
      </c>
      <c r="L745">
        <f t="shared" si="64"/>
        <v>-790100</v>
      </c>
      <c r="M745">
        <f>IF(AND(MyRowHidden(ROW())=FALSE,MyRowHidden(ROW()-1)=TRUE),0,IF(MONTH(H745)&lt;&gt;MONTH(H744),M744+1,M744))</f>
        <v>9</v>
      </c>
      <c r="N745">
        <f t="shared" si="65"/>
        <v>-31220</v>
      </c>
      <c r="O745">
        <f>IF(AND(MyRowHidden(ROW())=FALSE,MyRowHidden(ROW()-1)=TRUE),0,IF(M745&lt;totalMonths,(totalMonths-M745)/totalMonths *(I745-I744)+O744,0))</f>
        <v>-84752.499999999796</v>
      </c>
      <c r="P745">
        <f>IF(AND(MyRowHidden(ROW())=FALSE,MyRowHidden(ROW()-1)=TRUE),0,IF(M745&lt;totalMonths,(totalMonths-M745)/totalMonths *(J745-J744)+P744,0))</f>
        <v>-583332</v>
      </c>
      <c r="Q745">
        <f>IF(AND(MyRowHidden(ROW())=FALSE,MyRowHidden(ROW()-1)=TRUE),0,IF(M745&lt;totalMonths,(totalMonths-M745)/totalMonths *(K745-K744)+Q744,0))</f>
        <v>583332</v>
      </c>
      <c r="R745">
        <f t="shared" si="66"/>
        <v>-614552</v>
      </c>
      <c r="S745">
        <f t="shared" si="67"/>
        <v>-668084.49999999977</v>
      </c>
    </row>
    <row r="746" spans="1:19" x14ac:dyDescent="0.25">
      <c r="A746" s="1"/>
      <c r="C746" s="1"/>
      <c r="D746" s="1">
        <v>42303</v>
      </c>
      <c r="E746" s="10">
        <v>7040</v>
      </c>
      <c r="F746" s="1">
        <v>42303</v>
      </c>
      <c r="G746">
        <v>-9339.5</v>
      </c>
      <c r="H746" s="1">
        <f t="shared" si="62"/>
        <v>42303</v>
      </c>
      <c r="I746">
        <f>IF(AND(MyRowHidden(ROW())=FALSE,MyRowHidden(ROW()-1)=TRUE),0,(E746-E745)*unitsOfDHp+I745)</f>
        <v>-17220</v>
      </c>
      <c r="J746">
        <f>IF(AND(MyRowHidden(ROW())=FALSE,MyRowHidden(ROW()-1)=TRUE),0,(G746-G745)*unitsOfExo+J745)</f>
        <v>-672480</v>
      </c>
      <c r="K746" s="9">
        <f t="shared" si="63"/>
        <v>672480</v>
      </c>
      <c r="L746">
        <f t="shared" si="64"/>
        <v>-689700</v>
      </c>
      <c r="M746">
        <f>IF(AND(MyRowHidden(ROW())=FALSE,MyRowHidden(ROW()-1)=TRUE),0,IF(MONTH(H746)&lt;&gt;MONTH(H745),M745+1,M745))</f>
        <v>9</v>
      </c>
      <c r="N746">
        <f t="shared" si="65"/>
        <v>-17220</v>
      </c>
      <c r="O746">
        <f>IF(AND(MyRowHidden(ROW())=FALSE,MyRowHidden(ROW()-1)=TRUE),0,IF(M746&lt;totalMonths,(totalMonths-M746)/totalMonths *(I746-I745)+O745,0))</f>
        <v>-81252.499999999796</v>
      </c>
      <c r="P746">
        <f>IF(AND(MyRowHidden(ROW())=FALSE,MyRowHidden(ROW()-1)=TRUE),0,IF(M746&lt;totalMonths,(totalMonths-M746)/totalMonths *(J746-J745)+P745,0))</f>
        <v>-561732</v>
      </c>
      <c r="Q746">
        <f>IF(AND(MyRowHidden(ROW())=FALSE,MyRowHidden(ROW()-1)=TRUE),0,IF(M746&lt;totalMonths,(totalMonths-M746)/totalMonths *(K746-K745)+Q745,0))</f>
        <v>561732</v>
      </c>
      <c r="R746">
        <f t="shared" si="66"/>
        <v>-578952</v>
      </c>
      <c r="S746">
        <f t="shared" si="67"/>
        <v>-642984.49999999977</v>
      </c>
    </row>
    <row r="747" spans="1:19" x14ac:dyDescent="0.25">
      <c r="A747" s="1"/>
      <c r="C747" s="1"/>
      <c r="D747" s="1">
        <v>42304</v>
      </c>
      <c r="E747" s="10">
        <v>6866</v>
      </c>
      <c r="F747" s="1">
        <v>42304</v>
      </c>
      <c r="G747">
        <v>-9477</v>
      </c>
      <c r="H747" s="1">
        <f t="shared" si="62"/>
        <v>42304</v>
      </c>
      <c r="I747">
        <f>IF(AND(MyRowHidden(ROW())=FALSE,MyRowHidden(ROW()-1)=TRUE),0,(E747-E746)*unitsOfDHp+I746)</f>
        <v>-23310</v>
      </c>
      <c r="J747">
        <f>IF(AND(MyRowHidden(ROW())=FALSE,MyRowHidden(ROW()-1)=TRUE),0,(G747-G746)*unitsOfExo+J746)</f>
        <v>-712080</v>
      </c>
      <c r="K747" s="9">
        <f t="shared" si="63"/>
        <v>712080</v>
      </c>
      <c r="L747">
        <f t="shared" si="64"/>
        <v>-735390</v>
      </c>
      <c r="M747">
        <f>IF(AND(MyRowHidden(ROW())=FALSE,MyRowHidden(ROW()-1)=TRUE),0,IF(MONTH(H747)&lt;&gt;MONTH(H746),M746+1,M746))</f>
        <v>9</v>
      </c>
      <c r="N747">
        <f t="shared" si="65"/>
        <v>-23310</v>
      </c>
      <c r="O747">
        <f>IF(AND(MyRowHidden(ROW())=FALSE,MyRowHidden(ROW()-1)=TRUE),0,IF(M747&lt;totalMonths,(totalMonths-M747)/totalMonths *(I747-I746)+O746,0))</f>
        <v>-82774.999999999796</v>
      </c>
      <c r="P747">
        <f>IF(AND(MyRowHidden(ROW())=FALSE,MyRowHidden(ROW()-1)=TRUE),0,IF(M747&lt;totalMonths,(totalMonths-M747)/totalMonths *(J747-J746)+P746,0))</f>
        <v>-571632</v>
      </c>
      <c r="Q747">
        <f>IF(AND(MyRowHidden(ROW())=FALSE,MyRowHidden(ROW()-1)=TRUE),0,IF(M747&lt;totalMonths,(totalMonths-M747)/totalMonths *(K747-K746)+Q746,0))</f>
        <v>571632</v>
      </c>
      <c r="R747">
        <f t="shared" si="66"/>
        <v>-594942</v>
      </c>
      <c r="S747">
        <f t="shared" si="67"/>
        <v>-654406.99999999977</v>
      </c>
    </row>
    <row r="748" spans="1:19" x14ac:dyDescent="0.25">
      <c r="A748" s="1"/>
      <c r="C748" s="1"/>
      <c r="D748" s="1">
        <v>42305</v>
      </c>
      <c r="E748" s="10">
        <v>6654</v>
      </c>
      <c r="F748" s="1">
        <v>42305</v>
      </c>
      <c r="G748">
        <v>-9739.5</v>
      </c>
      <c r="H748" s="1">
        <f t="shared" si="62"/>
        <v>42305</v>
      </c>
      <c r="I748">
        <f>IF(AND(MyRowHidden(ROW())=FALSE,MyRowHidden(ROW()-1)=TRUE),0,(E748-E747)*unitsOfDHp+I747)</f>
        <v>-30730</v>
      </c>
      <c r="J748">
        <f>IF(AND(MyRowHidden(ROW())=FALSE,MyRowHidden(ROW()-1)=TRUE),0,(G748-G747)*unitsOfExo+J747)</f>
        <v>-787680</v>
      </c>
      <c r="K748" s="9">
        <f t="shared" si="63"/>
        <v>787680</v>
      </c>
      <c r="L748">
        <f t="shared" si="64"/>
        <v>-818410</v>
      </c>
      <c r="M748">
        <f>IF(AND(MyRowHidden(ROW())=FALSE,MyRowHidden(ROW()-1)=TRUE),0,IF(MONTH(H748)&lt;&gt;MONTH(H747),M747+1,M747))</f>
        <v>9</v>
      </c>
      <c r="N748">
        <f t="shared" si="65"/>
        <v>-30730</v>
      </c>
      <c r="O748">
        <f>IF(AND(MyRowHidden(ROW())=FALSE,MyRowHidden(ROW()-1)=TRUE),0,IF(M748&lt;totalMonths,(totalMonths-M748)/totalMonths *(I748-I747)+O747,0))</f>
        <v>-84629.999999999796</v>
      </c>
      <c r="P748">
        <f>IF(AND(MyRowHidden(ROW())=FALSE,MyRowHidden(ROW()-1)=TRUE),0,IF(M748&lt;totalMonths,(totalMonths-M748)/totalMonths *(J748-J747)+P747,0))</f>
        <v>-590532</v>
      </c>
      <c r="Q748">
        <f>IF(AND(MyRowHidden(ROW())=FALSE,MyRowHidden(ROW()-1)=TRUE),0,IF(M748&lt;totalMonths,(totalMonths-M748)/totalMonths *(K748-K747)+Q747,0))</f>
        <v>590532</v>
      </c>
      <c r="R748">
        <f t="shared" si="66"/>
        <v>-621262</v>
      </c>
      <c r="S748">
        <f t="shared" si="67"/>
        <v>-675161.99999999977</v>
      </c>
    </row>
    <row r="749" spans="1:19" x14ac:dyDescent="0.25">
      <c r="A749" s="1"/>
      <c r="C749" s="1"/>
      <c r="D749" s="1">
        <v>42306</v>
      </c>
      <c r="E749" s="10">
        <v>6929</v>
      </c>
      <c r="F749" s="1">
        <v>42306</v>
      </c>
      <c r="G749">
        <v>-9577</v>
      </c>
      <c r="H749" s="1">
        <f t="shared" si="62"/>
        <v>42306</v>
      </c>
      <c r="I749">
        <f>IF(AND(MyRowHidden(ROW())=FALSE,MyRowHidden(ROW()-1)=TRUE),0,(E749-E748)*unitsOfDHp+I748)</f>
        <v>-21105</v>
      </c>
      <c r="J749">
        <f>IF(AND(MyRowHidden(ROW())=FALSE,MyRowHidden(ROW()-1)=TRUE),0,(G749-G748)*unitsOfExo+J748)</f>
        <v>-740880</v>
      </c>
      <c r="K749" s="9">
        <f t="shared" si="63"/>
        <v>740880</v>
      </c>
      <c r="L749">
        <f t="shared" si="64"/>
        <v>-761985</v>
      </c>
      <c r="M749">
        <f>IF(AND(MyRowHidden(ROW())=FALSE,MyRowHidden(ROW()-1)=TRUE),0,IF(MONTH(H749)&lt;&gt;MONTH(H748),M748+1,M748))</f>
        <v>9</v>
      </c>
      <c r="N749">
        <f t="shared" si="65"/>
        <v>-21105</v>
      </c>
      <c r="O749">
        <f>IF(AND(MyRowHidden(ROW())=FALSE,MyRowHidden(ROW()-1)=TRUE),0,IF(M749&lt;totalMonths,(totalMonths-M749)/totalMonths *(I749-I748)+O748,0))</f>
        <v>-82223.749999999796</v>
      </c>
      <c r="P749">
        <f>IF(AND(MyRowHidden(ROW())=FALSE,MyRowHidden(ROW()-1)=TRUE),0,IF(M749&lt;totalMonths,(totalMonths-M749)/totalMonths *(J749-J748)+P748,0))</f>
        <v>-578832</v>
      </c>
      <c r="Q749">
        <f>IF(AND(MyRowHidden(ROW())=FALSE,MyRowHidden(ROW()-1)=TRUE),0,IF(M749&lt;totalMonths,(totalMonths-M749)/totalMonths *(K749-K748)+Q748,0))</f>
        <v>578832</v>
      </c>
      <c r="R749">
        <f t="shared" si="66"/>
        <v>-599937</v>
      </c>
      <c r="S749">
        <f t="shared" si="67"/>
        <v>-661055.74999999977</v>
      </c>
    </row>
    <row r="750" spans="1:19" x14ac:dyDescent="0.25">
      <c r="A750" s="1"/>
      <c r="C750" s="1"/>
      <c r="D750" s="1">
        <v>42307</v>
      </c>
      <c r="E750" s="10">
        <v>7020</v>
      </c>
      <c r="F750" s="1">
        <v>42307</v>
      </c>
      <c r="G750">
        <v>-9439.5</v>
      </c>
      <c r="H750" s="1">
        <f t="shared" si="62"/>
        <v>42307</v>
      </c>
      <c r="I750">
        <f>IF(AND(MyRowHidden(ROW())=FALSE,MyRowHidden(ROW()-1)=TRUE),0,(E750-E749)*unitsOfDHp+I749)</f>
        <v>-17920</v>
      </c>
      <c r="J750">
        <f>IF(AND(MyRowHidden(ROW())=FALSE,MyRowHidden(ROW()-1)=TRUE),0,(G750-G749)*unitsOfExo+J749)</f>
        <v>-701280</v>
      </c>
      <c r="K750" s="9">
        <f t="shared" si="63"/>
        <v>701280</v>
      </c>
      <c r="L750">
        <f t="shared" si="64"/>
        <v>-719200</v>
      </c>
      <c r="M750">
        <f>IF(AND(MyRowHidden(ROW())=FALSE,MyRowHidden(ROW()-1)=TRUE),0,IF(MONTH(H750)&lt;&gt;MONTH(H749),M749+1,M749))</f>
        <v>9</v>
      </c>
      <c r="N750">
        <f t="shared" si="65"/>
        <v>-17920</v>
      </c>
      <c r="O750">
        <f>IF(AND(MyRowHidden(ROW())=FALSE,MyRowHidden(ROW()-1)=TRUE),0,IF(M750&lt;totalMonths,(totalMonths-M750)/totalMonths *(I750-I749)+O749,0))</f>
        <v>-81427.499999999796</v>
      </c>
      <c r="P750">
        <f>IF(AND(MyRowHidden(ROW())=FALSE,MyRowHidden(ROW()-1)=TRUE),0,IF(M750&lt;totalMonths,(totalMonths-M750)/totalMonths *(J750-J749)+P749,0))</f>
        <v>-568932</v>
      </c>
      <c r="Q750">
        <f>IF(AND(MyRowHidden(ROW())=FALSE,MyRowHidden(ROW()-1)=TRUE),0,IF(M750&lt;totalMonths,(totalMonths-M750)/totalMonths *(K750-K749)+Q749,0))</f>
        <v>568932</v>
      </c>
      <c r="R750">
        <f t="shared" si="66"/>
        <v>-586852</v>
      </c>
      <c r="S750">
        <f t="shared" si="67"/>
        <v>-650359.49999999977</v>
      </c>
    </row>
    <row r="751" spans="1:19" x14ac:dyDescent="0.25">
      <c r="A751" s="1"/>
      <c r="C751" s="1"/>
      <c r="D751" s="1">
        <v>42310</v>
      </c>
      <c r="E751" s="10">
        <v>7382</v>
      </c>
      <c r="F751" s="1">
        <v>42310</v>
      </c>
      <c r="G751">
        <v>-9714.5</v>
      </c>
      <c r="H751" s="1">
        <f t="shared" si="62"/>
        <v>42310</v>
      </c>
      <c r="I751">
        <f>IF(AND(MyRowHidden(ROW())=FALSE,MyRowHidden(ROW()-1)=TRUE),0,(E751-E750)*unitsOfDHp+I750)</f>
        <v>-5250</v>
      </c>
      <c r="J751">
        <f>IF(AND(MyRowHidden(ROW())=FALSE,MyRowHidden(ROW()-1)=TRUE),0,(G751-G750)*unitsOfExo+J750)</f>
        <v>-780480</v>
      </c>
      <c r="K751" s="9">
        <f t="shared" si="63"/>
        <v>780480</v>
      </c>
      <c r="L751">
        <f t="shared" si="64"/>
        <v>-785730</v>
      </c>
      <c r="M751">
        <f>IF(AND(MyRowHidden(ROW())=FALSE,MyRowHidden(ROW()-1)=TRUE),0,IF(MONTH(H751)&lt;&gt;MONTH(H750),M750+1,M750))</f>
        <v>10</v>
      </c>
      <c r="N751">
        <f t="shared" si="65"/>
        <v>-5250</v>
      </c>
      <c r="O751">
        <f>IF(AND(MyRowHidden(ROW())=FALSE,MyRowHidden(ROW()-1)=TRUE),0,IF(M751&lt;totalMonths,(totalMonths-M751)/totalMonths *(I751-I750)+O750,0))</f>
        <v>-79315.833333333125</v>
      </c>
      <c r="P751">
        <f>IF(AND(MyRowHidden(ROW())=FALSE,MyRowHidden(ROW()-1)=TRUE),0,IF(M751&lt;totalMonths,(totalMonths-M751)/totalMonths *(J751-J750)+P750,0))</f>
        <v>-582132</v>
      </c>
      <c r="Q751">
        <f>IF(AND(MyRowHidden(ROW())=FALSE,MyRowHidden(ROW()-1)=TRUE),0,IF(M751&lt;totalMonths,(totalMonths-M751)/totalMonths *(K751-K750)+Q750,0))</f>
        <v>582132</v>
      </c>
      <c r="R751">
        <f t="shared" si="66"/>
        <v>-587382</v>
      </c>
      <c r="S751">
        <f t="shared" si="67"/>
        <v>-661447.83333333314</v>
      </c>
    </row>
    <row r="752" spans="1:19" x14ac:dyDescent="0.25">
      <c r="A752" s="1"/>
      <c r="C752" s="1"/>
      <c r="D752" s="1">
        <v>42311</v>
      </c>
      <c r="E752" s="10">
        <v>7270</v>
      </c>
      <c r="F752" s="1">
        <v>42311</v>
      </c>
      <c r="G752">
        <v>-9564.5</v>
      </c>
      <c r="H752" s="1">
        <f t="shared" si="62"/>
        <v>42311</v>
      </c>
      <c r="I752">
        <f>IF(AND(MyRowHidden(ROW())=FALSE,MyRowHidden(ROW()-1)=TRUE),0,(E752-E751)*unitsOfDHp+I751)</f>
        <v>-9170</v>
      </c>
      <c r="J752">
        <f>IF(AND(MyRowHidden(ROW())=FALSE,MyRowHidden(ROW()-1)=TRUE),0,(G752-G751)*unitsOfExo+J751)</f>
        <v>-737280</v>
      </c>
      <c r="K752" s="9">
        <f t="shared" si="63"/>
        <v>737280</v>
      </c>
      <c r="L752">
        <f t="shared" si="64"/>
        <v>-746450</v>
      </c>
      <c r="M752">
        <f>IF(AND(MyRowHidden(ROW())=FALSE,MyRowHidden(ROW()-1)=TRUE),0,IF(MONTH(H752)&lt;&gt;MONTH(H751),M751+1,M751))</f>
        <v>10</v>
      </c>
      <c r="N752">
        <f t="shared" si="65"/>
        <v>-9170</v>
      </c>
      <c r="O752">
        <f>IF(AND(MyRowHidden(ROW())=FALSE,MyRowHidden(ROW()-1)=TRUE),0,IF(M752&lt;totalMonths,(totalMonths-M752)/totalMonths *(I752-I751)+O751,0))</f>
        <v>-79969.166666666453</v>
      </c>
      <c r="P752">
        <f>IF(AND(MyRowHidden(ROW())=FALSE,MyRowHidden(ROW()-1)=TRUE),0,IF(M752&lt;totalMonths,(totalMonths-M752)/totalMonths *(J752-J751)+P751,0))</f>
        <v>-574932</v>
      </c>
      <c r="Q752">
        <f>IF(AND(MyRowHidden(ROW())=FALSE,MyRowHidden(ROW()-1)=TRUE),0,IF(M752&lt;totalMonths,(totalMonths-M752)/totalMonths *(K752-K751)+Q751,0))</f>
        <v>574932</v>
      </c>
      <c r="R752">
        <f t="shared" si="66"/>
        <v>-584102</v>
      </c>
      <c r="S752">
        <f t="shared" si="67"/>
        <v>-654901.16666666651</v>
      </c>
    </row>
    <row r="753" spans="1:19" x14ac:dyDescent="0.25">
      <c r="A753" s="1"/>
      <c r="C753" s="1"/>
      <c r="D753" s="1">
        <v>42312</v>
      </c>
      <c r="E753" s="10">
        <v>7171</v>
      </c>
      <c r="F753" s="1">
        <v>42312</v>
      </c>
      <c r="G753">
        <v>-9377</v>
      </c>
      <c r="H753" s="1">
        <f t="shared" si="62"/>
        <v>42312</v>
      </c>
      <c r="I753">
        <f>IF(AND(MyRowHidden(ROW())=FALSE,MyRowHidden(ROW()-1)=TRUE),0,(E753-E752)*unitsOfDHp+I752)</f>
        <v>-12635</v>
      </c>
      <c r="J753">
        <f>IF(AND(MyRowHidden(ROW())=FALSE,MyRowHidden(ROW()-1)=TRUE),0,(G753-G752)*unitsOfExo+J752)</f>
        <v>-683280</v>
      </c>
      <c r="K753" s="9">
        <f t="shared" si="63"/>
        <v>683280</v>
      </c>
      <c r="L753">
        <f t="shared" si="64"/>
        <v>-695915</v>
      </c>
      <c r="M753">
        <f>IF(AND(MyRowHidden(ROW())=FALSE,MyRowHidden(ROW()-1)=TRUE),0,IF(MONTH(H753)&lt;&gt;MONTH(H752),M752+1,M752))</f>
        <v>10</v>
      </c>
      <c r="N753">
        <f t="shared" si="65"/>
        <v>-12635</v>
      </c>
      <c r="O753">
        <f>IF(AND(MyRowHidden(ROW())=FALSE,MyRowHidden(ROW()-1)=TRUE),0,IF(M753&lt;totalMonths,(totalMonths-M753)/totalMonths *(I753-I752)+O752,0))</f>
        <v>-80546.666666666453</v>
      </c>
      <c r="P753">
        <f>IF(AND(MyRowHidden(ROW())=FALSE,MyRowHidden(ROW()-1)=TRUE),0,IF(M753&lt;totalMonths,(totalMonths-M753)/totalMonths *(J753-J752)+P752,0))</f>
        <v>-565932</v>
      </c>
      <c r="Q753">
        <f>IF(AND(MyRowHidden(ROW())=FALSE,MyRowHidden(ROW()-1)=TRUE),0,IF(M753&lt;totalMonths,(totalMonths-M753)/totalMonths *(K753-K752)+Q752,0))</f>
        <v>565932</v>
      </c>
      <c r="R753">
        <f t="shared" si="66"/>
        <v>-578567</v>
      </c>
      <c r="S753">
        <f t="shared" si="67"/>
        <v>-646478.66666666651</v>
      </c>
    </row>
    <row r="754" spans="1:19" x14ac:dyDescent="0.25">
      <c r="A754" s="1"/>
      <c r="C754" s="1"/>
      <c r="D754" s="1">
        <v>42313</v>
      </c>
      <c r="E754" s="10">
        <v>6927</v>
      </c>
      <c r="F754" s="1">
        <v>42313</v>
      </c>
      <c r="G754">
        <v>-9764.5</v>
      </c>
      <c r="H754" s="1">
        <f t="shared" si="62"/>
        <v>42313</v>
      </c>
      <c r="I754">
        <f>IF(AND(MyRowHidden(ROW())=FALSE,MyRowHidden(ROW()-1)=TRUE),0,(E754-E753)*unitsOfDHp+I753)</f>
        <v>-21175</v>
      </c>
      <c r="J754">
        <f>IF(AND(MyRowHidden(ROW())=FALSE,MyRowHidden(ROW()-1)=TRUE),0,(G754-G753)*unitsOfExo+J753)</f>
        <v>-794880</v>
      </c>
      <c r="K754" s="9">
        <f t="shared" si="63"/>
        <v>794880</v>
      </c>
      <c r="L754">
        <f t="shared" si="64"/>
        <v>-816055</v>
      </c>
      <c r="M754">
        <f>IF(AND(MyRowHidden(ROW())=FALSE,MyRowHidden(ROW()-1)=TRUE),0,IF(MONTH(H754)&lt;&gt;MONTH(H753),M753+1,M753))</f>
        <v>10</v>
      </c>
      <c r="N754">
        <f t="shared" si="65"/>
        <v>-21175</v>
      </c>
      <c r="O754">
        <f>IF(AND(MyRowHidden(ROW())=FALSE,MyRowHidden(ROW()-1)=TRUE),0,IF(M754&lt;totalMonths,(totalMonths-M754)/totalMonths *(I754-I753)+O753,0))</f>
        <v>-81969.999999999782</v>
      </c>
      <c r="P754">
        <f>IF(AND(MyRowHidden(ROW())=FALSE,MyRowHidden(ROW()-1)=TRUE),0,IF(M754&lt;totalMonths,(totalMonths-M754)/totalMonths *(J754-J753)+P753,0))</f>
        <v>-584532</v>
      </c>
      <c r="Q754">
        <f>IF(AND(MyRowHidden(ROW())=FALSE,MyRowHidden(ROW()-1)=TRUE),0,IF(M754&lt;totalMonths,(totalMonths-M754)/totalMonths *(K754-K753)+Q753,0))</f>
        <v>584532</v>
      </c>
      <c r="R754">
        <f t="shared" si="66"/>
        <v>-605707</v>
      </c>
      <c r="S754">
        <f t="shared" si="67"/>
        <v>-666501.99999999977</v>
      </c>
    </row>
    <row r="755" spans="1:19" x14ac:dyDescent="0.25">
      <c r="A755" s="1"/>
      <c r="C755" s="1"/>
      <c r="D755" s="1">
        <v>42314</v>
      </c>
      <c r="E755" s="10">
        <v>6697</v>
      </c>
      <c r="F755" s="1">
        <v>42314</v>
      </c>
      <c r="G755">
        <v>-9877</v>
      </c>
      <c r="H755" s="1">
        <f t="shared" si="62"/>
        <v>42314</v>
      </c>
      <c r="I755">
        <f>IF(AND(MyRowHidden(ROW())=FALSE,MyRowHidden(ROW()-1)=TRUE),0,(E755-E754)*unitsOfDHp+I754)</f>
        <v>-29225</v>
      </c>
      <c r="J755">
        <f>IF(AND(MyRowHidden(ROW())=FALSE,MyRowHidden(ROW()-1)=TRUE),0,(G755-G754)*unitsOfExo+J754)</f>
        <v>-827280</v>
      </c>
      <c r="K755" s="9">
        <f t="shared" si="63"/>
        <v>827280</v>
      </c>
      <c r="L755">
        <f t="shared" si="64"/>
        <v>-856505</v>
      </c>
      <c r="M755">
        <f>IF(AND(MyRowHidden(ROW())=FALSE,MyRowHidden(ROW()-1)=TRUE),0,IF(MONTH(H755)&lt;&gt;MONTH(H754),M754+1,M754))</f>
        <v>10</v>
      </c>
      <c r="N755">
        <f t="shared" si="65"/>
        <v>-29225</v>
      </c>
      <c r="O755">
        <f>IF(AND(MyRowHidden(ROW())=FALSE,MyRowHidden(ROW()-1)=TRUE),0,IF(M755&lt;totalMonths,(totalMonths-M755)/totalMonths *(I755-I754)+O754,0))</f>
        <v>-83311.666666666453</v>
      </c>
      <c r="P755">
        <f>IF(AND(MyRowHidden(ROW())=FALSE,MyRowHidden(ROW()-1)=TRUE),0,IF(M755&lt;totalMonths,(totalMonths-M755)/totalMonths *(J755-J754)+P754,0))</f>
        <v>-589932</v>
      </c>
      <c r="Q755">
        <f>IF(AND(MyRowHidden(ROW())=FALSE,MyRowHidden(ROW()-1)=TRUE),0,IF(M755&lt;totalMonths,(totalMonths-M755)/totalMonths *(K755-K754)+Q754,0))</f>
        <v>589932</v>
      </c>
      <c r="R755">
        <f t="shared" si="66"/>
        <v>-619157</v>
      </c>
      <c r="S755">
        <f t="shared" si="67"/>
        <v>-673243.66666666651</v>
      </c>
    </row>
    <row r="756" spans="1:19" x14ac:dyDescent="0.25">
      <c r="A756" s="1"/>
      <c r="C756" s="1"/>
      <c r="D756" s="1">
        <v>42317</v>
      </c>
      <c r="E756" s="10">
        <v>7598</v>
      </c>
      <c r="F756" s="1">
        <v>42317</v>
      </c>
      <c r="G756">
        <v>-10102</v>
      </c>
      <c r="H756" s="1">
        <f t="shared" si="62"/>
        <v>42317</v>
      </c>
      <c r="I756">
        <f>IF(AND(MyRowHidden(ROW())=FALSE,MyRowHidden(ROW()-1)=TRUE),0,(E756-E755)*unitsOfDHp+I755)</f>
        <v>2310</v>
      </c>
      <c r="J756">
        <f>IF(AND(MyRowHidden(ROW())=FALSE,MyRowHidden(ROW()-1)=TRUE),0,(G756-G755)*unitsOfExo+J755)</f>
        <v>-892080</v>
      </c>
      <c r="K756" s="9">
        <f t="shared" si="63"/>
        <v>892080</v>
      </c>
      <c r="L756">
        <f t="shared" si="64"/>
        <v>-889770</v>
      </c>
      <c r="M756">
        <f>IF(AND(MyRowHidden(ROW())=FALSE,MyRowHidden(ROW()-1)=TRUE),0,IF(MONTH(H756)&lt;&gt;MONTH(H755),M755+1,M755))</f>
        <v>10</v>
      </c>
      <c r="N756">
        <f t="shared" si="65"/>
        <v>2310</v>
      </c>
      <c r="O756">
        <f>IF(AND(MyRowHidden(ROW())=FALSE,MyRowHidden(ROW()-1)=TRUE),0,IF(M756&lt;totalMonths,(totalMonths-M756)/totalMonths *(I756-I755)+O755,0))</f>
        <v>-78055.833333333125</v>
      </c>
      <c r="P756">
        <f>IF(AND(MyRowHidden(ROW())=FALSE,MyRowHidden(ROW()-1)=TRUE),0,IF(M756&lt;totalMonths,(totalMonths-M756)/totalMonths *(J756-J755)+P755,0))</f>
        <v>-600732</v>
      </c>
      <c r="Q756">
        <f>IF(AND(MyRowHidden(ROW())=FALSE,MyRowHidden(ROW()-1)=TRUE),0,IF(M756&lt;totalMonths,(totalMonths-M756)/totalMonths *(K756-K755)+Q755,0))</f>
        <v>600732</v>
      </c>
      <c r="R756">
        <f t="shared" si="66"/>
        <v>-598422</v>
      </c>
      <c r="S756">
        <f t="shared" si="67"/>
        <v>-678787.83333333314</v>
      </c>
    </row>
    <row r="757" spans="1:19" x14ac:dyDescent="0.25">
      <c r="A757" s="1"/>
      <c r="C757" s="1"/>
      <c r="D757" s="1">
        <v>42318</v>
      </c>
      <c r="E757" s="10">
        <v>8663</v>
      </c>
      <c r="F757" s="1">
        <v>42318</v>
      </c>
      <c r="G757">
        <v>-10627</v>
      </c>
      <c r="H757" s="1">
        <f t="shared" si="62"/>
        <v>42318</v>
      </c>
      <c r="I757">
        <f>IF(AND(MyRowHidden(ROW())=FALSE,MyRowHidden(ROW()-1)=TRUE),0,(E757-E756)*unitsOfDHp+I756)</f>
        <v>39585</v>
      </c>
      <c r="J757">
        <f>IF(AND(MyRowHidden(ROW())=FALSE,MyRowHidden(ROW()-1)=TRUE),0,(G757-G756)*unitsOfExo+J756)</f>
        <v>-1043280</v>
      </c>
      <c r="K757" s="9">
        <f t="shared" si="63"/>
        <v>1043280</v>
      </c>
      <c r="L757">
        <f t="shared" si="64"/>
        <v>-1003695</v>
      </c>
      <c r="M757">
        <f>IF(AND(MyRowHidden(ROW())=FALSE,MyRowHidden(ROW()-1)=TRUE),0,IF(MONTH(H757)&lt;&gt;MONTH(H756),M756+1,M756))</f>
        <v>10</v>
      </c>
      <c r="N757">
        <f t="shared" si="65"/>
        <v>39585</v>
      </c>
      <c r="O757">
        <f>IF(AND(MyRowHidden(ROW())=FALSE,MyRowHidden(ROW()-1)=TRUE),0,IF(M757&lt;totalMonths,(totalMonths-M757)/totalMonths *(I757-I756)+O756,0))</f>
        <v>-71843.333333333125</v>
      </c>
      <c r="P757">
        <f>IF(AND(MyRowHidden(ROW())=FALSE,MyRowHidden(ROW()-1)=TRUE),0,IF(M757&lt;totalMonths,(totalMonths-M757)/totalMonths *(J757-J756)+P756,0))</f>
        <v>-625932</v>
      </c>
      <c r="Q757">
        <f>IF(AND(MyRowHidden(ROW())=FALSE,MyRowHidden(ROW()-1)=TRUE),0,IF(M757&lt;totalMonths,(totalMonths-M757)/totalMonths *(K757-K756)+Q756,0))</f>
        <v>625932</v>
      </c>
      <c r="R757">
        <f t="shared" si="66"/>
        <v>-586347</v>
      </c>
      <c r="S757">
        <f t="shared" si="67"/>
        <v>-697775.33333333314</v>
      </c>
    </row>
    <row r="758" spans="1:19" x14ac:dyDescent="0.25">
      <c r="A758" s="1"/>
      <c r="C758" s="1"/>
      <c r="D758" s="1">
        <v>42319</v>
      </c>
      <c r="E758" s="10">
        <v>8763</v>
      </c>
      <c r="F758" s="1">
        <v>42319</v>
      </c>
      <c r="G758">
        <v>-10464.5</v>
      </c>
      <c r="H758" s="1">
        <f t="shared" si="62"/>
        <v>42319</v>
      </c>
      <c r="I758">
        <f>IF(AND(MyRowHidden(ROW())=FALSE,MyRowHidden(ROW()-1)=TRUE),0,(E758-E757)*unitsOfDHp+I757)</f>
        <v>43085</v>
      </c>
      <c r="J758">
        <f>IF(AND(MyRowHidden(ROW())=FALSE,MyRowHidden(ROW()-1)=TRUE),0,(G758-G757)*unitsOfExo+J757)</f>
        <v>-996480</v>
      </c>
      <c r="K758" s="9">
        <f t="shared" si="63"/>
        <v>996480</v>
      </c>
      <c r="L758">
        <f t="shared" si="64"/>
        <v>-953395</v>
      </c>
      <c r="M758">
        <f>IF(AND(MyRowHidden(ROW())=FALSE,MyRowHidden(ROW()-1)=TRUE),0,IF(MONTH(H758)&lt;&gt;MONTH(H757),M757+1,M757))</f>
        <v>10</v>
      </c>
      <c r="N758">
        <f t="shared" si="65"/>
        <v>43085</v>
      </c>
      <c r="O758">
        <f>IF(AND(MyRowHidden(ROW())=FALSE,MyRowHidden(ROW()-1)=TRUE),0,IF(M758&lt;totalMonths,(totalMonths-M758)/totalMonths *(I758-I757)+O757,0))</f>
        <v>-71259.999999999796</v>
      </c>
      <c r="P758">
        <f>IF(AND(MyRowHidden(ROW())=FALSE,MyRowHidden(ROW()-1)=TRUE),0,IF(M758&lt;totalMonths,(totalMonths-M758)/totalMonths *(J758-J757)+P757,0))</f>
        <v>-618132</v>
      </c>
      <c r="Q758">
        <f>IF(AND(MyRowHidden(ROW())=FALSE,MyRowHidden(ROW()-1)=TRUE),0,IF(M758&lt;totalMonths,(totalMonths-M758)/totalMonths *(K758-K757)+Q757,0))</f>
        <v>618132</v>
      </c>
      <c r="R758">
        <f t="shared" si="66"/>
        <v>-575047</v>
      </c>
      <c r="S758">
        <f t="shared" si="67"/>
        <v>-689391.99999999977</v>
      </c>
    </row>
    <row r="759" spans="1:19" x14ac:dyDescent="0.25">
      <c r="A759" s="1"/>
      <c r="C759" s="1"/>
      <c r="D759" s="1">
        <v>42320</v>
      </c>
      <c r="E759" s="10">
        <v>8824</v>
      </c>
      <c r="F759" s="1">
        <v>42320</v>
      </c>
      <c r="G759">
        <v>-10477</v>
      </c>
      <c r="H759" s="1">
        <f t="shared" si="62"/>
        <v>42320</v>
      </c>
      <c r="I759">
        <f>IF(AND(MyRowHidden(ROW())=FALSE,MyRowHidden(ROW()-1)=TRUE),0,(E759-E758)*unitsOfDHp+I758)</f>
        <v>45220</v>
      </c>
      <c r="J759">
        <f>IF(AND(MyRowHidden(ROW())=FALSE,MyRowHidden(ROW()-1)=TRUE),0,(G759-G758)*unitsOfExo+J758)</f>
        <v>-1000080</v>
      </c>
      <c r="K759" s="9">
        <f t="shared" si="63"/>
        <v>1000080</v>
      </c>
      <c r="L759">
        <f t="shared" si="64"/>
        <v>-954860</v>
      </c>
      <c r="M759">
        <f>IF(AND(MyRowHidden(ROW())=FALSE,MyRowHidden(ROW()-1)=TRUE),0,IF(MONTH(H759)&lt;&gt;MONTH(H758),M758+1,M758))</f>
        <v>10</v>
      </c>
      <c r="N759">
        <f t="shared" si="65"/>
        <v>45220</v>
      </c>
      <c r="O759">
        <f>IF(AND(MyRowHidden(ROW())=FALSE,MyRowHidden(ROW()-1)=TRUE),0,IF(M759&lt;totalMonths,(totalMonths-M759)/totalMonths *(I759-I758)+O758,0))</f>
        <v>-70904.166666666468</v>
      </c>
      <c r="P759">
        <f>IF(AND(MyRowHidden(ROW())=FALSE,MyRowHidden(ROW()-1)=TRUE),0,IF(M759&lt;totalMonths,(totalMonths-M759)/totalMonths *(J759-J758)+P758,0))</f>
        <v>-618732</v>
      </c>
      <c r="Q759">
        <f>IF(AND(MyRowHidden(ROW())=FALSE,MyRowHidden(ROW()-1)=TRUE),0,IF(M759&lt;totalMonths,(totalMonths-M759)/totalMonths *(K759-K758)+Q758,0))</f>
        <v>618732</v>
      </c>
      <c r="R759">
        <f t="shared" si="66"/>
        <v>-573512</v>
      </c>
      <c r="S759">
        <f t="shared" si="67"/>
        <v>-689636.16666666651</v>
      </c>
    </row>
    <row r="760" spans="1:19" x14ac:dyDescent="0.25">
      <c r="A760" s="1"/>
      <c r="C760" s="1"/>
      <c r="D760" s="1">
        <v>42321</v>
      </c>
      <c r="E760" s="10">
        <v>8299</v>
      </c>
      <c r="F760" s="1">
        <v>42321</v>
      </c>
      <c r="G760">
        <v>-10589.5</v>
      </c>
      <c r="H760" s="1">
        <f t="shared" si="62"/>
        <v>42321</v>
      </c>
      <c r="I760">
        <f>IF(AND(MyRowHidden(ROW())=FALSE,MyRowHidden(ROW()-1)=TRUE),0,(E760-E759)*unitsOfDHp+I759)</f>
        <v>26845</v>
      </c>
      <c r="J760">
        <f>IF(AND(MyRowHidden(ROW())=FALSE,MyRowHidden(ROW()-1)=TRUE),0,(G760-G759)*unitsOfExo+J759)</f>
        <v>-1032480</v>
      </c>
      <c r="K760" s="9">
        <f t="shared" si="63"/>
        <v>1032480</v>
      </c>
      <c r="L760">
        <f t="shared" si="64"/>
        <v>-1005635</v>
      </c>
      <c r="M760">
        <f>IF(AND(MyRowHidden(ROW())=FALSE,MyRowHidden(ROW()-1)=TRUE),0,IF(MONTH(H760)&lt;&gt;MONTH(H759),M759+1,M759))</f>
        <v>10</v>
      </c>
      <c r="N760">
        <f t="shared" si="65"/>
        <v>26845</v>
      </c>
      <c r="O760">
        <f>IF(AND(MyRowHidden(ROW())=FALSE,MyRowHidden(ROW()-1)=TRUE),0,IF(M760&lt;totalMonths,(totalMonths-M760)/totalMonths *(I760-I759)+O759,0))</f>
        <v>-73966.666666666468</v>
      </c>
      <c r="P760">
        <f>IF(AND(MyRowHidden(ROW())=FALSE,MyRowHidden(ROW()-1)=TRUE),0,IF(M760&lt;totalMonths,(totalMonths-M760)/totalMonths *(J760-J759)+P759,0))</f>
        <v>-624132</v>
      </c>
      <c r="Q760">
        <f>IF(AND(MyRowHidden(ROW())=FALSE,MyRowHidden(ROW()-1)=TRUE),0,IF(M760&lt;totalMonths,(totalMonths-M760)/totalMonths *(K760-K759)+Q759,0))</f>
        <v>624132</v>
      </c>
      <c r="R760">
        <f t="shared" si="66"/>
        <v>-597287</v>
      </c>
      <c r="S760">
        <f t="shared" si="67"/>
        <v>-698098.66666666651</v>
      </c>
    </row>
    <row r="761" spans="1:19" x14ac:dyDescent="0.25">
      <c r="A761" s="1"/>
      <c r="C761" s="1"/>
      <c r="D761" s="1">
        <v>42324</v>
      </c>
      <c r="E761" s="10">
        <v>8274</v>
      </c>
      <c r="F761" s="1">
        <v>42324</v>
      </c>
      <c r="G761">
        <v>-10602</v>
      </c>
      <c r="H761" s="1">
        <f t="shared" si="62"/>
        <v>42324</v>
      </c>
      <c r="I761">
        <f>IF(AND(MyRowHidden(ROW())=FALSE,MyRowHidden(ROW()-1)=TRUE),0,(E761-E760)*unitsOfDHp+I760)</f>
        <v>25970</v>
      </c>
      <c r="J761">
        <f>IF(AND(MyRowHidden(ROW())=FALSE,MyRowHidden(ROW()-1)=TRUE),0,(G761-G760)*unitsOfExo+J760)</f>
        <v>-1036080</v>
      </c>
      <c r="K761" s="9">
        <f t="shared" si="63"/>
        <v>1036080</v>
      </c>
      <c r="L761">
        <f t="shared" si="64"/>
        <v>-1010110</v>
      </c>
      <c r="M761">
        <f>IF(AND(MyRowHidden(ROW())=FALSE,MyRowHidden(ROW()-1)=TRUE),0,IF(MONTH(H761)&lt;&gt;MONTH(H760),M760+1,M760))</f>
        <v>10</v>
      </c>
      <c r="N761">
        <f t="shared" si="65"/>
        <v>25970</v>
      </c>
      <c r="O761">
        <f>IF(AND(MyRowHidden(ROW())=FALSE,MyRowHidden(ROW()-1)=TRUE),0,IF(M761&lt;totalMonths,(totalMonths-M761)/totalMonths *(I761-I760)+O760,0))</f>
        <v>-74112.499999999796</v>
      </c>
      <c r="P761">
        <f>IF(AND(MyRowHidden(ROW())=FALSE,MyRowHidden(ROW()-1)=TRUE),0,IF(M761&lt;totalMonths,(totalMonths-M761)/totalMonths *(J761-J760)+P760,0))</f>
        <v>-624732</v>
      </c>
      <c r="Q761">
        <f>IF(AND(MyRowHidden(ROW())=FALSE,MyRowHidden(ROW()-1)=TRUE),0,IF(M761&lt;totalMonths,(totalMonths-M761)/totalMonths *(K761-K760)+Q760,0))</f>
        <v>624732</v>
      </c>
      <c r="R761">
        <f t="shared" si="66"/>
        <v>-598762</v>
      </c>
      <c r="S761">
        <f t="shared" si="67"/>
        <v>-698844.49999999977</v>
      </c>
    </row>
    <row r="762" spans="1:19" x14ac:dyDescent="0.25">
      <c r="A762" s="1"/>
      <c r="C762" s="1"/>
      <c r="D762" s="1">
        <v>42325</v>
      </c>
      <c r="E762" s="10">
        <v>8586</v>
      </c>
      <c r="F762" s="1">
        <v>42325</v>
      </c>
      <c r="G762">
        <v>-10539.5</v>
      </c>
      <c r="H762" s="1">
        <f t="shared" si="62"/>
        <v>42325</v>
      </c>
      <c r="I762">
        <f>IF(AND(MyRowHidden(ROW())=FALSE,MyRowHidden(ROW()-1)=TRUE),0,(E762-E761)*unitsOfDHp+I761)</f>
        <v>36890</v>
      </c>
      <c r="J762">
        <f>IF(AND(MyRowHidden(ROW())=FALSE,MyRowHidden(ROW()-1)=TRUE),0,(G762-G761)*unitsOfExo+J761)</f>
        <v>-1018080</v>
      </c>
      <c r="K762" s="9">
        <f t="shared" si="63"/>
        <v>1018080</v>
      </c>
      <c r="L762">
        <f t="shared" si="64"/>
        <v>-981190</v>
      </c>
      <c r="M762">
        <f>IF(AND(MyRowHidden(ROW())=FALSE,MyRowHidden(ROW()-1)=TRUE),0,IF(MONTH(H762)&lt;&gt;MONTH(H761),M761+1,M761))</f>
        <v>10</v>
      </c>
      <c r="N762">
        <f t="shared" si="65"/>
        <v>36890</v>
      </c>
      <c r="O762">
        <f>IF(AND(MyRowHidden(ROW())=FALSE,MyRowHidden(ROW()-1)=TRUE),0,IF(M762&lt;totalMonths,(totalMonths-M762)/totalMonths *(I762-I761)+O761,0))</f>
        <v>-72292.499999999796</v>
      </c>
      <c r="P762">
        <f>IF(AND(MyRowHidden(ROW())=FALSE,MyRowHidden(ROW()-1)=TRUE),0,IF(M762&lt;totalMonths,(totalMonths-M762)/totalMonths *(J762-J761)+P761,0))</f>
        <v>-621732</v>
      </c>
      <c r="Q762">
        <f>IF(AND(MyRowHidden(ROW())=FALSE,MyRowHidden(ROW()-1)=TRUE),0,IF(M762&lt;totalMonths,(totalMonths-M762)/totalMonths *(K762-K761)+Q761,0))</f>
        <v>621732</v>
      </c>
      <c r="R762">
        <f t="shared" si="66"/>
        <v>-584842</v>
      </c>
      <c r="S762">
        <f t="shared" si="67"/>
        <v>-694024.49999999977</v>
      </c>
    </row>
    <row r="763" spans="1:19" x14ac:dyDescent="0.25">
      <c r="A763" s="1"/>
      <c r="C763" s="1"/>
      <c r="D763" s="1">
        <v>42326</v>
      </c>
      <c r="E763" s="10">
        <v>8763</v>
      </c>
      <c r="F763" s="1">
        <v>42326</v>
      </c>
      <c r="G763">
        <v>-10464.5</v>
      </c>
      <c r="H763" s="1">
        <f t="shared" si="62"/>
        <v>42326</v>
      </c>
      <c r="I763">
        <f>IF(AND(MyRowHidden(ROW())=FALSE,MyRowHidden(ROW()-1)=TRUE),0,(E763-E762)*unitsOfDHp+I762)</f>
        <v>43085</v>
      </c>
      <c r="J763">
        <f>IF(AND(MyRowHidden(ROW())=FALSE,MyRowHidden(ROW()-1)=TRUE),0,(G763-G762)*unitsOfExo+J762)</f>
        <v>-996480</v>
      </c>
      <c r="K763" s="9">
        <f t="shared" si="63"/>
        <v>996480</v>
      </c>
      <c r="L763">
        <f t="shared" si="64"/>
        <v>-953395</v>
      </c>
      <c r="M763">
        <f>IF(AND(MyRowHidden(ROW())=FALSE,MyRowHidden(ROW()-1)=TRUE),0,IF(MONTH(H763)&lt;&gt;MONTH(H762),M762+1,M762))</f>
        <v>10</v>
      </c>
      <c r="N763">
        <f t="shared" si="65"/>
        <v>43085</v>
      </c>
      <c r="O763">
        <f>IF(AND(MyRowHidden(ROW())=FALSE,MyRowHidden(ROW()-1)=TRUE),0,IF(M763&lt;totalMonths,(totalMonths-M763)/totalMonths *(I763-I762)+O762,0))</f>
        <v>-71259.999999999796</v>
      </c>
      <c r="P763">
        <f>IF(AND(MyRowHidden(ROW())=FALSE,MyRowHidden(ROW()-1)=TRUE),0,IF(M763&lt;totalMonths,(totalMonths-M763)/totalMonths *(J763-J762)+P762,0))</f>
        <v>-618132</v>
      </c>
      <c r="Q763">
        <f>IF(AND(MyRowHidden(ROW())=FALSE,MyRowHidden(ROW()-1)=TRUE),0,IF(M763&lt;totalMonths,(totalMonths-M763)/totalMonths *(K763-K762)+Q762,0))</f>
        <v>618132</v>
      </c>
      <c r="R763">
        <f t="shared" si="66"/>
        <v>-575047</v>
      </c>
      <c r="S763">
        <f t="shared" si="67"/>
        <v>-689391.99999999977</v>
      </c>
    </row>
    <row r="764" spans="1:19" x14ac:dyDescent="0.25">
      <c r="A764" s="1"/>
      <c r="C764" s="1"/>
      <c r="D764" s="1">
        <v>42327</v>
      </c>
      <c r="E764" s="10">
        <v>9038</v>
      </c>
      <c r="F764" s="1">
        <v>42327</v>
      </c>
      <c r="G764">
        <v>-10352</v>
      </c>
      <c r="H764" s="1">
        <f t="shared" si="62"/>
        <v>42327</v>
      </c>
      <c r="I764">
        <f>IF(AND(MyRowHidden(ROW())=FALSE,MyRowHidden(ROW()-1)=TRUE),0,(E764-E763)*unitsOfDHp+I763)</f>
        <v>52710</v>
      </c>
      <c r="J764">
        <f>IF(AND(MyRowHidden(ROW())=FALSE,MyRowHidden(ROW()-1)=TRUE),0,(G764-G763)*unitsOfExo+J763)</f>
        <v>-964080</v>
      </c>
      <c r="K764" s="9">
        <f t="shared" si="63"/>
        <v>964080</v>
      </c>
      <c r="L764">
        <f t="shared" si="64"/>
        <v>-911370</v>
      </c>
      <c r="M764">
        <f>IF(AND(MyRowHidden(ROW())=FALSE,MyRowHidden(ROW()-1)=TRUE),0,IF(MONTH(H764)&lt;&gt;MONTH(H763),M763+1,M763))</f>
        <v>10</v>
      </c>
      <c r="N764">
        <f t="shared" si="65"/>
        <v>52710</v>
      </c>
      <c r="O764">
        <f>IF(AND(MyRowHidden(ROW())=FALSE,MyRowHidden(ROW()-1)=TRUE),0,IF(M764&lt;totalMonths,(totalMonths-M764)/totalMonths *(I764-I763)+O763,0))</f>
        <v>-69655.833333333125</v>
      </c>
      <c r="P764">
        <f>IF(AND(MyRowHidden(ROW())=FALSE,MyRowHidden(ROW()-1)=TRUE),0,IF(M764&lt;totalMonths,(totalMonths-M764)/totalMonths *(J764-J763)+P763,0))</f>
        <v>-612732</v>
      </c>
      <c r="Q764">
        <f>IF(AND(MyRowHidden(ROW())=FALSE,MyRowHidden(ROW()-1)=TRUE),0,IF(M764&lt;totalMonths,(totalMonths-M764)/totalMonths *(K764-K763)+Q763,0))</f>
        <v>612732</v>
      </c>
      <c r="R764">
        <f t="shared" si="66"/>
        <v>-560022</v>
      </c>
      <c r="S764">
        <f t="shared" si="67"/>
        <v>-682387.83333333314</v>
      </c>
    </row>
    <row r="765" spans="1:19" x14ac:dyDescent="0.25">
      <c r="A765" s="1"/>
      <c r="C765" s="1"/>
      <c r="D765" s="1">
        <v>42328</v>
      </c>
      <c r="E765" s="10">
        <v>9015</v>
      </c>
      <c r="F765" s="1">
        <v>42328</v>
      </c>
      <c r="G765">
        <v>-10364.5</v>
      </c>
      <c r="H765" s="1">
        <f t="shared" si="62"/>
        <v>42328</v>
      </c>
      <c r="I765">
        <f>IF(AND(MyRowHidden(ROW())=FALSE,MyRowHidden(ROW()-1)=TRUE),0,(E765-E764)*unitsOfDHp+I764)</f>
        <v>51905</v>
      </c>
      <c r="J765">
        <f>IF(AND(MyRowHidden(ROW())=FALSE,MyRowHidden(ROW()-1)=TRUE),0,(G765-G764)*unitsOfExo+J764)</f>
        <v>-967680</v>
      </c>
      <c r="K765" s="9">
        <f t="shared" si="63"/>
        <v>967680</v>
      </c>
      <c r="L765">
        <f t="shared" si="64"/>
        <v>-915775</v>
      </c>
      <c r="M765">
        <f>IF(AND(MyRowHidden(ROW())=FALSE,MyRowHidden(ROW()-1)=TRUE),0,IF(MONTH(H765)&lt;&gt;MONTH(H764),M764+1,M764))</f>
        <v>10</v>
      </c>
      <c r="N765">
        <f t="shared" si="65"/>
        <v>51905</v>
      </c>
      <c r="O765">
        <f>IF(AND(MyRowHidden(ROW())=FALSE,MyRowHidden(ROW()-1)=TRUE),0,IF(M765&lt;totalMonths,(totalMonths-M765)/totalMonths *(I765-I764)+O764,0))</f>
        <v>-69789.999999999796</v>
      </c>
      <c r="P765">
        <f>IF(AND(MyRowHidden(ROW())=FALSE,MyRowHidden(ROW()-1)=TRUE),0,IF(M765&lt;totalMonths,(totalMonths-M765)/totalMonths *(J765-J764)+P764,0))</f>
        <v>-613332</v>
      </c>
      <c r="Q765">
        <f>IF(AND(MyRowHidden(ROW())=FALSE,MyRowHidden(ROW()-1)=TRUE),0,IF(M765&lt;totalMonths,(totalMonths-M765)/totalMonths *(K765-K764)+Q764,0))</f>
        <v>613332</v>
      </c>
      <c r="R765">
        <f t="shared" si="66"/>
        <v>-561427</v>
      </c>
      <c r="S765">
        <f t="shared" si="67"/>
        <v>-683121.99999999977</v>
      </c>
    </row>
    <row r="766" spans="1:19" x14ac:dyDescent="0.25">
      <c r="A766" s="1"/>
      <c r="C766" s="1"/>
      <c r="D766" s="1">
        <v>42331</v>
      </c>
      <c r="E766" s="10">
        <v>9444</v>
      </c>
      <c r="F766" s="1">
        <v>42331</v>
      </c>
      <c r="G766">
        <v>-10239.5</v>
      </c>
      <c r="H766" s="1">
        <f t="shared" si="62"/>
        <v>42331</v>
      </c>
      <c r="I766">
        <f>IF(AND(MyRowHidden(ROW())=FALSE,MyRowHidden(ROW()-1)=TRUE),0,(E766-E765)*unitsOfDHp+I765)</f>
        <v>66920</v>
      </c>
      <c r="J766">
        <f>IF(AND(MyRowHidden(ROW())=FALSE,MyRowHidden(ROW()-1)=TRUE),0,(G766-G765)*unitsOfExo+J765)</f>
        <v>-931680</v>
      </c>
      <c r="K766" s="9">
        <f t="shared" si="63"/>
        <v>931680</v>
      </c>
      <c r="L766">
        <f t="shared" si="64"/>
        <v>-864760</v>
      </c>
      <c r="M766">
        <f>IF(AND(MyRowHidden(ROW())=FALSE,MyRowHidden(ROW()-1)=TRUE),0,IF(MONTH(H766)&lt;&gt;MONTH(H765),M765+1,M765))</f>
        <v>10</v>
      </c>
      <c r="N766">
        <f t="shared" si="65"/>
        <v>66920</v>
      </c>
      <c r="O766">
        <f>IF(AND(MyRowHidden(ROW())=FALSE,MyRowHidden(ROW()-1)=TRUE),0,IF(M766&lt;totalMonths,(totalMonths-M766)/totalMonths *(I766-I765)+O765,0))</f>
        <v>-67287.499999999796</v>
      </c>
      <c r="P766">
        <f>IF(AND(MyRowHidden(ROW())=FALSE,MyRowHidden(ROW()-1)=TRUE),0,IF(M766&lt;totalMonths,(totalMonths-M766)/totalMonths *(J766-J765)+P765,0))</f>
        <v>-607332</v>
      </c>
      <c r="Q766">
        <f>IF(AND(MyRowHidden(ROW())=FALSE,MyRowHidden(ROW()-1)=TRUE),0,IF(M766&lt;totalMonths,(totalMonths-M766)/totalMonths *(K766-K765)+Q765,0))</f>
        <v>607332</v>
      </c>
      <c r="R766">
        <f t="shared" si="66"/>
        <v>-540412</v>
      </c>
      <c r="S766">
        <f t="shared" si="67"/>
        <v>-674619.49999999977</v>
      </c>
    </row>
    <row r="767" spans="1:19" x14ac:dyDescent="0.25">
      <c r="A767" s="1"/>
      <c r="C767" s="1"/>
      <c r="D767" s="1">
        <v>42332</v>
      </c>
      <c r="E767" s="10">
        <v>9382</v>
      </c>
      <c r="F767" s="1">
        <v>42332</v>
      </c>
      <c r="G767">
        <v>-10377</v>
      </c>
      <c r="H767" s="1">
        <f t="shared" si="62"/>
        <v>42332</v>
      </c>
      <c r="I767">
        <f>IF(AND(MyRowHidden(ROW())=FALSE,MyRowHidden(ROW()-1)=TRUE),0,(E767-E766)*unitsOfDHp+I766)</f>
        <v>64750</v>
      </c>
      <c r="J767">
        <f>IF(AND(MyRowHidden(ROW())=FALSE,MyRowHidden(ROW()-1)=TRUE),0,(G767-G766)*unitsOfExo+J766)</f>
        <v>-971280</v>
      </c>
      <c r="K767" s="9">
        <f t="shared" si="63"/>
        <v>971280</v>
      </c>
      <c r="L767">
        <f t="shared" si="64"/>
        <v>-906530</v>
      </c>
      <c r="M767">
        <f>IF(AND(MyRowHidden(ROW())=FALSE,MyRowHidden(ROW()-1)=TRUE),0,IF(MONTH(H767)&lt;&gt;MONTH(H766),M766+1,M766))</f>
        <v>10</v>
      </c>
      <c r="N767">
        <f t="shared" si="65"/>
        <v>64750</v>
      </c>
      <c r="O767">
        <f>IF(AND(MyRowHidden(ROW())=FALSE,MyRowHidden(ROW()-1)=TRUE),0,IF(M767&lt;totalMonths,(totalMonths-M767)/totalMonths *(I767-I766)+O766,0))</f>
        <v>-67649.166666666468</v>
      </c>
      <c r="P767">
        <f>IF(AND(MyRowHidden(ROW())=FALSE,MyRowHidden(ROW()-1)=TRUE),0,IF(M767&lt;totalMonths,(totalMonths-M767)/totalMonths *(J767-J766)+P766,0))</f>
        <v>-613932</v>
      </c>
      <c r="Q767">
        <f>IF(AND(MyRowHidden(ROW())=FALSE,MyRowHidden(ROW()-1)=TRUE),0,IF(M767&lt;totalMonths,(totalMonths-M767)/totalMonths *(K767-K766)+Q766,0))</f>
        <v>613932</v>
      </c>
      <c r="R767">
        <f t="shared" si="66"/>
        <v>-549182</v>
      </c>
      <c r="S767">
        <f t="shared" si="67"/>
        <v>-681581.16666666651</v>
      </c>
    </row>
    <row r="768" spans="1:19" x14ac:dyDescent="0.25">
      <c r="A768" s="1"/>
      <c r="C768" s="1"/>
      <c r="D768" s="1">
        <v>42333</v>
      </c>
      <c r="E768" s="10">
        <v>9540</v>
      </c>
      <c r="F768" s="1">
        <v>42333</v>
      </c>
      <c r="G768">
        <v>-10289.5</v>
      </c>
      <c r="H768" s="1">
        <f t="shared" si="62"/>
        <v>42333</v>
      </c>
      <c r="I768">
        <f>IF(AND(MyRowHidden(ROW())=FALSE,MyRowHidden(ROW()-1)=TRUE),0,(E768-E767)*unitsOfDHp+I767)</f>
        <v>70280</v>
      </c>
      <c r="J768">
        <f>IF(AND(MyRowHidden(ROW())=FALSE,MyRowHidden(ROW()-1)=TRUE),0,(G768-G767)*unitsOfExo+J767)</f>
        <v>-946080</v>
      </c>
      <c r="K768" s="9">
        <f t="shared" si="63"/>
        <v>946080</v>
      </c>
      <c r="L768">
        <f t="shared" si="64"/>
        <v>-875800</v>
      </c>
      <c r="M768">
        <f>IF(AND(MyRowHidden(ROW())=FALSE,MyRowHidden(ROW()-1)=TRUE),0,IF(MONTH(H768)&lt;&gt;MONTH(H767),M767+1,M767))</f>
        <v>10</v>
      </c>
      <c r="N768">
        <f t="shared" si="65"/>
        <v>70280</v>
      </c>
      <c r="O768">
        <f>IF(AND(MyRowHidden(ROW())=FALSE,MyRowHidden(ROW()-1)=TRUE),0,IF(M768&lt;totalMonths,(totalMonths-M768)/totalMonths *(I768-I767)+O767,0))</f>
        <v>-66727.499999999796</v>
      </c>
      <c r="P768">
        <f>IF(AND(MyRowHidden(ROW())=FALSE,MyRowHidden(ROW()-1)=TRUE),0,IF(M768&lt;totalMonths,(totalMonths-M768)/totalMonths *(J768-J767)+P767,0))</f>
        <v>-609732</v>
      </c>
      <c r="Q768">
        <f>IF(AND(MyRowHidden(ROW())=FALSE,MyRowHidden(ROW()-1)=TRUE),0,IF(M768&lt;totalMonths,(totalMonths-M768)/totalMonths *(K768-K767)+Q767,0))</f>
        <v>609732</v>
      </c>
      <c r="R768">
        <f t="shared" si="66"/>
        <v>-539452</v>
      </c>
      <c r="S768">
        <f t="shared" si="67"/>
        <v>-676459.49999999977</v>
      </c>
    </row>
    <row r="769" spans="1:19" x14ac:dyDescent="0.25">
      <c r="A769" s="1"/>
      <c r="C769" s="1"/>
      <c r="D769" s="1">
        <v>42334</v>
      </c>
      <c r="E769" s="10">
        <v>9662</v>
      </c>
      <c r="F769" s="1">
        <v>42334</v>
      </c>
      <c r="G769">
        <v>-10264.5</v>
      </c>
      <c r="H769" s="1">
        <f t="shared" si="62"/>
        <v>42334</v>
      </c>
      <c r="I769">
        <f>IF(AND(MyRowHidden(ROW())=FALSE,MyRowHidden(ROW()-1)=TRUE),0,(E769-E768)*unitsOfDHp+I768)</f>
        <v>74550</v>
      </c>
      <c r="J769">
        <f>IF(AND(MyRowHidden(ROW())=FALSE,MyRowHidden(ROW()-1)=TRUE),0,(G769-G768)*unitsOfExo+J768)</f>
        <v>-938880</v>
      </c>
      <c r="K769" s="9">
        <f t="shared" si="63"/>
        <v>938880</v>
      </c>
      <c r="L769">
        <f t="shared" si="64"/>
        <v>-864330</v>
      </c>
      <c r="M769">
        <f>IF(AND(MyRowHidden(ROW())=FALSE,MyRowHidden(ROW()-1)=TRUE),0,IF(MONTH(H769)&lt;&gt;MONTH(H768),M768+1,M768))</f>
        <v>10</v>
      </c>
      <c r="N769">
        <f t="shared" si="65"/>
        <v>74550</v>
      </c>
      <c r="O769">
        <f>IF(AND(MyRowHidden(ROW())=FALSE,MyRowHidden(ROW()-1)=TRUE),0,IF(M769&lt;totalMonths,(totalMonths-M769)/totalMonths *(I769-I768)+O768,0))</f>
        <v>-66015.833333333125</v>
      </c>
      <c r="P769">
        <f>IF(AND(MyRowHidden(ROW())=FALSE,MyRowHidden(ROW()-1)=TRUE),0,IF(M769&lt;totalMonths,(totalMonths-M769)/totalMonths *(J769-J768)+P768,0))</f>
        <v>-608532</v>
      </c>
      <c r="Q769">
        <f>IF(AND(MyRowHidden(ROW())=FALSE,MyRowHidden(ROW()-1)=TRUE),0,IF(M769&lt;totalMonths,(totalMonths-M769)/totalMonths *(K769-K768)+Q768,0))</f>
        <v>608532</v>
      </c>
      <c r="R769">
        <f t="shared" si="66"/>
        <v>-533982</v>
      </c>
      <c r="S769">
        <f t="shared" si="67"/>
        <v>-674547.83333333314</v>
      </c>
    </row>
    <row r="770" spans="1:19" x14ac:dyDescent="0.25">
      <c r="A770" s="1"/>
      <c r="C770" s="1"/>
      <c r="D770" s="1">
        <v>42335</v>
      </c>
      <c r="E770" s="10">
        <v>9100</v>
      </c>
      <c r="F770" s="1">
        <v>42335</v>
      </c>
      <c r="G770">
        <v>-10502</v>
      </c>
      <c r="H770" s="1">
        <f t="shared" si="62"/>
        <v>42335</v>
      </c>
      <c r="I770">
        <f>IF(AND(MyRowHidden(ROW())=FALSE,MyRowHidden(ROW()-1)=TRUE),0,(E770-E769)*unitsOfDHp+I769)</f>
        <v>54880</v>
      </c>
      <c r="J770">
        <f>IF(AND(MyRowHidden(ROW())=FALSE,MyRowHidden(ROW()-1)=TRUE),0,(G770-G769)*unitsOfExo+J769)</f>
        <v>-1007280</v>
      </c>
      <c r="K770" s="9">
        <f t="shared" si="63"/>
        <v>1007280</v>
      </c>
      <c r="L770">
        <f t="shared" si="64"/>
        <v>-952400</v>
      </c>
      <c r="M770">
        <f>IF(AND(MyRowHidden(ROW())=FALSE,MyRowHidden(ROW()-1)=TRUE),0,IF(MONTH(H770)&lt;&gt;MONTH(H769),M769+1,M769))</f>
        <v>10</v>
      </c>
      <c r="N770">
        <f t="shared" si="65"/>
        <v>54880</v>
      </c>
      <c r="O770">
        <f>IF(AND(MyRowHidden(ROW())=FALSE,MyRowHidden(ROW()-1)=TRUE),0,IF(M770&lt;totalMonths,(totalMonths-M770)/totalMonths *(I770-I769)+O769,0))</f>
        <v>-69294.166666666453</v>
      </c>
      <c r="P770">
        <f>IF(AND(MyRowHidden(ROW())=FALSE,MyRowHidden(ROW()-1)=TRUE),0,IF(M770&lt;totalMonths,(totalMonths-M770)/totalMonths *(J770-J769)+P769,0))</f>
        <v>-619932</v>
      </c>
      <c r="Q770">
        <f>IF(AND(MyRowHidden(ROW())=FALSE,MyRowHidden(ROW()-1)=TRUE),0,IF(M770&lt;totalMonths,(totalMonths-M770)/totalMonths *(K770-K769)+Q769,0))</f>
        <v>619932</v>
      </c>
      <c r="R770">
        <f t="shared" si="66"/>
        <v>-565052</v>
      </c>
      <c r="S770">
        <f t="shared" si="67"/>
        <v>-689226.16666666651</v>
      </c>
    </row>
    <row r="771" spans="1:19" x14ac:dyDescent="0.25">
      <c r="A771" s="1"/>
      <c r="C771" s="1"/>
      <c r="D771" s="1">
        <v>42338</v>
      </c>
      <c r="E771" s="10">
        <v>9590</v>
      </c>
      <c r="F771" s="1">
        <v>42338</v>
      </c>
      <c r="G771">
        <v>-10289.5</v>
      </c>
      <c r="H771" s="1">
        <f t="shared" si="62"/>
        <v>42338</v>
      </c>
      <c r="I771">
        <f>IF(AND(MyRowHidden(ROW())=FALSE,MyRowHidden(ROW()-1)=TRUE),0,(E771-E770)*unitsOfDHp+I770)</f>
        <v>72030</v>
      </c>
      <c r="J771">
        <f>IF(AND(MyRowHidden(ROW())=FALSE,MyRowHidden(ROW()-1)=TRUE),0,(G771-G770)*unitsOfExo+J770)</f>
        <v>-946080</v>
      </c>
      <c r="K771" s="9">
        <f t="shared" si="63"/>
        <v>946080</v>
      </c>
      <c r="L771">
        <f t="shared" si="64"/>
        <v>-874050</v>
      </c>
      <c r="M771">
        <f>IF(AND(MyRowHidden(ROW())=FALSE,MyRowHidden(ROW()-1)=TRUE),0,IF(MONTH(H771)&lt;&gt;MONTH(H770),M770+1,M770))</f>
        <v>10</v>
      </c>
      <c r="N771">
        <f t="shared" si="65"/>
        <v>72030</v>
      </c>
      <c r="O771">
        <f>IF(AND(MyRowHidden(ROW())=FALSE,MyRowHidden(ROW()-1)=TRUE),0,IF(M771&lt;totalMonths,(totalMonths-M771)/totalMonths *(I771-I770)+O770,0))</f>
        <v>-66435.833333333125</v>
      </c>
      <c r="P771">
        <f>IF(AND(MyRowHidden(ROW())=FALSE,MyRowHidden(ROW()-1)=TRUE),0,IF(M771&lt;totalMonths,(totalMonths-M771)/totalMonths *(J771-J770)+P770,0))</f>
        <v>-609732</v>
      </c>
      <c r="Q771">
        <f>IF(AND(MyRowHidden(ROW())=FALSE,MyRowHidden(ROW()-1)=TRUE),0,IF(M771&lt;totalMonths,(totalMonths-M771)/totalMonths *(K771-K770)+Q770,0))</f>
        <v>609732</v>
      </c>
      <c r="R771">
        <f t="shared" si="66"/>
        <v>-537702</v>
      </c>
      <c r="S771">
        <f t="shared" si="67"/>
        <v>-676167.83333333314</v>
      </c>
    </row>
    <row r="772" spans="1:19" x14ac:dyDescent="0.25">
      <c r="A772" s="1"/>
      <c r="C772" s="1"/>
      <c r="D772" s="1">
        <v>42339</v>
      </c>
      <c r="E772" s="10">
        <v>9686</v>
      </c>
      <c r="F772" s="1">
        <v>42339</v>
      </c>
      <c r="G772">
        <v>-10201.5</v>
      </c>
      <c r="H772" s="1">
        <f t="shared" si="62"/>
        <v>42339</v>
      </c>
      <c r="I772">
        <f>IF(AND(MyRowHidden(ROW())=FALSE,MyRowHidden(ROW()-1)=TRUE),0,(E772-E771)*unitsOfDHp+I771)</f>
        <v>75390</v>
      </c>
      <c r="J772">
        <f>IF(AND(MyRowHidden(ROW())=FALSE,MyRowHidden(ROW()-1)=TRUE),0,(G772-G771)*unitsOfExo+J771)</f>
        <v>-920736</v>
      </c>
      <c r="K772" s="9">
        <f t="shared" si="63"/>
        <v>920736</v>
      </c>
      <c r="L772">
        <f t="shared" si="64"/>
        <v>-845346</v>
      </c>
      <c r="M772">
        <f>IF(AND(MyRowHidden(ROW())=FALSE,MyRowHidden(ROW()-1)=TRUE),0,IF(MONTH(H772)&lt;&gt;MONTH(H771),M771+1,M771))</f>
        <v>11</v>
      </c>
      <c r="N772">
        <f t="shared" si="65"/>
        <v>75390</v>
      </c>
      <c r="O772">
        <f>IF(AND(MyRowHidden(ROW())=FALSE,MyRowHidden(ROW()-1)=TRUE),0,IF(M772&lt;totalMonths,(totalMonths-M772)/totalMonths *(I772-I771)+O771,0))</f>
        <v>-66155.833333333125</v>
      </c>
      <c r="P772">
        <f>IF(AND(MyRowHidden(ROW())=FALSE,MyRowHidden(ROW()-1)=TRUE),0,IF(M772&lt;totalMonths,(totalMonths-M772)/totalMonths *(J772-J771)+P771,0))</f>
        <v>-607620</v>
      </c>
      <c r="Q772">
        <f>IF(AND(MyRowHidden(ROW())=FALSE,MyRowHidden(ROW()-1)=TRUE),0,IF(M772&lt;totalMonths,(totalMonths-M772)/totalMonths *(K772-K771)+Q771,0))</f>
        <v>607620</v>
      </c>
      <c r="R772">
        <f t="shared" si="66"/>
        <v>-532230</v>
      </c>
      <c r="S772">
        <f t="shared" si="67"/>
        <v>-673775.83333333314</v>
      </c>
    </row>
    <row r="773" spans="1:19" x14ac:dyDescent="0.25">
      <c r="A773" s="1"/>
      <c r="C773" s="1"/>
      <c r="D773" s="1">
        <v>42340</v>
      </c>
      <c r="E773" s="10">
        <v>9411</v>
      </c>
      <c r="F773" s="1">
        <v>42340</v>
      </c>
      <c r="G773">
        <v>-10339</v>
      </c>
      <c r="H773" s="1">
        <f t="shared" si="62"/>
        <v>42340</v>
      </c>
      <c r="I773">
        <f>IF(AND(MyRowHidden(ROW())=FALSE,MyRowHidden(ROW()-1)=TRUE),0,(E773-E772)*unitsOfDHp+I772)</f>
        <v>65765</v>
      </c>
      <c r="J773">
        <f>IF(AND(MyRowHidden(ROW())=FALSE,MyRowHidden(ROW()-1)=TRUE),0,(G773-G772)*unitsOfExo+J772)</f>
        <v>-960336</v>
      </c>
      <c r="K773" s="9">
        <f t="shared" si="63"/>
        <v>960336</v>
      </c>
      <c r="L773">
        <f t="shared" si="64"/>
        <v>-894571</v>
      </c>
      <c r="M773">
        <f>IF(AND(MyRowHidden(ROW())=FALSE,MyRowHidden(ROW()-1)=TRUE),0,IF(MONTH(H773)&lt;&gt;MONTH(H772),M772+1,M772))</f>
        <v>11</v>
      </c>
      <c r="N773">
        <f t="shared" si="65"/>
        <v>65765</v>
      </c>
      <c r="O773">
        <f>IF(AND(MyRowHidden(ROW())=FALSE,MyRowHidden(ROW()-1)=TRUE),0,IF(M773&lt;totalMonths,(totalMonths-M773)/totalMonths *(I773-I772)+O772,0))</f>
        <v>-66957.916666666453</v>
      </c>
      <c r="P773">
        <f>IF(AND(MyRowHidden(ROW())=FALSE,MyRowHidden(ROW()-1)=TRUE),0,IF(M773&lt;totalMonths,(totalMonths-M773)/totalMonths *(J773-J772)+P772,0))</f>
        <v>-610920</v>
      </c>
      <c r="Q773">
        <f>IF(AND(MyRowHidden(ROW())=FALSE,MyRowHidden(ROW()-1)=TRUE),0,IF(M773&lt;totalMonths,(totalMonths-M773)/totalMonths *(K773-K772)+Q772,0))</f>
        <v>610920</v>
      </c>
      <c r="R773">
        <f t="shared" si="66"/>
        <v>-545155</v>
      </c>
      <c r="S773">
        <f t="shared" si="67"/>
        <v>-677877.91666666651</v>
      </c>
    </row>
    <row r="774" spans="1:19" x14ac:dyDescent="0.25">
      <c r="A774" s="1"/>
      <c r="C774" s="1"/>
      <c r="D774" s="1">
        <v>42341</v>
      </c>
      <c r="E774" s="10">
        <v>9787</v>
      </c>
      <c r="F774" s="1">
        <v>42341</v>
      </c>
      <c r="G774">
        <v>-10026.5</v>
      </c>
      <c r="H774" s="1">
        <f t="shared" si="62"/>
        <v>42341</v>
      </c>
      <c r="I774">
        <f>IF(AND(MyRowHidden(ROW())=FALSE,MyRowHidden(ROW()-1)=TRUE),0,(E774-E773)*unitsOfDHp+I773)</f>
        <v>78925</v>
      </c>
      <c r="J774">
        <f>IF(AND(MyRowHidden(ROW())=FALSE,MyRowHidden(ROW()-1)=TRUE),0,(G774-G773)*unitsOfExo+J773)</f>
        <v>-870336</v>
      </c>
      <c r="K774" s="9">
        <f t="shared" si="63"/>
        <v>870336</v>
      </c>
      <c r="L774">
        <f t="shared" si="64"/>
        <v>-791411</v>
      </c>
      <c r="M774">
        <f>IF(AND(MyRowHidden(ROW())=FALSE,MyRowHidden(ROW()-1)=TRUE),0,IF(MONTH(H774)&lt;&gt;MONTH(H773),M773+1,M773))</f>
        <v>11</v>
      </c>
      <c r="N774">
        <f t="shared" si="65"/>
        <v>78925</v>
      </c>
      <c r="O774">
        <f>IF(AND(MyRowHidden(ROW())=FALSE,MyRowHidden(ROW()-1)=TRUE),0,IF(M774&lt;totalMonths,(totalMonths-M774)/totalMonths *(I774-I773)+O773,0))</f>
        <v>-65861.249999999782</v>
      </c>
      <c r="P774">
        <f>IF(AND(MyRowHidden(ROW())=FALSE,MyRowHidden(ROW()-1)=TRUE),0,IF(M774&lt;totalMonths,(totalMonths-M774)/totalMonths *(J774-J773)+P773,0))</f>
        <v>-603420</v>
      </c>
      <c r="Q774">
        <f>IF(AND(MyRowHidden(ROW())=FALSE,MyRowHidden(ROW()-1)=TRUE),0,IF(M774&lt;totalMonths,(totalMonths-M774)/totalMonths *(K774-K773)+Q773,0))</f>
        <v>603420</v>
      </c>
      <c r="R774">
        <f t="shared" si="66"/>
        <v>-524495</v>
      </c>
      <c r="S774">
        <f t="shared" si="67"/>
        <v>-669281.24999999977</v>
      </c>
    </row>
    <row r="775" spans="1:19" x14ac:dyDescent="0.25">
      <c r="A775" s="1"/>
      <c r="C775" s="1"/>
      <c r="D775" s="1">
        <v>42342</v>
      </c>
      <c r="E775" s="10">
        <v>9980</v>
      </c>
      <c r="F775" s="1">
        <v>42342</v>
      </c>
      <c r="G775">
        <v>-9851.5</v>
      </c>
      <c r="H775" s="1">
        <f t="shared" si="62"/>
        <v>42342</v>
      </c>
      <c r="I775">
        <f>IF(AND(MyRowHidden(ROW())=FALSE,MyRowHidden(ROW()-1)=TRUE),0,(E775-E774)*unitsOfDHp+I774)</f>
        <v>85680</v>
      </c>
      <c r="J775">
        <f>IF(AND(MyRowHidden(ROW())=FALSE,MyRowHidden(ROW()-1)=TRUE),0,(G775-G774)*unitsOfExo+J774)</f>
        <v>-819936</v>
      </c>
      <c r="K775" s="9">
        <f t="shared" si="63"/>
        <v>819936</v>
      </c>
      <c r="L775">
        <f t="shared" si="64"/>
        <v>-734256</v>
      </c>
      <c r="M775">
        <f>IF(AND(MyRowHidden(ROW())=FALSE,MyRowHidden(ROW()-1)=TRUE),0,IF(MONTH(H775)&lt;&gt;MONTH(H774),M774+1,M774))</f>
        <v>11</v>
      </c>
      <c r="N775">
        <f t="shared" si="65"/>
        <v>85680</v>
      </c>
      <c r="O775">
        <f>IF(AND(MyRowHidden(ROW())=FALSE,MyRowHidden(ROW()-1)=TRUE),0,IF(M775&lt;totalMonths,(totalMonths-M775)/totalMonths *(I775-I774)+O774,0))</f>
        <v>-65298.333333333117</v>
      </c>
      <c r="P775">
        <f>IF(AND(MyRowHidden(ROW())=FALSE,MyRowHidden(ROW()-1)=TRUE),0,IF(M775&lt;totalMonths,(totalMonths-M775)/totalMonths *(J775-J774)+P774,0))</f>
        <v>-599220</v>
      </c>
      <c r="Q775">
        <f>IF(AND(MyRowHidden(ROW())=FALSE,MyRowHidden(ROW()-1)=TRUE),0,IF(M775&lt;totalMonths,(totalMonths-M775)/totalMonths *(K775-K774)+Q774,0))</f>
        <v>599220</v>
      </c>
      <c r="R775">
        <f t="shared" si="66"/>
        <v>-513540</v>
      </c>
      <c r="S775">
        <f t="shared" si="67"/>
        <v>-664518.33333333314</v>
      </c>
    </row>
    <row r="776" spans="1:19" x14ac:dyDescent="0.25">
      <c r="A776" s="1"/>
      <c r="C776" s="1"/>
      <c r="D776" s="1">
        <v>42345</v>
      </c>
      <c r="E776" s="10">
        <v>9680</v>
      </c>
      <c r="F776" s="1">
        <v>42345</v>
      </c>
      <c r="G776">
        <v>-10201.5</v>
      </c>
      <c r="H776" s="1">
        <f t="shared" si="62"/>
        <v>42345</v>
      </c>
      <c r="I776">
        <f>IF(AND(MyRowHidden(ROW())=FALSE,MyRowHidden(ROW()-1)=TRUE),0,(E776-E775)*unitsOfDHp+I775)</f>
        <v>75180</v>
      </c>
      <c r="J776">
        <f>IF(AND(MyRowHidden(ROW())=FALSE,MyRowHidden(ROW()-1)=TRUE),0,(G776-G775)*unitsOfExo+J775)</f>
        <v>-920736</v>
      </c>
      <c r="K776" s="9">
        <f t="shared" si="63"/>
        <v>920736</v>
      </c>
      <c r="L776">
        <f t="shared" si="64"/>
        <v>-845556</v>
      </c>
      <c r="M776">
        <f>IF(AND(MyRowHidden(ROW())=FALSE,MyRowHidden(ROW()-1)=TRUE),0,IF(MONTH(H776)&lt;&gt;MONTH(H775),M775+1,M775))</f>
        <v>11</v>
      </c>
      <c r="N776">
        <f t="shared" si="65"/>
        <v>75180</v>
      </c>
      <c r="O776">
        <f>IF(AND(MyRowHidden(ROW())=FALSE,MyRowHidden(ROW()-1)=TRUE),0,IF(M776&lt;totalMonths,(totalMonths-M776)/totalMonths *(I776-I775)+O775,0))</f>
        <v>-66173.33333333311</v>
      </c>
      <c r="P776">
        <f>IF(AND(MyRowHidden(ROW())=FALSE,MyRowHidden(ROW()-1)=TRUE),0,IF(M776&lt;totalMonths,(totalMonths-M776)/totalMonths *(J776-J775)+P775,0))</f>
        <v>-607620</v>
      </c>
      <c r="Q776">
        <f>IF(AND(MyRowHidden(ROW())=FALSE,MyRowHidden(ROW()-1)=TRUE),0,IF(M776&lt;totalMonths,(totalMonths-M776)/totalMonths *(K776-K775)+Q775,0))</f>
        <v>607620</v>
      </c>
      <c r="R776">
        <f t="shared" si="66"/>
        <v>-532440</v>
      </c>
      <c r="S776">
        <f t="shared" si="67"/>
        <v>-673793.33333333314</v>
      </c>
    </row>
    <row r="777" spans="1:19" x14ac:dyDescent="0.25">
      <c r="A777" s="1"/>
      <c r="C777" s="1"/>
      <c r="D777" s="1">
        <v>42346</v>
      </c>
      <c r="E777" s="10">
        <v>9680</v>
      </c>
      <c r="F777" s="1">
        <v>42346</v>
      </c>
      <c r="G777">
        <v>-10189</v>
      </c>
      <c r="H777" s="1">
        <f t="shared" si="62"/>
        <v>42346</v>
      </c>
      <c r="I777">
        <f>IF(AND(MyRowHidden(ROW())=FALSE,MyRowHidden(ROW()-1)=TRUE),0,(E777-E776)*unitsOfDHp+I776)</f>
        <v>75180</v>
      </c>
      <c r="J777">
        <f>IF(AND(MyRowHidden(ROW())=FALSE,MyRowHidden(ROW()-1)=TRUE),0,(G777-G776)*unitsOfExo+J776)</f>
        <v>-917136</v>
      </c>
      <c r="K777" s="9">
        <f t="shared" si="63"/>
        <v>917136</v>
      </c>
      <c r="L777">
        <f t="shared" si="64"/>
        <v>-841956</v>
      </c>
      <c r="M777">
        <f>IF(AND(MyRowHidden(ROW())=FALSE,MyRowHidden(ROW()-1)=TRUE),0,IF(MONTH(H777)&lt;&gt;MONTH(H776),M776+1,M776))</f>
        <v>11</v>
      </c>
      <c r="N777">
        <f t="shared" si="65"/>
        <v>75180</v>
      </c>
      <c r="O777">
        <f>IF(AND(MyRowHidden(ROW())=FALSE,MyRowHidden(ROW()-1)=TRUE),0,IF(M777&lt;totalMonths,(totalMonths-M777)/totalMonths *(I777-I776)+O776,0))</f>
        <v>-66173.33333333311</v>
      </c>
      <c r="P777">
        <f>IF(AND(MyRowHidden(ROW())=FALSE,MyRowHidden(ROW()-1)=TRUE),0,IF(M777&lt;totalMonths,(totalMonths-M777)/totalMonths *(J777-J776)+P776,0))</f>
        <v>-607320</v>
      </c>
      <c r="Q777">
        <f>IF(AND(MyRowHidden(ROW())=FALSE,MyRowHidden(ROW()-1)=TRUE),0,IF(M777&lt;totalMonths,(totalMonths-M777)/totalMonths *(K777-K776)+Q776,0))</f>
        <v>607320</v>
      </c>
      <c r="R777">
        <f t="shared" si="66"/>
        <v>-532140</v>
      </c>
      <c r="S777">
        <f t="shared" si="67"/>
        <v>-673493.33333333314</v>
      </c>
    </row>
    <row r="778" spans="1:19" x14ac:dyDescent="0.25">
      <c r="A778" s="1"/>
      <c r="C778" s="1"/>
      <c r="D778" s="1">
        <v>42347</v>
      </c>
      <c r="E778" s="10">
        <v>9855</v>
      </c>
      <c r="F778" s="1">
        <v>42347</v>
      </c>
      <c r="G778">
        <v>-10214</v>
      </c>
      <c r="H778" s="1">
        <f t="shared" si="62"/>
        <v>42347</v>
      </c>
      <c r="I778">
        <f>IF(AND(MyRowHidden(ROW())=FALSE,MyRowHidden(ROW()-1)=TRUE),0,(E778-E777)*unitsOfDHp+I777)</f>
        <v>81305</v>
      </c>
      <c r="J778">
        <f>IF(AND(MyRowHidden(ROW())=FALSE,MyRowHidden(ROW()-1)=TRUE),0,(G778-G777)*unitsOfExo+J777)</f>
        <v>-924336</v>
      </c>
      <c r="K778" s="9">
        <f t="shared" si="63"/>
        <v>924336</v>
      </c>
      <c r="L778">
        <f t="shared" si="64"/>
        <v>-843031</v>
      </c>
      <c r="M778">
        <f>IF(AND(MyRowHidden(ROW())=FALSE,MyRowHidden(ROW()-1)=TRUE),0,IF(MONTH(H778)&lt;&gt;MONTH(H777),M777+1,M777))</f>
        <v>11</v>
      </c>
      <c r="N778">
        <f t="shared" si="65"/>
        <v>81305</v>
      </c>
      <c r="O778">
        <f>IF(AND(MyRowHidden(ROW())=FALSE,MyRowHidden(ROW()-1)=TRUE),0,IF(M778&lt;totalMonths,(totalMonths-M778)/totalMonths *(I778-I777)+O777,0))</f>
        <v>-65662.916666666439</v>
      </c>
      <c r="P778">
        <f>IF(AND(MyRowHidden(ROW())=FALSE,MyRowHidden(ROW()-1)=TRUE),0,IF(M778&lt;totalMonths,(totalMonths-M778)/totalMonths *(J778-J777)+P777,0))</f>
        <v>-607920</v>
      </c>
      <c r="Q778">
        <f>IF(AND(MyRowHidden(ROW())=FALSE,MyRowHidden(ROW()-1)=TRUE),0,IF(M778&lt;totalMonths,(totalMonths-M778)/totalMonths *(K778-K777)+Q777,0))</f>
        <v>607920</v>
      </c>
      <c r="R778">
        <f t="shared" si="66"/>
        <v>-526615</v>
      </c>
      <c r="S778">
        <f t="shared" si="67"/>
        <v>-673582.9166666664</v>
      </c>
    </row>
    <row r="779" spans="1:19" x14ac:dyDescent="0.25">
      <c r="A779" s="1"/>
      <c r="C779" s="1"/>
      <c r="D779" s="1">
        <v>42348</v>
      </c>
      <c r="E779" s="10">
        <v>10222</v>
      </c>
      <c r="F779" s="1">
        <v>42348</v>
      </c>
      <c r="G779">
        <v>-9951.5</v>
      </c>
      <c r="H779" s="1">
        <f t="shared" si="62"/>
        <v>42348</v>
      </c>
      <c r="I779">
        <f>IF(AND(MyRowHidden(ROW())=FALSE,MyRowHidden(ROW()-1)=TRUE),0,(E779-E778)*unitsOfDHp+I778)</f>
        <v>94150</v>
      </c>
      <c r="J779">
        <f>IF(AND(MyRowHidden(ROW())=FALSE,MyRowHidden(ROW()-1)=TRUE),0,(G779-G778)*unitsOfExo+J778)</f>
        <v>-848736</v>
      </c>
      <c r="K779" s="9">
        <f t="shared" si="63"/>
        <v>848736</v>
      </c>
      <c r="L779">
        <f t="shared" si="64"/>
        <v>-754586</v>
      </c>
      <c r="M779">
        <f>IF(AND(MyRowHidden(ROW())=FALSE,MyRowHidden(ROW()-1)=TRUE),0,IF(MONTH(H779)&lt;&gt;MONTH(H778),M778+1,M778))</f>
        <v>11</v>
      </c>
      <c r="N779">
        <f t="shared" si="65"/>
        <v>94150</v>
      </c>
      <c r="O779">
        <f>IF(AND(MyRowHidden(ROW())=FALSE,MyRowHidden(ROW()-1)=TRUE),0,IF(M779&lt;totalMonths,(totalMonths-M779)/totalMonths *(I779-I778)+O778,0))</f>
        <v>-64592.499999999774</v>
      </c>
      <c r="P779">
        <f>IF(AND(MyRowHidden(ROW())=FALSE,MyRowHidden(ROW()-1)=TRUE),0,IF(M779&lt;totalMonths,(totalMonths-M779)/totalMonths *(J779-J778)+P778,0))</f>
        <v>-601620</v>
      </c>
      <c r="Q779">
        <f>IF(AND(MyRowHidden(ROW())=FALSE,MyRowHidden(ROW()-1)=TRUE),0,IF(M779&lt;totalMonths,(totalMonths-M779)/totalMonths *(K779-K778)+Q778,0))</f>
        <v>601620</v>
      </c>
      <c r="R779">
        <f t="shared" si="66"/>
        <v>-507470</v>
      </c>
      <c r="S779">
        <f t="shared" si="67"/>
        <v>-666212.49999999977</v>
      </c>
    </row>
    <row r="780" spans="1:19" x14ac:dyDescent="0.25">
      <c r="A780" s="1"/>
      <c r="C780" s="1"/>
      <c r="D780" s="1">
        <v>42349</v>
      </c>
      <c r="E780" s="10">
        <v>9934</v>
      </c>
      <c r="F780" s="1">
        <v>42349</v>
      </c>
      <c r="G780">
        <v>-10126.5</v>
      </c>
      <c r="H780" s="1">
        <f t="shared" si="62"/>
        <v>42349</v>
      </c>
      <c r="I780">
        <f>IF(AND(MyRowHidden(ROW())=FALSE,MyRowHidden(ROW()-1)=TRUE),0,(E780-E779)*unitsOfDHp+I779)</f>
        <v>84070</v>
      </c>
      <c r="J780">
        <f>IF(AND(MyRowHidden(ROW())=FALSE,MyRowHidden(ROW()-1)=TRUE),0,(G780-G779)*unitsOfExo+J779)</f>
        <v>-899136</v>
      </c>
      <c r="K780" s="9">
        <f t="shared" si="63"/>
        <v>899136</v>
      </c>
      <c r="L780">
        <f t="shared" si="64"/>
        <v>-815066</v>
      </c>
      <c r="M780">
        <f>IF(AND(MyRowHidden(ROW())=FALSE,MyRowHidden(ROW()-1)=TRUE),0,IF(MONTH(H780)&lt;&gt;MONTH(H779),M779+1,M779))</f>
        <v>11</v>
      </c>
      <c r="N780">
        <f t="shared" si="65"/>
        <v>84070</v>
      </c>
      <c r="O780">
        <f>IF(AND(MyRowHidden(ROW())=FALSE,MyRowHidden(ROW()-1)=TRUE),0,IF(M780&lt;totalMonths,(totalMonths-M780)/totalMonths *(I780-I779)+O779,0))</f>
        <v>-65432.499999999774</v>
      </c>
      <c r="P780">
        <f>IF(AND(MyRowHidden(ROW())=FALSE,MyRowHidden(ROW()-1)=TRUE),0,IF(M780&lt;totalMonths,(totalMonths-M780)/totalMonths *(J780-J779)+P779,0))</f>
        <v>-605820</v>
      </c>
      <c r="Q780">
        <f>IF(AND(MyRowHidden(ROW())=FALSE,MyRowHidden(ROW()-1)=TRUE),0,IF(M780&lt;totalMonths,(totalMonths-M780)/totalMonths *(K780-K779)+Q779,0))</f>
        <v>605820</v>
      </c>
      <c r="R780">
        <f t="shared" si="66"/>
        <v>-521750</v>
      </c>
      <c r="S780">
        <f t="shared" si="67"/>
        <v>-671252.49999999977</v>
      </c>
    </row>
    <row r="781" spans="1:19" x14ac:dyDescent="0.25">
      <c r="A781" s="1"/>
      <c r="C781" s="1"/>
      <c r="D781" s="1">
        <v>42352</v>
      </c>
      <c r="E781" s="10">
        <v>10162</v>
      </c>
      <c r="F781" s="1">
        <v>42352</v>
      </c>
      <c r="G781">
        <v>-9951.5</v>
      </c>
      <c r="H781" s="1">
        <f t="shared" si="62"/>
        <v>42352</v>
      </c>
      <c r="I781">
        <f>IF(AND(MyRowHidden(ROW())=FALSE,MyRowHidden(ROW()-1)=TRUE),0,(E781-E780)*unitsOfDHp+I780)</f>
        <v>92050</v>
      </c>
      <c r="J781">
        <f>IF(AND(MyRowHidden(ROW())=FALSE,MyRowHidden(ROW()-1)=TRUE),0,(G781-G780)*unitsOfExo+J780)</f>
        <v>-848736</v>
      </c>
      <c r="K781" s="9">
        <f t="shared" si="63"/>
        <v>848736</v>
      </c>
      <c r="L781">
        <f t="shared" si="64"/>
        <v>-756686</v>
      </c>
      <c r="M781">
        <f>IF(AND(MyRowHidden(ROW())=FALSE,MyRowHidden(ROW()-1)=TRUE),0,IF(MONTH(H781)&lt;&gt;MONTH(H780),M780+1,M780))</f>
        <v>11</v>
      </c>
      <c r="N781">
        <f t="shared" si="65"/>
        <v>92050</v>
      </c>
      <c r="O781">
        <f>IF(AND(MyRowHidden(ROW())=FALSE,MyRowHidden(ROW()-1)=TRUE),0,IF(M781&lt;totalMonths,(totalMonths-M781)/totalMonths *(I781-I780)+O780,0))</f>
        <v>-64767.499999999774</v>
      </c>
      <c r="P781">
        <f>IF(AND(MyRowHidden(ROW())=FALSE,MyRowHidden(ROW()-1)=TRUE),0,IF(M781&lt;totalMonths,(totalMonths-M781)/totalMonths *(J781-J780)+P780,0))</f>
        <v>-601620</v>
      </c>
      <c r="Q781">
        <f>IF(AND(MyRowHidden(ROW())=FALSE,MyRowHidden(ROW()-1)=TRUE),0,IF(M781&lt;totalMonths,(totalMonths-M781)/totalMonths *(K781-K780)+Q780,0))</f>
        <v>601620</v>
      </c>
      <c r="R781">
        <f t="shared" si="66"/>
        <v>-509570</v>
      </c>
      <c r="S781">
        <f t="shared" si="67"/>
        <v>-666387.49999999977</v>
      </c>
    </row>
    <row r="782" spans="1:19" x14ac:dyDescent="0.25">
      <c r="A782" s="1"/>
      <c r="C782" s="1"/>
      <c r="D782" s="1">
        <v>42353</v>
      </c>
      <c r="E782" s="10">
        <v>10171</v>
      </c>
      <c r="F782" s="1">
        <v>42353</v>
      </c>
      <c r="G782">
        <v>-9939</v>
      </c>
      <c r="H782" s="1">
        <f t="shared" si="62"/>
        <v>42353</v>
      </c>
      <c r="I782">
        <f>IF(AND(MyRowHidden(ROW())=FALSE,MyRowHidden(ROW()-1)=TRUE),0,(E782-E781)*unitsOfDHp+I781)</f>
        <v>92365</v>
      </c>
      <c r="J782">
        <f>IF(AND(MyRowHidden(ROW())=FALSE,MyRowHidden(ROW()-1)=TRUE),0,(G782-G781)*unitsOfExo+J781)</f>
        <v>-845136</v>
      </c>
      <c r="K782" s="9">
        <f t="shared" si="63"/>
        <v>845136</v>
      </c>
      <c r="L782">
        <f t="shared" si="64"/>
        <v>-752771</v>
      </c>
      <c r="M782">
        <f>IF(AND(MyRowHidden(ROW())=FALSE,MyRowHidden(ROW()-1)=TRUE),0,IF(MONTH(H782)&lt;&gt;MONTH(H781),M781+1,M781))</f>
        <v>11</v>
      </c>
      <c r="N782">
        <f t="shared" si="65"/>
        <v>92365</v>
      </c>
      <c r="O782">
        <f>IF(AND(MyRowHidden(ROW())=FALSE,MyRowHidden(ROW()-1)=TRUE),0,IF(M782&lt;totalMonths,(totalMonths-M782)/totalMonths *(I782-I781)+O781,0))</f>
        <v>-64741.249999999774</v>
      </c>
      <c r="P782">
        <f>IF(AND(MyRowHidden(ROW())=FALSE,MyRowHidden(ROW()-1)=TRUE),0,IF(M782&lt;totalMonths,(totalMonths-M782)/totalMonths *(J782-J781)+P781,0))</f>
        <v>-601320</v>
      </c>
      <c r="Q782">
        <f>IF(AND(MyRowHidden(ROW())=FALSE,MyRowHidden(ROW()-1)=TRUE),0,IF(M782&lt;totalMonths,(totalMonths-M782)/totalMonths *(K782-K781)+Q781,0))</f>
        <v>601320</v>
      </c>
      <c r="R782">
        <f t="shared" si="66"/>
        <v>-508955</v>
      </c>
      <c r="S782">
        <f t="shared" si="67"/>
        <v>-666061.24999999977</v>
      </c>
    </row>
    <row r="783" spans="1:19" x14ac:dyDescent="0.25">
      <c r="A783" s="1"/>
      <c r="C783" s="1"/>
      <c r="D783" s="1">
        <v>42354</v>
      </c>
      <c r="E783" s="10">
        <v>9486</v>
      </c>
      <c r="F783" s="1">
        <v>42354</v>
      </c>
      <c r="G783">
        <v>-10376.5</v>
      </c>
      <c r="H783" s="1">
        <f t="shared" si="62"/>
        <v>42354</v>
      </c>
      <c r="I783">
        <f>IF(AND(MyRowHidden(ROW())=FALSE,MyRowHidden(ROW()-1)=TRUE),0,(E783-E782)*unitsOfDHp+I782)</f>
        <v>68390</v>
      </c>
      <c r="J783">
        <f>IF(AND(MyRowHidden(ROW())=FALSE,MyRowHidden(ROW()-1)=TRUE),0,(G783-G782)*unitsOfExo+J782)</f>
        <v>-971136</v>
      </c>
      <c r="K783" s="9">
        <f t="shared" si="63"/>
        <v>971136</v>
      </c>
      <c r="L783">
        <f t="shared" si="64"/>
        <v>-902746</v>
      </c>
      <c r="M783">
        <f>IF(AND(MyRowHidden(ROW())=FALSE,MyRowHidden(ROW()-1)=TRUE),0,IF(MONTH(H783)&lt;&gt;MONTH(H782),M782+1,M782))</f>
        <v>11</v>
      </c>
      <c r="N783">
        <f t="shared" si="65"/>
        <v>68390</v>
      </c>
      <c r="O783">
        <f>IF(AND(MyRowHidden(ROW())=FALSE,MyRowHidden(ROW()-1)=TRUE),0,IF(M783&lt;totalMonths,(totalMonths-M783)/totalMonths *(I783-I782)+O782,0))</f>
        <v>-66739.166666666439</v>
      </c>
      <c r="P783">
        <f>IF(AND(MyRowHidden(ROW())=FALSE,MyRowHidden(ROW()-1)=TRUE),0,IF(M783&lt;totalMonths,(totalMonths-M783)/totalMonths *(J783-J782)+P782,0))</f>
        <v>-611820</v>
      </c>
      <c r="Q783">
        <f>IF(AND(MyRowHidden(ROW())=FALSE,MyRowHidden(ROW()-1)=TRUE),0,IF(M783&lt;totalMonths,(totalMonths-M783)/totalMonths *(K783-K782)+Q782,0))</f>
        <v>611820</v>
      </c>
      <c r="R783">
        <f t="shared" si="66"/>
        <v>-543430</v>
      </c>
      <c r="S783">
        <f t="shared" si="67"/>
        <v>-678559.1666666664</v>
      </c>
    </row>
    <row r="784" spans="1:19" x14ac:dyDescent="0.25">
      <c r="A784" s="1"/>
      <c r="C784" s="1"/>
      <c r="D784" s="1">
        <v>42355</v>
      </c>
      <c r="E784" s="10">
        <v>9586</v>
      </c>
      <c r="F784" s="1">
        <v>42355</v>
      </c>
      <c r="G784">
        <v>-10214</v>
      </c>
      <c r="H784" s="1">
        <f t="shared" si="62"/>
        <v>42355</v>
      </c>
      <c r="I784">
        <f>IF(AND(MyRowHidden(ROW())=FALSE,MyRowHidden(ROW()-1)=TRUE),0,(E784-E783)*unitsOfDHp+I783)</f>
        <v>71890</v>
      </c>
      <c r="J784">
        <f>IF(AND(MyRowHidden(ROW())=FALSE,MyRowHidden(ROW()-1)=TRUE),0,(G784-G783)*unitsOfExo+J783)</f>
        <v>-924336</v>
      </c>
      <c r="K784" s="9">
        <f t="shared" si="63"/>
        <v>924336</v>
      </c>
      <c r="L784">
        <f t="shared" si="64"/>
        <v>-852446</v>
      </c>
      <c r="M784">
        <f>IF(AND(MyRowHidden(ROW())=FALSE,MyRowHidden(ROW()-1)=TRUE),0,IF(MONTH(H784)&lt;&gt;MONTH(H783),M783+1,M783))</f>
        <v>11</v>
      </c>
      <c r="N784">
        <f t="shared" si="65"/>
        <v>71890</v>
      </c>
      <c r="O784">
        <f>IF(AND(MyRowHidden(ROW())=FALSE,MyRowHidden(ROW()-1)=TRUE),0,IF(M784&lt;totalMonths,(totalMonths-M784)/totalMonths *(I784-I783)+O783,0))</f>
        <v>-66447.499999999767</v>
      </c>
      <c r="P784">
        <f>IF(AND(MyRowHidden(ROW())=FALSE,MyRowHidden(ROW()-1)=TRUE),0,IF(M784&lt;totalMonths,(totalMonths-M784)/totalMonths *(J784-J783)+P783,0))</f>
        <v>-607920</v>
      </c>
      <c r="Q784">
        <f>IF(AND(MyRowHidden(ROW())=FALSE,MyRowHidden(ROW()-1)=TRUE),0,IF(M784&lt;totalMonths,(totalMonths-M784)/totalMonths *(K784-K783)+Q783,0))</f>
        <v>607920</v>
      </c>
      <c r="R784">
        <f t="shared" si="66"/>
        <v>-536030</v>
      </c>
      <c r="S784">
        <f t="shared" si="67"/>
        <v>-674367.49999999977</v>
      </c>
    </row>
    <row r="785" spans="1:19" x14ac:dyDescent="0.25">
      <c r="A785" s="1"/>
      <c r="C785" s="1"/>
      <c r="D785" s="1">
        <v>42356</v>
      </c>
      <c r="E785" s="10">
        <v>9536</v>
      </c>
      <c r="F785" s="1">
        <v>42356</v>
      </c>
      <c r="G785">
        <v>-10151.5</v>
      </c>
      <c r="H785" s="1">
        <f t="shared" si="62"/>
        <v>42356</v>
      </c>
      <c r="I785">
        <f>IF(AND(MyRowHidden(ROW())=FALSE,MyRowHidden(ROW()-1)=TRUE),0,(E785-E784)*unitsOfDHp+I784)</f>
        <v>70140</v>
      </c>
      <c r="J785">
        <f>IF(AND(MyRowHidden(ROW())=FALSE,MyRowHidden(ROW()-1)=TRUE),0,(G785-G784)*unitsOfExo+J784)</f>
        <v>-906336</v>
      </c>
      <c r="K785" s="9">
        <f t="shared" si="63"/>
        <v>906336</v>
      </c>
      <c r="L785">
        <f t="shared" si="64"/>
        <v>-836196</v>
      </c>
      <c r="M785">
        <f>IF(AND(MyRowHidden(ROW())=FALSE,MyRowHidden(ROW()-1)=TRUE),0,IF(MONTH(H785)&lt;&gt;MONTH(H784),M784+1,M784))</f>
        <v>11</v>
      </c>
      <c r="N785">
        <f t="shared" si="65"/>
        <v>70140</v>
      </c>
      <c r="O785">
        <f>IF(AND(MyRowHidden(ROW())=FALSE,MyRowHidden(ROW()-1)=TRUE),0,IF(M785&lt;totalMonths,(totalMonths-M785)/totalMonths *(I785-I784)+O784,0))</f>
        <v>-66593.333333333096</v>
      </c>
      <c r="P785">
        <f>IF(AND(MyRowHidden(ROW())=FALSE,MyRowHidden(ROW()-1)=TRUE),0,IF(M785&lt;totalMonths,(totalMonths-M785)/totalMonths *(J785-J784)+P784,0))</f>
        <v>-606420</v>
      </c>
      <c r="Q785">
        <f>IF(AND(MyRowHidden(ROW())=FALSE,MyRowHidden(ROW()-1)=TRUE),0,IF(M785&lt;totalMonths,(totalMonths-M785)/totalMonths *(K785-K784)+Q784,0))</f>
        <v>606420</v>
      </c>
      <c r="R785">
        <f t="shared" si="66"/>
        <v>-536280</v>
      </c>
      <c r="S785">
        <f t="shared" si="67"/>
        <v>-673013.33333333314</v>
      </c>
    </row>
    <row r="786" spans="1:19" x14ac:dyDescent="0.25">
      <c r="A786" s="1"/>
      <c r="C786" s="1"/>
      <c r="D786" s="1">
        <v>42359</v>
      </c>
      <c r="E786" s="10">
        <v>9811</v>
      </c>
      <c r="F786" s="1">
        <v>42359</v>
      </c>
      <c r="G786">
        <v>-10301.5</v>
      </c>
      <c r="H786" s="1">
        <f t="shared" si="62"/>
        <v>42359</v>
      </c>
      <c r="I786">
        <f>IF(AND(MyRowHidden(ROW())=FALSE,MyRowHidden(ROW()-1)=TRUE),0,(E786-E785)*unitsOfDHp+I785)</f>
        <v>79765</v>
      </c>
      <c r="J786">
        <f>IF(AND(MyRowHidden(ROW())=FALSE,MyRowHidden(ROW()-1)=TRUE),0,(G786-G785)*unitsOfExo+J785)</f>
        <v>-949536</v>
      </c>
      <c r="K786" s="9">
        <f t="shared" si="63"/>
        <v>949536</v>
      </c>
      <c r="L786">
        <f t="shared" si="64"/>
        <v>-869771</v>
      </c>
      <c r="M786">
        <f>IF(AND(MyRowHidden(ROW())=FALSE,MyRowHidden(ROW()-1)=TRUE),0,IF(MONTH(H786)&lt;&gt;MONTH(H785),M785+1,M785))</f>
        <v>11</v>
      </c>
      <c r="N786">
        <f t="shared" si="65"/>
        <v>79765</v>
      </c>
      <c r="O786">
        <f>IF(AND(MyRowHidden(ROW())=FALSE,MyRowHidden(ROW()-1)=TRUE),0,IF(M786&lt;totalMonths,(totalMonths-M786)/totalMonths *(I786-I785)+O785,0))</f>
        <v>-65791.249999999767</v>
      </c>
      <c r="P786">
        <f>IF(AND(MyRowHidden(ROW())=FALSE,MyRowHidden(ROW()-1)=TRUE),0,IF(M786&lt;totalMonths,(totalMonths-M786)/totalMonths *(J786-J785)+P785,0))</f>
        <v>-610020</v>
      </c>
      <c r="Q786">
        <f>IF(AND(MyRowHidden(ROW())=FALSE,MyRowHidden(ROW()-1)=TRUE),0,IF(M786&lt;totalMonths,(totalMonths-M786)/totalMonths *(K786-K785)+Q785,0))</f>
        <v>610020</v>
      </c>
      <c r="R786">
        <f t="shared" si="66"/>
        <v>-530255</v>
      </c>
      <c r="S786">
        <f t="shared" si="67"/>
        <v>-675811.24999999977</v>
      </c>
    </row>
    <row r="787" spans="1:19" x14ac:dyDescent="0.25">
      <c r="A787" s="1"/>
      <c r="C787" s="1"/>
      <c r="D787" s="1">
        <v>42360</v>
      </c>
      <c r="E787" s="10">
        <v>9466</v>
      </c>
      <c r="F787" s="1">
        <v>42360</v>
      </c>
      <c r="G787">
        <v>-10551.5</v>
      </c>
      <c r="H787" s="1">
        <f t="shared" si="62"/>
        <v>42360</v>
      </c>
      <c r="I787">
        <f>IF(AND(MyRowHidden(ROW())=FALSE,MyRowHidden(ROW()-1)=TRUE),0,(E787-E786)*unitsOfDHp+I786)</f>
        <v>67690</v>
      </c>
      <c r="J787">
        <f>IF(AND(MyRowHidden(ROW())=FALSE,MyRowHidden(ROW()-1)=TRUE),0,(G787-G786)*unitsOfExo+J786)</f>
        <v>-1021536</v>
      </c>
      <c r="K787" s="9">
        <f t="shared" si="63"/>
        <v>1021536</v>
      </c>
      <c r="L787">
        <f t="shared" si="64"/>
        <v>-953846</v>
      </c>
      <c r="M787">
        <f>IF(AND(MyRowHidden(ROW())=FALSE,MyRowHidden(ROW()-1)=TRUE),0,IF(MONTH(H787)&lt;&gt;MONTH(H786),M786+1,M786))</f>
        <v>11</v>
      </c>
      <c r="N787">
        <f t="shared" si="65"/>
        <v>67690</v>
      </c>
      <c r="O787">
        <f>IF(AND(MyRowHidden(ROW())=FALSE,MyRowHidden(ROW()-1)=TRUE),0,IF(M787&lt;totalMonths,(totalMonths-M787)/totalMonths *(I787-I786)+O786,0))</f>
        <v>-66797.499999999767</v>
      </c>
      <c r="P787">
        <f>IF(AND(MyRowHidden(ROW())=FALSE,MyRowHidden(ROW()-1)=TRUE),0,IF(M787&lt;totalMonths,(totalMonths-M787)/totalMonths *(J787-J786)+P786,0))</f>
        <v>-616020</v>
      </c>
      <c r="Q787">
        <f>IF(AND(MyRowHidden(ROW())=FALSE,MyRowHidden(ROW()-1)=TRUE),0,IF(M787&lt;totalMonths,(totalMonths-M787)/totalMonths *(K787-K786)+Q786,0))</f>
        <v>616020</v>
      </c>
      <c r="R787">
        <f t="shared" si="66"/>
        <v>-548330</v>
      </c>
      <c r="S787">
        <f t="shared" si="67"/>
        <v>-682817.49999999977</v>
      </c>
    </row>
    <row r="788" spans="1:19" x14ac:dyDescent="0.25">
      <c r="A788" s="1"/>
      <c r="C788" s="1"/>
      <c r="D788" s="1">
        <v>42361</v>
      </c>
      <c r="E788" s="10">
        <v>9336</v>
      </c>
      <c r="F788" s="1">
        <v>42361</v>
      </c>
      <c r="G788">
        <v>-10601.5</v>
      </c>
      <c r="H788" s="1">
        <f t="shared" si="62"/>
        <v>42361</v>
      </c>
      <c r="I788">
        <f>IF(AND(MyRowHidden(ROW())=FALSE,MyRowHidden(ROW()-1)=TRUE),0,(E788-E787)*unitsOfDHp+I787)</f>
        <v>63140</v>
      </c>
      <c r="J788">
        <f>IF(AND(MyRowHidden(ROW())=FALSE,MyRowHidden(ROW()-1)=TRUE),0,(G788-G787)*unitsOfExo+J787)</f>
        <v>-1035936</v>
      </c>
      <c r="K788" s="9">
        <f t="shared" si="63"/>
        <v>1035936</v>
      </c>
      <c r="L788">
        <f t="shared" si="64"/>
        <v>-972796</v>
      </c>
      <c r="M788">
        <f>IF(AND(MyRowHidden(ROW())=FALSE,MyRowHidden(ROW()-1)=TRUE),0,IF(MONTH(H788)&lt;&gt;MONTH(H787),M787+1,M787))</f>
        <v>11</v>
      </c>
      <c r="N788">
        <f t="shared" si="65"/>
        <v>63140</v>
      </c>
      <c r="O788">
        <f>IF(AND(MyRowHidden(ROW())=FALSE,MyRowHidden(ROW()-1)=TRUE),0,IF(M788&lt;totalMonths,(totalMonths-M788)/totalMonths *(I788-I787)+O787,0))</f>
        <v>-67176.666666666439</v>
      </c>
      <c r="P788">
        <f>IF(AND(MyRowHidden(ROW())=FALSE,MyRowHidden(ROW()-1)=TRUE),0,IF(M788&lt;totalMonths,(totalMonths-M788)/totalMonths *(J788-J787)+P787,0))</f>
        <v>-617220</v>
      </c>
      <c r="Q788">
        <f>IF(AND(MyRowHidden(ROW())=FALSE,MyRowHidden(ROW()-1)=TRUE),0,IF(M788&lt;totalMonths,(totalMonths-M788)/totalMonths *(K788-K787)+Q787,0))</f>
        <v>617220</v>
      </c>
      <c r="R788">
        <f t="shared" si="66"/>
        <v>-554080</v>
      </c>
      <c r="S788">
        <f t="shared" si="67"/>
        <v>-684396.6666666664</v>
      </c>
    </row>
    <row r="789" spans="1:19" x14ac:dyDescent="0.25">
      <c r="A789" s="1"/>
      <c r="C789" s="1"/>
      <c r="D789" s="1">
        <v>42362</v>
      </c>
      <c r="E789" s="10">
        <v>12162</v>
      </c>
      <c r="F789" s="1">
        <v>42362</v>
      </c>
      <c r="G789">
        <v>-10651.5</v>
      </c>
      <c r="H789" s="1">
        <f t="shared" si="62"/>
        <v>42362</v>
      </c>
      <c r="I789">
        <f>IF(AND(MyRowHidden(ROW())=FALSE,MyRowHidden(ROW()-1)=TRUE),0,(E789-E788)*unitsOfDHp+I788)</f>
        <v>162050</v>
      </c>
      <c r="J789">
        <f>IF(AND(MyRowHidden(ROW())=FALSE,MyRowHidden(ROW()-1)=TRUE),0,(G789-G788)*unitsOfExo+J788)</f>
        <v>-1050336</v>
      </c>
      <c r="K789" s="9">
        <f t="shared" si="63"/>
        <v>1050336</v>
      </c>
      <c r="L789">
        <f t="shared" si="64"/>
        <v>-888286</v>
      </c>
      <c r="M789">
        <f>IF(AND(MyRowHidden(ROW())=FALSE,MyRowHidden(ROW()-1)=TRUE),0,IF(MONTH(H789)&lt;&gt;MONTH(H788),M788+1,M788))</f>
        <v>11</v>
      </c>
      <c r="N789">
        <f t="shared" si="65"/>
        <v>162050</v>
      </c>
      <c r="O789">
        <f>IF(AND(MyRowHidden(ROW())=FALSE,MyRowHidden(ROW()-1)=TRUE),0,IF(M789&lt;totalMonths,(totalMonths-M789)/totalMonths *(I789-I788)+O788,0))</f>
        <v>-58934.166666666439</v>
      </c>
      <c r="P789">
        <f>IF(AND(MyRowHidden(ROW())=FALSE,MyRowHidden(ROW()-1)=TRUE),0,IF(M789&lt;totalMonths,(totalMonths-M789)/totalMonths *(J789-J788)+P788,0))</f>
        <v>-618420</v>
      </c>
      <c r="Q789">
        <f>IF(AND(MyRowHidden(ROW())=FALSE,MyRowHidden(ROW()-1)=TRUE),0,IF(M789&lt;totalMonths,(totalMonths-M789)/totalMonths *(K789-K788)+Q788,0))</f>
        <v>618420</v>
      </c>
      <c r="R789">
        <f t="shared" si="66"/>
        <v>-456370</v>
      </c>
      <c r="S789">
        <f t="shared" si="67"/>
        <v>-677354.1666666664</v>
      </c>
    </row>
    <row r="790" spans="1:19" x14ac:dyDescent="0.25">
      <c r="A790" s="1"/>
      <c r="C790" s="1"/>
      <c r="D790" s="1">
        <v>42363</v>
      </c>
      <c r="E790" s="10">
        <v>9787</v>
      </c>
      <c r="F790" s="1">
        <v>42363</v>
      </c>
      <c r="G790">
        <v>-10701.5</v>
      </c>
      <c r="H790" s="1">
        <f t="shared" ref="H790:H815" si="68">D790</f>
        <v>42363</v>
      </c>
      <c r="I790">
        <f>IF(AND(MyRowHidden(ROW())=FALSE,MyRowHidden(ROW()-1)=TRUE),0,(E790-E789)*unitsOfDHp+I789)</f>
        <v>78925</v>
      </c>
      <c r="J790">
        <f>IF(AND(MyRowHidden(ROW())=FALSE,MyRowHidden(ROW()-1)=TRUE),0,(G790-G789)*unitsOfExo+J789)</f>
        <v>-1064736</v>
      </c>
      <c r="K790" s="9">
        <f t="shared" ref="K790:K853" si="69">-(J790-J789)+K789</f>
        <v>1064736</v>
      </c>
      <c r="L790">
        <f t="shared" ref="L790:L815" si="70">I790+J790</f>
        <v>-985811</v>
      </c>
      <c r="M790">
        <f>IF(AND(MyRowHidden(ROW())=FALSE,MyRowHidden(ROW()-1)=TRUE),0,IF(MONTH(H790)&lt;&gt;MONTH(H789),M789+1,M789))</f>
        <v>11</v>
      </c>
      <c r="N790">
        <f t="shared" ref="N790:N815" si="71">I790</f>
        <v>78925</v>
      </c>
      <c r="O790">
        <f>IF(AND(MyRowHidden(ROW())=FALSE,MyRowHidden(ROW()-1)=TRUE),0,IF(M790&lt;totalMonths,(totalMonths-M790)/totalMonths *(I790-I789)+O789,0))</f>
        <v>-65861.249999999767</v>
      </c>
      <c r="P790">
        <f>IF(AND(MyRowHidden(ROW())=FALSE,MyRowHidden(ROW()-1)=TRUE),0,IF(M790&lt;totalMonths,(totalMonths-M790)/totalMonths *(J790-J789)+P789,0))</f>
        <v>-619620</v>
      </c>
      <c r="Q790">
        <f>IF(AND(MyRowHidden(ROW())=FALSE,MyRowHidden(ROW()-1)=TRUE),0,IF(M790&lt;totalMonths,(totalMonths-M790)/totalMonths *(K790-K789)+Q789,0))</f>
        <v>619620</v>
      </c>
      <c r="R790">
        <f t="shared" ref="R790:R815" si="72">N790+P790</f>
        <v>-540695</v>
      </c>
      <c r="S790">
        <f t="shared" ref="S790:S815" si="73">O790+P790</f>
        <v>-685481.24999999977</v>
      </c>
    </row>
    <row r="791" spans="1:19" x14ac:dyDescent="0.25">
      <c r="A791" s="1"/>
      <c r="C791" s="1"/>
      <c r="D791" s="1">
        <v>42366</v>
      </c>
      <c r="E791" s="10">
        <v>10015</v>
      </c>
      <c r="F791" s="1">
        <v>42366</v>
      </c>
      <c r="G791">
        <v>-10839</v>
      </c>
      <c r="H791" s="1">
        <f t="shared" si="68"/>
        <v>42366</v>
      </c>
      <c r="I791">
        <f>IF(AND(MyRowHidden(ROW())=FALSE,MyRowHidden(ROW()-1)=TRUE),0,(E791-E790)*unitsOfDHp+I790)</f>
        <v>86905</v>
      </c>
      <c r="J791">
        <f>IF(AND(MyRowHidden(ROW())=FALSE,MyRowHidden(ROW()-1)=TRUE),0,(G791-G790)*unitsOfExo+J790)</f>
        <v>-1104336</v>
      </c>
      <c r="K791" s="9">
        <f t="shared" si="69"/>
        <v>1104336</v>
      </c>
      <c r="L791">
        <f t="shared" si="70"/>
        <v>-1017431</v>
      </c>
      <c r="M791">
        <f>IF(AND(MyRowHidden(ROW())=FALSE,MyRowHidden(ROW()-1)=TRUE),0,IF(MONTH(H791)&lt;&gt;MONTH(H790),M790+1,M790))</f>
        <v>11</v>
      </c>
      <c r="N791">
        <f t="shared" si="71"/>
        <v>86905</v>
      </c>
      <c r="O791">
        <f>IF(AND(MyRowHidden(ROW())=FALSE,MyRowHidden(ROW()-1)=TRUE),0,IF(M791&lt;totalMonths,(totalMonths-M791)/totalMonths *(I791-I790)+O790,0))</f>
        <v>-65196.249999999767</v>
      </c>
      <c r="P791">
        <f>IF(AND(MyRowHidden(ROW())=FALSE,MyRowHidden(ROW()-1)=TRUE),0,IF(M791&lt;totalMonths,(totalMonths-M791)/totalMonths *(J791-J790)+P790,0))</f>
        <v>-622920</v>
      </c>
      <c r="Q791">
        <f>IF(AND(MyRowHidden(ROW())=FALSE,MyRowHidden(ROW()-1)=TRUE),0,IF(M791&lt;totalMonths,(totalMonths-M791)/totalMonths *(K791-K790)+Q790,0))</f>
        <v>622920</v>
      </c>
      <c r="R791">
        <f t="shared" si="72"/>
        <v>-536015</v>
      </c>
      <c r="S791">
        <f t="shared" si="73"/>
        <v>-688116.24999999977</v>
      </c>
    </row>
    <row r="792" spans="1:19" x14ac:dyDescent="0.25">
      <c r="A792" s="1"/>
      <c r="C792" s="1"/>
      <c r="D792" s="1">
        <v>42367</v>
      </c>
      <c r="E792" s="10">
        <v>10040</v>
      </c>
      <c r="F792" s="1">
        <v>42367</v>
      </c>
      <c r="G792">
        <v>-10789</v>
      </c>
      <c r="H792" s="1">
        <f t="shared" si="68"/>
        <v>42367</v>
      </c>
      <c r="I792">
        <f>IF(AND(MyRowHidden(ROW())=FALSE,MyRowHidden(ROW()-1)=TRUE),0,(E792-E791)*unitsOfDHp+I791)</f>
        <v>87780</v>
      </c>
      <c r="J792">
        <f>IF(AND(MyRowHidden(ROW())=FALSE,MyRowHidden(ROW()-1)=TRUE),0,(G792-G791)*unitsOfExo+J791)</f>
        <v>-1089936</v>
      </c>
      <c r="K792" s="9">
        <f t="shared" si="69"/>
        <v>1089936</v>
      </c>
      <c r="L792">
        <f t="shared" si="70"/>
        <v>-1002156</v>
      </c>
      <c r="M792">
        <f>IF(AND(MyRowHidden(ROW())=FALSE,MyRowHidden(ROW()-1)=TRUE),0,IF(MONTH(H792)&lt;&gt;MONTH(H791),M791+1,M791))</f>
        <v>11</v>
      </c>
      <c r="N792">
        <f t="shared" si="71"/>
        <v>87780</v>
      </c>
      <c r="O792">
        <f>IF(AND(MyRowHidden(ROW())=FALSE,MyRowHidden(ROW()-1)=TRUE),0,IF(M792&lt;totalMonths,(totalMonths-M792)/totalMonths *(I792-I791)+O791,0))</f>
        <v>-65123.333333333103</v>
      </c>
      <c r="P792">
        <f>IF(AND(MyRowHidden(ROW())=FALSE,MyRowHidden(ROW()-1)=TRUE),0,IF(M792&lt;totalMonths,(totalMonths-M792)/totalMonths *(J792-J791)+P791,0))</f>
        <v>-621720</v>
      </c>
      <c r="Q792">
        <f>IF(AND(MyRowHidden(ROW())=FALSE,MyRowHidden(ROW()-1)=TRUE),0,IF(M792&lt;totalMonths,(totalMonths-M792)/totalMonths *(K792-K791)+Q791,0))</f>
        <v>621720</v>
      </c>
      <c r="R792">
        <f t="shared" si="72"/>
        <v>-533940</v>
      </c>
      <c r="S792">
        <f t="shared" si="73"/>
        <v>-686843.33333333314</v>
      </c>
    </row>
    <row r="793" spans="1:19" x14ac:dyDescent="0.25">
      <c r="A793" s="1"/>
      <c r="C793" s="1"/>
      <c r="D793" s="1">
        <v>42368</v>
      </c>
      <c r="E793" s="10">
        <v>10052</v>
      </c>
      <c r="F793" s="1">
        <v>42368</v>
      </c>
      <c r="G793">
        <v>-10914</v>
      </c>
      <c r="H793" s="1">
        <f t="shared" si="68"/>
        <v>42368</v>
      </c>
      <c r="I793">
        <f>IF(AND(MyRowHidden(ROW())=FALSE,MyRowHidden(ROW()-1)=TRUE),0,(E793-E792)*unitsOfDHp+I792)</f>
        <v>88200</v>
      </c>
      <c r="J793">
        <f>IF(AND(MyRowHidden(ROW())=FALSE,MyRowHidden(ROW()-1)=TRUE),0,(G793-G792)*unitsOfExo+J792)</f>
        <v>-1125936</v>
      </c>
      <c r="K793" s="9">
        <f t="shared" si="69"/>
        <v>1125936</v>
      </c>
      <c r="L793">
        <f t="shared" si="70"/>
        <v>-1037736</v>
      </c>
      <c r="M793">
        <f>IF(AND(MyRowHidden(ROW())=FALSE,MyRowHidden(ROW()-1)=TRUE),0,IF(MONTH(H793)&lt;&gt;MONTH(H792),M792+1,M792))</f>
        <v>11</v>
      </c>
      <c r="N793">
        <f t="shared" si="71"/>
        <v>88200</v>
      </c>
      <c r="O793">
        <f>IF(AND(MyRowHidden(ROW())=FALSE,MyRowHidden(ROW()-1)=TRUE),0,IF(M793&lt;totalMonths,(totalMonths-M793)/totalMonths *(I793-I792)+O792,0))</f>
        <v>-65088.333333333103</v>
      </c>
      <c r="P793">
        <f>IF(AND(MyRowHidden(ROW())=FALSE,MyRowHidden(ROW()-1)=TRUE),0,IF(M793&lt;totalMonths,(totalMonths-M793)/totalMonths *(J793-J792)+P792,0))</f>
        <v>-624720</v>
      </c>
      <c r="Q793">
        <f>IF(AND(MyRowHidden(ROW())=FALSE,MyRowHidden(ROW()-1)=TRUE),0,IF(M793&lt;totalMonths,(totalMonths-M793)/totalMonths *(K793-K792)+Q792,0))</f>
        <v>624720</v>
      </c>
      <c r="R793">
        <f t="shared" si="72"/>
        <v>-536520</v>
      </c>
      <c r="S793">
        <f t="shared" si="73"/>
        <v>-689808.33333333314</v>
      </c>
    </row>
    <row r="794" spans="1:19" x14ac:dyDescent="0.25">
      <c r="A794" s="1"/>
      <c r="C794" s="1"/>
      <c r="D794" s="1">
        <v>42369</v>
      </c>
      <c r="E794" s="10">
        <v>10027</v>
      </c>
      <c r="F794" s="1">
        <v>42369</v>
      </c>
      <c r="G794">
        <v>-10951.5</v>
      </c>
      <c r="H794" s="1">
        <f t="shared" si="68"/>
        <v>42369</v>
      </c>
      <c r="I794">
        <f>IF(AND(MyRowHidden(ROW())=FALSE,MyRowHidden(ROW()-1)=TRUE),0,(E794-E793)*unitsOfDHp+I793)</f>
        <v>87325</v>
      </c>
      <c r="J794">
        <f>IF(AND(MyRowHidden(ROW())=FALSE,MyRowHidden(ROW()-1)=TRUE),0,(G794-G793)*unitsOfExo+J793)</f>
        <v>-1136736</v>
      </c>
      <c r="K794" s="9">
        <f t="shared" si="69"/>
        <v>1136736</v>
      </c>
      <c r="L794">
        <f t="shared" si="70"/>
        <v>-1049411</v>
      </c>
      <c r="M794">
        <f>IF(AND(MyRowHidden(ROW())=FALSE,MyRowHidden(ROW()-1)=TRUE),0,IF(MONTH(H794)&lt;&gt;MONTH(H793),M793+1,M793))</f>
        <v>11</v>
      </c>
      <c r="N794">
        <f t="shared" si="71"/>
        <v>87325</v>
      </c>
      <c r="O794">
        <f>IF(AND(MyRowHidden(ROW())=FALSE,MyRowHidden(ROW()-1)=TRUE),0,IF(M794&lt;totalMonths,(totalMonths-M794)/totalMonths *(I794-I793)+O793,0))</f>
        <v>-65161.249999999767</v>
      </c>
      <c r="P794">
        <f>IF(AND(MyRowHidden(ROW())=FALSE,MyRowHidden(ROW()-1)=TRUE),0,IF(M794&lt;totalMonths,(totalMonths-M794)/totalMonths *(J794-J793)+P793,0))</f>
        <v>-625620</v>
      </c>
      <c r="Q794">
        <f>IF(AND(MyRowHidden(ROW())=FALSE,MyRowHidden(ROW()-1)=TRUE),0,IF(M794&lt;totalMonths,(totalMonths-M794)/totalMonths *(K794-K793)+Q793,0))</f>
        <v>625620</v>
      </c>
      <c r="R794">
        <f t="shared" si="72"/>
        <v>-538295</v>
      </c>
      <c r="S794">
        <f t="shared" si="73"/>
        <v>-690781.24999999977</v>
      </c>
    </row>
    <row r="795" spans="1:19" hidden="1" x14ac:dyDescent="0.25">
      <c r="A795" s="1"/>
      <c r="C795" s="1"/>
      <c r="D795" s="1">
        <v>42370</v>
      </c>
      <c r="E795" s="10">
        <v>10027</v>
      </c>
      <c r="F795" s="1">
        <v>42370</v>
      </c>
      <c r="G795">
        <v>-10901</v>
      </c>
      <c r="H795" s="1">
        <f t="shared" si="68"/>
        <v>42370</v>
      </c>
      <c r="I795">
        <f>IF(AND(MyRowHidden(ROW())=FALSE,MyRowHidden(ROW()-1)=TRUE),0,(E795-E794)*unitsOfDHp+I794)</f>
        <v>87325</v>
      </c>
      <c r="J795">
        <f>IF(AND(MyRowHidden(ROW())=FALSE,MyRowHidden(ROW()-1)=TRUE),0,(G795-G794)*unitsOfExo+J794)</f>
        <v>-1122192</v>
      </c>
      <c r="K795" s="9">
        <f t="shared" si="69"/>
        <v>1122192</v>
      </c>
      <c r="L795">
        <f t="shared" si="70"/>
        <v>-1034867</v>
      </c>
      <c r="M795">
        <f>IF(AND(MyRowHidden(ROW())=FALSE,MyRowHidden(ROW()-1)=TRUE),0,IF(MONTH(H795)&lt;&gt;MONTH(H794),M794+1,M794))</f>
        <v>12</v>
      </c>
      <c r="N795">
        <f t="shared" si="71"/>
        <v>87325</v>
      </c>
      <c r="O795">
        <f>IF(AND(MyRowHidden(ROW())=FALSE,MyRowHidden(ROW()-1)=TRUE),0,IF(M795&lt;totalMonths,(totalMonths-M795)/totalMonths *(I795-I794)+O794,0))</f>
        <v>0</v>
      </c>
      <c r="P795">
        <f>IF(AND(MyRowHidden(ROW())=FALSE,MyRowHidden(ROW()-1)=TRUE),0,IF(M795&lt;totalMonths,(totalMonths-M795)/totalMonths *(J795-J794)+P794,0))</f>
        <v>0</v>
      </c>
      <c r="Q795">
        <f>IF(AND(MyRowHidden(ROW())=FALSE,MyRowHidden(ROW()-1)=TRUE),0,IF(M795&lt;totalMonths,(totalMonths-M795)/totalMonths *(K795-K794)+Q794,0))</f>
        <v>0</v>
      </c>
      <c r="R795">
        <f t="shared" si="72"/>
        <v>87325</v>
      </c>
      <c r="S795">
        <f t="shared" si="73"/>
        <v>0</v>
      </c>
    </row>
    <row r="796" spans="1:19" hidden="1" x14ac:dyDescent="0.25">
      <c r="A796" s="1"/>
      <c r="C796" s="1"/>
      <c r="D796" s="1">
        <v>42373</v>
      </c>
      <c r="E796" s="10">
        <v>9408</v>
      </c>
      <c r="F796" s="1">
        <v>42373</v>
      </c>
      <c r="G796">
        <v>-11301</v>
      </c>
      <c r="H796" s="1">
        <f t="shared" si="68"/>
        <v>42373</v>
      </c>
      <c r="I796">
        <f>IF(AND(MyRowHidden(ROW())=FALSE,MyRowHidden(ROW()-1)=TRUE),0,(E796-E795)*unitsOfDHp+I795)</f>
        <v>65660</v>
      </c>
      <c r="J796">
        <f>IF(AND(MyRowHidden(ROW())=FALSE,MyRowHidden(ROW()-1)=TRUE),0,(G796-G795)*unitsOfExo+J795)</f>
        <v>-1237392</v>
      </c>
      <c r="K796" s="9">
        <f t="shared" si="69"/>
        <v>1237392</v>
      </c>
      <c r="L796">
        <f t="shared" si="70"/>
        <v>-1171732</v>
      </c>
      <c r="M796">
        <f>IF(AND(MyRowHidden(ROW())=FALSE,MyRowHidden(ROW()-1)=TRUE),0,IF(MONTH(H796)&lt;&gt;MONTH(H795),M795+1,M795))</f>
        <v>12</v>
      </c>
      <c r="N796">
        <f t="shared" si="71"/>
        <v>65660</v>
      </c>
      <c r="O796">
        <f>IF(AND(MyRowHidden(ROW())=FALSE,MyRowHidden(ROW()-1)=TRUE),0,IF(M796&lt;totalMonths,(totalMonths-M796)/totalMonths *(I796-I795)+O795,0))</f>
        <v>0</v>
      </c>
      <c r="P796">
        <f>IF(AND(MyRowHidden(ROW())=FALSE,MyRowHidden(ROW()-1)=TRUE),0,IF(M796&lt;totalMonths,(totalMonths-M796)/totalMonths *(J796-J795)+P795,0))</f>
        <v>0</v>
      </c>
      <c r="Q796">
        <f>IF(AND(MyRowHidden(ROW())=FALSE,MyRowHidden(ROW()-1)=TRUE),0,IF(M796&lt;totalMonths,(totalMonths-M796)/totalMonths *(K796-K795)+Q795,0))</f>
        <v>0</v>
      </c>
      <c r="R796">
        <f t="shared" si="72"/>
        <v>65660</v>
      </c>
      <c r="S796">
        <f t="shared" si="73"/>
        <v>0</v>
      </c>
    </row>
    <row r="797" spans="1:19" hidden="1" x14ac:dyDescent="0.25">
      <c r="A797" s="1"/>
      <c r="C797" s="1"/>
      <c r="D797" s="1">
        <v>42374</v>
      </c>
      <c r="E797" s="10">
        <v>9324</v>
      </c>
      <c r="F797" s="1">
        <v>42374</v>
      </c>
      <c r="G797">
        <v>-11226</v>
      </c>
      <c r="H797" s="1">
        <f t="shared" si="68"/>
        <v>42374</v>
      </c>
      <c r="I797">
        <f>IF(AND(MyRowHidden(ROW())=FALSE,MyRowHidden(ROW()-1)=TRUE),0,(E797-E796)*unitsOfDHp+I796)</f>
        <v>62720</v>
      </c>
      <c r="J797">
        <f>IF(AND(MyRowHidden(ROW())=FALSE,MyRowHidden(ROW()-1)=TRUE),0,(G797-G796)*unitsOfExo+J796)</f>
        <v>-1215792</v>
      </c>
      <c r="K797" s="9">
        <f t="shared" si="69"/>
        <v>1215792</v>
      </c>
      <c r="L797">
        <f t="shared" si="70"/>
        <v>-1153072</v>
      </c>
      <c r="M797">
        <f>IF(AND(MyRowHidden(ROW())=FALSE,MyRowHidden(ROW()-1)=TRUE),0,IF(MONTH(H797)&lt;&gt;MONTH(H796),M796+1,M796))</f>
        <v>12</v>
      </c>
      <c r="N797">
        <f t="shared" si="71"/>
        <v>62720</v>
      </c>
      <c r="O797">
        <f>IF(AND(MyRowHidden(ROW())=FALSE,MyRowHidden(ROW()-1)=TRUE),0,IF(M797&lt;totalMonths,(totalMonths-M797)/totalMonths *(I797-I796)+O796,0))</f>
        <v>0</v>
      </c>
      <c r="P797">
        <f>IF(AND(MyRowHidden(ROW())=FALSE,MyRowHidden(ROW()-1)=TRUE),0,IF(M797&lt;totalMonths,(totalMonths-M797)/totalMonths *(J797-J796)+P796,0))</f>
        <v>0</v>
      </c>
      <c r="Q797">
        <f>IF(AND(MyRowHidden(ROW())=FALSE,MyRowHidden(ROW()-1)=TRUE),0,IF(M797&lt;totalMonths,(totalMonths-M797)/totalMonths *(K797-K796)+Q796,0))</f>
        <v>0</v>
      </c>
      <c r="R797">
        <f t="shared" si="72"/>
        <v>62720</v>
      </c>
      <c r="S797">
        <f t="shared" si="73"/>
        <v>0</v>
      </c>
    </row>
    <row r="798" spans="1:19" hidden="1" x14ac:dyDescent="0.25">
      <c r="A798" s="1"/>
      <c r="C798" s="1"/>
      <c r="D798" s="1">
        <v>42375</v>
      </c>
      <c r="E798" s="10">
        <v>9462</v>
      </c>
      <c r="F798" s="1">
        <v>42375</v>
      </c>
      <c r="G798">
        <v>-11176</v>
      </c>
      <c r="H798" s="1">
        <f t="shared" si="68"/>
        <v>42375</v>
      </c>
      <c r="I798">
        <f>IF(AND(MyRowHidden(ROW())=FALSE,MyRowHidden(ROW()-1)=TRUE),0,(E798-E797)*unitsOfDHp+I797)</f>
        <v>67550</v>
      </c>
      <c r="J798">
        <f>IF(AND(MyRowHidden(ROW())=FALSE,MyRowHidden(ROW()-1)=TRUE),0,(G798-G797)*unitsOfExo+J797)</f>
        <v>-1201392</v>
      </c>
      <c r="K798" s="9">
        <f t="shared" si="69"/>
        <v>1201392</v>
      </c>
      <c r="L798">
        <f t="shared" si="70"/>
        <v>-1133842</v>
      </c>
      <c r="M798">
        <f>IF(AND(MyRowHidden(ROW())=FALSE,MyRowHidden(ROW()-1)=TRUE),0,IF(MONTH(H798)&lt;&gt;MONTH(H797),M797+1,M797))</f>
        <v>12</v>
      </c>
      <c r="N798">
        <f t="shared" si="71"/>
        <v>67550</v>
      </c>
      <c r="O798">
        <f>IF(AND(MyRowHidden(ROW())=FALSE,MyRowHidden(ROW()-1)=TRUE),0,IF(M798&lt;totalMonths,(totalMonths-M798)/totalMonths *(I798-I797)+O797,0))</f>
        <v>0</v>
      </c>
      <c r="P798">
        <f>IF(AND(MyRowHidden(ROW())=FALSE,MyRowHidden(ROW()-1)=TRUE),0,IF(M798&lt;totalMonths,(totalMonths-M798)/totalMonths *(J798-J797)+P797,0))</f>
        <v>0</v>
      </c>
      <c r="Q798">
        <f>IF(AND(MyRowHidden(ROW())=FALSE,MyRowHidden(ROW()-1)=TRUE),0,IF(M798&lt;totalMonths,(totalMonths-M798)/totalMonths *(K798-K797)+Q797,0))</f>
        <v>0</v>
      </c>
      <c r="R798">
        <f t="shared" si="72"/>
        <v>67550</v>
      </c>
      <c r="S798">
        <f t="shared" si="73"/>
        <v>0</v>
      </c>
    </row>
    <row r="799" spans="1:19" hidden="1" x14ac:dyDescent="0.25">
      <c r="A799" s="1"/>
      <c r="C799" s="1"/>
      <c r="D799" s="1">
        <v>42376</v>
      </c>
      <c r="E799" s="10">
        <v>9387</v>
      </c>
      <c r="F799" s="1">
        <v>42376</v>
      </c>
      <c r="G799">
        <v>-11263.5</v>
      </c>
      <c r="H799" s="1">
        <f t="shared" si="68"/>
        <v>42376</v>
      </c>
      <c r="I799">
        <f>IF(AND(MyRowHidden(ROW())=FALSE,MyRowHidden(ROW()-1)=TRUE),0,(E799-E798)*unitsOfDHp+I798)</f>
        <v>64925</v>
      </c>
      <c r="J799">
        <f>IF(AND(MyRowHidden(ROW())=FALSE,MyRowHidden(ROW()-1)=TRUE),0,(G799-G798)*unitsOfExo+J798)</f>
        <v>-1226592</v>
      </c>
      <c r="K799" s="9">
        <f t="shared" si="69"/>
        <v>1226592</v>
      </c>
      <c r="L799">
        <f t="shared" si="70"/>
        <v>-1161667</v>
      </c>
      <c r="M799">
        <f>IF(AND(MyRowHidden(ROW())=FALSE,MyRowHidden(ROW()-1)=TRUE),0,IF(MONTH(H799)&lt;&gt;MONTH(H798),M798+1,M798))</f>
        <v>12</v>
      </c>
      <c r="N799">
        <f t="shared" si="71"/>
        <v>64925</v>
      </c>
      <c r="O799">
        <f>IF(AND(MyRowHidden(ROW())=FALSE,MyRowHidden(ROW()-1)=TRUE),0,IF(M799&lt;totalMonths,(totalMonths-M799)/totalMonths *(I799-I798)+O798,0))</f>
        <v>0</v>
      </c>
      <c r="P799">
        <f>IF(AND(MyRowHidden(ROW())=FALSE,MyRowHidden(ROW()-1)=TRUE),0,IF(M799&lt;totalMonths,(totalMonths-M799)/totalMonths *(J799-J798)+P798,0))</f>
        <v>0</v>
      </c>
      <c r="Q799">
        <f>IF(AND(MyRowHidden(ROW())=FALSE,MyRowHidden(ROW()-1)=TRUE),0,IF(M799&lt;totalMonths,(totalMonths-M799)/totalMonths *(K799-K798)+Q798,0))</f>
        <v>0</v>
      </c>
      <c r="R799">
        <f t="shared" si="72"/>
        <v>64925</v>
      </c>
      <c r="S799">
        <f t="shared" si="73"/>
        <v>0</v>
      </c>
    </row>
    <row r="800" spans="1:19" hidden="1" x14ac:dyDescent="0.25">
      <c r="A800" s="1"/>
      <c r="C800" s="1"/>
      <c r="D800" s="1">
        <v>42377</v>
      </c>
      <c r="E800" s="10">
        <v>9637</v>
      </c>
      <c r="F800" s="1">
        <v>42377</v>
      </c>
      <c r="G800">
        <v>-11063.5</v>
      </c>
      <c r="H800" s="1">
        <f t="shared" si="68"/>
        <v>42377</v>
      </c>
      <c r="I800">
        <f>IF(AND(MyRowHidden(ROW())=FALSE,MyRowHidden(ROW()-1)=TRUE),0,(E800-E799)*unitsOfDHp+I799)</f>
        <v>73675</v>
      </c>
      <c r="J800">
        <f>IF(AND(MyRowHidden(ROW())=FALSE,MyRowHidden(ROW()-1)=TRUE),0,(G800-G799)*unitsOfExo+J799)</f>
        <v>-1168992</v>
      </c>
      <c r="K800" s="9">
        <f t="shared" si="69"/>
        <v>1168992</v>
      </c>
      <c r="L800">
        <f t="shared" si="70"/>
        <v>-1095317</v>
      </c>
      <c r="M800">
        <f>IF(AND(MyRowHidden(ROW())=FALSE,MyRowHidden(ROW()-1)=TRUE),0,IF(MONTH(H800)&lt;&gt;MONTH(H799),M799+1,M799))</f>
        <v>12</v>
      </c>
      <c r="N800">
        <f t="shared" si="71"/>
        <v>73675</v>
      </c>
      <c r="O800">
        <f>IF(AND(MyRowHidden(ROW())=FALSE,MyRowHidden(ROW()-1)=TRUE),0,IF(M800&lt;totalMonths,(totalMonths-M800)/totalMonths *(I800-I799)+O799,0))</f>
        <v>0</v>
      </c>
      <c r="P800">
        <f>IF(AND(MyRowHidden(ROW())=FALSE,MyRowHidden(ROW()-1)=TRUE),0,IF(M800&lt;totalMonths,(totalMonths-M800)/totalMonths *(J800-J799)+P799,0))</f>
        <v>0</v>
      </c>
      <c r="Q800">
        <f>IF(AND(MyRowHidden(ROW())=FALSE,MyRowHidden(ROW()-1)=TRUE),0,IF(M800&lt;totalMonths,(totalMonths-M800)/totalMonths *(K800-K799)+Q799,0))</f>
        <v>0</v>
      </c>
      <c r="R800">
        <f t="shared" si="72"/>
        <v>73675</v>
      </c>
      <c r="S800">
        <f t="shared" si="73"/>
        <v>0</v>
      </c>
    </row>
    <row r="801" spans="1:19" hidden="1" x14ac:dyDescent="0.25">
      <c r="A801" s="1"/>
      <c r="C801" s="1"/>
      <c r="D801" s="1">
        <v>42380</v>
      </c>
      <c r="E801" s="10">
        <v>9587</v>
      </c>
      <c r="F801" s="1">
        <v>42380</v>
      </c>
      <c r="G801">
        <v>-11338.5</v>
      </c>
      <c r="H801" s="1">
        <f t="shared" si="68"/>
        <v>42380</v>
      </c>
      <c r="I801">
        <f>IF(AND(MyRowHidden(ROW())=FALSE,MyRowHidden(ROW()-1)=TRUE),0,(E801-E800)*unitsOfDHp+I800)</f>
        <v>71925</v>
      </c>
      <c r="J801">
        <f>IF(AND(MyRowHidden(ROW())=FALSE,MyRowHidden(ROW()-1)=TRUE),0,(G801-G800)*unitsOfExo+J800)</f>
        <v>-1248192</v>
      </c>
      <c r="K801" s="9">
        <f t="shared" si="69"/>
        <v>1248192</v>
      </c>
      <c r="L801">
        <f t="shared" si="70"/>
        <v>-1176267</v>
      </c>
      <c r="M801">
        <f>IF(AND(MyRowHidden(ROW())=FALSE,MyRowHidden(ROW()-1)=TRUE),0,IF(MONTH(H801)&lt;&gt;MONTH(H800),M800+1,M800))</f>
        <v>12</v>
      </c>
      <c r="N801">
        <f t="shared" si="71"/>
        <v>71925</v>
      </c>
      <c r="O801">
        <f>IF(AND(MyRowHidden(ROW())=FALSE,MyRowHidden(ROW()-1)=TRUE),0,IF(M801&lt;totalMonths,(totalMonths-M801)/totalMonths *(I801-I800)+O800,0))</f>
        <v>0</v>
      </c>
      <c r="P801">
        <f>IF(AND(MyRowHidden(ROW())=FALSE,MyRowHidden(ROW()-1)=TRUE),0,IF(M801&lt;totalMonths,(totalMonths-M801)/totalMonths *(J801-J800)+P800,0))</f>
        <v>0</v>
      </c>
      <c r="Q801">
        <f>IF(AND(MyRowHidden(ROW())=FALSE,MyRowHidden(ROW()-1)=TRUE),0,IF(M801&lt;totalMonths,(totalMonths-M801)/totalMonths *(K801-K800)+Q800,0))</f>
        <v>0</v>
      </c>
      <c r="R801">
        <f t="shared" si="72"/>
        <v>71925</v>
      </c>
      <c r="S801">
        <f t="shared" si="73"/>
        <v>0</v>
      </c>
    </row>
    <row r="802" spans="1:19" hidden="1" x14ac:dyDescent="0.25">
      <c r="A802" s="1"/>
      <c r="C802" s="1"/>
      <c r="D802" s="1">
        <v>42381</v>
      </c>
      <c r="E802" s="10">
        <v>10076</v>
      </c>
      <c r="F802" s="1">
        <v>42381</v>
      </c>
      <c r="G802">
        <v>-10988.5</v>
      </c>
      <c r="H802" s="1">
        <f t="shared" si="68"/>
        <v>42381</v>
      </c>
      <c r="I802">
        <f>IF(AND(MyRowHidden(ROW())=FALSE,MyRowHidden(ROW()-1)=TRUE),0,(E802-E801)*unitsOfDHp+I801)</f>
        <v>89040</v>
      </c>
      <c r="J802">
        <f>IF(AND(MyRowHidden(ROW())=FALSE,MyRowHidden(ROW()-1)=TRUE),0,(G802-G801)*unitsOfExo+J801)</f>
        <v>-1147392</v>
      </c>
      <c r="K802" s="9">
        <f t="shared" si="69"/>
        <v>1147392</v>
      </c>
      <c r="L802">
        <f t="shared" si="70"/>
        <v>-1058352</v>
      </c>
      <c r="M802">
        <f>IF(AND(MyRowHidden(ROW())=FALSE,MyRowHidden(ROW()-1)=TRUE),0,IF(MONTH(H802)&lt;&gt;MONTH(H801),M801+1,M801))</f>
        <v>12</v>
      </c>
      <c r="N802">
        <f t="shared" si="71"/>
        <v>89040</v>
      </c>
      <c r="O802">
        <f>IF(AND(MyRowHidden(ROW())=FALSE,MyRowHidden(ROW()-1)=TRUE),0,IF(M802&lt;totalMonths,(totalMonths-M802)/totalMonths *(I802-I801)+O801,0))</f>
        <v>0</v>
      </c>
      <c r="P802">
        <f>IF(AND(MyRowHidden(ROW())=FALSE,MyRowHidden(ROW()-1)=TRUE),0,IF(M802&lt;totalMonths,(totalMonths-M802)/totalMonths *(J802-J801)+P801,0))</f>
        <v>0</v>
      </c>
      <c r="Q802">
        <f>IF(AND(MyRowHidden(ROW())=FALSE,MyRowHidden(ROW()-1)=TRUE),0,IF(M802&lt;totalMonths,(totalMonths-M802)/totalMonths *(K802-K801)+Q801,0))</f>
        <v>0</v>
      </c>
      <c r="R802">
        <f t="shared" si="72"/>
        <v>89040</v>
      </c>
      <c r="S802">
        <f t="shared" si="73"/>
        <v>0</v>
      </c>
    </row>
    <row r="803" spans="1:19" hidden="1" x14ac:dyDescent="0.25">
      <c r="A803" s="1"/>
      <c r="C803" s="1"/>
      <c r="D803" s="1">
        <v>42382</v>
      </c>
      <c r="E803" s="10">
        <v>10603</v>
      </c>
      <c r="F803" s="1">
        <v>42382</v>
      </c>
      <c r="G803">
        <v>-10951</v>
      </c>
      <c r="H803" s="1">
        <f t="shared" si="68"/>
        <v>42382</v>
      </c>
      <c r="I803">
        <f>IF(AND(MyRowHidden(ROW())=FALSE,MyRowHidden(ROW()-1)=TRUE),0,(E803-E802)*unitsOfDHp+I802)</f>
        <v>107485</v>
      </c>
      <c r="J803">
        <f>IF(AND(MyRowHidden(ROW())=FALSE,MyRowHidden(ROW()-1)=TRUE),0,(G803-G802)*unitsOfExo+J802)</f>
        <v>-1136592</v>
      </c>
      <c r="K803" s="9">
        <f t="shared" si="69"/>
        <v>1136592</v>
      </c>
      <c r="L803">
        <f t="shared" si="70"/>
        <v>-1029107</v>
      </c>
      <c r="M803">
        <f>IF(AND(MyRowHidden(ROW())=FALSE,MyRowHidden(ROW()-1)=TRUE),0,IF(MONTH(H803)&lt;&gt;MONTH(H802),M802+1,M802))</f>
        <v>12</v>
      </c>
      <c r="N803">
        <f t="shared" si="71"/>
        <v>107485</v>
      </c>
      <c r="O803">
        <f>IF(AND(MyRowHidden(ROW())=FALSE,MyRowHidden(ROW()-1)=TRUE),0,IF(M803&lt;totalMonths,(totalMonths-M803)/totalMonths *(I803-I802)+O802,0))</f>
        <v>0</v>
      </c>
      <c r="P803">
        <f>IF(AND(MyRowHidden(ROW())=FALSE,MyRowHidden(ROW()-1)=TRUE),0,IF(M803&lt;totalMonths,(totalMonths-M803)/totalMonths *(J803-J802)+P802,0))</f>
        <v>0</v>
      </c>
      <c r="Q803">
        <f>IF(AND(MyRowHidden(ROW())=FALSE,MyRowHidden(ROW()-1)=TRUE),0,IF(M803&lt;totalMonths,(totalMonths-M803)/totalMonths *(K803-K802)+Q802,0))</f>
        <v>0</v>
      </c>
      <c r="R803">
        <f t="shared" si="72"/>
        <v>107485</v>
      </c>
      <c r="S803">
        <f t="shared" si="73"/>
        <v>0</v>
      </c>
    </row>
    <row r="804" spans="1:19" hidden="1" x14ac:dyDescent="0.25">
      <c r="A804" s="1"/>
      <c r="C804" s="1"/>
      <c r="D804" s="1">
        <v>42383</v>
      </c>
      <c r="E804" s="10">
        <v>10903</v>
      </c>
      <c r="F804" s="1">
        <v>42383</v>
      </c>
      <c r="G804">
        <v>-10951</v>
      </c>
      <c r="H804" s="1">
        <f t="shared" si="68"/>
        <v>42383</v>
      </c>
      <c r="I804">
        <f>IF(AND(MyRowHidden(ROW())=FALSE,MyRowHidden(ROW()-1)=TRUE),0,(E804-E803)*unitsOfDHp+I803)</f>
        <v>117985</v>
      </c>
      <c r="J804">
        <f>IF(AND(MyRowHidden(ROW())=FALSE,MyRowHidden(ROW()-1)=TRUE),0,(G804-G803)*unitsOfExo+J803)</f>
        <v>-1136592</v>
      </c>
      <c r="K804" s="9">
        <f t="shared" si="69"/>
        <v>1136592</v>
      </c>
      <c r="L804">
        <f t="shared" si="70"/>
        <v>-1018607</v>
      </c>
      <c r="M804">
        <f>IF(AND(MyRowHidden(ROW())=FALSE,MyRowHidden(ROW()-1)=TRUE),0,IF(MONTH(H804)&lt;&gt;MONTH(H803),M803+1,M803))</f>
        <v>12</v>
      </c>
      <c r="N804">
        <f t="shared" si="71"/>
        <v>117985</v>
      </c>
      <c r="O804">
        <f>IF(AND(MyRowHidden(ROW())=FALSE,MyRowHidden(ROW()-1)=TRUE),0,IF(M804&lt;totalMonths,(totalMonths-M804)/totalMonths *(I804-I803)+O803,0))</f>
        <v>0</v>
      </c>
      <c r="P804">
        <f>IF(AND(MyRowHidden(ROW())=FALSE,MyRowHidden(ROW()-1)=TRUE),0,IF(M804&lt;totalMonths,(totalMonths-M804)/totalMonths *(J804-J803)+P803,0))</f>
        <v>0</v>
      </c>
      <c r="Q804">
        <f>IF(AND(MyRowHidden(ROW())=FALSE,MyRowHidden(ROW()-1)=TRUE),0,IF(M804&lt;totalMonths,(totalMonths-M804)/totalMonths *(K804-K803)+Q803,0))</f>
        <v>0</v>
      </c>
      <c r="R804">
        <f t="shared" si="72"/>
        <v>117985</v>
      </c>
      <c r="S804">
        <f t="shared" si="73"/>
        <v>0</v>
      </c>
    </row>
    <row r="805" spans="1:19" hidden="1" x14ac:dyDescent="0.25">
      <c r="A805" s="1"/>
      <c r="C805" s="1"/>
      <c r="D805" s="1">
        <v>42384</v>
      </c>
      <c r="E805" s="10">
        <v>11278</v>
      </c>
      <c r="F805" s="1">
        <v>42384</v>
      </c>
      <c r="G805">
        <v>-10776</v>
      </c>
      <c r="H805" s="1">
        <f t="shared" si="68"/>
        <v>42384</v>
      </c>
      <c r="I805">
        <f>IF(AND(MyRowHidden(ROW())=FALSE,MyRowHidden(ROW()-1)=TRUE),0,(E805-E804)*unitsOfDHp+I804)</f>
        <v>131110</v>
      </c>
      <c r="J805">
        <f>IF(AND(MyRowHidden(ROW())=FALSE,MyRowHidden(ROW()-1)=TRUE),0,(G805-G804)*unitsOfExo+J804)</f>
        <v>-1086192</v>
      </c>
      <c r="K805" s="9">
        <f t="shared" si="69"/>
        <v>1086192</v>
      </c>
      <c r="L805">
        <f t="shared" si="70"/>
        <v>-955082</v>
      </c>
      <c r="M805">
        <f>IF(AND(MyRowHidden(ROW())=FALSE,MyRowHidden(ROW()-1)=TRUE),0,IF(MONTH(H805)&lt;&gt;MONTH(H804),M804+1,M804))</f>
        <v>12</v>
      </c>
      <c r="N805">
        <f t="shared" si="71"/>
        <v>131110</v>
      </c>
      <c r="O805">
        <f>IF(AND(MyRowHidden(ROW())=FALSE,MyRowHidden(ROW()-1)=TRUE),0,IF(M805&lt;totalMonths,(totalMonths-M805)/totalMonths *(I805-I804)+O804,0))</f>
        <v>0</v>
      </c>
      <c r="P805">
        <f>IF(AND(MyRowHidden(ROW())=FALSE,MyRowHidden(ROW()-1)=TRUE),0,IF(M805&lt;totalMonths,(totalMonths-M805)/totalMonths *(J805-J804)+P804,0))</f>
        <v>0</v>
      </c>
      <c r="Q805">
        <f>IF(AND(MyRowHidden(ROW())=FALSE,MyRowHidden(ROW()-1)=TRUE),0,IF(M805&lt;totalMonths,(totalMonths-M805)/totalMonths *(K805-K804)+Q804,0))</f>
        <v>0</v>
      </c>
      <c r="R805">
        <f t="shared" si="72"/>
        <v>131110</v>
      </c>
      <c r="S805">
        <f t="shared" si="73"/>
        <v>0</v>
      </c>
    </row>
    <row r="806" spans="1:19" hidden="1" x14ac:dyDescent="0.25">
      <c r="A806" s="1"/>
      <c r="C806" s="1"/>
      <c r="D806" s="1">
        <v>42387</v>
      </c>
      <c r="E806" s="10">
        <v>11528</v>
      </c>
      <c r="F806" s="1">
        <v>42387</v>
      </c>
      <c r="G806">
        <v>-10726</v>
      </c>
      <c r="H806" s="1">
        <f t="shared" si="68"/>
        <v>42387</v>
      </c>
      <c r="I806">
        <f>IF(AND(MyRowHidden(ROW())=FALSE,MyRowHidden(ROW()-1)=TRUE),0,(E806-E805)*unitsOfDHp+I805)</f>
        <v>139860</v>
      </c>
      <c r="J806">
        <f>IF(AND(MyRowHidden(ROW())=FALSE,MyRowHidden(ROW()-1)=TRUE),0,(G806-G805)*unitsOfExo+J805)</f>
        <v>-1071792</v>
      </c>
      <c r="K806" s="9">
        <f t="shared" si="69"/>
        <v>1071792</v>
      </c>
      <c r="L806">
        <f t="shared" si="70"/>
        <v>-931932</v>
      </c>
      <c r="M806">
        <f>IF(AND(MyRowHidden(ROW())=FALSE,MyRowHidden(ROW()-1)=TRUE),0,IF(MONTH(H806)&lt;&gt;MONTH(H805),M805+1,M805))</f>
        <v>12</v>
      </c>
      <c r="N806">
        <f t="shared" si="71"/>
        <v>139860</v>
      </c>
      <c r="O806">
        <f>IF(AND(MyRowHidden(ROW())=FALSE,MyRowHidden(ROW()-1)=TRUE),0,IF(M806&lt;totalMonths,(totalMonths-M806)/totalMonths *(I806-I805)+O805,0))</f>
        <v>0</v>
      </c>
      <c r="P806">
        <f>IF(AND(MyRowHidden(ROW())=FALSE,MyRowHidden(ROW()-1)=TRUE),0,IF(M806&lt;totalMonths,(totalMonths-M806)/totalMonths *(J806-J805)+P805,0))</f>
        <v>0</v>
      </c>
      <c r="Q806">
        <f>IF(AND(MyRowHidden(ROW())=FALSE,MyRowHidden(ROW()-1)=TRUE),0,IF(M806&lt;totalMonths,(totalMonths-M806)/totalMonths *(K806-K805)+Q805,0))</f>
        <v>0</v>
      </c>
      <c r="R806">
        <f t="shared" si="72"/>
        <v>139860</v>
      </c>
      <c r="S806">
        <f t="shared" si="73"/>
        <v>0</v>
      </c>
    </row>
    <row r="807" spans="1:19" hidden="1" x14ac:dyDescent="0.25">
      <c r="A807" s="1"/>
      <c r="C807" s="1"/>
      <c r="D807" s="1">
        <v>42388</v>
      </c>
      <c r="E807" s="10">
        <v>11666</v>
      </c>
      <c r="F807" s="1">
        <v>42388</v>
      </c>
      <c r="G807">
        <v>-10463.5</v>
      </c>
      <c r="H807" s="1">
        <f t="shared" si="68"/>
        <v>42388</v>
      </c>
      <c r="I807">
        <f>IF(AND(MyRowHidden(ROW())=FALSE,MyRowHidden(ROW()-1)=TRUE),0,(E807-E806)*unitsOfDHp+I806)</f>
        <v>144690</v>
      </c>
      <c r="J807">
        <f>IF(AND(MyRowHidden(ROW())=FALSE,MyRowHidden(ROW()-1)=TRUE),0,(G807-G806)*unitsOfExo+J806)</f>
        <v>-996192</v>
      </c>
      <c r="K807" s="9">
        <f t="shared" si="69"/>
        <v>996192</v>
      </c>
      <c r="L807">
        <f t="shared" si="70"/>
        <v>-851502</v>
      </c>
      <c r="M807">
        <f>IF(AND(MyRowHidden(ROW())=FALSE,MyRowHidden(ROW()-1)=TRUE),0,IF(MONTH(H807)&lt;&gt;MONTH(H806),M806+1,M806))</f>
        <v>12</v>
      </c>
      <c r="N807">
        <f t="shared" si="71"/>
        <v>144690</v>
      </c>
      <c r="O807">
        <f>IF(AND(MyRowHidden(ROW())=FALSE,MyRowHidden(ROW()-1)=TRUE),0,IF(M807&lt;totalMonths,(totalMonths-M807)/totalMonths *(I807-I806)+O806,0))</f>
        <v>0</v>
      </c>
      <c r="P807">
        <f>IF(AND(MyRowHidden(ROW())=FALSE,MyRowHidden(ROW()-1)=TRUE),0,IF(M807&lt;totalMonths,(totalMonths-M807)/totalMonths *(J807-J806)+P806,0))</f>
        <v>0</v>
      </c>
      <c r="Q807">
        <f>IF(AND(MyRowHidden(ROW())=FALSE,MyRowHidden(ROW()-1)=TRUE),0,IF(M807&lt;totalMonths,(totalMonths-M807)/totalMonths *(K807-K806)+Q806,0))</f>
        <v>0</v>
      </c>
      <c r="R807">
        <f t="shared" si="72"/>
        <v>144690</v>
      </c>
      <c r="S807">
        <f t="shared" si="73"/>
        <v>0</v>
      </c>
    </row>
    <row r="808" spans="1:19" hidden="1" x14ac:dyDescent="0.25">
      <c r="A808" s="1"/>
      <c r="C808" s="1"/>
      <c r="D808" s="1">
        <v>42389</v>
      </c>
      <c r="E808" s="10">
        <v>11768</v>
      </c>
      <c r="F808" s="1">
        <v>42389</v>
      </c>
      <c r="G808">
        <v>-10488.5</v>
      </c>
      <c r="H808" s="1">
        <f t="shared" si="68"/>
        <v>42389</v>
      </c>
      <c r="I808">
        <f>IF(AND(MyRowHidden(ROW())=FALSE,MyRowHidden(ROW()-1)=TRUE),0,(E808-E807)*unitsOfDHp+I807)</f>
        <v>148260</v>
      </c>
      <c r="J808">
        <f>IF(AND(MyRowHidden(ROW())=FALSE,MyRowHidden(ROW()-1)=TRUE),0,(G808-G807)*unitsOfExo+J807)</f>
        <v>-1003392</v>
      </c>
      <c r="K808" s="9">
        <f t="shared" si="69"/>
        <v>1003392</v>
      </c>
      <c r="L808">
        <f t="shared" si="70"/>
        <v>-855132</v>
      </c>
      <c r="M808">
        <f>IF(AND(MyRowHidden(ROW())=FALSE,MyRowHidden(ROW()-1)=TRUE),0,IF(MONTH(H808)&lt;&gt;MONTH(H807),M807+1,M807))</f>
        <v>12</v>
      </c>
      <c r="N808">
        <f t="shared" si="71"/>
        <v>148260</v>
      </c>
      <c r="O808">
        <f>IF(AND(MyRowHidden(ROW())=FALSE,MyRowHidden(ROW()-1)=TRUE),0,IF(M808&lt;totalMonths,(totalMonths-M808)/totalMonths *(I808-I807)+O807,0))</f>
        <v>0</v>
      </c>
      <c r="P808">
        <f>IF(AND(MyRowHidden(ROW())=FALSE,MyRowHidden(ROW()-1)=TRUE),0,IF(M808&lt;totalMonths,(totalMonths-M808)/totalMonths *(J808-J807)+P807,0))</f>
        <v>0</v>
      </c>
      <c r="Q808">
        <f>IF(AND(MyRowHidden(ROW())=FALSE,MyRowHidden(ROW()-1)=TRUE),0,IF(M808&lt;totalMonths,(totalMonths-M808)/totalMonths *(K808-K807)+Q807,0))</f>
        <v>0</v>
      </c>
      <c r="R808">
        <f t="shared" si="72"/>
        <v>148260</v>
      </c>
      <c r="S808">
        <f t="shared" si="73"/>
        <v>0</v>
      </c>
    </row>
    <row r="809" spans="1:19" hidden="1" x14ac:dyDescent="0.25">
      <c r="A809" s="1"/>
      <c r="C809" s="1"/>
      <c r="D809" s="1">
        <v>42390</v>
      </c>
      <c r="E809" s="10">
        <v>11946</v>
      </c>
      <c r="F809" s="1">
        <v>42390</v>
      </c>
      <c r="G809">
        <v>-10513.5</v>
      </c>
      <c r="H809" s="1">
        <f t="shared" si="68"/>
        <v>42390</v>
      </c>
      <c r="I809">
        <f>IF(AND(MyRowHidden(ROW())=FALSE,MyRowHidden(ROW()-1)=TRUE),0,(E809-E808)*unitsOfDHp+I808)</f>
        <v>154490</v>
      </c>
      <c r="J809">
        <f>IF(AND(MyRowHidden(ROW())=FALSE,MyRowHidden(ROW()-1)=TRUE),0,(G809-G808)*unitsOfExo+J808)</f>
        <v>-1010592</v>
      </c>
      <c r="K809" s="9">
        <f t="shared" si="69"/>
        <v>1010592</v>
      </c>
      <c r="L809">
        <f t="shared" si="70"/>
        <v>-856102</v>
      </c>
      <c r="M809">
        <f>IF(AND(MyRowHidden(ROW())=FALSE,MyRowHidden(ROW()-1)=TRUE),0,IF(MONTH(H809)&lt;&gt;MONTH(H808),M808+1,M808))</f>
        <v>12</v>
      </c>
      <c r="N809">
        <f t="shared" si="71"/>
        <v>154490</v>
      </c>
      <c r="O809">
        <f>IF(AND(MyRowHidden(ROW())=FALSE,MyRowHidden(ROW()-1)=TRUE),0,IF(M809&lt;totalMonths,(totalMonths-M809)/totalMonths *(I809-I808)+O808,0))</f>
        <v>0</v>
      </c>
      <c r="P809">
        <f>IF(AND(MyRowHidden(ROW())=FALSE,MyRowHidden(ROW()-1)=TRUE),0,IF(M809&lt;totalMonths,(totalMonths-M809)/totalMonths *(J809-J808)+P808,0))</f>
        <v>0</v>
      </c>
      <c r="Q809">
        <f>IF(AND(MyRowHidden(ROW())=FALSE,MyRowHidden(ROW()-1)=TRUE),0,IF(M809&lt;totalMonths,(totalMonths-M809)/totalMonths *(K809-K808)+Q808,0))</f>
        <v>0</v>
      </c>
      <c r="R809">
        <f t="shared" si="72"/>
        <v>154490</v>
      </c>
      <c r="S809">
        <f t="shared" si="73"/>
        <v>0</v>
      </c>
    </row>
    <row r="810" spans="1:19" hidden="1" x14ac:dyDescent="0.25">
      <c r="A810" s="1"/>
      <c r="C810" s="1"/>
      <c r="D810" s="1">
        <v>42391</v>
      </c>
      <c r="E810" s="10">
        <v>12110</v>
      </c>
      <c r="F810" s="1">
        <v>42391</v>
      </c>
      <c r="G810">
        <v>-10401</v>
      </c>
      <c r="H810" s="1">
        <f t="shared" si="68"/>
        <v>42391</v>
      </c>
      <c r="I810">
        <f>IF(AND(MyRowHidden(ROW())=FALSE,MyRowHidden(ROW()-1)=TRUE),0,(E810-E809)*unitsOfDHp+I809)</f>
        <v>160230</v>
      </c>
      <c r="J810">
        <f>IF(AND(MyRowHidden(ROW())=FALSE,MyRowHidden(ROW()-1)=TRUE),0,(G810-G809)*unitsOfExo+J809)</f>
        <v>-978192</v>
      </c>
      <c r="K810" s="9">
        <f t="shared" si="69"/>
        <v>978192</v>
      </c>
      <c r="L810">
        <f t="shared" si="70"/>
        <v>-817962</v>
      </c>
      <c r="M810">
        <f>IF(AND(MyRowHidden(ROW())=FALSE,MyRowHidden(ROW()-1)=TRUE),0,IF(MONTH(H810)&lt;&gt;MONTH(H809),M809+1,M809))</f>
        <v>12</v>
      </c>
      <c r="N810">
        <f t="shared" si="71"/>
        <v>160230</v>
      </c>
      <c r="O810">
        <f>IF(AND(MyRowHidden(ROW())=FALSE,MyRowHidden(ROW()-1)=TRUE),0,IF(M810&lt;totalMonths,(totalMonths-M810)/totalMonths *(I810-I809)+O809,0))</f>
        <v>0</v>
      </c>
      <c r="P810">
        <f>IF(AND(MyRowHidden(ROW())=FALSE,MyRowHidden(ROW()-1)=TRUE),0,IF(M810&lt;totalMonths,(totalMonths-M810)/totalMonths *(J810-J809)+P809,0))</f>
        <v>0</v>
      </c>
      <c r="Q810">
        <f>IF(AND(MyRowHidden(ROW())=FALSE,MyRowHidden(ROW()-1)=TRUE),0,IF(M810&lt;totalMonths,(totalMonths-M810)/totalMonths *(K810-K809)+Q809,0))</f>
        <v>0</v>
      </c>
      <c r="R810">
        <f t="shared" si="72"/>
        <v>160230</v>
      </c>
      <c r="S810">
        <f t="shared" si="73"/>
        <v>0</v>
      </c>
    </row>
    <row r="811" spans="1:19" hidden="1" x14ac:dyDescent="0.25">
      <c r="A811" s="1"/>
      <c r="C811" s="1"/>
      <c r="D811" s="1">
        <v>42394</v>
      </c>
      <c r="E811" s="10">
        <v>12241</v>
      </c>
      <c r="F811" s="1">
        <v>42394</v>
      </c>
      <c r="G811">
        <v>-10413.5</v>
      </c>
      <c r="H811" s="1">
        <f t="shared" si="68"/>
        <v>42394</v>
      </c>
      <c r="I811">
        <f>IF(AND(MyRowHidden(ROW())=FALSE,MyRowHidden(ROW()-1)=TRUE),0,(E811-E810)*unitsOfDHp+I810)</f>
        <v>164815</v>
      </c>
      <c r="J811">
        <f>IF(AND(MyRowHidden(ROW())=FALSE,MyRowHidden(ROW()-1)=TRUE),0,(G811-G810)*unitsOfExo+J810)</f>
        <v>-981792</v>
      </c>
      <c r="K811" s="9">
        <f t="shared" si="69"/>
        <v>981792</v>
      </c>
      <c r="L811">
        <f t="shared" si="70"/>
        <v>-816977</v>
      </c>
      <c r="M811">
        <f>IF(AND(MyRowHidden(ROW())=FALSE,MyRowHidden(ROW()-1)=TRUE),0,IF(MONTH(H811)&lt;&gt;MONTH(H810),M810+1,M810))</f>
        <v>12</v>
      </c>
      <c r="N811">
        <f t="shared" si="71"/>
        <v>164815</v>
      </c>
      <c r="O811">
        <f>IF(AND(MyRowHidden(ROW())=FALSE,MyRowHidden(ROW()-1)=TRUE),0,IF(M811&lt;totalMonths,(totalMonths-M811)/totalMonths *(I811-I810)+O810,0))</f>
        <v>0</v>
      </c>
      <c r="P811">
        <f>IF(AND(MyRowHidden(ROW())=FALSE,MyRowHidden(ROW()-1)=TRUE),0,IF(M811&lt;totalMonths,(totalMonths-M811)/totalMonths *(J811-J810)+P810,0))</f>
        <v>0</v>
      </c>
      <c r="Q811">
        <f>IF(AND(MyRowHidden(ROW())=FALSE,MyRowHidden(ROW()-1)=TRUE),0,IF(M811&lt;totalMonths,(totalMonths-M811)/totalMonths *(K811-K810)+Q810,0))</f>
        <v>0</v>
      </c>
      <c r="R811">
        <f t="shared" si="72"/>
        <v>164815</v>
      </c>
      <c r="S811">
        <f t="shared" si="73"/>
        <v>0</v>
      </c>
    </row>
    <row r="812" spans="1:19" hidden="1" x14ac:dyDescent="0.25">
      <c r="A812" s="1"/>
      <c r="C812" s="1"/>
      <c r="D812" s="1">
        <v>42395</v>
      </c>
      <c r="E812" s="10">
        <v>12337</v>
      </c>
      <c r="F812" s="1">
        <v>42395</v>
      </c>
      <c r="G812">
        <v>-10438.5</v>
      </c>
      <c r="H812" s="1">
        <f t="shared" si="68"/>
        <v>42395</v>
      </c>
      <c r="I812">
        <f>IF(AND(MyRowHidden(ROW())=FALSE,MyRowHidden(ROW()-1)=TRUE),0,(E812-E811)*unitsOfDHp+I811)</f>
        <v>168175</v>
      </c>
      <c r="J812">
        <f>IF(AND(MyRowHidden(ROW())=FALSE,MyRowHidden(ROW()-1)=TRUE),0,(G812-G811)*unitsOfExo+J811)</f>
        <v>-988992</v>
      </c>
      <c r="K812" s="9">
        <f t="shared" si="69"/>
        <v>988992</v>
      </c>
      <c r="L812">
        <f t="shared" si="70"/>
        <v>-820817</v>
      </c>
      <c r="M812">
        <f>IF(AND(MyRowHidden(ROW())=FALSE,MyRowHidden(ROW()-1)=TRUE),0,IF(MONTH(H812)&lt;&gt;MONTH(H811),M811+1,M811))</f>
        <v>12</v>
      </c>
      <c r="N812">
        <f t="shared" si="71"/>
        <v>168175</v>
      </c>
      <c r="O812">
        <f>IF(AND(MyRowHidden(ROW())=FALSE,MyRowHidden(ROW()-1)=TRUE),0,IF(M812&lt;totalMonths,(totalMonths-M812)/totalMonths *(I812-I811)+O811,0))</f>
        <v>0</v>
      </c>
      <c r="P812">
        <f>IF(AND(MyRowHidden(ROW())=FALSE,MyRowHidden(ROW()-1)=TRUE),0,IF(M812&lt;totalMonths,(totalMonths-M812)/totalMonths *(J812-J811)+P811,0))</f>
        <v>0</v>
      </c>
      <c r="Q812">
        <f>IF(AND(MyRowHidden(ROW())=FALSE,MyRowHidden(ROW()-1)=TRUE),0,IF(M812&lt;totalMonths,(totalMonths-M812)/totalMonths *(K812-K811)+Q811,0))</f>
        <v>0</v>
      </c>
      <c r="R812">
        <f t="shared" si="72"/>
        <v>168175</v>
      </c>
      <c r="S812">
        <f t="shared" si="73"/>
        <v>0</v>
      </c>
    </row>
    <row r="813" spans="1:19" hidden="1" x14ac:dyDescent="0.25">
      <c r="A813" s="1"/>
      <c r="C813" s="1"/>
      <c r="D813" s="1">
        <v>42396</v>
      </c>
      <c r="E813" s="10">
        <v>12416</v>
      </c>
      <c r="F813" s="1">
        <v>42396</v>
      </c>
      <c r="G813">
        <v>-10388.5</v>
      </c>
      <c r="H813" s="1">
        <f t="shared" si="68"/>
        <v>42396</v>
      </c>
      <c r="I813">
        <f>IF(AND(MyRowHidden(ROW())=FALSE,MyRowHidden(ROW()-1)=TRUE),0,(E813-E812)*unitsOfDHp+I812)</f>
        <v>170940</v>
      </c>
      <c r="J813">
        <f>IF(AND(MyRowHidden(ROW())=FALSE,MyRowHidden(ROW()-1)=TRUE),0,(G813-G812)*unitsOfExo+J812)</f>
        <v>-974592</v>
      </c>
      <c r="K813" s="9">
        <f t="shared" si="69"/>
        <v>974592</v>
      </c>
      <c r="L813">
        <f t="shared" si="70"/>
        <v>-803652</v>
      </c>
      <c r="M813">
        <f>IF(AND(MyRowHidden(ROW())=FALSE,MyRowHidden(ROW()-1)=TRUE),0,IF(MONTH(H813)&lt;&gt;MONTH(H812),M812+1,M812))</f>
        <v>12</v>
      </c>
      <c r="N813">
        <f t="shared" si="71"/>
        <v>170940</v>
      </c>
      <c r="O813">
        <f>IF(AND(MyRowHidden(ROW())=FALSE,MyRowHidden(ROW()-1)=TRUE),0,IF(M813&lt;totalMonths,(totalMonths-M813)/totalMonths *(I813-I812)+O812,0))</f>
        <v>0</v>
      </c>
      <c r="P813">
        <f>IF(AND(MyRowHidden(ROW())=FALSE,MyRowHidden(ROW()-1)=TRUE),0,IF(M813&lt;totalMonths,(totalMonths-M813)/totalMonths *(J813-J812)+P812,0))</f>
        <v>0</v>
      </c>
      <c r="Q813">
        <f>IF(AND(MyRowHidden(ROW())=FALSE,MyRowHidden(ROW()-1)=TRUE),0,IF(M813&lt;totalMonths,(totalMonths-M813)/totalMonths *(K813-K812)+Q812,0))</f>
        <v>0</v>
      </c>
      <c r="R813">
        <f t="shared" si="72"/>
        <v>170940</v>
      </c>
      <c r="S813">
        <f t="shared" si="73"/>
        <v>0</v>
      </c>
    </row>
    <row r="814" spans="1:19" hidden="1" x14ac:dyDescent="0.25">
      <c r="A814" s="1"/>
      <c r="C814" s="1"/>
      <c r="D814" s="1">
        <v>42397</v>
      </c>
      <c r="E814" s="10">
        <v>12341</v>
      </c>
      <c r="F814" s="1">
        <v>42397</v>
      </c>
      <c r="G814">
        <v>-10588.5</v>
      </c>
      <c r="H814" s="1">
        <f t="shared" si="68"/>
        <v>42397</v>
      </c>
      <c r="I814">
        <f>IF(AND(MyRowHidden(ROW())=FALSE,MyRowHidden(ROW()-1)=TRUE),0,(E814-E813)*unitsOfDHp+I813)</f>
        <v>168315</v>
      </c>
      <c r="J814">
        <f>IF(AND(MyRowHidden(ROW())=FALSE,MyRowHidden(ROW()-1)=TRUE),0,(G814-G813)*unitsOfExo+J813)</f>
        <v>-1032192</v>
      </c>
      <c r="K814" s="9">
        <f t="shared" si="69"/>
        <v>1032192</v>
      </c>
      <c r="L814">
        <f t="shared" si="70"/>
        <v>-863877</v>
      </c>
      <c r="M814">
        <f>IF(AND(MyRowHidden(ROW())=FALSE,MyRowHidden(ROW()-1)=TRUE),0,IF(MONTH(H814)&lt;&gt;MONTH(H813),M813+1,M813))</f>
        <v>12</v>
      </c>
      <c r="N814">
        <f t="shared" si="71"/>
        <v>168315</v>
      </c>
      <c r="O814">
        <f>IF(AND(MyRowHidden(ROW())=FALSE,MyRowHidden(ROW()-1)=TRUE),0,IF(M814&lt;totalMonths,(totalMonths-M814)/totalMonths *(I814-I813)+O813,0))</f>
        <v>0</v>
      </c>
      <c r="P814">
        <f>IF(AND(MyRowHidden(ROW())=FALSE,MyRowHidden(ROW()-1)=TRUE),0,IF(M814&lt;totalMonths,(totalMonths-M814)/totalMonths *(J814-J813)+P813,0))</f>
        <v>0</v>
      </c>
      <c r="Q814">
        <f>IF(AND(MyRowHidden(ROW())=FALSE,MyRowHidden(ROW()-1)=TRUE),0,IF(M814&lt;totalMonths,(totalMonths-M814)/totalMonths *(K814-K813)+Q813,0))</f>
        <v>0</v>
      </c>
      <c r="R814">
        <f t="shared" si="72"/>
        <v>168315</v>
      </c>
      <c r="S814">
        <f t="shared" si="73"/>
        <v>0</v>
      </c>
    </row>
    <row r="815" spans="1:19" hidden="1" x14ac:dyDescent="0.25">
      <c r="A815" s="1"/>
      <c r="C815" s="1"/>
      <c r="D815" s="1">
        <v>42398</v>
      </c>
      <c r="E815" s="10">
        <v>12464</v>
      </c>
      <c r="F815" s="1">
        <v>42398</v>
      </c>
      <c r="G815">
        <v>-10351</v>
      </c>
      <c r="H815" s="1">
        <f t="shared" si="68"/>
        <v>42398</v>
      </c>
      <c r="I815">
        <f>IF(AND(MyRowHidden(ROW())=FALSE,MyRowHidden(ROW()-1)=TRUE),0,(E815-E814)*unitsOfDHp+I814)</f>
        <v>172620</v>
      </c>
      <c r="J815">
        <f>IF(AND(MyRowHidden(ROW())=FALSE,MyRowHidden(ROW()-1)=TRUE),0,(G815-G814)*unitsOfExo+J814)</f>
        <v>-963792</v>
      </c>
      <c r="K815" s="9">
        <f t="shared" si="69"/>
        <v>963792</v>
      </c>
      <c r="L815">
        <f t="shared" si="70"/>
        <v>-791172</v>
      </c>
      <c r="M815">
        <f>IF(AND(MyRowHidden(ROW())=FALSE,MyRowHidden(ROW()-1)=TRUE),0,IF(MONTH(H815)&lt;&gt;MONTH(H814),M814+1,M814))</f>
        <v>12</v>
      </c>
      <c r="N815">
        <f t="shared" si="71"/>
        <v>172620</v>
      </c>
      <c r="O815">
        <f>IF(AND(MyRowHidden(ROW())=FALSE,MyRowHidden(ROW()-1)=TRUE),0,IF(M815&lt;totalMonths,(totalMonths-M815)/totalMonths *(I815-I814)+O814,0))</f>
        <v>0</v>
      </c>
      <c r="P815">
        <f>IF(AND(MyRowHidden(ROW())=FALSE,MyRowHidden(ROW()-1)=TRUE),0,IF(M815&lt;totalMonths,(totalMonths-M815)/totalMonths *(J815-J814)+P814,0))</f>
        <v>0</v>
      </c>
      <c r="Q815">
        <f>IF(AND(MyRowHidden(ROW())=FALSE,MyRowHidden(ROW()-1)=TRUE),0,IF(M815&lt;totalMonths,(totalMonths-M815)/totalMonths *(K815-K814)+Q814,0))</f>
        <v>0</v>
      </c>
      <c r="R815">
        <f t="shared" si="72"/>
        <v>172620</v>
      </c>
      <c r="S815">
        <f t="shared" si="73"/>
        <v>0</v>
      </c>
    </row>
    <row r="816" spans="1:19" hidden="1" x14ac:dyDescent="0.25">
      <c r="A816" s="1"/>
      <c r="C816" s="1"/>
      <c r="D816" s="1">
        <v>42401</v>
      </c>
      <c r="E816" s="10">
        <v>12552</v>
      </c>
      <c r="F816" s="1">
        <v>42401</v>
      </c>
      <c r="G816">
        <v>-10388</v>
      </c>
      <c r="H816" s="1">
        <f t="shared" ref="H795:H848" si="74">D816</f>
        <v>42401</v>
      </c>
      <c r="I816">
        <f>IF(AND(MyRowHidden(ROW())=FALSE,MyRowHidden(ROW()-1)=TRUE),0,(E816-E815)*unitsOfDHp+I815)</f>
        <v>175700</v>
      </c>
      <c r="J816">
        <f>IF(AND(MyRowHidden(ROW())=FALSE,MyRowHidden(ROW()-1)=TRUE),0,(G816-G815)*unitsOfExo+J815)</f>
        <v>-974448</v>
      </c>
      <c r="K816" s="9">
        <f t="shared" ref="K795:K848" si="75">-(J816-J815)+K815</f>
        <v>974448</v>
      </c>
      <c r="L816">
        <f t="shared" ref="L795:L848" si="76">I816+J816</f>
        <v>-798748</v>
      </c>
      <c r="M816">
        <f>IF(AND(MyRowHidden(ROW())=FALSE,MyRowHidden(ROW()-1)=TRUE),0,IF(MONTH(H816)&lt;&gt;MONTH(H815),M815+1,M815))</f>
        <v>13</v>
      </c>
      <c r="N816">
        <f>IF(AND(MyRowHidden(ROW())=FALSE,MyRowHidden(ROW()-1)=TRUE),0,IF(M816&lt;totalMonths,(totalMonths-M816)/totalMonths *(I816-I815)+N815,0))</f>
        <v>0</v>
      </c>
      <c r="P816">
        <f>IF(AND(MyRowHidden(ROW())=FALSE,MyRowHidden(ROW()-1)=TRUE),0,IF(M816&lt;totalMonths,(totalMonths-M816)/totalMonths *(J816-J815)+P815,0))</f>
        <v>0</v>
      </c>
      <c r="Q816">
        <f>IF(AND(MyRowHidden(ROW())=FALSE,MyRowHidden(ROW()-1)=TRUE),0,IF(M816&lt;totalMonths,(totalMonths-M816)/totalMonths *(K816-K815)+Q815,0))</f>
        <v>0</v>
      </c>
      <c r="R816">
        <f>IF(AND(MyRowHidden(ROW())=FALSE,MyRowHidden(ROW()-1)=TRUE),0,IF(M816&lt;totalMonths,(totalMonths-M816)/totalMonths *(L816-L815)+R815,0))</f>
        <v>0</v>
      </c>
    </row>
    <row r="817" spans="1:18" hidden="1" x14ac:dyDescent="0.25">
      <c r="A817" s="1"/>
      <c r="C817" s="1"/>
      <c r="D817" s="1">
        <v>42402</v>
      </c>
      <c r="E817" s="10">
        <v>12613</v>
      </c>
      <c r="F817" s="1">
        <v>42402</v>
      </c>
      <c r="G817">
        <v>-10313</v>
      </c>
      <c r="H817" s="1">
        <f t="shared" si="74"/>
        <v>42402</v>
      </c>
      <c r="I817">
        <f>IF(AND(MyRowHidden(ROW())=FALSE,MyRowHidden(ROW()-1)=TRUE),0,(E817-E816)*unitsOfDHp+I816)</f>
        <v>177835</v>
      </c>
      <c r="J817">
        <f>IF(AND(MyRowHidden(ROW())=FALSE,MyRowHidden(ROW()-1)=TRUE),0,(G817-G816)*unitsOfExo+J816)</f>
        <v>-952848</v>
      </c>
      <c r="K817" s="9">
        <f t="shared" si="75"/>
        <v>952848</v>
      </c>
      <c r="L817">
        <f t="shared" si="76"/>
        <v>-775013</v>
      </c>
      <c r="M817">
        <f>IF(AND(MyRowHidden(ROW())=FALSE,MyRowHidden(ROW()-1)=TRUE),0,IF(MONTH(H817)&lt;&gt;MONTH(H816),M816+1,M816))</f>
        <v>13</v>
      </c>
      <c r="N817">
        <f>IF(AND(MyRowHidden(ROW())=FALSE,MyRowHidden(ROW()-1)=TRUE),0,IF(M817&lt;totalMonths,(totalMonths-M817)/totalMonths *(I817-I816)+N816,0))</f>
        <v>0</v>
      </c>
      <c r="P817">
        <f>IF(AND(MyRowHidden(ROW())=FALSE,MyRowHidden(ROW()-1)=TRUE),0,IF(M817&lt;totalMonths,(totalMonths-M817)/totalMonths *(J817-J816)+P816,0))</f>
        <v>0</v>
      </c>
      <c r="Q817">
        <f>IF(AND(MyRowHidden(ROW())=FALSE,MyRowHidden(ROW()-1)=TRUE),0,IF(M817&lt;totalMonths,(totalMonths-M817)/totalMonths *(K817-K816)+Q816,0))</f>
        <v>0</v>
      </c>
      <c r="R817">
        <f>IF(AND(MyRowHidden(ROW())=FALSE,MyRowHidden(ROW()-1)=TRUE),0,IF(M817&lt;totalMonths,(totalMonths-M817)/totalMonths *(L817-L816)+R816,0))</f>
        <v>0</v>
      </c>
    </row>
    <row r="818" spans="1:18" hidden="1" x14ac:dyDescent="0.25">
      <c r="A818" s="1"/>
      <c r="C818" s="1"/>
      <c r="D818" s="1">
        <v>42403</v>
      </c>
      <c r="E818" s="10">
        <v>12700</v>
      </c>
      <c r="F818" s="1">
        <v>42403</v>
      </c>
      <c r="G818">
        <v>-10375.5</v>
      </c>
      <c r="H818" s="1">
        <f t="shared" si="74"/>
        <v>42403</v>
      </c>
      <c r="I818">
        <f>IF(AND(MyRowHidden(ROW())=FALSE,MyRowHidden(ROW()-1)=TRUE),0,(E818-E817)*unitsOfDHp+I817)</f>
        <v>180880</v>
      </c>
      <c r="J818">
        <f>IF(AND(MyRowHidden(ROW())=FALSE,MyRowHidden(ROW()-1)=TRUE),0,(G818-G817)*unitsOfExo+J817)</f>
        <v>-970848</v>
      </c>
      <c r="K818" s="9">
        <f t="shared" si="75"/>
        <v>970848</v>
      </c>
      <c r="L818">
        <f t="shared" si="76"/>
        <v>-789968</v>
      </c>
      <c r="M818">
        <f>IF(AND(MyRowHidden(ROW())=FALSE,MyRowHidden(ROW()-1)=TRUE),0,IF(MONTH(H818)&lt;&gt;MONTH(H817),M817+1,M817))</f>
        <v>13</v>
      </c>
      <c r="N818">
        <f>IF(AND(MyRowHidden(ROW())=FALSE,MyRowHidden(ROW()-1)=TRUE),0,IF(M818&lt;totalMonths,(totalMonths-M818)/totalMonths *(I818-I817)+N817,0))</f>
        <v>0</v>
      </c>
      <c r="P818">
        <f>IF(AND(MyRowHidden(ROW())=FALSE,MyRowHidden(ROW()-1)=TRUE),0,IF(M818&lt;totalMonths,(totalMonths-M818)/totalMonths *(J818-J817)+P817,0))</f>
        <v>0</v>
      </c>
      <c r="Q818">
        <f>IF(AND(MyRowHidden(ROW())=FALSE,MyRowHidden(ROW()-1)=TRUE),0,IF(M818&lt;totalMonths,(totalMonths-M818)/totalMonths *(K818-K817)+Q817,0))</f>
        <v>0</v>
      </c>
      <c r="R818">
        <f>IF(AND(MyRowHidden(ROW())=FALSE,MyRowHidden(ROW()-1)=TRUE),0,IF(M818&lt;totalMonths,(totalMonths-M818)/totalMonths *(L818-L817)+R817,0))</f>
        <v>0</v>
      </c>
    </row>
    <row r="819" spans="1:18" hidden="1" x14ac:dyDescent="0.25">
      <c r="A819" s="1"/>
      <c r="C819" s="1"/>
      <c r="D819" s="1">
        <v>42404</v>
      </c>
      <c r="E819" s="10">
        <v>12752</v>
      </c>
      <c r="F819" s="1">
        <v>42404</v>
      </c>
      <c r="G819">
        <v>-10463</v>
      </c>
      <c r="H819" s="1">
        <f t="shared" si="74"/>
        <v>42404</v>
      </c>
      <c r="I819">
        <f>IF(AND(MyRowHidden(ROW())=FALSE,MyRowHidden(ROW()-1)=TRUE),0,(E819-E818)*unitsOfDHp+I818)</f>
        <v>182700</v>
      </c>
      <c r="J819">
        <f>IF(AND(MyRowHidden(ROW())=FALSE,MyRowHidden(ROW()-1)=TRUE),0,(G819-G818)*unitsOfExo+J818)</f>
        <v>-996048</v>
      </c>
      <c r="K819" s="9">
        <f t="shared" si="75"/>
        <v>996048</v>
      </c>
      <c r="L819">
        <f t="shared" si="76"/>
        <v>-813348</v>
      </c>
      <c r="M819">
        <f>IF(AND(MyRowHidden(ROW())=FALSE,MyRowHidden(ROW()-1)=TRUE),0,IF(MONTH(H819)&lt;&gt;MONTH(H818),M818+1,M818))</f>
        <v>13</v>
      </c>
      <c r="N819">
        <f>IF(AND(MyRowHidden(ROW())=FALSE,MyRowHidden(ROW()-1)=TRUE),0,IF(M819&lt;totalMonths,(totalMonths-M819)/totalMonths *(I819-I818)+N818,0))</f>
        <v>0</v>
      </c>
      <c r="P819">
        <f>IF(AND(MyRowHidden(ROW())=FALSE,MyRowHidden(ROW()-1)=TRUE),0,IF(M819&lt;totalMonths,(totalMonths-M819)/totalMonths *(J819-J818)+P818,0))</f>
        <v>0</v>
      </c>
      <c r="Q819">
        <f>IF(AND(MyRowHidden(ROW())=FALSE,MyRowHidden(ROW()-1)=TRUE),0,IF(M819&lt;totalMonths,(totalMonths-M819)/totalMonths *(K819-K818)+Q818,0))</f>
        <v>0</v>
      </c>
      <c r="R819">
        <f>IF(AND(MyRowHidden(ROW())=FALSE,MyRowHidden(ROW()-1)=TRUE),0,IF(M819&lt;totalMonths,(totalMonths-M819)/totalMonths *(L819-L818)+R818,0))</f>
        <v>0</v>
      </c>
    </row>
    <row r="820" spans="1:18" hidden="1" x14ac:dyDescent="0.25">
      <c r="A820" s="1"/>
      <c r="C820" s="1"/>
      <c r="D820" s="1">
        <v>42405</v>
      </c>
      <c r="E820" s="10">
        <v>12678</v>
      </c>
      <c r="F820" s="1">
        <v>42405</v>
      </c>
      <c r="G820">
        <v>-10588</v>
      </c>
      <c r="H820" s="1">
        <f t="shared" si="74"/>
        <v>42405</v>
      </c>
      <c r="I820">
        <f>IF(AND(MyRowHidden(ROW())=FALSE,MyRowHidden(ROW()-1)=TRUE),0,(E820-E819)*unitsOfDHp+I819)</f>
        <v>180110</v>
      </c>
      <c r="J820">
        <f>IF(AND(MyRowHidden(ROW())=FALSE,MyRowHidden(ROW()-1)=TRUE),0,(G820-G819)*unitsOfExo+J819)</f>
        <v>-1032048</v>
      </c>
      <c r="K820" s="9">
        <f t="shared" si="75"/>
        <v>1032048</v>
      </c>
      <c r="L820">
        <f t="shared" si="76"/>
        <v>-851938</v>
      </c>
      <c r="M820">
        <f>IF(AND(MyRowHidden(ROW())=FALSE,MyRowHidden(ROW()-1)=TRUE),0,IF(MONTH(H820)&lt;&gt;MONTH(H819),M819+1,M819))</f>
        <v>13</v>
      </c>
      <c r="N820">
        <f>IF(AND(MyRowHidden(ROW())=FALSE,MyRowHidden(ROW()-1)=TRUE),0,IF(M820&lt;totalMonths,(totalMonths-M820)/totalMonths *(I820-I819)+N819,0))</f>
        <v>0</v>
      </c>
      <c r="P820">
        <f>IF(AND(MyRowHidden(ROW())=FALSE,MyRowHidden(ROW()-1)=TRUE),0,IF(M820&lt;totalMonths,(totalMonths-M820)/totalMonths *(J820-J819)+P819,0))</f>
        <v>0</v>
      </c>
      <c r="Q820">
        <f>IF(AND(MyRowHidden(ROW())=FALSE,MyRowHidden(ROW()-1)=TRUE),0,IF(M820&lt;totalMonths,(totalMonths-M820)/totalMonths *(K820-K819)+Q819,0))</f>
        <v>0</v>
      </c>
      <c r="R820">
        <f>IF(AND(MyRowHidden(ROW())=FALSE,MyRowHidden(ROW()-1)=TRUE),0,IF(M820&lt;totalMonths,(totalMonths-M820)/totalMonths *(L820-L819)+R819,0))</f>
        <v>0</v>
      </c>
    </row>
    <row r="821" spans="1:18" hidden="1" x14ac:dyDescent="0.25">
      <c r="A821" s="1"/>
      <c r="C821" s="1"/>
      <c r="D821" s="1">
        <v>42408</v>
      </c>
      <c r="E821" s="10">
        <v>12579</v>
      </c>
      <c r="F821" s="1">
        <v>42408</v>
      </c>
      <c r="G821">
        <v>-10825.5</v>
      </c>
      <c r="H821" s="1">
        <f t="shared" si="74"/>
        <v>42408</v>
      </c>
      <c r="I821">
        <f>IF(AND(MyRowHidden(ROW())=FALSE,MyRowHidden(ROW()-1)=TRUE),0,(E821-E820)*unitsOfDHp+I820)</f>
        <v>176645</v>
      </c>
      <c r="J821">
        <f>IF(AND(MyRowHidden(ROW())=FALSE,MyRowHidden(ROW()-1)=TRUE),0,(G821-G820)*unitsOfExo+J820)</f>
        <v>-1100448</v>
      </c>
      <c r="K821" s="9">
        <f t="shared" si="75"/>
        <v>1100448</v>
      </c>
      <c r="L821">
        <f t="shared" si="76"/>
        <v>-923803</v>
      </c>
      <c r="M821">
        <f>IF(AND(MyRowHidden(ROW())=FALSE,MyRowHidden(ROW()-1)=TRUE),0,IF(MONTH(H821)&lt;&gt;MONTH(H820),M820+1,M820))</f>
        <v>13</v>
      </c>
      <c r="N821">
        <f>IF(AND(MyRowHidden(ROW())=FALSE,MyRowHidden(ROW()-1)=TRUE),0,IF(M821&lt;totalMonths,(totalMonths-M821)/totalMonths *(I821-I820)+N820,0))</f>
        <v>0</v>
      </c>
      <c r="P821">
        <f>IF(AND(MyRowHidden(ROW())=FALSE,MyRowHidden(ROW()-1)=TRUE),0,IF(M821&lt;totalMonths,(totalMonths-M821)/totalMonths *(J821-J820)+P820,0))</f>
        <v>0</v>
      </c>
      <c r="Q821">
        <f>IF(AND(MyRowHidden(ROW())=FALSE,MyRowHidden(ROW()-1)=TRUE),0,IF(M821&lt;totalMonths,(totalMonths-M821)/totalMonths *(K821-K820)+Q820,0))</f>
        <v>0</v>
      </c>
      <c r="R821">
        <f>IF(AND(MyRowHidden(ROW())=FALSE,MyRowHidden(ROW()-1)=TRUE),0,IF(M821&lt;totalMonths,(totalMonths-M821)/totalMonths *(L821-L820)+R820,0))</f>
        <v>0</v>
      </c>
    </row>
    <row r="822" spans="1:18" hidden="1" x14ac:dyDescent="0.25">
      <c r="A822" s="1"/>
      <c r="C822" s="1"/>
      <c r="D822" s="1">
        <v>42409</v>
      </c>
      <c r="E822" s="10">
        <v>12296</v>
      </c>
      <c r="F822" s="1">
        <v>42409</v>
      </c>
      <c r="G822">
        <v>-10875.5</v>
      </c>
      <c r="H822" s="1">
        <f t="shared" si="74"/>
        <v>42409</v>
      </c>
      <c r="I822">
        <f>IF(AND(MyRowHidden(ROW())=FALSE,MyRowHidden(ROW()-1)=TRUE),0,(E822-E821)*unitsOfDHp+I821)</f>
        <v>166740</v>
      </c>
      <c r="J822">
        <f>IF(AND(MyRowHidden(ROW())=FALSE,MyRowHidden(ROW()-1)=TRUE),0,(G822-G821)*unitsOfExo+J821)</f>
        <v>-1114848</v>
      </c>
      <c r="K822" s="9">
        <f t="shared" si="75"/>
        <v>1114848</v>
      </c>
      <c r="L822">
        <f t="shared" si="76"/>
        <v>-948108</v>
      </c>
      <c r="M822">
        <f>IF(AND(MyRowHidden(ROW())=FALSE,MyRowHidden(ROW()-1)=TRUE),0,IF(MONTH(H822)&lt;&gt;MONTH(H821),M821+1,M821))</f>
        <v>13</v>
      </c>
      <c r="N822">
        <f>IF(AND(MyRowHidden(ROW())=FALSE,MyRowHidden(ROW()-1)=TRUE),0,IF(M822&lt;totalMonths,(totalMonths-M822)/totalMonths *(I822-I821)+N821,0))</f>
        <v>0</v>
      </c>
      <c r="P822">
        <f>IF(AND(MyRowHidden(ROW())=FALSE,MyRowHidden(ROW()-1)=TRUE),0,IF(M822&lt;totalMonths,(totalMonths-M822)/totalMonths *(J822-J821)+P821,0))</f>
        <v>0</v>
      </c>
      <c r="Q822">
        <f>IF(AND(MyRowHidden(ROW())=FALSE,MyRowHidden(ROW()-1)=TRUE),0,IF(M822&lt;totalMonths,(totalMonths-M822)/totalMonths *(K822-K821)+Q821,0))</f>
        <v>0</v>
      </c>
      <c r="R822">
        <f>IF(AND(MyRowHidden(ROW())=FALSE,MyRowHidden(ROW()-1)=TRUE),0,IF(M822&lt;totalMonths,(totalMonths-M822)/totalMonths *(L822-L821)+R821,0))</f>
        <v>0</v>
      </c>
    </row>
    <row r="823" spans="1:18" hidden="1" x14ac:dyDescent="0.25">
      <c r="A823" s="1"/>
      <c r="C823" s="1"/>
      <c r="D823" s="1">
        <v>42410</v>
      </c>
      <c r="E823" s="10">
        <v>12558</v>
      </c>
      <c r="F823" s="1">
        <v>42410</v>
      </c>
      <c r="G823">
        <v>-10888</v>
      </c>
      <c r="H823" s="1">
        <f t="shared" si="74"/>
        <v>42410</v>
      </c>
      <c r="I823">
        <f>IF(AND(MyRowHidden(ROW())=FALSE,MyRowHidden(ROW()-1)=TRUE),0,(E823-E822)*unitsOfDHp+I822)</f>
        <v>175910</v>
      </c>
      <c r="J823">
        <f>IF(AND(MyRowHidden(ROW())=FALSE,MyRowHidden(ROW()-1)=TRUE),0,(G823-G822)*unitsOfExo+J822)</f>
        <v>-1118448</v>
      </c>
      <c r="K823" s="9">
        <f t="shared" si="75"/>
        <v>1118448</v>
      </c>
      <c r="L823">
        <f t="shared" si="76"/>
        <v>-942538</v>
      </c>
      <c r="M823">
        <f>IF(AND(MyRowHidden(ROW())=FALSE,MyRowHidden(ROW()-1)=TRUE),0,IF(MONTH(H823)&lt;&gt;MONTH(H822),M822+1,M822))</f>
        <v>13</v>
      </c>
      <c r="N823">
        <f>IF(AND(MyRowHidden(ROW())=FALSE,MyRowHidden(ROW()-1)=TRUE),0,IF(M823&lt;totalMonths,(totalMonths-M823)/totalMonths *(I823-I822)+N822,0))</f>
        <v>0</v>
      </c>
      <c r="P823">
        <f>IF(AND(MyRowHidden(ROW())=FALSE,MyRowHidden(ROW()-1)=TRUE),0,IF(M823&lt;totalMonths,(totalMonths-M823)/totalMonths *(J823-J822)+P822,0))</f>
        <v>0</v>
      </c>
      <c r="Q823">
        <f>IF(AND(MyRowHidden(ROW())=FALSE,MyRowHidden(ROW()-1)=TRUE),0,IF(M823&lt;totalMonths,(totalMonths-M823)/totalMonths *(K823-K822)+Q822,0))</f>
        <v>0</v>
      </c>
      <c r="R823">
        <f>IF(AND(MyRowHidden(ROW())=FALSE,MyRowHidden(ROW()-1)=TRUE),0,IF(M823&lt;totalMonths,(totalMonths-M823)/totalMonths *(L823-L822)+R822,0))</f>
        <v>0</v>
      </c>
    </row>
    <row r="824" spans="1:18" hidden="1" x14ac:dyDescent="0.25">
      <c r="A824" s="1"/>
      <c r="C824" s="1"/>
      <c r="D824" s="1">
        <v>42411</v>
      </c>
      <c r="E824" s="10">
        <v>12596</v>
      </c>
      <c r="F824" s="1">
        <v>42411</v>
      </c>
      <c r="G824">
        <v>-10913</v>
      </c>
      <c r="H824" s="1">
        <f t="shared" si="74"/>
        <v>42411</v>
      </c>
      <c r="I824">
        <f>IF(AND(MyRowHidden(ROW())=FALSE,MyRowHidden(ROW()-1)=TRUE),0,(E824-E823)*unitsOfDHp+I823)</f>
        <v>177240</v>
      </c>
      <c r="J824">
        <f>IF(AND(MyRowHidden(ROW())=FALSE,MyRowHidden(ROW()-1)=TRUE),0,(G824-G823)*unitsOfExo+J823)</f>
        <v>-1125648</v>
      </c>
      <c r="K824" s="9">
        <f t="shared" si="75"/>
        <v>1125648</v>
      </c>
      <c r="L824">
        <f t="shared" si="76"/>
        <v>-948408</v>
      </c>
      <c r="M824">
        <f>IF(AND(MyRowHidden(ROW())=FALSE,MyRowHidden(ROW()-1)=TRUE),0,IF(MONTH(H824)&lt;&gt;MONTH(H823),M823+1,M823))</f>
        <v>13</v>
      </c>
      <c r="N824">
        <f>IF(AND(MyRowHidden(ROW())=FALSE,MyRowHidden(ROW()-1)=TRUE),0,IF(M824&lt;totalMonths,(totalMonths-M824)/totalMonths *(I824-I823)+N823,0))</f>
        <v>0</v>
      </c>
      <c r="P824">
        <f>IF(AND(MyRowHidden(ROW())=FALSE,MyRowHidden(ROW()-1)=TRUE),0,IF(M824&lt;totalMonths,(totalMonths-M824)/totalMonths *(J824-J823)+P823,0))</f>
        <v>0</v>
      </c>
      <c r="Q824">
        <f>IF(AND(MyRowHidden(ROW())=FALSE,MyRowHidden(ROW()-1)=TRUE),0,IF(M824&lt;totalMonths,(totalMonths-M824)/totalMonths *(K824-K823)+Q823,0))</f>
        <v>0</v>
      </c>
      <c r="R824">
        <f>IF(AND(MyRowHidden(ROW())=FALSE,MyRowHidden(ROW()-1)=TRUE),0,IF(M824&lt;totalMonths,(totalMonths-M824)/totalMonths *(L824-L823)+R823,0))</f>
        <v>0</v>
      </c>
    </row>
    <row r="825" spans="1:18" hidden="1" x14ac:dyDescent="0.25">
      <c r="A825" s="1"/>
      <c r="C825" s="1"/>
      <c r="D825" s="1">
        <v>42412</v>
      </c>
      <c r="E825" s="10">
        <v>12746</v>
      </c>
      <c r="F825" s="1">
        <v>42412</v>
      </c>
      <c r="G825">
        <v>-10975.5</v>
      </c>
      <c r="H825" s="1">
        <f t="shared" si="74"/>
        <v>42412</v>
      </c>
      <c r="I825">
        <f>IF(AND(MyRowHidden(ROW())=FALSE,MyRowHidden(ROW()-1)=TRUE),0,(E825-E824)*unitsOfDHp+I824)</f>
        <v>182490</v>
      </c>
      <c r="J825">
        <f>IF(AND(MyRowHidden(ROW())=FALSE,MyRowHidden(ROW()-1)=TRUE),0,(G825-G824)*unitsOfExo+J824)</f>
        <v>-1143648</v>
      </c>
      <c r="K825" s="9">
        <f t="shared" si="75"/>
        <v>1143648</v>
      </c>
      <c r="L825">
        <f t="shared" si="76"/>
        <v>-961158</v>
      </c>
      <c r="M825">
        <f>IF(AND(MyRowHidden(ROW())=FALSE,MyRowHidden(ROW()-1)=TRUE),0,IF(MONTH(H825)&lt;&gt;MONTH(H824),M824+1,M824))</f>
        <v>13</v>
      </c>
      <c r="N825">
        <f>IF(AND(MyRowHidden(ROW())=FALSE,MyRowHidden(ROW()-1)=TRUE),0,IF(M825&lt;totalMonths,(totalMonths-M825)/totalMonths *(I825-I824)+N824,0))</f>
        <v>0</v>
      </c>
      <c r="P825">
        <f>IF(AND(MyRowHidden(ROW())=FALSE,MyRowHidden(ROW()-1)=TRUE),0,IF(M825&lt;totalMonths,(totalMonths-M825)/totalMonths *(J825-J824)+P824,0))</f>
        <v>0</v>
      </c>
      <c r="Q825">
        <f>IF(AND(MyRowHidden(ROW())=FALSE,MyRowHidden(ROW()-1)=TRUE),0,IF(M825&lt;totalMonths,(totalMonths-M825)/totalMonths *(K825-K824)+Q824,0))</f>
        <v>0</v>
      </c>
      <c r="R825">
        <f>IF(AND(MyRowHidden(ROW())=FALSE,MyRowHidden(ROW()-1)=TRUE),0,IF(M825&lt;totalMonths,(totalMonths-M825)/totalMonths *(L825-L824)+R824,0))</f>
        <v>0</v>
      </c>
    </row>
    <row r="826" spans="1:18" hidden="1" x14ac:dyDescent="0.25">
      <c r="A826" s="1"/>
      <c r="C826" s="1"/>
      <c r="D826" s="1">
        <v>42415</v>
      </c>
      <c r="E826" s="10">
        <v>12877</v>
      </c>
      <c r="F826" s="1">
        <v>42415</v>
      </c>
      <c r="G826">
        <v>-10950.5</v>
      </c>
      <c r="H826" s="1">
        <f t="shared" si="74"/>
        <v>42415</v>
      </c>
      <c r="I826">
        <f>IF(AND(MyRowHidden(ROW())=FALSE,MyRowHidden(ROW()-1)=TRUE),0,(E826-E825)*unitsOfDHp+I825)</f>
        <v>187075</v>
      </c>
      <c r="J826">
        <f>IF(AND(MyRowHidden(ROW())=FALSE,MyRowHidden(ROW()-1)=TRUE),0,(G826-G825)*unitsOfExo+J825)</f>
        <v>-1136448</v>
      </c>
      <c r="K826" s="9">
        <f t="shared" si="75"/>
        <v>1136448</v>
      </c>
      <c r="L826">
        <f t="shared" si="76"/>
        <v>-949373</v>
      </c>
      <c r="M826">
        <f>IF(AND(MyRowHidden(ROW())=FALSE,MyRowHidden(ROW()-1)=TRUE),0,IF(MONTH(H826)&lt;&gt;MONTH(H825),M825+1,M825))</f>
        <v>13</v>
      </c>
      <c r="N826">
        <f>IF(AND(MyRowHidden(ROW())=FALSE,MyRowHidden(ROW()-1)=TRUE),0,IF(M826&lt;totalMonths,(totalMonths-M826)/totalMonths *(I826-I825)+N825,0))</f>
        <v>0</v>
      </c>
      <c r="P826">
        <f>IF(AND(MyRowHidden(ROW())=FALSE,MyRowHidden(ROW()-1)=TRUE),0,IF(M826&lt;totalMonths,(totalMonths-M826)/totalMonths *(J826-J825)+P825,0))</f>
        <v>0</v>
      </c>
      <c r="Q826">
        <f>IF(AND(MyRowHidden(ROW())=FALSE,MyRowHidden(ROW()-1)=TRUE),0,IF(M826&lt;totalMonths,(totalMonths-M826)/totalMonths *(K826-K825)+Q825,0))</f>
        <v>0</v>
      </c>
      <c r="R826">
        <f>IF(AND(MyRowHidden(ROW())=FALSE,MyRowHidden(ROW()-1)=TRUE),0,IF(M826&lt;totalMonths,(totalMonths-M826)/totalMonths *(L826-L825)+R825,0))</f>
        <v>0</v>
      </c>
    </row>
    <row r="827" spans="1:18" hidden="1" x14ac:dyDescent="0.25">
      <c r="A827" s="1"/>
      <c r="C827" s="1"/>
      <c r="D827" s="1">
        <v>42416</v>
      </c>
      <c r="E827" s="10">
        <v>12540</v>
      </c>
      <c r="F827" s="1">
        <v>42416</v>
      </c>
      <c r="G827">
        <v>-10850.5</v>
      </c>
      <c r="H827" s="1">
        <f t="shared" si="74"/>
        <v>42416</v>
      </c>
      <c r="I827">
        <f>IF(AND(MyRowHidden(ROW())=FALSE,MyRowHidden(ROW()-1)=TRUE),0,(E827-E826)*unitsOfDHp+I826)</f>
        <v>175280</v>
      </c>
      <c r="J827">
        <f>IF(AND(MyRowHidden(ROW())=FALSE,MyRowHidden(ROW()-1)=TRUE),0,(G827-G826)*unitsOfExo+J826)</f>
        <v>-1107648</v>
      </c>
      <c r="K827" s="9">
        <f t="shared" si="75"/>
        <v>1107648</v>
      </c>
      <c r="L827">
        <f t="shared" si="76"/>
        <v>-932368</v>
      </c>
      <c r="M827">
        <f>IF(AND(MyRowHidden(ROW())=FALSE,MyRowHidden(ROW()-1)=TRUE),0,IF(MONTH(H827)&lt;&gt;MONTH(H826),M826+1,M826))</f>
        <v>13</v>
      </c>
      <c r="N827">
        <f>IF(AND(MyRowHidden(ROW())=FALSE,MyRowHidden(ROW()-1)=TRUE),0,IF(M827&lt;totalMonths,(totalMonths-M827)/totalMonths *(I827-I826)+N826,0))</f>
        <v>0</v>
      </c>
      <c r="P827">
        <f>IF(AND(MyRowHidden(ROW())=FALSE,MyRowHidden(ROW()-1)=TRUE),0,IF(M827&lt;totalMonths,(totalMonths-M827)/totalMonths *(J827-J826)+P826,0))</f>
        <v>0</v>
      </c>
      <c r="Q827">
        <f>IF(AND(MyRowHidden(ROW())=FALSE,MyRowHidden(ROW()-1)=TRUE),0,IF(M827&lt;totalMonths,(totalMonths-M827)/totalMonths *(K827-K826)+Q826,0))</f>
        <v>0</v>
      </c>
      <c r="R827">
        <f>IF(AND(MyRowHidden(ROW())=FALSE,MyRowHidden(ROW()-1)=TRUE),0,IF(M827&lt;totalMonths,(totalMonths-M827)/totalMonths *(L827-L826)+R826,0))</f>
        <v>0</v>
      </c>
    </row>
    <row r="828" spans="1:18" hidden="1" x14ac:dyDescent="0.25">
      <c r="A828" s="1"/>
      <c r="C828" s="1"/>
      <c r="D828" s="1">
        <v>42417</v>
      </c>
      <c r="E828" s="10">
        <v>11746</v>
      </c>
      <c r="F828" s="1">
        <v>42417</v>
      </c>
      <c r="G828">
        <v>-10563</v>
      </c>
      <c r="H828" s="1">
        <f t="shared" si="74"/>
        <v>42417</v>
      </c>
      <c r="I828">
        <f>IF(AND(MyRowHidden(ROW())=FALSE,MyRowHidden(ROW()-1)=TRUE),0,(E828-E827)*unitsOfDHp+I827)</f>
        <v>147490</v>
      </c>
      <c r="J828">
        <f>IF(AND(MyRowHidden(ROW())=FALSE,MyRowHidden(ROW()-1)=TRUE),0,(G828-G827)*unitsOfExo+J827)</f>
        <v>-1024848</v>
      </c>
      <c r="K828" s="9">
        <f t="shared" si="75"/>
        <v>1024848</v>
      </c>
      <c r="L828">
        <f t="shared" si="76"/>
        <v>-877358</v>
      </c>
      <c r="M828">
        <f>IF(AND(MyRowHidden(ROW())=FALSE,MyRowHidden(ROW()-1)=TRUE),0,IF(MONTH(H828)&lt;&gt;MONTH(H827),M827+1,M827))</f>
        <v>13</v>
      </c>
      <c r="N828">
        <f>IF(AND(MyRowHidden(ROW())=FALSE,MyRowHidden(ROW()-1)=TRUE),0,IF(M828&lt;totalMonths,(totalMonths-M828)/totalMonths *(I828-I827)+N827,0))</f>
        <v>0</v>
      </c>
      <c r="P828">
        <f>IF(AND(MyRowHidden(ROW())=FALSE,MyRowHidden(ROW()-1)=TRUE),0,IF(M828&lt;totalMonths,(totalMonths-M828)/totalMonths *(J828-J827)+P827,0))</f>
        <v>0</v>
      </c>
      <c r="Q828">
        <f>IF(AND(MyRowHidden(ROW())=FALSE,MyRowHidden(ROW()-1)=TRUE),0,IF(M828&lt;totalMonths,(totalMonths-M828)/totalMonths *(K828-K827)+Q827,0))</f>
        <v>0</v>
      </c>
      <c r="R828">
        <f>IF(AND(MyRowHidden(ROW())=FALSE,MyRowHidden(ROW()-1)=TRUE),0,IF(M828&lt;totalMonths,(totalMonths-M828)/totalMonths *(L828-L827)+R827,0))</f>
        <v>0</v>
      </c>
    </row>
    <row r="829" spans="1:18" hidden="1" x14ac:dyDescent="0.25">
      <c r="A829" s="1"/>
      <c r="C829" s="1"/>
      <c r="D829" s="1">
        <v>42418</v>
      </c>
      <c r="E829" s="10">
        <v>11738</v>
      </c>
      <c r="F829" s="1">
        <v>42418</v>
      </c>
      <c r="G829">
        <v>-10613</v>
      </c>
      <c r="H829" s="1">
        <f t="shared" si="74"/>
        <v>42418</v>
      </c>
      <c r="I829">
        <f>IF(AND(MyRowHidden(ROW())=FALSE,MyRowHidden(ROW()-1)=TRUE),0,(E829-E828)*unitsOfDHp+I828)</f>
        <v>147210</v>
      </c>
      <c r="J829">
        <f>IF(AND(MyRowHidden(ROW())=FALSE,MyRowHidden(ROW()-1)=TRUE),0,(G829-G828)*unitsOfExo+J828)</f>
        <v>-1039248</v>
      </c>
      <c r="K829" s="9">
        <f t="shared" si="75"/>
        <v>1039248</v>
      </c>
      <c r="L829">
        <f t="shared" si="76"/>
        <v>-892038</v>
      </c>
      <c r="M829">
        <f>IF(AND(MyRowHidden(ROW())=FALSE,MyRowHidden(ROW()-1)=TRUE),0,IF(MONTH(H829)&lt;&gt;MONTH(H828),M828+1,M828))</f>
        <v>13</v>
      </c>
      <c r="N829">
        <f>IF(AND(MyRowHidden(ROW())=FALSE,MyRowHidden(ROW()-1)=TRUE),0,IF(M829&lt;totalMonths,(totalMonths-M829)/totalMonths *(I829-I828)+N828,0))</f>
        <v>0</v>
      </c>
      <c r="P829">
        <f>IF(AND(MyRowHidden(ROW())=FALSE,MyRowHidden(ROW()-1)=TRUE),0,IF(M829&lt;totalMonths,(totalMonths-M829)/totalMonths *(J829-J828)+P828,0))</f>
        <v>0</v>
      </c>
      <c r="Q829">
        <f>IF(AND(MyRowHidden(ROW())=FALSE,MyRowHidden(ROW()-1)=TRUE),0,IF(M829&lt;totalMonths,(totalMonths-M829)/totalMonths *(K829-K828)+Q828,0))</f>
        <v>0</v>
      </c>
      <c r="R829">
        <f>IF(AND(MyRowHidden(ROW())=FALSE,MyRowHidden(ROW()-1)=TRUE),0,IF(M829&lt;totalMonths,(totalMonths-M829)/totalMonths *(L829-L828)+R828,0))</f>
        <v>0</v>
      </c>
    </row>
    <row r="830" spans="1:18" hidden="1" x14ac:dyDescent="0.25">
      <c r="A830" s="1"/>
      <c r="C830" s="1"/>
      <c r="D830" s="1">
        <v>42419</v>
      </c>
      <c r="E830" s="10">
        <v>11666</v>
      </c>
      <c r="F830" s="1">
        <v>42419</v>
      </c>
      <c r="G830">
        <v>-10663</v>
      </c>
      <c r="H830" s="1">
        <f t="shared" si="74"/>
        <v>42419</v>
      </c>
      <c r="I830">
        <f>IF(AND(MyRowHidden(ROW())=FALSE,MyRowHidden(ROW()-1)=TRUE),0,(E830-E829)*unitsOfDHp+I829)</f>
        <v>144690</v>
      </c>
      <c r="J830">
        <f>IF(AND(MyRowHidden(ROW())=FALSE,MyRowHidden(ROW()-1)=TRUE),0,(G830-G829)*unitsOfExo+J829)</f>
        <v>-1053648</v>
      </c>
      <c r="K830" s="9">
        <f t="shared" si="75"/>
        <v>1053648</v>
      </c>
      <c r="L830">
        <f t="shared" si="76"/>
        <v>-908958</v>
      </c>
      <c r="M830">
        <f>IF(AND(MyRowHidden(ROW())=FALSE,MyRowHidden(ROW()-1)=TRUE),0,IF(MONTH(H830)&lt;&gt;MONTH(H829),M829+1,M829))</f>
        <v>13</v>
      </c>
      <c r="N830">
        <f>IF(AND(MyRowHidden(ROW())=FALSE,MyRowHidden(ROW()-1)=TRUE),0,IF(M830&lt;totalMonths,(totalMonths-M830)/totalMonths *(I830-I829)+N829,0))</f>
        <v>0</v>
      </c>
      <c r="P830">
        <f>IF(AND(MyRowHidden(ROW())=FALSE,MyRowHidden(ROW()-1)=TRUE),0,IF(M830&lt;totalMonths,(totalMonths-M830)/totalMonths *(J830-J829)+P829,0))</f>
        <v>0</v>
      </c>
      <c r="Q830">
        <f>IF(AND(MyRowHidden(ROW())=FALSE,MyRowHidden(ROW()-1)=TRUE),0,IF(M830&lt;totalMonths,(totalMonths-M830)/totalMonths *(K830-K829)+Q829,0))</f>
        <v>0</v>
      </c>
      <c r="R830">
        <f>IF(AND(MyRowHidden(ROW())=FALSE,MyRowHidden(ROW()-1)=TRUE),0,IF(M830&lt;totalMonths,(totalMonths-M830)/totalMonths *(L830-L829)+R829,0))</f>
        <v>0</v>
      </c>
    </row>
    <row r="831" spans="1:18" hidden="1" x14ac:dyDescent="0.25">
      <c r="A831" s="1"/>
      <c r="C831" s="1"/>
      <c r="D831" s="1">
        <v>42422</v>
      </c>
      <c r="E831" s="10">
        <v>12004</v>
      </c>
      <c r="F831" s="1">
        <v>42422</v>
      </c>
      <c r="G831">
        <v>-10525.5</v>
      </c>
      <c r="H831" s="1">
        <f t="shared" si="74"/>
        <v>42422</v>
      </c>
      <c r="I831">
        <f>IF(AND(MyRowHidden(ROW())=FALSE,MyRowHidden(ROW()-1)=TRUE),0,(E831-E830)*unitsOfDHp+I830)</f>
        <v>156520</v>
      </c>
      <c r="J831">
        <f>IF(AND(MyRowHidden(ROW())=FALSE,MyRowHidden(ROW()-1)=TRUE),0,(G831-G830)*unitsOfExo+J830)</f>
        <v>-1014048</v>
      </c>
      <c r="K831" s="9">
        <f t="shared" si="75"/>
        <v>1014048</v>
      </c>
      <c r="L831">
        <f t="shared" si="76"/>
        <v>-857528</v>
      </c>
      <c r="M831">
        <f>IF(AND(MyRowHidden(ROW())=FALSE,MyRowHidden(ROW()-1)=TRUE),0,IF(MONTH(H831)&lt;&gt;MONTH(H830),M830+1,M830))</f>
        <v>13</v>
      </c>
      <c r="N831">
        <f>IF(AND(MyRowHidden(ROW())=FALSE,MyRowHidden(ROW()-1)=TRUE),0,IF(M831&lt;totalMonths,(totalMonths-M831)/totalMonths *(I831-I830)+N830,0))</f>
        <v>0</v>
      </c>
      <c r="P831">
        <f>IF(AND(MyRowHidden(ROW())=FALSE,MyRowHidden(ROW()-1)=TRUE),0,IF(M831&lt;totalMonths,(totalMonths-M831)/totalMonths *(J831-J830)+P830,0))</f>
        <v>0</v>
      </c>
      <c r="Q831">
        <f>IF(AND(MyRowHidden(ROW())=FALSE,MyRowHidden(ROW()-1)=TRUE),0,IF(M831&lt;totalMonths,(totalMonths-M831)/totalMonths *(K831-K830)+Q830,0))</f>
        <v>0</v>
      </c>
      <c r="R831">
        <f>IF(AND(MyRowHidden(ROW())=FALSE,MyRowHidden(ROW()-1)=TRUE),0,IF(M831&lt;totalMonths,(totalMonths-M831)/totalMonths *(L831-L830)+R830,0))</f>
        <v>0</v>
      </c>
    </row>
    <row r="832" spans="1:18" hidden="1" x14ac:dyDescent="0.25">
      <c r="A832" s="1"/>
      <c r="C832" s="1"/>
      <c r="D832" s="1">
        <v>42423</v>
      </c>
      <c r="E832" s="10">
        <v>11666</v>
      </c>
      <c r="F832" s="1">
        <v>42423</v>
      </c>
      <c r="G832">
        <v>-10800.5</v>
      </c>
      <c r="H832" s="1">
        <f t="shared" si="74"/>
        <v>42423</v>
      </c>
      <c r="I832">
        <f>IF(AND(MyRowHidden(ROW())=FALSE,MyRowHidden(ROW()-1)=TRUE),0,(E832-E831)*unitsOfDHp+I831)</f>
        <v>144690</v>
      </c>
      <c r="J832">
        <f>IF(AND(MyRowHidden(ROW())=FALSE,MyRowHidden(ROW()-1)=TRUE),0,(G832-G831)*unitsOfExo+J831)</f>
        <v>-1093248</v>
      </c>
      <c r="K832" s="9">
        <f t="shared" si="75"/>
        <v>1093248</v>
      </c>
      <c r="L832">
        <f t="shared" si="76"/>
        <v>-948558</v>
      </c>
      <c r="M832">
        <f>IF(AND(MyRowHidden(ROW())=FALSE,MyRowHidden(ROW()-1)=TRUE),0,IF(MONTH(H832)&lt;&gt;MONTH(H831),M831+1,M831))</f>
        <v>13</v>
      </c>
      <c r="N832">
        <f>IF(AND(MyRowHidden(ROW())=FALSE,MyRowHidden(ROW()-1)=TRUE),0,IF(M832&lt;totalMonths,(totalMonths-M832)/totalMonths *(I832-I831)+N831,0))</f>
        <v>0</v>
      </c>
      <c r="P832">
        <f>IF(AND(MyRowHidden(ROW())=FALSE,MyRowHidden(ROW()-1)=TRUE),0,IF(M832&lt;totalMonths,(totalMonths-M832)/totalMonths *(J832-J831)+P831,0))</f>
        <v>0</v>
      </c>
      <c r="Q832">
        <f>IF(AND(MyRowHidden(ROW())=FALSE,MyRowHidden(ROW()-1)=TRUE),0,IF(M832&lt;totalMonths,(totalMonths-M832)/totalMonths *(K832-K831)+Q831,0))</f>
        <v>0</v>
      </c>
      <c r="R832">
        <f>IF(AND(MyRowHidden(ROW())=FALSE,MyRowHidden(ROW()-1)=TRUE),0,IF(M832&lt;totalMonths,(totalMonths-M832)/totalMonths *(L832-L831)+R831,0))</f>
        <v>0</v>
      </c>
    </row>
    <row r="833" spans="1:18" hidden="1" x14ac:dyDescent="0.25">
      <c r="A833" s="1"/>
      <c r="C833" s="1"/>
      <c r="D833" s="1">
        <v>42424</v>
      </c>
      <c r="E833" s="10">
        <v>11516</v>
      </c>
      <c r="F833" s="1">
        <v>42424</v>
      </c>
      <c r="G833">
        <v>-10863</v>
      </c>
      <c r="H833" s="1">
        <f t="shared" si="74"/>
        <v>42424</v>
      </c>
      <c r="I833">
        <f>IF(AND(MyRowHidden(ROW())=FALSE,MyRowHidden(ROW()-1)=TRUE),0,(E833-E832)*unitsOfDHp+I832)</f>
        <v>139440</v>
      </c>
      <c r="J833">
        <f>IF(AND(MyRowHidden(ROW())=FALSE,MyRowHidden(ROW()-1)=TRUE),0,(G833-G832)*unitsOfExo+J832)</f>
        <v>-1111248</v>
      </c>
      <c r="K833" s="9">
        <f t="shared" si="75"/>
        <v>1111248</v>
      </c>
      <c r="L833">
        <f t="shared" si="76"/>
        <v>-971808</v>
      </c>
      <c r="M833">
        <f>IF(AND(MyRowHidden(ROW())=FALSE,MyRowHidden(ROW()-1)=TRUE),0,IF(MONTH(H833)&lt;&gt;MONTH(H832),M832+1,M832))</f>
        <v>13</v>
      </c>
      <c r="N833">
        <f>IF(AND(MyRowHidden(ROW())=FALSE,MyRowHidden(ROW()-1)=TRUE),0,IF(M833&lt;totalMonths,(totalMonths-M833)/totalMonths *(I833-I832)+N832,0))</f>
        <v>0</v>
      </c>
      <c r="P833">
        <f>IF(AND(MyRowHidden(ROW())=FALSE,MyRowHidden(ROW()-1)=TRUE),0,IF(M833&lt;totalMonths,(totalMonths-M833)/totalMonths *(J833-J832)+P832,0))</f>
        <v>0</v>
      </c>
      <c r="Q833">
        <f>IF(AND(MyRowHidden(ROW())=FALSE,MyRowHidden(ROW()-1)=TRUE),0,IF(M833&lt;totalMonths,(totalMonths-M833)/totalMonths *(K833-K832)+Q832,0))</f>
        <v>0</v>
      </c>
      <c r="R833">
        <f>IF(AND(MyRowHidden(ROW())=FALSE,MyRowHidden(ROW()-1)=TRUE),0,IF(M833&lt;totalMonths,(totalMonths-M833)/totalMonths *(L833-L832)+R832,0))</f>
        <v>0</v>
      </c>
    </row>
    <row r="834" spans="1:18" hidden="1" x14ac:dyDescent="0.25">
      <c r="A834" s="1"/>
      <c r="C834" s="1"/>
      <c r="D834" s="1">
        <v>42425</v>
      </c>
      <c r="E834" s="10">
        <v>11082</v>
      </c>
      <c r="F834" s="1">
        <v>42425</v>
      </c>
      <c r="G834">
        <v>-11088</v>
      </c>
      <c r="H834" s="1">
        <f t="shared" si="74"/>
        <v>42425</v>
      </c>
      <c r="I834">
        <f>IF(AND(MyRowHidden(ROW())=FALSE,MyRowHidden(ROW()-1)=TRUE),0,(E834-E833)*unitsOfDHp+I833)</f>
        <v>124250</v>
      </c>
      <c r="J834">
        <f>IF(AND(MyRowHidden(ROW())=FALSE,MyRowHidden(ROW()-1)=TRUE),0,(G834-G833)*unitsOfExo+J833)</f>
        <v>-1176048</v>
      </c>
      <c r="K834" s="9">
        <f t="shared" si="75"/>
        <v>1176048</v>
      </c>
      <c r="L834">
        <f t="shared" si="76"/>
        <v>-1051798</v>
      </c>
      <c r="M834">
        <f>IF(AND(MyRowHidden(ROW())=FALSE,MyRowHidden(ROW()-1)=TRUE),0,IF(MONTH(H834)&lt;&gt;MONTH(H833),M833+1,M833))</f>
        <v>13</v>
      </c>
      <c r="N834">
        <f>IF(AND(MyRowHidden(ROW())=FALSE,MyRowHidden(ROW()-1)=TRUE),0,IF(M834&lt;totalMonths,(totalMonths-M834)/totalMonths *(I834-I833)+N833,0))</f>
        <v>0</v>
      </c>
      <c r="P834">
        <f>IF(AND(MyRowHidden(ROW())=FALSE,MyRowHidden(ROW()-1)=TRUE),0,IF(M834&lt;totalMonths,(totalMonths-M834)/totalMonths *(J834-J833)+P833,0))</f>
        <v>0</v>
      </c>
      <c r="Q834">
        <f>IF(AND(MyRowHidden(ROW())=FALSE,MyRowHidden(ROW()-1)=TRUE),0,IF(M834&lt;totalMonths,(totalMonths-M834)/totalMonths *(K834-K833)+Q833,0))</f>
        <v>0</v>
      </c>
      <c r="R834">
        <f>IF(AND(MyRowHidden(ROW())=FALSE,MyRowHidden(ROW()-1)=TRUE),0,IF(M834&lt;totalMonths,(totalMonths-M834)/totalMonths *(L834-L833)+R833,0))</f>
        <v>0</v>
      </c>
    </row>
    <row r="835" spans="1:18" hidden="1" x14ac:dyDescent="0.25">
      <c r="A835" s="1"/>
      <c r="C835" s="1"/>
      <c r="D835" s="1">
        <v>42426</v>
      </c>
      <c r="E835" s="10">
        <v>10873</v>
      </c>
      <c r="F835" s="1">
        <v>42426</v>
      </c>
      <c r="G835">
        <v>-11200.5</v>
      </c>
      <c r="H835" s="1">
        <f t="shared" si="74"/>
        <v>42426</v>
      </c>
      <c r="I835">
        <f>IF(AND(MyRowHidden(ROW())=FALSE,MyRowHidden(ROW()-1)=TRUE),0,(E835-E834)*unitsOfDHp+I834)</f>
        <v>116935</v>
      </c>
      <c r="J835">
        <f>IF(AND(MyRowHidden(ROW())=FALSE,MyRowHidden(ROW()-1)=TRUE),0,(G835-G834)*unitsOfExo+J834)</f>
        <v>-1208448</v>
      </c>
      <c r="K835" s="9">
        <f t="shared" si="75"/>
        <v>1208448</v>
      </c>
      <c r="L835">
        <f t="shared" si="76"/>
        <v>-1091513</v>
      </c>
      <c r="M835">
        <f>IF(AND(MyRowHidden(ROW())=FALSE,MyRowHidden(ROW()-1)=TRUE),0,IF(MONTH(H835)&lt;&gt;MONTH(H834),M834+1,M834))</f>
        <v>13</v>
      </c>
      <c r="N835">
        <f>IF(AND(MyRowHidden(ROW())=FALSE,MyRowHidden(ROW()-1)=TRUE),0,IF(M835&lt;totalMonths,(totalMonths-M835)/totalMonths *(I835-I834)+N834,0))</f>
        <v>0</v>
      </c>
      <c r="P835">
        <f>IF(AND(MyRowHidden(ROW())=FALSE,MyRowHidden(ROW()-1)=TRUE),0,IF(M835&lt;totalMonths,(totalMonths-M835)/totalMonths *(J835-J834)+P834,0))</f>
        <v>0</v>
      </c>
      <c r="Q835">
        <f>IF(AND(MyRowHidden(ROW())=FALSE,MyRowHidden(ROW()-1)=TRUE),0,IF(M835&lt;totalMonths,(totalMonths-M835)/totalMonths *(K835-K834)+Q834,0))</f>
        <v>0</v>
      </c>
      <c r="R835">
        <f>IF(AND(MyRowHidden(ROW())=FALSE,MyRowHidden(ROW()-1)=TRUE),0,IF(M835&lt;totalMonths,(totalMonths-M835)/totalMonths *(L835-L834)+R834,0))</f>
        <v>0</v>
      </c>
    </row>
    <row r="836" spans="1:18" hidden="1" x14ac:dyDescent="0.25">
      <c r="A836" s="1"/>
      <c r="C836" s="1"/>
      <c r="D836" s="1">
        <v>42429</v>
      </c>
      <c r="E836" s="10">
        <v>10973</v>
      </c>
      <c r="F836" s="1">
        <v>42429</v>
      </c>
      <c r="G836">
        <v>-11275.5</v>
      </c>
      <c r="H836" s="1">
        <f t="shared" si="74"/>
        <v>42429</v>
      </c>
      <c r="I836">
        <f>IF(AND(MyRowHidden(ROW())=FALSE,MyRowHidden(ROW()-1)=TRUE),0,(E836-E835)*unitsOfDHp+I835)</f>
        <v>120435</v>
      </c>
      <c r="J836">
        <f>IF(AND(MyRowHidden(ROW())=FALSE,MyRowHidden(ROW()-1)=TRUE),0,(G836-G835)*unitsOfExo+J835)</f>
        <v>-1230048</v>
      </c>
      <c r="K836" s="9">
        <f t="shared" si="75"/>
        <v>1230048</v>
      </c>
      <c r="L836">
        <f t="shared" si="76"/>
        <v>-1109613</v>
      </c>
      <c r="M836">
        <f>IF(AND(MyRowHidden(ROW())=FALSE,MyRowHidden(ROW()-1)=TRUE),0,IF(MONTH(H836)&lt;&gt;MONTH(H835),M835+1,M835))</f>
        <v>13</v>
      </c>
      <c r="N836">
        <f>IF(AND(MyRowHidden(ROW())=FALSE,MyRowHidden(ROW()-1)=TRUE),0,IF(M836&lt;totalMonths,(totalMonths-M836)/totalMonths *(I836-I835)+N835,0))</f>
        <v>0</v>
      </c>
      <c r="P836">
        <f>IF(AND(MyRowHidden(ROW())=FALSE,MyRowHidden(ROW()-1)=TRUE),0,IF(M836&lt;totalMonths,(totalMonths-M836)/totalMonths *(J836-J835)+P835,0))</f>
        <v>0</v>
      </c>
      <c r="Q836">
        <f>IF(AND(MyRowHidden(ROW())=FALSE,MyRowHidden(ROW()-1)=TRUE),0,IF(M836&lt;totalMonths,(totalMonths-M836)/totalMonths *(K836-K835)+Q835,0))</f>
        <v>0</v>
      </c>
      <c r="R836">
        <f>IF(AND(MyRowHidden(ROW())=FALSE,MyRowHidden(ROW()-1)=TRUE),0,IF(M836&lt;totalMonths,(totalMonths-M836)/totalMonths *(L836-L835)+R835,0))</f>
        <v>0</v>
      </c>
    </row>
    <row r="837" spans="1:18" hidden="1" x14ac:dyDescent="0.25">
      <c r="A837" s="1"/>
      <c r="C837" s="1"/>
      <c r="D837" s="1">
        <v>42430</v>
      </c>
      <c r="E837" s="10">
        <v>11098</v>
      </c>
      <c r="F837" s="1">
        <v>42430</v>
      </c>
      <c r="G837">
        <v>-11312.5</v>
      </c>
      <c r="H837" s="1">
        <f t="shared" si="74"/>
        <v>42430</v>
      </c>
      <c r="I837">
        <f>IF(AND(MyRowHidden(ROW())=FALSE,MyRowHidden(ROW()-1)=TRUE),0,(E837-E836)*unitsOfDHp+I836)</f>
        <v>124810</v>
      </c>
      <c r="J837">
        <f>IF(AND(MyRowHidden(ROW())=FALSE,MyRowHidden(ROW()-1)=TRUE),0,(G837-G836)*unitsOfExo+J836)</f>
        <v>-1240704</v>
      </c>
      <c r="K837" s="9">
        <f t="shared" si="75"/>
        <v>1240704</v>
      </c>
      <c r="L837">
        <f t="shared" si="76"/>
        <v>-1115894</v>
      </c>
      <c r="M837">
        <f>IF(AND(MyRowHidden(ROW())=FALSE,MyRowHidden(ROW()-1)=TRUE),0,IF(MONTH(H837)&lt;&gt;MONTH(H836),M836+1,M836))</f>
        <v>14</v>
      </c>
      <c r="N837">
        <f>IF(AND(MyRowHidden(ROW())=FALSE,MyRowHidden(ROW()-1)=TRUE),0,IF(M837&lt;totalMonths,(totalMonths-M837)/totalMonths *(I837-I836)+N836,0))</f>
        <v>0</v>
      </c>
      <c r="P837">
        <f>IF(AND(MyRowHidden(ROW())=FALSE,MyRowHidden(ROW()-1)=TRUE),0,IF(M837&lt;totalMonths,(totalMonths-M837)/totalMonths *(J837-J836)+P836,0))</f>
        <v>0</v>
      </c>
      <c r="Q837">
        <f>IF(AND(MyRowHidden(ROW())=FALSE,MyRowHidden(ROW()-1)=TRUE),0,IF(M837&lt;totalMonths,(totalMonths-M837)/totalMonths *(K837-K836)+Q836,0))</f>
        <v>0</v>
      </c>
      <c r="R837">
        <f>IF(AND(MyRowHidden(ROW())=FALSE,MyRowHidden(ROW()-1)=TRUE),0,IF(M837&lt;totalMonths,(totalMonths-M837)/totalMonths *(L837-L836)+R836,0))</f>
        <v>0</v>
      </c>
    </row>
    <row r="838" spans="1:18" hidden="1" x14ac:dyDescent="0.25">
      <c r="A838" s="1"/>
      <c r="C838" s="1"/>
      <c r="D838" s="1">
        <v>42431</v>
      </c>
      <c r="E838" s="10">
        <v>11110</v>
      </c>
      <c r="F838" s="1">
        <v>42431</v>
      </c>
      <c r="G838">
        <v>-11362.5</v>
      </c>
      <c r="H838" s="1">
        <f t="shared" si="74"/>
        <v>42431</v>
      </c>
      <c r="I838">
        <f>IF(AND(MyRowHidden(ROW())=FALSE,MyRowHidden(ROW()-1)=TRUE),0,(E838-E837)*unitsOfDHp+I837)</f>
        <v>125230</v>
      </c>
      <c r="J838">
        <f>IF(AND(MyRowHidden(ROW())=FALSE,MyRowHidden(ROW()-1)=TRUE),0,(G838-G837)*unitsOfExo+J837)</f>
        <v>-1255104</v>
      </c>
      <c r="K838" s="9">
        <f t="shared" si="75"/>
        <v>1255104</v>
      </c>
      <c r="L838">
        <f t="shared" si="76"/>
        <v>-1129874</v>
      </c>
      <c r="M838">
        <f>IF(AND(MyRowHidden(ROW())=FALSE,MyRowHidden(ROW()-1)=TRUE),0,IF(MONTH(H838)&lt;&gt;MONTH(H837),M837+1,M837))</f>
        <v>14</v>
      </c>
      <c r="N838">
        <f>IF(AND(MyRowHidden(ROW())=FALSE,MyRowHidden(ROW()-1)=TRUE),0,IF(M838&lt;totalMonths,(totalMonths-M838)/totalMonths *(I838-I837)+N837,0))</f>
        <v>0</v>
      </c>
      <c r="P838">
        <f>IF(AND(MyRowHidden(ROW())=FALSE,MyRowHidden(ROW()-1)=TRUE),0,IF(M838&lt;totalMonths,(totalMonths-M838)/totalMonths *(J838-J837)+P837,0))</f>
        <v>0</v>
      </c>
      <c r="Q838">
        <f>IF(AND(MyRowHidden(ROW())=FALSE,MyRowHidden(ROW()-1)=TRUE),0,IF(M838&lt;totalMonths,(totalMonths-M838)/totalMonths *(K838-K837)+Q837,0))</f>
        <v>0</v>
      </c>
      <c r="R838">
        <f>IF(AND(MyRowHidden(ROW())=FALSE,MyRowHidden(ROW()-1)=TRUE),0,IF(M838&lt;totalMonths,(totalMonths-M838)/totalMonths *(L838-L837)+R837,0))</f>
        <v>0</v>
      </c>
    </row>
    <row r="839" spans="1:18" hidden="1" x14ac:dyDescent="0.25">
      <c r="A839" s="1"/>
      <c r="C839" s="1"/>
      <c r="D839" s="1">
        <v>42432</v>
      </c>
      <c r="E839" s="10">
        <v>11174</v>
      </c>
      <c r="F839" s="1">
        <v>42432</v>
      </c>
      <c r="G839">
        <v>-11362.5</v>
      </c>
      <c r="H839" s="1">
        <f t="shared" si="74"/>
        <v>42432</v>
      </c>
      <c r="I839">
        <f>IF(AND(MyRowHidden(ROW())=FALSE,MyRowHidden(ROW()-1)=TRUE),0,(E839-E838)*unitsOfDHp+I838)</f>
        <v>127470</v>
      </c>
      <c r="J839">
        <f>IF(AND(MyRowHidden(ROW())=FALSE,MyRowHidden(ROW()-1)=TRUE),0,(G839-G838)*unitsOfExo+J838)</f>
        <v>-1255104</v>
      </c>
      <c r="K839" s="9">
        <f t="shared" si="75"/>
        <v>1255104</v>
      </c>
      <c r="L839">
        <f t="shared" si="76"/>
        <v>-1127634</v>
      </c>
      <c r="M839">
        <f>IF(AND(MyRowHidden(ROW())=FALSE,MyRowHidden(ROW()-1)=TRUE),0,IF(MONTH(H839)&lt;&gt;MONTH(H838),M838+1,M838))</f>
        <v>14</v>
      </c>
      <c r="N839">
        <f>IF(AND(MyRowHidden(ROW())=FALSE,MyRowHidden(ROW()-1)=TRUE),0,IF(M839&lt;totalMonths,(totalMonths-M839)/totalMonths *(I839-I838)+N838,0))</f>
        <v>0</v>
      </c>
      <c r="P839">
        <f>IF(AND(MyRowHidden(ROW())=FALSE,MyRowHidden(ROW()-1)=TRUE),0,IF(M839&lt;totalMonths,(totalMonths-M839)/totalMonths *(J839-J838)+P838,0))</f>
        <v>0</v>
      </c>
      <c r="Q839">
        <f>IF(AND(MyRowHidden(ROW())=FALSE,MyRowHidden(ROW()-1)=TRUE),0,IF(M839&lt;totalMonths,(totalMonths-M839)/totalMonths *(K839-K838)+Q838,0))</f>
        <v>0</v>
      </c>
      <c r="R839">
        <f>IF(AND(MyRowHidden(ROW())=FALSE,MyRowHidden(ROW()-1)=TRUE),0,IF(M839&lt;totalMonths,(totalMonths-M839)/totalMonths *(L839-L838)+R838,0))</f>
        <v>0</v>
      </c>
    </row>
    <row r="840" spans="1:18" hidden="1" x14ac:dyDescent="0.25">
      <c r="A840" s="1"/>
      <c r="C840" s="1"/>
      <c r="D840" s="1">
        <v>42433</v>
      </c>
      <c r="E840" s="10">
        <v>10764</v>
      </c>
      <c r="F840" s="1">
        <v>42433</v>
      </c>
      <c r="G840">
        <v>-11250</v>
      </c>
      <c r="H840" s="1">
        <f t="shared" si="74"/>
        <v>42433</v>
      </c>
      <c r="I840">
        <f>IF(AND(MyRowHidden(ROW())=FALSE,MyRowHidden(ROW()-1)=TRUE),0,(E840-E839)*unitsOfDHp+I839)</f>
        <v>113120</v>
      </c>
      <c r="J840">
        <f>IF(AND(MyRowHidden(ROW())=FALSE,MyRowHidden(ROW()-1)=TRUE),0,(G840-G839)*unitsOfExo+J839)</f>
        <v>-1222704</v>
      </c>
      <c r="K840" s="9">
        <f t="shared" si="75"/>
        <v>1222704</v>
      </c>
      <c r="L840">
        <f t="shared" si="76"/>
        <v>-1109584</v>
      </c>
      <c r="M840">
        <f>IF(AND(MyRowHidden(ROW())=FALSE,MyRowHidden(ROW()-1)=TRUE),0,IF(MONTH(H840)&lt;&gt;MONTH(H839),M839+1,M839))</f>
        <v>14</v>
      </c>
      <c r="N840">
        <f>IF(AND(MyRowHidden(ROW())=FALSE,MyRowHidden(ROW()-1)=TRUE),0,IF(M840&lt;totalMonths,(totalMonths-M840)/totalMonths *(I840-I839)+N839,0))</f>
        <v>0</v>
      </c>
      <c r="P840">
        <f>IF(AND(MyRowHidden(ROW())=FALSE,MyRowHidden(ROW()-1)=TRUE),0,IF(M840&lt;totalMonths,(totalMonths-M840)/totalMonths *(J840-J839)+P839,0))</f>
        <v>0</v>
      </c>
      <c r="Q840">
        <f>IF(AND(MyRowHidden(ROW())=FALSE,MyRowHidden(ROW()-1)=TRUE),0,IF(M840&lt;totalMonths,(totalMonths-M840)/totalMonths *(K840-K839)+Q839,0))</f>
        <v>0</v>
      </c>
      <c r="R840">
        <f>IF(AND(MyRowHidden(ROW())=FALSE,MyRowHidden(ROW()-1)=TRUE),0,IF(M840&lt;totalMonths,(totalMonths-M840)/totalMonths *(L840-L839)+R839,0))</f>
        <v>0</v>
      </c>
    </row>
    <row r="841" spans="1:18" hidden="1" x14ac:dyDescent="0.25">
      <c r="A841" s="1"/>
      <c r="C841" s="1"/>
      <c r="D841" s="1">
        <v>42436</v>
      </c>
      <c r="E841" s="10">
        <v>10570</v>
      </c>
      <c r="F841" s="1">
        <v>42436</v>
      </c>
      <c r="G841">
        <v>-11150</v>
      </c>
      <c r="H841" s="1">
        <f t="shared" si="74"/>
        <v>42436</v>
      </c>
      <c r="I841">
        <f>IF(AND(MyRowHidden(ROW())=FALSE,MyRowHidden(ROW()-1)=TRUE),0,(E841-E840)*unitsOfDHp+I840)</f>
        <v>106330</v>
      </c>
      <c r="J841">
        <f>IF(AND(MyRowHidden(ROW())=FALSE,MyRowHidden(ROW()-1)=TRUE),0,(G841-G840)*unitsOfExo+J840)</f>
        <v>-1193904</v>
      </c>
      <c r="K841" s="9">
        <f t="shared" si="75"/>
        <v>1193904</v>
      </c>
      <c r="L841">
        <f t="shared" si="76"/>
        <v>-1087574</v>
      </c>
      <c r="M841">
        <f>IF(AND(MyRowHidden(ROW())=FALSE,MyRowHidden(ROW()-1)=TRUE),0,IF(MONTH(H841)&lt;&gt;MONTH(H840),M840+1,M840))</f>
        <v>14</v>
      </c>
      <c r="N841">
        <f>IF(AND(MyRowHidden(ROW())=FALSE,MyRowHidden(ROW()-1)=TRUE),0,IF(M841&lt;totalMonths,(totalMonths-M841)/totalMonths *(I841-I840)+N840,0))</f>
        <v>0</v>
      </c>
      <c r="P841">
        <f>IF(AND(MyRowHidden(ROW())=FALSE,MyRowHidden(ROW()-1)=TRUE),0,IF(M841&lt;totalMonths,(totalMonths-M841)/totalMonths *(J841-J840)+P840,0))</f>
        <v>0</v>
      </c>
      <c r="Q841">
        <f>IF(AND(MyRowHidden(ROW())=FALSE,MyRowHidden(ROW()-1)=TRUE),0,IF(M841&lt;totalMonths,(totalMonths-M841)/totalMonths *(K841-K840)+Q840,0))</f>
        <v>0</v>
      </c>
      <c r="R841">
        <f>IF(AND(MyRowHidden(ROW())=FALSE,MyRowHidden(ROW()-1)=TRUE),0,IF(M841&lt;totalMonths,(totalMonths-M841)/totalMonths *(L841-L840)+R840,0))</f>
        <v>0</v>
      </c>
    </row>
    <row r="842" spans="1:18" hidden="1" x14ac:dyDescent="0.25">
      <c r="A842" s="1"/>
      <c r="C842" s="1"/>
      <c r="D842" s="1">
        <v>42437</v>
      </c>
      <c r="E842" s="10">
        <v>10545</v>
      </c>
      <c r="F842" s="1">
        <v>42437</v>
      </c>
      <c r="G842">
        <v>-11162.5</v>
      </c>
      <c r="H842" s="1">
        <f t="shared" si="74"/>
        <v>42437</v>
      </c>
      <c r="I842">
        <f>IF(AND(MyRowHidden(ROW())=FALSE,MyRowHidden(ROW()-1)=TRUE),0,(E842-E841)*unitsOfDHp+I841)</f>
        <v>105455</v>
      </c>
      <c r="J842">
        <f>IF(AND(MyRowHidden(ROW())=FALSE,MyRowHidden(ROW()-1)=TRUE),0,(G842-G841)*unitsOfExo+J841)</f>
        <v>-1197504</v>
      </c>
      <c r="K842" s="9">
        <f t="shared" si="75"/>
        <v>1197504</v>
      </c>
      <c r="L842">
        <f t="shared" si="76"/>
        <v>-1092049</v>
      </c>
      <c r="M842">
        <f>IF(AND(MyRowHidden(ROW())=FALSE,MyRowHidden(ROW()-1)=TRUE),0,IF(MONTH(H842)&lt;&gt;MONTH(H841),M841+1,M841))</f>
        <v>14</v>
      </c>
      <c r="N842">
        <f>IF(AND(MyRowHidden(ROW())=FALSE,MyRowHidden(ROW()-1)=TRUE),0,IF(M842&lt;totalMonths,(totalMonths-M842)/totalMonths *(I842-I841)+N841,0))</f>
        <v>0</v>
      </c>
      <c r="P842">
        <f>IF(AND(MyRowHidden(ROW())=FALSE,MyRowHidden(ROW()-1)=TRUE),0,IF(M842&lt;totalMonths,(totalMonths-M842)/totalMonths *(J842-J841)+P841,0))</f>
        <v>0</v>
      </c>
      <c r="Q842">
        <f>IF(AND(MyRowHidden(ROW())=FALSE,MyRowHidden(ROW()-1)=TRUE),0,IF(M842&lt;totalMonths,(totalMonths-M842)/totalMonths *(K842-K841)+Q841,0))</f>
        <v>0</v>
      </c>
      <c r="R842">
        <f>IF(AND(MyRowHidden(ROW())=FALSE,MyRowHidden(ROW()-1)=TRUE),0,IF(M842&lt;totalMonths,(totalMonths-M842)/totalMonths *(L842-L841)+R841,0))</f>
        <v>0</v>
      </c>
    </row>
    <row r="843" spans="1:18" hidden="1" x14ac:dyDescent="0.25">
      <c r="A843" s="1"/>
      <c r="C843" s="1"/>
      <c r="D843" s="1">
        <v>42438</v>
      </c>
      <c r="E843" s="10">
        <v>10532</v>
      </c>
      <c r="F843" s="1">
        <v>42438</v>
      </c>
      <c r="G843">
        <v>-11175</v>
      </c>
      <c r="H843" s="1">
        <f t="shared" si="74"/>
        <v>42438</v>
      </c>
      <c r="I843">
        <f>IF(AND(MyRowHidden(ROW())=FALSE,MyRowHidden(ROW()-1)=TRUE),0,(E843-E842)*unitsOfDHp+I842)</f>
        <v>105000</v>
      </c>
      <c r="J843">
        <f>IF(AND(MyRowHidden(ROW())=FALSE,MyRowHidden(ROW()-1)=TRUE),0,(G843-G842)*unitsOfExo+J842)</f>
        <v>-1201104</v>
      </c>
      <c r="K843" s="9">
        <f t="shared" si="75"/>
        <v>1201104</v>
      </c>
      <c r="L843">
        <f t="shared" si="76"/>
        <v>-1096104</v>
      </c>
      <c r="M843">
        <f>IF(AND(MyRowHidden(ROW())=FALSE,MyRowHidden(ROW()-1)=TRUE),0,IF(MONTH(H843)&lt;&gt;MONTH(H842),M842+1,M842))</f>
        <v>14</v>
      </c>
      <c r="N843">
        <f>IF(AND(MyRowHidden(ROW())=FALSE,MyRowHidden(ROW()-1)=TRUE),0,IF(M843&lt;totalMonths,(totalMonths-M843)/totalMonths *(I843-I842)+N842,0))</f>
        <v>0</v>
      </c>
      <c r="P843">
        <f>IF(AND(MyRowHidden(ROW())=FALSE,MyRowHidden(ROW()-1)=TRUE),0,IF(M843&lt;totalMonths,(totalMonths-M843)/totalMonths *(J843-J842)+P842,0))</f>
        <v>0</v>
      </c>
      <c r="Q843">
        <f>IF(AND(MyRowHidden(ROW())=FALSE,MyRowHidden(ROW()-1)=TRUE),0,IF(M843&lt;totalMonths,(totalMonths-M843)/totalMonths *(K843-K842)+Q842,0))</f>
        <v>0</v>
      </c>
      <c r="R843">
        <f>IF(AND(MyRowHidden(ROW())=FALSE,MyRowHidden(ROW()-1)=TRUE),0,IF(M843&lt;totalMonths,(totalMonths-M843)/totalMonths *(L843-L842)+R842,0))</f>
        <v>0</v>
      </c>
    </row>
    <row r="844" spans="1:18" hidden="1" x14ac:dyDescent="0.25">
      <c r="A844" s="1"/>
      <c r="C844" s="1"/>
      <c r="D844" s="1">
        <v>42439</v>
      </c>
      <c r="E844" s="10">
        <v>10807</v>
      </c>
      <c r="F844" s="1">
        <v>42439</v>
      </c>
      <c r="G844">
        <v>-11012.5</v>
      </c>
      <c r="H844" s="1">
        <f t="shared" si="74"/>
        <v>42439</v>
      </c>
      <c r="I844">
        <f>IF(AND(MyRowHidden(ROW())=FALSE,MyRowHidden(ROW()-1)=TRUE),0,(E844-E843)*unitsOfDHp+I843)</f>
        <v>114625</v>
      </c>
      <c r="J844">
        <f>IF(AND(MyRowHidden(ROW())=FALSE,MyRowHidden(ROW()-1)=TRUE),0,(G844-G843)*unitsOfExo+J843)</f>
        <v>-1154304</v>
      </c>
      <c r="K844" s="9">
        <f t="shared" si="75"/>
        <v>1154304</v>
      </c>
      <c r="L844">
        <f t="shared" si="76"/>
        <v>-1039679</v>
      </c>
      <c r="M844">
        <f>IF(AND(MyRowHidden(ROW())=FALSE,MyRowHidden(ROW()-1)=TRUE),0,IF(MONTH(H844)&lt;&gt;MONTH(H843),M843+1,M843))</f>
        <v>14</v>
      </c>
      <c r="N844">
        <f>IF(AND(MyRowHidden(ROW())=FALSE,MyRowHidden(ROW()-1)=TRUE),0,IF(M844&lt;totalMonths,(totalMonths-M844)/totalMonths *(I844-I843)+N843,0))</f>
        <v>0</v>
      </c>
      <c r="P844">
        <f>IF(AND(MyRowHidden(ROW())=FALSE,MyRowHidden(ROW()-1)=TRUE),0,IF(M844&lt;totalMonths,(totalMonths-M844)/totalMonths *(J844-J843)+P843,0))</f>
        <v>0</v>
      </c>
      <c r="Q844">
        <f>IF(AND(MyRowHidden(ROW())=FALSE,MyRowHidden(ROW()-1)=TRUE),0,IF(M844&lt;totalMonths,(totalMonths-M844)/totalMonths *(K844-K843)+Q843,0))</f>
        <v>0</v>
      </c>
      <c r="R844">
        <f>IF(AND(MyRowHidden(ROW())=FALSE,MyRowHidden(ROW()-1)=TRUE),0,IF(M844&lt;totalMonths,(totalMonths-M844)/totalMonths *(L844-L843)+R843,0))</f>
        <v>0</v>
      </c>
    </row>
    <row r="845" spans="1:18" hidden="1" x14ac:dyDescent="0.25">
      <c r="A845" s="1"/>
      <c r="C845" s="1"/>
      <c r="D845" s="1">
        <v>42440</v>
      </c>
      <c r="E845" s="10">
        <v>10809</v>
      </c>
      <c r="F845" s="1">
        <v>42440</v>
      </c>
      <c r="G845">
        <v>-10900</v>
      </c>
      <c r="H845" s="1">
        <f t="shared" si="74"/>
        <v>42440</v>
      </c>
      <c r="I845">
        <f>IF(AND(MyRowHidden(ROW())=FALSE,MyRowHidden(ROW()-1)=TRUE),0,(E845-E844)*unitsOfDHp+I844)</f>
        <v>114695</v>
      </c>
      <c r="J845">
        <f>IF(AND(MyRowHidden(ROW())=FALSE,MyRowHidden(ROW()-1)=TRUE),0,(G845-G844)*unitsOfExo+J844)</f>
        <v>-1121904</v>
      </c>
      <c r="K845" s="9">
        <f t="shared" si="75"/>
        <v>1121904</v>
      </c>
      <c r="L845">
        <f t="shared" si="76"/>
        <v>-1007209</v>
      </c>
      <c r="M845">
        <f>IF(AND(MyRowHidden(ROW())=FALSE,MyRowHidden(ROW()-1)=TRUE),0,IF(MONTH(H845)&lt;&gt;MONTH(H844),M844+1,M844))</f>
        <v>14</v>
      </c>
      <c r="N845">
        <f>IF(AND(MyRowHidden(ROW())=FALSE,MyRowHidden(ROW()-1)=TRUE),0,IF(M845&lt;totalMonths,(totalMonths-M845)/totalMonths *(I845-I844)+N844,0))</f>
        <v>0</v>
      </c>
      <c r="P845">
        <f>IF(AND(MyRowHidden(ROW())=FALSE,MyRowHidden(ROW()-1)=TRUE),0,IF(M845&lt;totalMonths,(totalMonths-M845)/totalMonths *(J845-J844)+P844,0))</f>
        <v>0</v>
      </c>
      <c r="Q845">
        <f>IF(AND(MyRowHidden(ROW())=FALSE,MyRowHidden(ROW()-1)=TRUE),0,IF(M845&lt;totalMonths,(totalMonths-M845)/totalMonths *(K845-K844)+Q844,0))</f>
        <v>0</v>
      </c>
      <c r="R845">
        <f>IF(AND(MyRowHidden(ROW())=FALSE,MyRowHidden(ROW()-1)=TRUE),0,IF(M845&lt;totalMonths,(totalMonths-M845)/totalMonths *(L845-L844)+R844,0))</f>
        <v>0</v>
      </c>
    </row>
    <row r="846" spans="1:18" hidden="1" x14ac:dyDescent="0.25">
      <c r="A846" s="1"/>
      <c r="C846" s="1"/>
      <c r="D846" s="1">
        <v>42443</v>
      </c>
      <c r="E846" s="10">
        <v>11009</v>
      </c>
      <c r="F846" s="1">
        <v>42443</v>
      </c>
      <c r="G846">
        <v>-10700</v>
      </c>
      <c r="H846" s="1">
        <f t="shared" si="74"/>
        <v>42443</v>
      </c>
      <c r="I846">
        <f>IF(AND(MyRowHidden(ROW())=FALSE,MyRowHidden(ROW()-1)=TRUE),0,(E846-E845)*unitsOfDHp+I845)</f>
        <v>121695</v>
      </c>
      <c r="J846">
        <f>IF(AND(MyRowHidden(ROW())=FALSE,MyRowHidden(ROW()-1)=TRUE),0,(G846-G845)*unitsOfExo+J845)</f>
        <v>-1064304</v>
      </c>
      <c r="K846" s="9">
        <f t="shared" si="75"/>
        <v>1064304</v>
      </c>
      <c r="L846">
        <f t="shared" si="76"/>
        <v>-942609</v>
      </c>
      <c r="M846">
        <f>IF(AND(MyRowHidden(ROW())=FALSE,MyRowHidden(ROW()-1)=TRUE),0,IF(MONTH(H846)&lt;&gt;MONTH(H845),M845+1,M845))</f>
        <v>14</v>
      </c>
      <c r="N846">
        <f>IF(AND(MyRowHidden(ROW())=FALSE,MyRowHidden(ROW()-1)=TRUE),0,IF(M846&lt;totalMonths,(totalMonths-M846)/totalMonths *(I846-I845)+N845,0))</f>
        <v>0</v>
      </c>
      <c r="P846">
        <f>IF(AND(MyRowHidden(ROW())=FALSE,MyRowHidden(ROW()-1)=TRUE),0,IF(M846&lt;totalMonths,(totalMonths-M846)/totalMonths *(J846-J845)+P845,0))</f>
        <v>0</v>
      </c>
      <c r="Q846">
        <f>IF(AND(MyRowHidden(ROW())=FALSE,MyRowHidden(ROW()-1)=TRUE),0,IF(M846&lt;totalMonths,(totalMonths-M846)/totalMonths *(K846-K845)+Q845,0))</f>
        <v>0</v>
      </c>
      <c r="R846">
        <f>IF(AND(MyRowHidden(ROW())=FALSE,MyRowHidden(ROW()-1)=TRUE),0,IF(M846&lt;totalMonths,(totalMonths-M846)/totalMonths *(L846-L845)+R845,0))</f>
        <v>0</v>
      </c>
    </row>
    <row r="847" spans="1:18" hidden="1" x14ac:dyDescent="0.25">
      <c r="A847" s="1"/>
      <c r="C847" s="1"/>
      <c r="D847" s="1">
        <v>42444</v>
      </c>
      <c r="E847" s="10">
        <v>11022</v>
      </c>
      <c r="F847" s="1">
        <v>42444</v>
      </c>
      <c r="G847">
        <v>-10712.5</v>
      </c>
      <c r="H847" s="1">
        <f t="shared" si="74"/>
        <v>42444</v>
      </c>
      <c r="I847">
        <f>IF(AND(MyRowHidden(ROW())=FALSE,MyRowHidden(ROW()-1)=TRUE),0,(E847-E846)*unitsOfDHp+I846)</f>
        <v>122150</v>
      </c>
      <c r="J847">
        <f>IF(AND(MyRowHidden(ROW())=FALSE,MyRowHidden(ROW()-1)=TRUE),0,(G847-G846)*unitsOfExo+J846)</f>
        <v>-1067904</v>
      </c>
      <c r="K847" s="9">
        <f t="shared" si="75"/>
        <v>1067904</v>
      </c>
      <c r="L847">
        <f t="shared" si="76"/>
        <v>-945754</v>
      </c>
      <c r="M847">
        <f>IF(AND(MyRowHidden(ROW())=FALSE,MyRowHidden(ROW()-1)=TRUE),0,IF(MONTH(H847)&lt;&gt;MONTH(H846),M846+1,M846))</f>
        <v>14</v>
      </c>
      <c r="N847">
        <f>IF(AND(MyRowHidden(ROW())=FALSE,MyRowHidden(ROW()-1)=TRUE),0,IF(M847&lt;totalMonths,(totalMonths-M847)/totalMonths *(I847-I846)+N846,0))</f>
        <v>0</v>
      </c>
      <c r="P847">
        <f>IF(AND(MyRowHidden(ROW())=FALSE,MyRowHidden(ROW()-1)=TRUE),0,IF(M847&lt;totalMonths,(totalMonths-M847)/totalMonths *(J847-J846)+P846,0))</f>
        <v>0</v>
      </c>
      <c r="Q847">
        <f>IF(AND(MyRowHidden(ROW())=FALSE,MyRowHidden(ROW()-1)=TRUE),0,IF(M847&lt;totalMonths,(totalMonths-M847)/totalMonths *(K847-K846)+Q846,0))</f>
        <v>0</v>
      </c>
      <c r="R847">
        <f>IF(AND(MyRowHidden(ROW())=FALSE,MyRowHidden(ROW()-1)=TRUE),0,IF(M847&lt;totalMonths,(totalMonths-M847)/totalMonths *(L847-L846)+R846,0))</f>
        <v>0</v>
      </c>
    </row>
    <row r="848" spans="1:18" hidden="1" x14ac:dyDescent="0.25">
      <c r="A848" s="1"/>
      <c r="C848" s="1"/>
      <c r="D848" s="1">
        <v>42445</v>
      </c>
      <c r="E848" s="10">
        <v>11050</v>
      </c>
      <c r="F848" s="1">
        <v>42445</v>
      </c>
      <c r="G848">
        <v>-10762.5</v>
      </c>
      <c r="H848" s="1">
        <f t="shared" si="74"/>
        <v>42445</v>
      </c>
      <c r="I848">
        <f>IF(AND(MyRowHidden(ROW())=FALSE,MyRowHidden(ROW()-1)=TRUE),0,(E848-E847)*unitsOfDHp+I847)</f>
        <v>123130</v>
      </c>
      <c r="J848">
        <f>IF(AND(MyRowHidden(ROW())=FALSE,MyRowHidden(ROW()-1)=TRUE),0,(G848-G847)*unitsOfExo+J847)</f>
        <v>-1082304</v>
      </c>
      <c r="K848" s="9">
        <f t="shared" si="75"/>
        <v>1082304</v>
      </c>
      <c r="L848">
        <f t="shared" si="76"/>
        <v>-959174</v>
      </c>
      <c r="M848">
        <f>IF(AND(MyRowHidden(ROW())=FALSE,MyRowHidden(ROW()-1)=TRUE),0,IF(MONTH(H848)&lt;&gt;MONTH(H847),M847+1,M847))</f>
        <v>14</v>
      </c>
      <c r="N848">
        <f>IF(AND(MyRowHidden(ROW())=FALSE,MyRowHidden(ROW()-1)=TRUE),0,IF(M848&lt;totalMonths,(totalMonths-M848)/totalMonths *(I848-I847)+N847,0))</f>
        <v>0</v>
      </c>
      <c r="P848">
        <f>IF(AND(MyRowHidden(ROW())=FALSE,MyRowHidden(ROW()-1)=TRUE),0,IF(M848&lt;totalMonths,(totalMonths-M848)/totalMonths *(J848-J847)+P847,0))</f>
        <v>0</v>
      </c>
      <c r="Q848">
        <f>IF(AND(MyRowHidden(ROW())=FALSE,MyRowHidden(ROW()-1)=TRUE),0,IF(M848&lt;totalMonths,(totalMonths-M848)/totalMonths *(K848-K847)+Q847,0))</f>
        <v>0</v>
      </c>
      <c r="R848">
        <f>IF(AND(MyRowHidden(ROW())=FALSE,MyRowHidden(ROW()-1)=TRUE),0,IF(M848&lt;totalMonths,(totalMonths-M848)/totalMonths *(L848-L847)+R847,0))</f>
        <v>0</v>
      </c>
    </row>
    <row r="849" spans="1:18" hidden="1" x14ac:dyDescent="0.25">
      <c r="A849" s="1"/>
      <c r="C849" s="1"/>
      <c r="D849" s="1">
        <v>42446</v>
      </c>
      <c r="E849" s="10">
        <v>11026</v>
      </c>
      <c r="F849" s="1">
        <v>42446</v>
      </c>
      <c r="G849">
        <v>-10737.5</v>
      </c>
      <c r="H849" s="1">
        <f t="shared" ref="H849:H912" si="77">D849</f>
        <v>42446</v>
      </c>
      <c r="I849">
        <f>IF(AND(MyRowHidden(ROW())=FALSE,MyRowHidden(ROW()-1)=TRUE),0,(E849-E848)*unitsOfDHp+I848)</f>
        <v>122290</v>
      </c>
      <c r="J849">
        <f>IF(AND(MyRowHidden(ROW())=FALSE,MyRowHidden(ROW()-1)=TRUE),0,(G849-G848)*unitsOfExo+J848)</f>
        <v>-1075104</v>
      </c>
      <c r="K849" s="9">
        <f t="shared" ref="K849:K912" si="78">-(J849-J848)+K848</f>
        <v>1075104</v>
      </c>
      <c r="L849">
        <f t="shared" ref="L849:L912" si="79">I849+J849</f>
        <v>-952814</v>
      </c>
      <c r="M849">
        <f>IF(AND(MyRowHidden(ROW())=FALSE,MyRowHidden(ROW()-1)=TRUE),0,IF(MONTH(H849)&lt;&gt;MONTH(H848),M848+1,M848))</f>
        <v>14</v>
      </c>
      <c r="N849">
        <f>IF(AND(MyRowHidden(ROW())=FALSE,MyRowHidden(ROW()-1)=TRUE),0,IF(M849&lt;totalMonths,(totalMonths-M849)/totalMonths *(I849-I848)+N848,0))</f>
        <v>0</v>
      </c>
      <c r="P849">
        <f>IF(AND(MyRowHidden(ROW())=FALSE,MyRowHidden(ROW()-1)=TRUE),0,IF(M849&lt;totalMonths,(totalMonths-M849)/totalMonths *(J849-J848)+P848,0))</f>
        <v>0</v>
      </c>
      <c r="Q849">
        <f>IF(AND(MyRowHidden(ROW())=FALSE,MyRowHidden(ROW()-1)=TRUE),0,IF(M849&lt;totalMonths,(totalMonths-M849)/totalMonths *(K849-K848)+Q848,0))</f>
        <v>0</v>
      </c>
      <c r="R849">
        <f>IF(AND(MyRowHidden(ROW())=FALSE,MyRowHidden(ROW()-1)=TRUE),0,IF(M849&lt;totalMonths,(totalMonths-M849)/totalMonths *(L849-L848)+R848,0))</f>
        <v>0</v>
      </c>
    </row>
    <row r="850" spans="1:18" hidden="1" x14ac:dyDescent="0.25">
      <c r="A850" s="1"/>
      <c r="C850" s="1"/>
      <c r="D850" s="1">
        <v>42447</v>
      </c>
      <c r="E850" s="10">
        <v>10914</v>
      </c>
      <c r="F850" s="1">
        <v>42447</v>
      </c>
      <c r="G850">
        <v>-10812.5</v>
      </c>
      <c r="H850" s="1">
        <f t="shared" si="77"/>
        <v>42447</v>
      </c>
      <c r="I850">
        <f>IF(AND(MyRowHidden(ROW())=FALSE,MyRowHidden(ROW()-1)=TRUE),0,(E850-E849)*unitsOfDHp+I849)</f>
        <v>118370</v>
      </c>
      <c r="J850">
        <f>IF(AND(MyRowHidden(ROW())=FALSE,MyRowHidden(ROW()-1)=TRUE),0,(G850-G849)*unitsOfExo+J849)</f>
        <v>-1096704</v>
      </c>
      <c r="K850" s="9">
        <f t="shared" si="78"/>
        <v>1096704</v>
      </c>
      <c r="L850">
        <f t="shared" si="79"/>
        <v>-978334</v>
      </c>
      <c r="M850">
        <f>IF(AND(MyRowHidden(ROW())=FALSE,MyRowHidden(ROW()-1)=TRUE),0,IF(MONTH(H850)&lt;&gt;MONTH(H849),M849+1,M849))</f>
        <v>14</v>
      </c>
      <c r="N850">
        <f>IF(AND(MyRowHidden(ROW())=FALSE,MyRowHidden(ROW()-1)=TRUE),0,IF(M850&lt;totalMonths,(totalMonths-M850)/totalMonths *(I850-I849)+N849,0))</f>
        <v>0</v>
      </c>
      <c r="P850">
        <f>IF(AND(MyRowHidden(ROW())=FALSE,MyRowHidden(ROW()-1)=TRUE),0,IF(M850&lt;totalMonths,(totalMonths-M850)/totalMonths *(J850-J849)+P849,0))</f>
        <v>0</v>
      </c>
      <c r="Q850">
        <f>IF(AND(MyRowHidden(ROW())=FALSE,MyRowHidden(ROW()-1)=TRUE),0,IF(M850&lt;totalMonths,(totalMonths-M850)/totalMonths *(K850-K849)+Q849,0))</f>
        <v>0</v>
      </c>
      <c r="R850">
        <f>IF(AND(MyRowHidden(ROW())=FALSE,MyRowHidden(ROW()-1)=TRUE),0,IF(M850&lt;totalMonths,(totalMonths-M850)/totalMonths *(L850-L849)+R849,0))</f>
        <v>0</v>
      </c>
    </row>
    <row r="851" spans="1:18" hidden="1" x14ac:dyDescent="0.25">
      <c r="A851" s="1"/>
      <c r="C851" s="1"/>
      <c r="D851" s="1">
        <v>42450</v>
      </c>
      <c r="E851" s="10">
        <v>11152</v>
      </c>
      <c r="F851" s="1">
        <v>42450</v>
      </c>
      <c r="G851">
        <v>-10675</v>
      </c>
      <c r="H851" s="1">
        <f t="shared" si="77"/>
        <v>42450</v>
      </c>
      <c r="I851">
        <f>IF(AND(MyRowHidden(ROW())=FALSE,MyRowHidden(ROW()-1)=TRUE),0,(E851-E850)*unitsOfDHp+I850)</f>
        <v>126700</v>
      </c>
      <c r="J851">
        <f>IF(AND(MyRowHidden(ROW())=FALSE,MyRowHidden(ROW()-1)=TRUE),0,(G851-G850)*unitsOfExo+J850)</f>
        <v>-1057104</v>
      </c>
      <c r="K851" s="9">
        <f t="shared" si="78"/>
        <v>1057104</v>
      </c>
      <c r="L851">
        <f t="shared" si="79"/>
        <v>-930404</v>
      </c>
      <c r="M851">
        <f>IF(AND(MyRowHidden(ROW())=FALSE,MyRowHidden(ROW()-1)=TRUE),0,IF(MONTH(H851)&lt;&gt;MONTH(H850),M850+1,M850))</f>
        <v>14</v>
      </c>
      <c r="N851">
        <f>IF(AND(MyRowHidden(ROW())=FALSE,MyRowHidden(ROW()-1)=TRUE),0,IF(M851&lt;totalMonths,(totalMonths-M851)/totalMonths *(I851-I850)+N850,0))</f>
        <v>0</v>
      </c>
      <c r="P851">
        <f>IF(AND(MyRowHidden(ROW())=FALSE,MyRowHidden(ROW()-1)=TRUE),0,IF(M851&lt;totalMonths,(totalMonths-M851)/totalMonths *(J851-J850)+P850,0))</f>
        <v>0</v>
      </c>
      <c r="Q851">
        <f>IF(AND(MyRowHidden(ROW())=FALSE,MyRowHidden(ROW()-1)=TRUE),0,IF(M851&lt;totalMonths,(totalMonths-M851)/totalMonths *(K851-K850)+Q850,0))</f>
        <v>0</v>
      </c>
      <c r="R851">
        <f>IF(AND(MyRowHidden(ROW())=FALSE,MyRowHidden(ROW()-1)=TRUE),0,IF(M851&lt;totalMonths,(totalMonths-M851)/totalMonths *(L851-L850)+R850,0))</f>
        <v>0</v>
      </c>
    </row>
    <row r="852" spans="1:18" hidden="1" x14ac:dyDescent="0.25">
      <c r="A852" s="1"/>
      <c r="C852" s="1"/>
      <c r="D852" s="1">
        <v>42451</v>
      </c>
      <c r="E852" s="10">
        <v>11128</v>
      </c>
      <c r="F852" s="1">
        <v>42451</v>
      </c>
      <c r="G852">
        <v>-10662.5</v>
      </c>
      <c r="H852" s="1">
        <f t="shared" si="77"/>
        <v>42451</v>
      </c>
      <c r="I852">
        <f>IF(AND(MyRowHidden(ROW())=FALSE,MyRowHidden(ROW()-1)=TRUE),0,(E852-E851)*unitsOfDHp+I851)</f>
        <v>125860</v>
      </c>
      <c r="J852">
        <f>IF(AND(MyRowHidden(ROW())=FALSE,MyRowHidden(ROW()-1)=TRUE),0,(G852-G851)*unitsOfExo+J851)</f>
        <v>-1053504</v>
      </c>
      <c r="K852" s="9">
        <f t="shared" si="78"/>
        <v>1053504</v>
      </c>
      <c r="L852">
        <f t="shared" si="79"/>
        <v>-927644</v>
      </c>
      <c r="M852">
        <f>IF(AND(MyRowHidden(ROW())=FALSE,MyRowHidden(ROW()-1)=TRUE),0,IF(MONTH(H852)&lt;&gt;MONTH(H851),M851+1,M851))</f>
        <v>14</v>
      </c>
      <c r="N852">
        <f>IF(AND(MyRowHidden(ROW())=FALSE,MyRowHidden(ROW()-1)=TRUE),0,IF(M852&lt;totalMonths,(totalMonths-M852)/totalMonths *(I852-I851)+N851,0))</f>
        <v>0</v>
      </c>
      <c r="P852">
        <f>IF(AND(MyRowHidden(ROW())=FALSE,MyRowHidden(ROW()-1)=TRUE),0,IF(M852&lt;totalMonths,(totalMonths-M852)/totalMonths *(J852-J851)+P851,0))</f>
        <v>0</v>
      </c>
      <c r="Q852">
        <f>IF(AND(MyRowHidden(ROW())=FALSE,MyRowHidden(ROW()-1)=TRUE),0,IF(M852&lt;totalMonths,(totalMonths-M852)/totalMonths *(K852-K851)+Q851,0))</f>
        <v>0</v>
      </c>
      <c r="R852">
        <f>IF(AND(MyRowHidden(ROW())=FALSE,MyRowHidden(ROW()-1)=TRUE),0,IF(M852&lt;totalMonths,(totalMonths-M852)/totalMonths *(L852-L851)+R851,0))</f>
        <v>0</v>
      </c>
    </row>
    <row r="853" spans="1:18" hidden="1" x14ac:dyDescent="0.25">
      <c r="A853" s="1"/>
      <c r="C853" s="1"/>
      <c r="D853" s="1">
        <v>42452</v>
      </c>
      <c r="E853" s="10">
        <v>11053</v>
      </c>
      <c r="F853" s="1">
        <v>42452</v>
      </c>
      <c r="G853">
        <v>-10737.5</v>
      </c>
      <c r="H853" s="1">
        <f t="shared" si="77"/>
        <v>42452</v>
      </c>
      <c r="I853">
        <f>IF(AND(MyRowHidden(ROW())=FALSE,MyRowHidden(ROW()-1)=TRUE),0,(E853-E852)*unitsOfDHp+I852)</f>
        <v>123235</v>
      </c>
      <c r="J853">
        <f>IF(AND(MyRowHidden(ROW())=FALSE,MyRowHidden(ROW()-1)=TRUE),0,(G853-G852)*unitsOfExo+J852)</f>
        <v>-1075104</v>
      </c>
      <c r="K853" s="9">
        <f t="shared" si="78"/>
        <v>1075104</v>
      </c>
      <c r="L853">
        <f t="shared" si="79"/>
        <v>-951869</v>
      </c>
      <c r="M853">
        <f>IF(AND(MyRowHidden(ROW())=FALSE,MyRowHidden(ROW()-1)=TRUE),0,IF(MONTH(H853)&lt;&gt;MONTH(H852),M852+1,M852))</f>
        <v>14</v>
      </c>
      <c r="N853">
        <f>IF(AND(MyRowHidden(ROW())=FALSE,MyRowHidden(ROW()-1)=TRUE),0,IF(M853&lt;totalMonths,(totalMonths-M853)/totalMonths *(I853-I852)+N852,0))</f>
        <v>0</v>
      </c>
      <c r="P853">
        <f>IF(AND(MyRowHidden(ROW())=FALSE,MyRowHidden(ROW()-1)=TRUE),0,IF(M853&lt;totalMonths,(totalMonths-M853)/totalMonths *(J853-J852)+P852,0))</f>
        <v>0</v>
      </c>
      <c r="Q853">
        <f>IF(AND(MyRowHidden(ROW())=FALSE,MyRowHidden(ROW()-1)=TRUE),0,IF(M853&lt;totalMonths,(totalMonths-M853)/totalMonths *(K853-K852)+Q852,0))</f>
        <v>0</v>
      </c>
      <c r="R853">
        <f>IF(AND(MyRowHidden(ROW())=FALSE,MyRowHidden(ROW()-1)=TRUE),0,IF(M853&lt;totalMonths,(totalMonths-M853)/totalMonths *(L853-L852)+R852,0))</f>
        <v>0</v>
      </c>
    </row>
    <row r="854" spans="1:18" hidden="1" x14ac:dyDescent="0.25">
      <c r="A854" s="1"/>
      <c r="C854" s="1"/>
      <c r="D854" s="1">
        <v>42453</v>
      </c>
      <c r="E854" s="10">
        <v>11116</v>
      </c>
      <c r="F854" s="1">
        <v>42453</v>
      </c>
      <c r="G854">
        <v>-10662.5</v>
      </c>
      <c r="H854" s="1">
        <f t="shared" si="77"/>
        <v>42453</v>
      </c>
      <c r="I854">
        <f>IF(AND(MyRowHidden(ROW())=FALSE,MyRowHidden(ROW()-1)=TRUE),0,(E854-E853)*unitsOfDHp+I853)</f>
        <v>125440</v>
      </c>
      <c r="J854">
        <f>IF(AND(MyRowHidden(ROW())=FALSE,MyRowHidden(ROW()-1)=TRUE),0,(G854-G853)*unitsOfExo+J853)</f>
        <v>-1053504</v>
      </c>
      <c r="K854" s="9">
        <f t="shared" si="78"/>
        <v>1053504</v>
      </c>
      <c r="L854">
        <f t="shared" si="79"/>
        <v>-928064</v>
      </c>
      <c r="M854">
        <f>IF(AND(MyRowHidden(ROW())=FALSE,MyRowHidden(ROW()-1)=TRUE),0,IF(MONTH(H854)&lt;&gt;MONTH(H853),M853+1,M853))</f>
        <v>14</v>
      </c>
      <c r="N854">
        <f>IF(AND(MyRowHidden(ROW())=FALSE,MyRowHidden(ROW()-1)=TRUE),0,IF(M854&lt;totalMonths,(totalMonths-M854)/totalMonths *(I854-I853)+N853,0))</f>
        <v>0</v>
      </c>
      <c r="P854">
        <f>IF(AND(MyRowHidden(ROW())=FALSE,MyRowHidden(ROW()-1)=TRUE),0,IF(M854&lt;totalMonths,(totalMonths-M854)/totalMonths *(J854-J853)+P853,0))</f>
        <v>0</v>
      </c>
      <c r="Q854">
        <f>IF(AND(MyRowHidden(ROW())=FALSE,MyRowHidden(ROW()-1)=TRUE),0,IF(M854&lt;totalMonths,(totalMonths-M854)/totalMonths *(K854-K853)+Q853,0))</f>
        <v>0</v>
      </c>
      <c r="R854">
        <f>IF(AND(MyRowHidden(ROW())=FALSE,MyRowHidden(ROW()-1)=TRUE),0,IF(M854&lt;totalMonths,(totalMonths-M854)/totalMonths *(L854-L853)+R853,0))</f>
        <v>0</v>
      </c>
    </row>
    <row r="855" spans="1:18" hidden="1" x14ac:dyDescent="0.25">
      <c r="A855" s="1"/>
      <c r="C855" s="1"/>
      <c r="D855" s="1">
        <v>42454</v>
      </c>
      <c r="E855" s="10">
        <v>11154</v>
      </c>
      <c r="F855" s="1">
        <v>42454</v>
      </c>
      <c r="G855">
        <v>-10612.5</v>
      </c>
      <c r="H855" s="1">
        <f t="shared" si="77"/>
        <v>42454</v>
      </c>
      <c r="I855">
        <f>IF(AND(MyRowHidden(ROW())=FALSE,MyRowHidden(ROW()-1)=TRUE),0,(E855-E854)*unitsOfDHp+I854)</f>
        <v>126770</v>
      </c>
      <c r="J855">
        <f>IF(AND(MyRowHidden(ROW())=FALSE,MyRowHidden(ROW()-1)=TRUE),0,(G855-G854)*unitsOfExo+J854)</f>
        <v>-1039104</v>
      </c>
      <c r="K855" s="9">
        <f t="shared" si="78"/>
        <v>1039104</v>
      </c>
      <c r="L855">
        <f t="shared" si="79"/>
        <v>-912334</v>
      </c>
      <c r="M855">
        <f>IF(AND(MyRowHidden(ROW())=FALSE,MyRowHidden(ROW()-1)=TRUE),0,IF(MONTH(H855)&lt;&gt;MONTH(H854),M854+1,M854))</f>
        <v>14</v>
      </c>
      <c r="N855">
        <f>IF(AND(MyRowHidden(ROW())=FALSE,MyRowHidden(ROW()-1)=TRUE),0,IF(M855&lt;totalMonths,(totalMonths-M855)/totalMonths *(I855-I854)+N854,0))</f>
        <v>0</v>
      </c>
      <c r="P855">
        <f>IF(AND(MyRowHidden(ROW())=FALSE,MyRowHidden(ROW()-1)=TRUE),0,IF(M855&lt;totalMonths,(totalMonths-M855)/totalMonths *(J855-J854)+P854,0))</f>
        <v>0</v>
      </c>
      <c r="Q855">
        <f>IF(AND(MyRowHidden(ROW())=FALSE,MyRowHidden(ROW()-1)=TRUE),0,IF(M855&lt;totalMonths,(totalMonths-M855)/totalMonths *(K855-K854)+Q854,0))</f>
        <v>0</v>
      </c>
      <c r="R855">
        <f>IF(AND(MyRowHidden(ROW())=FALSE,MyRowHidden(ROW()-1)=TRUE),0,IF(M855&lt;totalMonths,(totalMonths-M855)/totalMonths *(L855-L854)+R854,0))</f>
        <v>0</v>
      </c>
    </row>
    <row r="856" spans="1:18" hidden="1" x14ac:dyDescent="0.25">
      <c r="A856" s="1"/>
      <c r="C856" s="1"/>
      <c r="D856" s="1">
        <v>42457</v>
      </c>
      <c r="E856" s="10">
        <v>11255</v>
      </c>
      <c r="F856" s="1">
        <v>42457</v>
      </c>
      <c r="G856">
        <v>-10575</v>
      </c>
      <c r="H856" s="1">
        <f t="shared" si="77"/>
        <v>42457</v>
      </c>
      <c r="I856">
        <f>IF(AND(MyRowHidden(ROW())=FALSE,MyRowHidden(ROW()-1)=TRUE),0,(E856-E855)*unitsOfDHp+I855)</f>
        <v>130305</v>
      </c>
      <c r="J856">
        <f>IF(AND(MyRowHidden(ROW())=FALSE,MyRowHidden(ROW()-1)=TRUE),0,(G856-G855)*unitsOfExo+J855)</f>
        <v>-1028304</v>
      </c>
      <c r="K856" s="9">
        <f t="shared" si="78"/>
        <v>1028304</v>
      </c>
      <c r="L856">
        <f t="shared" si="79"/>
        <v>-897999</v>
      </c>
      <c r="M856">
        <f>IF(AND(MyRowHidden(ROW())=FALSE,MyRowHidden(ROW()-1)=TRUE),0,IF(MONTH(H856)&lt;&gt;MONTH(H855),M855+1,M855))</f>
        <v>14</v>
      </c>
      <c r="N856">
        <f>IF(AND(MyRowHidden(ROW())=FALSE,MyRowHidden(ROW()-1)=TRUE),0,IF(M856&lt;totalMonths,(totalMonths-M856)/totalMonths *(I856-I855)+N855,0))</f>
        <v>0</v>
      </c>
      <c r="P856">
        <f>IF(AND(MyRowHidden(ROW())=FALSE,MyRowHidden(ROW()-1)=TRUE),0,IF(M856&lt;totalMonths,(totalMonths-M856)/totalMonths *(J856-J855)+P855,0))</f>
        <v>0</v>
      </c>
      <c r="Q856">
        <f>IF(AND(MyRowHidden(ROW())=FALSE,MyRowHidden(ROW()-1)=TRUE),0,IF(M856&lt;totalMonths,(totalMonths-M856)/totalMonths *(K856-K855)+Q855,0))</f>
        <v>0</v>
      </c>
      <c r="R856">
        <f>IF(AND(MyRowHidden(ROW())=FALSE,MyRowHidden(ROW()-1)=TRUE),0,IF(M856&lt;totalMonths,(totalMonths-M856)/totalMonths *(L856-L855)+R855,0))</f>
        <v>0</v>
      </c>
    </row>
    <row r="857" spans="1:18" hidden="1" x14ac:dyDescent="0.25">
      <c r="A857" s="1"/>
      <c r="C857" s="1"/>
      <c r="D857" s="1">
        <v>42458</v>
      </c>
      <c r="E857" s="10">
        <v>11255</v>
      </c>
      <c r="F857" s="1">
        <v>42458</v>
      </c>
      <c r="G857">
        <v>-10537.5</v>
      </c>
      <c r="H857" s="1">
        <f t="shared" si="77"/>
        <v>42458</v>
      </c>
      <c r="I857">
        <f>IF(AND(MyRowHidden(ROW())=FALSE,MyRowHidden(ROW()-1)=TRUE),0,(E857-E856)*unitsOfDHp+I856)</f>
        <v>130305</v>
      </c>
      <c r="J857">
        <f>IF(AND(MyRowHidden(ROW())=FALSE,MyRowHidden(ROW()-1)=TRUE),0,(G857-G856)*unitsOfExo+J856)</f>
        <v>-1017504</v>
      </c>
      <c r="K857" s="9">
        <f t="shared" si="78"/>
        <v>1017504</v>
      </c>
      <c r="L857">
        <f t="shared" si="79"/>
        <v>-887199</v>
      </c>
      <c r="M857">
        <f>IF(AND(MyRowHidden(ROW())=FALSE,MyRowHidden(ROW()-1)=TRUE),0,IF(MONTH(H857)&lt;&gt;MONTH(H856),M856+1,M856))</f>
        <v>14</v>
      </c>
      <c r="N857">
        <f>IF(AND(MyRowHidden(ROW())=FALSE,MyRowHidden(ROW()-1)=TRUE),0,IF(M857&lt;totalMonths,(totalMonths-M857)/totalMonths *(I857-I856)+N856,0))</f>
        <v>0</v>
      </c>
      <c r="P857">
        <f>IF(AND(MyRowHidden(ROW())=FALSE,MyRowHidden(ROW()-1)=TRUE),0,IF(M857&lt;totalMonths,(totalMonths-M857)/totalMonths *(J857-J856)+P856,0))</f>
        <v>0</v>
      </c>
      <c r="Q857">
        <f>IF(AND(MyRowHidden(ROW())=FALSE,MyRowHidden(ROW()-1)=TRUE),0,IF(M857&lt;totalMonths,(totalMonths-M857)/totalMonths *(K857-K856)+Q856,0))</f>
        <v>0</v>
      </c>
      <c r="R857">
        <f>IF(AND(MyRowHidden(ROW())=FALSE,MyRowHidden(ROW()-1)=TRUE),0,IF(M857&lt;totalMonths,(totalMonths-M857)/totalMonths *(L857-L856)+R856,0))</f>
        <v>0</v>
      </c>
    </row>
    <row r="858" spans="1:18" hidden="1" x14ac:dyDescent="0.25">
      <c r="A858" s="1"/>
      <c r="C858" s="1"/>
      <c r="D858" s="1">
        <v>42459</v>
      </c>
      <c r="E858" s="10">
        <v>11096</v>
      </c>
      <c r="F858" s="1">
        <v>42459</v>
      </c>
      <c r="G858">
        <v>-10675</v>
      </c>
      <c r="H858" s="1">
        <f t="shared" si="77"/>
        <v>42459</v>
      </c>
      <c r="I858">
        <f>IF(AND(MyRowHidden(ROW())=FALSE,MyRowHidden(ROW()-1)=TRUE),0,(E858-E857)*unitsOfDHp+I857)</f>
        <v>124740</v>
      </c>
      <c r="J858">
        <f>IF(AND(MyRowHidden(ROW())=FALSE,MyRowHidden(ROW()-1)=TRUE),0,(G858-G857)*unitsOfExo+J857)</f>
        <v>-1057104</v>
      </c>
      <c r="K858" s="9">
        <f t="shared" si="78"/>
        <v>1057104</v>
      </c>
      <c r="L858">
        <f t="shared" si="79"/>
        <v>-932364</v>
      </c>
      <c r="M858">
        <f>IF(AND(MyRowHidden(ROW())=FALSE,MyRowHidden(ROW()-1)=TRUE),0,IF(MONTH(H858)&lt;&gt;MONTH(H857),M857+1,M857))</f>
        <v>14</v>
      </c>
      <c r="N858">
        <f>IF(AND(MyRowHidden(ROW())=FALSE,MyRowHidden(ROW()-1)=TRUE),0,IF(M858&lt;totalMonths,(totalMonths-M858)/totalMonths *(I858-I857)+N857,0))</f>
        <v>0</v>
      </c>
      <c r="P858">
        <f>IF(AND(MyRowHidden(ROW())=FALSE,MyRowHidden(ROW()-1)=TRUE),0,IF(M858&lt;totalMonths,(totalMonths-M858)/totalMonths *(J858-J857)+P857,0))</f>
        <v>0</v>
      </c>
      <c r="Q858">
        <f>IF(AND(MyRowHidden(ROW())=FALSE,MyRowHidden(ROW()-1)=TRUE),0,IF(M858&lt;totalMonths,(totalMonths-M858)/totalMonths *(K858-K857)+Q857,0))</f>
        <v>0</v>
      </c>
      <c r="R858">
        <f>IF(AND(MyRowHidden(ROW())=FALSE,MyRowHidden(ROW()-1)=TRUE),0,IF(M858&lt;totalMonths,(totalMonths-M858)/totalMonths *(L858-L857)+R857,0))</f>
        <v>0</v>
      </c>
    </row>
    <row r="859" spans="1:18" hidden="1" x14ac:dyDescent="0.25">
      <c r="A859" s="1"/>
      <c r="C859" s="1"/>
      <c r="D859" s="1">
        <v>42460</v>
      </c>
      <c r="E859" s="10">
        <v>11342</v>
      </c>
      <c r="F859" s="1">
        <v>42460</v>
      </c>
      <c r="G859">
        <v>-11725</v>
      </c>
      <c r="H859" s="1">
        <f t="shared" si="77"/>
        <v>42460</v>
      </c>
      <c r="I859">
        <f>IF(AND(MyRowHidden(ROW())=FALSE,MyRowHidden(ROW()-1)=TRUE),0,(E859-E858)*unitsOfDHp+I858)</f>
        <v>133350</v>
      </c>
      <c r="J859">
        <f>IF(AND(MyRowHidden(ROW())=FALSE,MyRowHidden(ROW()-1)=TRUE),0,(G859-G858)*unitsOfExo+J858)</f>
        <v>-1359504</v>
      </c>
      <c r="K859" s="9">
        <f t="shared" si="78"/>
        <v>1359504</v>
      </c>
      <c r="L859">
        <f t="shared" si="79"/>
        <v>-1226154</v>
      </c>
      <c r="M859">
        <f>IF(AND(MyRowHidden(ROW())=FALSE,MyRowHidden(ROW()-1)=TRUE),0,IF(MONTH(H859)&lt;&gt;MONTH(H858),M858+1,M858))</f>
        <v>14</v>
      </c>
      <c r="N859">
        <f>IF(AND(MyRowHidden(ROW())=FALSE,MyRowHidden(ROW()-1)=TRUE),0,IF(M859&lt;totalMonths,(totalMonths-M859)/totalMonths *(I859-I858)+N858,0))</f>
        <v>0</v>
      </c>
      <c r="P859">
        <f>IF(AND(MyRowHidden(ROW())=FALSE,MyRowHidden(ROW()-1)=TRUE),0,IF(M859&lt;totalMonths,(totalMonths-M859)/totalMonths *(J859-J858)+P858,0))</f>
        <v>0</v>
      </c>
      <c r="Q859">
        <f>IF(AND(MyRowHidden(ROW())=FALSE,MyRowHidden(ROW()-1)=TRUE),0,IF(M859&lt;totalMonths,(totalMonths-M859)/totalMonths *(K859-K858)+Q858,0))</f>
        <v>0</v>
      </c>
      <c r="R859">
        <f>IF(AND(MyRowHidden(ROW())=FALSE,MyRowHidden(ROW()-1)=TRUE),0,IF(M859&lt;totalMonths,(totalMonths-M859)/totalMonths *(L859-L858)+R858,0))</f>
        <v>0</v>
      </c>
    </row>
    <row r="860" spans="1:18" hidden="1" x14ac:dyDescent="0.25">
      <c r="A860" s="1"/>
      <c r="C860" s="1"/>
      <c r="D860" s="1">
        <v>42461</v>
      </c>
      <c r="E860" s="10">
        <v>11108</v>
      </c>
      <c r="F860" s="1">
        <v>42461</v>
      </c>
      <c r="G860">
        <v>-11575</v>
      </c>
      <c r="H860" s="1">
        <f t="shared" si="77"/>
        <v>42461</v>
      </c>
      <c r="I860">
        <f>IF(AND(MyRowHidden(ROW())=FALSE,MyRowHidden(ROW()-1)=TRUE),0,(E860-E859)*unitsOfDHp+I859)</f>
        <v>125160</v>
      </c>
      <c r="J860">
        <f>IF(AND(MyRowHidden(ROW())=FALSE,MyRowHidden(ROW()-1)=TRUE),0,(G860-G859)*unitsOfExo+J859)</f>
        <v>-1316304</v>
      </c>
      <c r="K860" s="9">
        <f t="shared" si="78"/>
        <v>1316304</v>
      </c>
      <c r="L860">
        <f t="shared" si="79"/>
        <v>-1191144</v>
      </c>
      <c r="M860">
        <f>IF(AND(MyRowHidden(ROW())=FALSE,MyRowHidden(ROW()-1)=TRUE),0,IF(MONTH(H860)&lt;&gt;MONTH(H859),M859+1,M859))</f>
        <v>15</v>
      </c>
      <c r="N860">
        <f>IF(AND(MyRowHidden(ROW())=FALSE,MyRowHidden(ROW()-1)=TRUE),0,IF(M860&lt;totalMonths,(totalMonths-M860)/totalMonths *(I860-I859)+N859,0))</f>
        <v>0</v>
      </c>
      <c r="P860">
        <f>IF(AND(MyRowHidden(ROW())=FALSE,MyRowHidden(ROW()-1)=TRUE),0,IF(M860&lt;totalMonths,(totalMonths-M860)/totalMonths *(J860-J859)+P859,0))</f>
        <v>0</v>
      </c>
      <c r="Q860">
        <f>IF(AND(MyRowHidden(ROW())=FALSE,MyRowHidden(ROW()-1)=TRUE),0,IF(M860&lt;totalMonths,(totalMonths-M860)/totalMonths *(K860-K859)+Q859,0))</f>
        <v>0</v>
      </c>
      <c r="R860">
        <f>IF(AND(MyRowHidden(ROW())=FALSE,MyRowHidden(ROW()-1)=TRUE),0,IF(M860&lt;totalMonths,(totalMonths-M860)/totalMonths *(L860-L859)+R859,0))</f>
        <v>0</v>
      </c>
    </row>
    <row r="861" spans="1:18" hidden="1" x14ac:dyDescent="0.25">
      <c r="A861" s="1"/>
      <c r="C861" s="1"/>
      <c r="D861" s="1">
        <v>42464</v>
      </c>
      <c r="E861" s="10">
        <v>11474</v>
      </c>
      <c r="F861" s="1">
        <v>42464</v>
      </c>
      <c r="G861">
        <v>-11412.5</v>
      </c>
      <c r="H861" s="1">
        <f t="shared" si="77"/>
        <v>42464</v>
      </c>
      <c r="I861">
        <f>IF(AND(MyRowHidden(ROW())=FALSE,MyRowHidden(ROW()-1)=TRUE),0,(E861-E860)*unitsOfDHp+I860)</f>
        <v>137970</v>
      </c>
      <c r="J861">
        <f>IF(AND(MyRowHidden(ROW())=FALSE,MyRowHidden(ROW()-1)=TRUE),0,(G861-G860)*unitsOfExo+J860)</f>
        <v>-1269504</v>
      </c>
      <c r="K861" s="9">
        <f t="shared" si="78"/>
        <v>1269504</v>
      </c>
      <c r="L861">
        <f t="shared" si="79"/>
        <v>-1131534</v>
      </c>
      <c r="M861">
        <f>IF(AND(MyRowHidden(ROW())=FALSE,MyRowHidden(ROW()-1)=TRUE),0,IF(MONTH(H861)&lt;&gt;MONTH(H860),M860+1,M860))</f>
        <v>15</v>
      </c>
      <c r="N861">
        <f>IF(AND(MyRowHidden(ROW())=FALSE,MyRowHidden(ROW()-1)=TRUE),0,IF(M861&lt;totalMonths,(totalMonths-M861)/totalMonths *(I861-I860)+N860,0))</f>
        <v>0</v>
      </c>
      <c r="P861">
        <f>IF(AND(MyRowHidden(ROW())=FALSE,MyRowHidden(ROW()-1)=TRUE),0,IF(M861&lt;totalMonths,(totalMonths-M861)/totalMonths *(J861-J860)+P860,0))</f>
        <v>0</v>
      </c>
      <c r="Q861">
        <f>IF(AND(MyRowHidden(ROW())=FALSE,MyRowHidden(ROW()-1)=TRUE),0,IF(M861&lt;totalMonths,(totalMonths-M861)/totalMonths *(K861-K860)+Q860,0))</f>
        <v>0</v>
      </c>
      <c r="R861">
        <f>IF(AND(MyRowHidden(ROW())=FALSE,MyRowHidden(ROW()-1)=TRUE),0,IF(M861&lt;totalMonths,(totalMonths-M861)/totalMonths *(L861-L860)+R860,0))</f>
        <v>0</v>
      </c>
    </row>
    <row r="862" spans="1:18" hidden="1" x14ac:dyDescent="0.25">
      <c r="A862" s="1"/>
      <c r="C862" s="1"/>
      <c r="D862" s="1">
        <v>42465</v>
      </c>
      <c r="E862" s="10">
        <v>11676</v>
      </c>
      <c r="F862" s="1">
        <v>42465</v>
      </c>
      <c r="G862">
        <v>-11362.5</v>
      </c>
      <c r="H862" s="1">
        <f t="shared" si="77"/>
        <v>42465</v>
      </c>
      <c r="I862">
        <f>IF(AND(MyRowHidden(ROW())=FALSE,MyRowHidden(ROW()-1)=TRUE),0,(E862-E861)*unitsOfDHp+I861)</f>
        <v>145040</v>
      </c>
      <c r="J862">
        <f>IF(AND(MyRowHidden(ROW())=FALSE,MyRowHidden(ROW()-1)=TRUE),0,(G862-G861)*unitsOfExo+J861)</f>
        <v>-1255104</v>
      </c>
      <c r="K862" s="9">
        <f t="shared" si="78"/>
        <v>1255104</v>
      </c>
      <c r="L862">
        <f t="shared" si="79"/>
        <v>-1110064</v>
      </c>
      <c r="M862">
        <f>IF(AND(MyRowHidden(ROW())=FALSE,MyRowHidden(ROW()-1)=TRUE),0,IF(MONTH(H862)&lt;&gt;MONTH(H861),M861+1,M861))</f>
        <v>15</v>
      </c>
      <c r="N862">
        <f>IF(AND(MyRowHidden(ROW())=FALSE,MyRowHidden(ROW()-1)=TRUE),0,IF(M862&lt;totalMonths,(totalMonths-M862)/totalMonths *(I862-I861)+N861,0))</f>
        <v>0</v>
      </c>
      <c r="P862">
        <f>IF(AND(MyRowHidden(ROW())=FALSE,MyRowHidden(ROW()-1)=TRUE),0,IF(M862&lt;totalMonths,(totalMonths-M862)/totalMonths *(J862-J861)+P861,0))</f>
        <v>0</v>
      </c>
      <c r="Q862">
        <f>IF(AND(MyRowHidden(ROW())=FALSE,MyRowHidden(ROW()-1)=TRUE),0,IF(M862&lt;totalMonths,(totalMonths-M862)/totalMonths *(K862-K861)+Q861,0))</f>
        <v>0</v>
      </c>
      <c r="R862">
        <f>IF(AND(MyRowHidden(ROW())=FALSE,MyRowHidden(ROW()-1)=TRUE),0,IF(M862&lt;totalMonths,(totalMonths-M862)/totalMonths *(L862-L861)+R861,0))</f>
        <v>0</v>
      </c>
    </row>
    <row r="863" spans="1:18" hidden="1" x14ac:dyDescent="0.25">
      <c r="A863" s="1"/>
      <c r="C863" s="1"/>
      <c r="D863" s="1">
        <v>42466</v>
      </c>
      <c r="E863" s="10">
        <v>12052</v>
      </c>
      <c r="F863" s="1">
        <v>42466</v>
      </c>
      <c r="G863">
        <v>-11237.5</v>
      </c>
      <c r="H863" s="1">
        <f t="shared" si="77"/>
        <v>42466</v>
      </c>
      <c r="I863">
        <f>IF(AND(MyRowHidden(ROW())=FALSE,MyRowHidden(ROW()-1)=TRUE),0,(E863-E862)*unitsOfDHp+I862)</f>
        <v>158200</v>
      </c>
      <c r="J863">
        <f>IF(AND(MyRowHidden(ROW())=FALSE,MyRowHidden(ROW()-1)=TRUE),0,(G863-G862)*unitsOfExo+J862)</f>
        <v>-1219104</v>
      </c>
      <c r="K863" s="9">
        <f t="shared" si="78"/>
        <v>1219104</v>
      </c>
      <c r="L863">
        <f t="shared" si="79"/>
        <v>-1060904</v>
      </c>
      <c r="M863">
        <f>IF(AND(MyRowHidden(ROW())=FALSE,MyRowHidden(ROW()-1)=TRUE),0,IF(MONTH(H863)&lt;&gt;MONTH(H862),M862+1,M862))</f>
        <v>15</v>
      </c>
      <c r="N863">
        <f>IF(AND(MyRowHidden(ROW())=FALSE,MyRowHidden(ROW()-1)=TRUE),0,IF(M863&lt;totalMonths,(totalMonths-M863)/totalMonths *(I863-I862)+N862,0))</f>
        <v>0</v>
      </c>
      <c r="P863">
        <f>IF(AND(MyRowHidden(ROW())=FALSE,MyRowHidden(ROW()-1)=TRUE),0,IF(M863&lt;totalMonths,(totalMonths-M863)/totalMonths *(J863-J862)+P862,0))</f>
        <v>0</v>
      </c>
      <c r="Q863">
        <f>IF(AND(MyRowHidden(ROW())=FALSE,MyRowHidden(ROW()-1)=TRUE),0,IF(M863&lt;totalMonths,(totalMonths-M863)/totalMonths *(K863-K862)+Q862,0))</f>
        <v>0</v>
      </c>
      <c r="R863">
        <f>IF(AND(MyRowHidden(ROW())=FALSE,MyRowHidden(ROW()-1)=TRUE),0,IF(M863&lt;totalMonths,(totalMonths-M863)/totalMonths *(L863-L862)+R862,0))</f>
        <v>0</v>
      </c>
    </row>
    <row r="864" spans="1:18" hidden="1" x14ac:dyDescent="0.25">
      <c r="A864" s="1"/>
      <c r="C864" s="1"/>
      <c r="D864" s="1">
        <v>42467</v>
      </c>
      <c r="E864" s="10">
        <v>12714</v>
      </c>
      <c r="F864" s="1">
        <v>42467</v>
      </c>
      <c r="G864">
        <v>-11075</v>
      </c>
      <c r="H864" s="1">
        <f t="shared" si="77"/>
        <v>42467</v>
      </c>
      <c r="I864">
        <f>IF(AND(MyRowHidden(ROW())=FALSE,MyRowHidden(ROW()-1)=TRUE),0,(E864-E863)*unitsOfDHp+I863)</f>
        <v>181370</v>
      </c>
      <c r="J864">
        <f>IF(AND(MyRowHidden(ROW())=FALSE,MyRowHidden(ROW()-1)=TRUE),0,(G864-G863)*unitsOfExo+J863)</f>
        <v>-1172304</v>
      </c>
      <c r="K864" s="9">
        <f t="shared" si="78"/>
        <v>1172304</v>
      </c>
      <c r="L864">
        <f t="shared" si="79"/>
        <v>-990934</v>
      </c>
      <c r="M864">
        <f>IF(AND(MyRowHidden(ROW())=FALSE,MyRowHidden(ROW()-1)=TRUE),0,IF(MONTH(H864)&lt;&gt;MONTH(H863),M863+1,M863))</f>
        <v>15</v>
      </c>
      <c r="N864">
        <f>IF(AND(MyRowHidden(ROW())=FALSE,MyRowHidden(ROW()-1)=TRUE),0,IF(M864&lt;totalMonths,(totalMonths-M864)/totalMonths *(I864-I863)+N863,0))</f>
        <v>0</v>
      </c>
      <c r="P864">
        <f>IF(AND(MyRowHidden(ROW())=FALSE,MyRowHidden(ROW()-1)=TRUE),0,IF(M864&lt;totalMonths,(totalMonths-M864)/totalMonths *(J864-J863)+P863,0))</f>
        <v>0</v>
      </c>
      <c r="Q864">
        <f>IF(AND(MyRowHidden(ROW())=FALSE,MyRowHidden(ROW()-1)=TRUE),0,IF(M864&lt;totalMonths,(totalMonths-M864)/totalMonths *(K864-K863)+Q863,0))</f>
        <v>0</v>
      </c>
      <c r="R864">
        <f>IF(AND(MyRowHidden(ROW())=FALSE,MyRowHidden(ROW()-1)=TRUE),0,IF(M864&lt;totalMonths,(totalMonths-M864)/totalMonths *(L864-L863)+R863,0))</f>
        <v>0</v>
      </c>
    </row>
    <row r="865" spans="1:18" hidden="1" x14ac:dyDescent="0.25">
      <c r="A865" s="1"/>
      <c r="C865" s="1"/>
      <c r="D865" s="1">
        <v>42468</v>
      </c>
      <c r="E865" s="10">
        <v>12826</v>
      </c>
      <c r="F865" s="1">
        <v>42468</v>
      </c>
      <c r="G865">
        <v>-11050</v>
      </c>
      <c r="H865" s="1">
        <f t="shared" si="77"/>
        <v>42468</v>
      </c>
      <c r="I865">
        <f>IF(AND(MyRowHidden(ROW())=FALSE,MyRowHidden(ROW()-1)=TRUE),0,(E865-E864)*unitsOfDHp+I864)</f>
        <v>185290</v>
      </c>
      <c r="J865">
        <f>IF(AND(MyRowHidden(ROW())=FALSE,MyRowHidden(ROW()-1)=TRUE),0,(G865-G864)*unitsOfExo+J864)</f>
        <v>-1165104</v>
      </c>
      <c r="K865" s="9">
        <f t="shared" si="78"/>
        <v>1165104</v>
      </c>
      <c r="L865">
        <f t="shared" si="79"/>
        <v>-979814</v>
      </c>
      <c r="M865">
        <f>IF(AND(MyRowHidden(ROW())=FALSE,MyRowHidden(ROW()-1)=TRUE),0,IF(MONTH(H865)&lt;&gt;MONTH(H864),M864+1,M864))</f>
        <v>15</v>
      </c>
      <c r="N865">
        <f>IF(AND(MyRowHidden(ROW())=FALSE,MyRowHidden(ROW()-1)=TRUE),0,IF(M865&lt;totalMonths,(totalMonths-M865)/totalMonths *(I865-I864)+N864,0))</f>
        <v>0</v>
      </c>
      <c r="P865">
        <f>IF(AND(MyRowHidden(ROW())=FALSE,MyRowHidden(ROW()-1)=TRUE),0,IF(M865&lt;totalMonths,(totalMonths-M865)/totalMonths *(J865-J864)+P864,0))</f>
        <v>0</v>
      </c>
      <c r="Q865">
        <f>IF(AND(MyRowHidden(ROW())=FALSE,MyRowHidden(ROW()-1)=TRUE),0,IF(M865&lt;totalMonths,(totalMonths-M865)/totalMonths *(K865-K864)+Q864,0))</f>
        <v>0</v>
      </c>
      <c r="R865">
        <f>IF(AND(MyRowHidden(ROW())=FALSE,MyRowHidden(ROW()-1)=TRUE),0,IF(M865&lt;totalMonths,(totalMonths-M865)/totalMonths *(L865-L864)+R864,0))</f>
        <v>0</v>
      </c>
    </row>
    <row r="866" spans="1:18" hidden="1" x14ac:dyDescent="0.25">
      <c r="A866" s="1"/>
      <c r="C866" s="1"/>
      <c r="D866" s="1">
        <v>42471</v>
      </c>
      <c r="E866" s="10">
        <v>12014</v>
      </c>
      <c r="F866" s="1">
        <v>42471</v>
      </c>
      <c r="G866">
        <v>-11312.5</v>
      </c>
      <c r="H866" s="1">
        <f t="shared" si="77"/>
        <v>42471</v>
      </c>
      <c r="I866">
        <f>IF(AND(MyRowHidden(ROW())=FALSE,MyRowHidden(ROW()-1)=TRUE),0,(E866-E865)*unitsOfDHp+I865)</f>
        <v>156870</v>
      </c>
      <c r="J866">
        <f>IF(AND(MyRowHidden(ROW())=FALSE,MyRowHidden(ROW()-1)=TRUE),0,(G866-G865)*unitsOfExo+J865)</f>
        <v>-1240704</v>
      </c>
      <c r="K866" s="9">
        <f t="shared" si="78"/>
        <v>1240704</v>
      </c>
      <c r="L866">
        <f t="shared" si="79"/>
        <v>-1083834</v>
      </c>
      <c r="M866">
        <f>IF(AND(MyRowHidden(ROW())=FALSE,MyRowHidden(ROW()-1)=TRUE),0,IF(MONTH(H866)&lt;&gt;MONTH(H865),M865+1,M865))</f>
        <v>15</v>
      </c>
      <c r="N866">
        <f>IF(AND(MyRowHidden(ROW())=FALSE,MyRowHidden(ROW()-1)=TRUE),0,IF(M866&lt;totalMonths,(totalMonths-M866)/totalMonths *(I866-I865)+N865,0))</f>
        <v>0</v>
      </c>
      <c r="P866">
        <f>IF(AND(MyRowHidden(ROW())=FALSE,MyRowHidden(ROW()-1)=TRUE),0,IF(M866&lt;totalMonths,(totalMonths-M866)/totalMonths *(J866-J865)+P865,0))</f>
        <v>0</v>
      </c>
      <c r="Q866">
        <f>IF(AND(MyRowHidden(ROW())=FALSE,MyRowHidden(ROW()-1)=TRUE),0,IF(M866&lt;totalMonths,(totalMonths-M866)/totalMonths *(K866-K865)+Q865,0))</f>
        <v>0</v>
      </c>
      <c r="R866">
        <f>IF(AND(MyRowHidden(ROW())=FALSE,MyRowHidden(ROW()-1)=TRUE),0,IF(M866&lt;totalMonths,(totalMonths-M866)/totalMonths *(L866-L865)+R865,0))</f>
        <v>0</v>
      </c>
    </row>
    <row r="867" spans="1:18" hidden="1" x14ac:dyDescent="0.25">
      <c r="A867" s="1"/>
      <c r="C867" s="1"/>
      <c r="D867" s="1">
        <v>42472</v>
      </c>
      <c r="E867" s="10">
        <v>12464</v>
      </c>
      <c r="F867" s="1">
        <v>42472</v>
      </c>
      <c r="G867">
        <v>-11175</v>
      </c>
      <c r="H867" s="1">
        <f t="shared" si="77"/>
        <v>42472</v>
      </c>
      <c r="I867">
        <f>IF(AND(MyRowHidden(ROW())=FALSE,MyRowHidden(ROW()-1)=TRUE),0,(E867-E866)*unitsOfDHp+I866)</f>
        <v>172620</v>
      </c>
      <c r="J867">
        <f>IF(AND(MyRowHidden(ROW())=FALSE,MyRowHidden(ROW()-1)=TRUE),0,(G867-G866)*unitsOfExo+J866)</f>
        <v>-1201104</v>
      </c>
      <c r="K867" s="9">
        <f t="shared" si="78"/>
        <v>1201104</v>
      </c>
      <c r="L867">
        <f t="shared" si="79"/>
        <v>-1028484</v>
      </c>
      <c r="M867">
        <f>IF(AND(MyRowHidden(ROW())=FALSE,MyRowHidden(ROW()-1)=TRUE),0,IF(MONTH(H867)&lt;&gt;MONTH(H866),M866+1,M866))</f>
        <v>15</v>
      </c>
      <c r="N867">
        <f>IF(AND(MyRowHidden(ROW())=FALSE,MyRowHidden(ROW()-1)=TRUE),0,IF(M867&lt;totalMonths,(totalMonths-M867)/totalMonths *(I867-I866)+N866,0))</f>
        <v>0</v>
      </c>
      <c r="P867">
        <f>IF(AND(MyRowHidden(ROW())=FALSE,MyRowHidden(ROW()-1)=TRUE),0,IF(M867&lt;totalMonths,(totalMonths-M867)/totalMonths *(J867-J866)+P866,0))</f>
        <v>0</v>
      </c>
      <c r="Q867">
        <f>IF(AND(MyRowHidden(ROW())=FALSE,MyRowHidden(ROW()-1)=TRUE),0,IF(M867&lt;totalMonths,(totalMonths-M867)/totalMonths *(K867-K866)+Q866,0))</f>
        <v>0</v>
      </c>
      <c r="R867">
        <f>IF(AND(MyRowHidden(ROW())=FALSE,MyRowHidden(ROW()-1)=TRUE),0,IF(M867&lt;totalMonths,(totalMonths-M867)/totalMonths *(L867-L866)+R866,0))</f>
        <v>0</v>
      </c>
    </row>
    <row r="868" spans="1:18" hidden="1" x14ac:dyDescent="0.25">
      <c r="A868" s="1"/>
      <c r="C868" s="1"/>
      <c r="D868" s="1">
        <v>42473</v>
      </c>
      <c r="E868" s="10">
        <v>13472</v>
      </c>
      <c r="F868" s="1">
        <v>42473</v>
      </c>
      <c r="G868">
        <v>-10450</v>
      </c>
      <c r="H868" s="1">
        <f t="shared" si="77"/>
        <v>42473</v>
      </c>
      <c r="I868">
        <f>IF(AND(MyRowHidden(ROW())=FALSE,MyRowHidden(ROW()-1)=TRUE),0,(E868-E867)*unitsOfDHp+I867)</f>
        <v>207900</v>
      </c>
      <c r="J868">
        <f>IF(AND(MyRowHidden(ROW())=FALSE,MyRowHidden(ROW()-1)=TRUE),0,(G868-G867)*unitsOfExo+J867)</f>
        <v>-992304</v>
      </c>
      <c r="K868" s="9">
        <f t="shared" si="78"/>
        <v>992304</v>
      </c>
      <c r="L868">
        <f t="shared" si="79"/>
        <v>-784404</v>
      </c>
      <c r="M868">
        <f>IF(AND(MyRowHidden(ROW())=FALSE,MyRowHidden(ROW()-1)=TRUE),0,IF(MONTH(H868)&lt;&gt;MONTH(H867),M867+1,M867))</f>
        <v>15</v>
      </c>
      <c r="N868">
        <f>IF(AND(MyRowHidden(ROW())=FALSE,MyRowHidden(ROW()-1)=TRUE),0,IF(M868&lt;totalMonths,(totalMonths-M868)/totalMonths *(I868-I867)+N867,0))</f>
        <v>0</v>
      </c>
      <c r="P868">
        <f>IF(AND(MyRowHidden(ROW())=FALSE,MyRowHidden(ROW()-1)=TRUE),0,IF(M868&lt;totalMonths,(totalMonths-M868)/totalMonths *(J868-J867)+P867,0))</f>
        <v>0</v>
      </c>
      <c r="Q868">
        <f>IF(AND(MyRowHidden(ROW())=FALSE,MyRowHidden(ROW()-1)=TRUE),0,IF(M868&lt;totalMonths,(totalMonths-M868)/totalMonths *(K868-K867)+Q867,0))</f>
        <v>0</v>
      </c>
      <c r="R868">
        <f>IF(AND(MyRowHidden(ROW())=FALSE,MyRowHidden(ROW()-1)=TRUE),0,IF(M868&lt;totalMonths,(totalMonths-M868)/totalMonths *(L868-L867)+R867,0))</f>
        <v>0</v>
      </c>
    </row>
    <row r="869" spans="1:18" hidden="1" x14ac:dyDescent="0.25">
      <c r="A869" s="1"/>
      <c r="C869" s="1"/>
      <c r="D869" s="1">
        <v>42474</v>
      </c>
      <c r="E869" s="10">
        <v>13322</v>
      </c>
      <c r="F869" s="1">
        <v>42474</v>
      </c>
      <c r="G869">
        <v>-10450</v>
      </c>
      <c r="H869" s="1">
        <f t="shared" si="77"/>
        <v>42474</v>
      </c>
      <c r="I869">
        <f>IF(AND(MyRowHidden(ROW())=FALSE,MyRowHidden(ROW()-1)=TRUE),0,(E869-E868)*unitsOfDHp+I868)</f>
        <v>202650</v>
      </c>
      <c r="J869">
        <f>IF(AND(MyRowHidden(ROW())=FALSE,MyRowHidden(ROW()-1)=TRUE),0,(G869-G868)*unitsOfExo+J868)</f>
        <v>-992304</v>
      </c>
      <c r="K869" s="9">
        <f t="shared" si="78"/>
        <v>992304</v>
      </c>
      <c r="L869">
        <f t="shared" si="79"/>
        <v>-789654</v>
      </c>
      <c r="M869">
        <f>IF(AND(MyRowHidden(ROW())=FALSE,MyRowHidden(ROW()-1)=TRUE),0,IF(MONTH(H869)&lt;&gt;MONTH(H868),M868+1,M868))</f>
        <v>15</v>
      </c>
      <c r="N869">
        <f>IF(AND(MyRowHidden(ROW())=FALSE,MyRowHidden(ROW()-1)=TRUE),0,IF(M869&lt;totalMonths,(totalMonths-M869)/totalMonths *(I869-I868)+N868,0))</f>
        <v>0</v>
      </c>
      <c r="P869">
        <f>IF(AND(MyRowHidden(ROW())=FALSE,MyRowHidden(ROW()-1)=TRUE),0,IF(M869&lt;totalMonths,(totalMonths-M869)/totalMonths *(J869-J868)+P868,0))</f>
        <v>0</v>
      </c>
      <c r="Q869">
        <f>IF(AND(MyRowHidden(ROW())=FALSE,MyRowHidden(ROW()-1)=TRUE),0,IF(M869&lt;totalMonths,(totalMonths-M869)/totalMonths *(K869-K868)+Q868,0))</f>
        <v>0</v>
      </c>
      <c r="R869">
        <f>IF(AND(MyRowHidden(ROW())=FALSE,MyRowHidden(ROW()-1)=TRUE),0,IF(M869&lt;totalMonths,(totalMonths-M869)/totalMonths *(L869-L868)+R868,0))</f>
        <v>0</v>
      </c>
    </row>
    <row r="870" spans="1:18" hidden="1" x14ac:dyDescent="0.25">
      <c r="A870" s="1"/>
      <c r="C870" s="1"/>
      <c r="D870" s="1">
        <v>42475</v>
      </c>
      <c r="E870" s="10">
        <v>13990</v>
      </c>
      <c r="F870" s="1">
        <v>42475</v>
      </c>
      <c r="G870">
        <v>-10150</v>
      </c>
      <c r="H870" s="1">
        <f t="shared" si="77"/>
        <v>42475</v>
      </c>
      <c r="I870">
        <f>IF(AND(MyRowHidden(ROW())=FALSE,MyRowHidden(ROW()-1)=TRUE),0,(E870-E869)*unitsOfDHp+I869)</f>
        <v>226030</v>
      </c>
      <c r="J870">
        <f>IF(AND(MyRowHidden(ROW())=FALSE,MyRowHidden(ROW()-1)=TRUE),0,(G870-G869)*unitsOfExo+J869)</f>
        <v>-905904</v>
      </c>
      <c r="K870" s="9">
        <f t="shared" si="78"/>
        <v>905904</v>
      </c>
      <c r="L870">
        <f t="shared" si="79"/>
        <v>-679874</v>
      </c>
      <c r="M870">
        <f>IF(AND(MyRowHidden(ROW())=FALSE,MyRowHidden(ROW()-1)=TRUE),0,IF(MONTH(H870)&lt;&gt;MONTH(H869),M869+1,M869))</f>
        <v>15</v>
      </c>
      <c r="N870">
        <f>IF(AND(MyRowHidden(ROW())=FALSE,MyRowHidden(ROW()-1)=TRUE),0,IF(M870&lt;totalMonths,(totalMonths-M870)/totalMonths *(I870-I869)+N869,0))</f>
        <v>0</v>
      </c>
      <c r="P870">
        <f>IF(AND(MyRowHidden(ROW())=FALSE,MyRowHidden(ROW()-1)=TRUE),0,IF(M870&lt;totalMonths,(totalMonths-M870)/totalMonths *(J870-J869)+P869,0))</f>
        <v>0</v>
      </c>
      <c r="Q870">
        <f>IF(AND(MyRowHidden(ROW())=FALSE,MyRowHidden(ROW()-1)=TRUE),0,IF(M870&lt;totalMonths,(totalMonths-M870)/totalMonths *(K870-K869)+Q869,0))</f>
        <v>0</v>
      </c>
      <c r="R870">
        <f>IF(AND(MyRowHidden(ROW())=FALSE,MyRowHidden(ROW()-1)=TRUE),0,IF(M870&lt;totalMonths,(totalMonths-M870)/totalMonths *(L870-L869)+R869,0))</f>
        <v>0</v>
      </c>
    </row>
    <row r="871" spans="1:18" hidden="1" x14ac:dyDescent="0.25">
      <c r="A871" s="1"/>
      <c r="C871" s="1"/>
      <c r="D871" s="1">
        <v>42478</v>
      </c>
      <c r="E871" s="10">
        <v>14283</v>
      </c>
      <c r="F871" s="1">
        <v>42478</v>
      </c>
      <c r="G871">
        <v>-10087.5</v>
      </c>
      <c r="H871" s="1">
        <f t="shared" si="77"/>
        <v>42478</v>
      </c>
      <c r="I871">
        <f>IF(AND(MyRowHidden(ROW())=FALSE,MyRowHidden(ROW()-1)=TRUE),0,(E871-E870)*unitsOfDHp+I870)</f>
        <v>236285</v>
      </c>
      <c r="J871">
        <f>IF(AND(MyRowHidden(ROW())=FALSE,MyRowHidden(ROW()-1)=TRUE),0,(G871-G870)*unitsOfExo+J870)</f>
        <v>-887904</v>
      </c>
      <c r="K871" s="9">
        <f t="shared" si="78"/>
        <v>887904</v>
      </c>
      <c r="L871">
        <f t="shared" si="79"/>
        <v>-651619</v>
      </c>
      <c r="M871">
        <f>IF(AND(MyRowHidden(ROW())=FALSE,MyRowHidden(ROW()-1)=TRUE),0,IF(MONTH(H871)&lt;&gt;MONTH(H870),M870+1,M870))</f>
        <v>15</v>
      </c>
      <c r="N871">
        <f>IF(AND(MyRowHidden(ROW())=FALSE,MyRowHidden(ROW()-1)=TRUE),0,IF(M871&lt;totalMonths,(totalMonths-M871)/totalMonths *(I871-I870)+N870,0))</f>
        <v>0</v>
      </c>
      <c r="P871">
        <f>IF(AND(MyRowHidden(ROW())=FALSE,MyRowHidden(ROW()-1)=TRUE),0,IF(M871&lt;totalMonths,(totalMonths-M871)/totalMonths *(J871-J870)+P870,0))</f>
        <v>0</v>
      </c>
      <c r="Q871">
        <f>IF(AND(MyRowHidden(ROW())=FALSE,MyRowHidden(ROW()-1)=TRUE),0,IF(M871&lt;totalMonths,(totalMonths-M871)/totalMonths *(K871-K870)+Q870,0))</f>
        <v>0</v>
      </c>
      <c r="R871">
        <f>IF(AND(MyRowHidden(ROW())=FALSE,MyRowHidden(ROW()-1)=TRUE),0,IF(M871&lt;totalMonths,(totalMonths-M871)/totalMonths *(L871-L870)+R870,0))</f>
        <v>0</v>
      </c>
    </row>
    <row r="872" spans="1:18" hidden="1" x14ac:dyDescent="0.25">
      <c r="A872" s="1"/>
      <c r="C872" s="1"/>
      <c r="D872" s="1">
        <v>42479</v>
      </c>
      <c r="E872" s="10">
        <v>15202</v>
      </c>
      <c r="F872" s="1">
        <v>42479</v>
      </c>
      <c r="G872">
        <v>-9912.5</v>
      </c>
      <c r="H872" s="1">
        <f t="shared" si="77"/>
        <v>42479</v>
      </c>
      <c r="I872">
        <f>IF(AND(MyRowHidden(ROW())=FALSE,MyRowHidden(ROW()-1)=TRUE),0,(E872-E871)*unitsOfDHp+I871)</f>
        <v>268450</v>
      </c>
      <c r="J872">
        <f>IF(AND(MyRowHidden(ROW())=FALSE,MyRowHidden(ROW()-1)=TRUE),0,(G872-G871)*unitsOfExo+J871)</f>
        <v>-837504</v>
      </c>
      <c r="K872" s="9">
        <f t="shared" si="78"/>
        <v>837504</v>
      </c>
      <c r="L872">
        <f t="shared" si="79"/>
        <v>-569054</v>
      </c>
      <c r="M872">
        <f>IF(AND(MyRowHidden(ROW())=FALSE,MyRowHidden(ROW()-1)=TRUE),0,IF(MONTH(H872)&lt;&gt;MONTH(H871),M871+1,M871))</f>
        <v>15</v>
      </c>
      <c r="N872">
        <f>IF(AND(MyRowHidden(ROW())=FALSE,MyRowHidden(ROW()-1)=TRUE),0,IF(M872&lt;totalMonths,(totalMonths-M872)/totalMonths *(I872-I871)+N871,0))</f>
        <v>0</v>
      </c>
      <c r="P872">
        <f>IF(AND(MyRowHidden(ROW())=FALSE,MyRowHidden(ROW()-1)=TRUE),0,IF(M872&lt;totalMonths,(totalMonths-M872)/totalMonths *(J872-J871)+P871,0))</f>
        <v>0</v>
      </c>
      <c r="Q872">
        <f>IF(AND(MyRowHidden(ROW())=FALSE,MyRowHidden(ROW()-1)=TRUE),0,IF(M872&lt;totalMonths,(totalMonths-M872)/totalMonths *(K872-K871)+Q871,0))</f>
        <v>0</v>
      </c>
      <c r="R872">
        <f>IF(AND(MyRowHidden(ROW())=FALSE,MyRowHidden(ROW()-1)=TRUE),0,IF(M872&lt;totalMonths,(totalMonths-M872)/totalMonths *(L872-L871)+R871,0))</f>
        <v>0</v>
      </c>
    </row>
    <row r="873" spans="1:18" hidden="1" x14ac:dyDescent="0.25">
      <c r="A873" s="1"/>
      <c r="C873" s="1"/>
      <c r="D873" s="1">
        <v>42480</v>
      </c>
      <c r="E873" s="10">
        <v>16863</v>
      </c>
      <c r="F873" s="1">
        <v>42480</v>
      </c>
      <c r="G873">
        <v>-9587.5</v>
      </c>
      <c r="H873" s="1">
        <f t="shared" si="77"/>
        <v>42480</v>
      </c>
      <c r="I873">
        <f>IF(AND(MyRowHidden(ROW())=FALSE,MyRowHidden(ROW()-1)=TRUE),0,(E873-E872)*unitsOfDHp+I872)</f>
        <v>326585</v>
      </c>
      <c r="J873">
        <f>IF(AND(MyRowHidden(ROW())=FALSE,MyRowHidden(ROW()-1)=TRUE),0,(G873-G872)*unitsOfExo+J872)</f>
        <v>-743904</v>
      </c>
      <c r="K873" s="9">
        <f t="shared" si="78"/>
        <v>743904</v>
      </c>
      <c r="L873">
        <f t="shared" si="79"/>
        <v>-417319</v>
      </c>
      <c r="M873">
        <f>IF(AND(MyRowHidden(ROW())=FALSE,MyRowHidden(ROW()-1)=TRUE),0,IF(MONTH(H873)&lt;&gt;MONTH(H872),M872+1,M872))</f>
        <v>15</v>
      </c>
      <c r="N873">
        <f>IF(AND(MyRowHidden(ROW())=FALSE,MyRowHidden(ROW()-1)=TRUE),0,IF(M873&lt;totalMonths,(totalMonths-M873)/totalMonths *(I873-I872)+N872,0))</f>
        <v>0</v>
      </c>
      <c r="P873">
        <f>IF(AND(MyRowHidden(ROW())=FALSE,MyRowHidden(ROW()-1)=TRUE),0,IF(M873&lt;totalMonths,(totalMonths-M873)/totalMonths *(J873-J872)+P872,0))</f>
        <v>0</v>
      </c>
      <c r="Q873">
        <f>IF(AND(MyRowHidden(ROW())=FALSE,MyRowHidden(ROW()-1)=TRUE),0,IF(M873&lt;totalMonths,(totalMonths-M873)/totalMonths *(K873-K872)+Q872,0))</f>
        <v>0</v>
      </c>
      <c r="R873">
        <f>IF(AND(MyRowHidden(ROW())=FALSE,MyRowHidden(ROW()-1)=TRUE),0,IF(M873&lt;totalMonths,(totalMonths-M873)/totalMonths *(L873-L872)+R872,0))</f>
        <v>0</v>
      </c>
    </row>
    <row r="874" spans="1:18" hidden="1" x14ac:dyDescent="0.25">
      <c r="A874" s="1"/>
      <c r="C874" s="1"/>
      <c r="D874" s="1">
        <v>42481</v>
      </c>
      <c r="E874" s="10">
        <v>15770</v>
      </c>
      <c r="F874" s="1">
        <v>42481</v>
      </c>
      <c r="G874">
        <v>-9637.5</v>
      </c>
      <c r="H874" s="1">
        <f t="shared" si="77"/>
        <v>42481</v>
      </c>
      <c r="I874">
        <f>IF(AND(MyRowHidden(ROW())=FALSE,MyRowHidden(ROW()-1)=TRUE),0,(E874-E873)*unitsOfDHp+I873)</f>
        <v>288330</v>
      </c>
      <c r="J874">
        <f>IF(AND(MyRowHidden(ROW())=FALSE,MyRowHidden(ROW()-1)=TRUE),0,(G874-G873)*unitsOfExo+J873)</f>
        <v>-758304</v>
      </c>
      <c r="K874" s="9">
        <f t="shared" si="78"/>
        <v>758304</v>
      </c>
      <c r="L874">
        <f t="shared" si="79"/>
        <v>-469974</v>
      </c>
      <c r="M874">
        <f>IF(AND(MyRowHidden(ROW())=FALSE,MyRowHidden(ROW()-1)=TRUE),0,IF(MONTH(H874)&lt;&gt;MONTH(H873),M873+1,M873))</f>
        <v>15</v>
      </c>
      <c r="N874">
        <f>IF(AND(MyRowHidden(ROW())=FALSE,MyRowHidden(ROW()-1)=TRUE),0,IF(M874&lt;totalMonths,(totalMonths-M874)/totalMonths *(I874-I873)+N873,0))</f>
        <v>0</v>
      </c>
      <c r="P874">
        <f>IF(AND(MyRowHidden(ROW())=FALSE,MyRowHidden(ROW()-1)=TRUE),0,IF(M874&lt;totalMonths,(totalMonths-M874)/totalMonths *(J874-J873)+P873,0))</f>
        <v>0</v>
      </c>
      <c r="Q874">
        <f>IF(AND(MyRowHidden(ROW())=FALSE,MyRowHidden(ROW()-1)=TRUE),0,IF(M874&lt;totalMonths,(totalMonths-M874)/totalMonths *(K874-K873)+Q873,0))</f>
        <v>0</v>
      </c>
      <c r="R874">
        <f>IF(AND(MyRowHidden(ROW())=FALSE,MyRowHidden(ROW()-1)=TRUE),0,IF(M874&lt;totalMonths,(totalMonths-M874)/totalMonths *(L874-L873)+R873,0))</f>
        <v>0</v>
      </c>
    </row>
    <row r="875" spans="1:18" hidden="1" x14ac:dyDescent="0.25">
      <c r="A875" s="1"/>
      <c r="C875" s="1"/>
      <c r="D875" s="1">
        <v>42482</v>
      </c>
      <c r="E875" s="10">
        <v>11736</v>
      </c>
      <c r="F875" s="1">
        <v>42482</v>
      </c>
      <c r="G875">
        <v>-10512.5</v>
      </c>
      <c r="H875" s="1">
        <f t="shared" si="77"/>
        <v>42482</v>
      </c>
      <c r="I875">
        <f>IF(AND(MyRowHidden(ROW())=FALSE,MyRowHidden(ROW()-1)=TRUE),0,(E875-E874)*unitsOfDHp+I874)</f>
        <v>147140</v>
      </c>
      <c r="J875">
        <f>IF(AND(MyRowHidden(ROW())=FALSE,MyRowHidden(ROW()-1)=TRUE),0,(G875-G874)*unitsOfExo+J874)</f>
        <v>-1010304</v>
      </c>
      <c r="K875" s="9">
        <f t="shared" si="78"/>
        <v>1010304</v>
      </c>
      <c r="L875">
        <f t="shared" si="79"/>
        <v>-863164</v>
      </c>
      <c r="M875">
        <f>IF(AND(MyRowHidden(ROW())=FALSE,MyRowHidden(ROW()-1)=TRUE),0,IF(MONTH(H875)&lt;&gt;MONTH(H874),M874+1,M874))</f>
        <v>15</v>
      </c>
      <c r="N875">
        <f>IF(AND(MyRowHidden(ROW())=FALSE,MyRowHidden(ROW()-1)=TRUE),0,IF(M875&lt;totalMonths,(totalMonths-M875)/totalMonths *(I875-I874)+N874,0))</f>
        <v>0</v>
      </c>
      <c r="P875">
        <f>IF(AND(MyRowHidden(ROW())=FALSE,MyRowHidden(ROW()-1)=TRUE),0,IF(M875&lt;totalMonths,(totalMonths-M875)/totalMonths *(J875-J874)+P874,0))</f>
        <v>0</v>
      </c>
      <c r="Q875">
        <f>IF(AND(MyRowHidden(ROW())=FALSE,MyRowHidden(ROW()-1)=TRUE),0,IF(M875&lt;totalMonths,(totalMonths-M875)/totalMonths *(K875-K874)+Q874,0))</f>
        <v>0</v>
      </c>
      <c r="R875">
        <f>IF(AND(MyRowHidden(ROW())=FALSE,MyRowHidden(ROW()-1)=TRUE),0,IF(M875&lt;totalMonths,(totalMonths-M875)/totalMonths *(L875-L874)+R874,0))</f>
        <v>0</v>
      </c>
    </row>
    <row r="876" spans="1:18" hidden="1" x14ac:dyDescent="0.25">
      <c r="A876" s="1"/>
      <c r="C876" s="1"/>
      <c r="D876" s="1">
        <v>42485</v>
      </c>
      <c r="E876" s="10">
        <v>13886</v>
      </c>
      <c r="F876" s="1">
        <v>42485</v>
      </c>
      <c r="G876">
        <v>-10150</v>
      </c>
      <c r="H876" s="1">
        <f t="shared" si="77"/>
        <v>42485</v>
      </c>
      <c r="I876">
        <f>IF(AND(MyRowHidden(ROW())=FALSE,MyRowHidden(ROW()-1)=TRUE),0,(E876-E875)*unitsOfDHp+I875)</f>
        <v>222390</v>
      </c>
      <c r="J876">
        <f>IF(AND(MyRowHidden(ROW())=FALSE,MyRowHidden(ROW()-1)=TRUE),0,(G876-G875)*unitsOfExo+J875)</f>
        <v>-905904</v>
      </c>
      <c r="K876" s="9">
        <f t="shared" si="78"/>
        <v>905904</v>
      </c>
      <c r="L876">
        <f t="shared" si="79"/>
        <v>-683514</v>
      </c>
      <c r="M876">
        <f>IF(AND(MyRowHidden(ROW())=FALSE,MyRowHidden(ROW()-1)=TRUE),0,IF(MONTH(H876)&lt;&gt;MONTH(H875),M875+1,M875))</f>
        <v>15</v>
      </c>
      <c r="N876">
        <f>IF(AND(MyRowHidden(ROW())=FALSE,MyRowHidden(ROW()-1)=TRUE),0,IF(M876&lt;totalMonths,(totalMonths-M876)/totalMonths *(I876-I875)+N875,0))</f>
        <v>0</v>
      </c>
      <c r="P876">
        <f>IF(AND(MyRowHidden(ROW())=FALSE,MyRowHidden(ROW()-1)=TRUE),0,IF(M876&lt;totalMonths,(totalMonths-M876)/totalMonths *(J876-J875)+P875,0))</f>
        <v>0</v>
      </c>
      <c r="Q876">
        <f>IF(AND(MyRowHidden(ROW())=FALSE,MyRowHidden(ROW()-1)=TRUE),0,IF(M876&lt;totalMonths,(totalMonths-M876)/totalMonths *(K876-K875)+Q875,0))</f>
        <v>0</v>
      </c>
      <c r="R876">
        <f>IF(AND(MyRowHidden(ROW())=FALSE,MyRowHidden(ROW()-1)=TRUE),0,IF(M876&lt;totalMonths,(totalMonths-M876)/totalMonths *(L876-L875)+R875,0))</f>
        <v>0</v>
      </c>
    </row>
    <row r="877" spans="1:18" hidden="1" x14ac:dyDescent="0.25">
      <c r="A877" s="1"/>
      <c r="C877" s="1"/>
      <c r="D877" s="1">
        <v>42486</v>
      </c>
      <c r="E877" s="10">
        <v>13278</v>
      </c>
      <c r="F877" s="1">
        <v>42486</v>
      </c>
      <c r="G877">
        <v>-10150</v>
      </c>
      <c r="H877" s="1">
        <f t="shared" si="77"/>
        <v>42486</v>
      </c>
      <c r="I877">
        <f>IF(AND(MyRowHidden(ROW())=FALSE,MyRowHidden(ROW()-1)=TRUE),0,(E877-E876)*unitsOfDHp+I876)</f>
        <v>201110</v>
      </c>
      <c r="J877">
        <f>IF(AND(MyRowHidden(ROW())=FALSE,MyRowHidden(ROW()-1)=TRUE),0,(G877-G876)*unitsOfExo+J876)</f>
        <v>-905904</v>
      </c>
      <c r="K877" s="9">
        <f t="shared" si="78"/>
        <v>905904</v>
      </c>
      <c r="L877">
        <f t="shared" si="79"/>
        <v>-704794</v>
      </c>
      <c r="M877">
        <f>IF(AND(MyRowHidden(ROW())=FALSE,MyRowHidden(ROW()-1)=TRUE),0,IF(MONTH(H877)&lt;&gt;MONTH(H876),M876+1,M876))</f>
        <v>15</v>
      </c>
      <c r="N877">
        <f>IF(AND(MyRowHidden(ROW())=FALSE,MyRowHidden(ROW()-1)=TRUE),0,IF(M877&lt;totalMonths,(totalMonths-M877)/totalMonths *(I877-I876)+N876,0))</f>
        <v>0</v>
      </c>
      <c r="P877">
        <f>IF(AND(MyRowHidden(ROW())=FALSE,MyRowHidden(ROW()-1)=TRUE),0,IF(M877&lt;totalMonths,(totalMonths-M877)/totalMonths *(J877-J876)+P876,0))</f>
        <v>0</v>
      </c>
      <c r="Q877">
        <f>IF(AND(MyRowHidden(ROW())=FALSE,MyRowHidden(ROW()-1)=TRUE),0,IF(M877&lt;totalMonths,(totalMonths-M877)/totalMonths *(K877-K876)+Q876,0))</f>
        <v>0</v>
      </c>
      <c r="R877">
        <f>IF(AND(MyRowHidden(ROW())=FALSE,MyRowHidden(ROW()-1)=TRUE),0,IF(M877&lt;totalMonths,(totalMonths-M877)/totalMonths *(L877-L876)+R876,0))</f>
        <v>0</v>
      </c>
    </row>
    <row r="878" spans="1:18" hidden="1" x14ac:dyDescent="0.25">
      <c r="A878" s="1"/>
      <c r="C878" s="1"/>
      <c r="D878" s="1">
        <v>42487</v>
      </c>
      <c r="E878" s="10">
        <v>13078</v>
      </c>
      <c r="F878" s="1">
        <v>42487</v>
      </c>
      <c r="G878">
        <v>-10262.5</v>
      </c>
      <c r="H878" s="1">
        <f t="shared" si="77"/>
        <v>42487</v>
      </c>
      <c r="I878">
        <f>IF(AND(MyRowHidden(ROW())=FALSE,MyRowHidden(ROW()-1)=TRUE),0,(E878-E877)*unitsOfDHp+I877)</f>
        <v>194110</v>
      </c>
      <c r="J878">
        <f>IF(AND(MyRowHidden(ROW())=FALSE,MyRowHidden(ROW()-1)=TRUE),0,(G878-G877)*unitsOfExo+J877)</f>
        <v>-938304</v>
      </c>
      <c r="K878" s="9">
        <f t="shared" si="78"/>
        <v>938304</v>
      </c>
      <c r="L878">
        <f t="shared" si="79"/>
        <v>-744194</v>
      </c>
      <c r="M878">
        <f>IF(AND(MyRowHidden(ROW())=FALSE,MyRowHidden(ROW()-1)=TRUE),0,IF(MONTH(H878)&lt;&gt;MONTH(H877),M877+1,M877))</f>
        <v>15</v>
      </c>
      <c r="N878">
        <f>IF(AND(MyRowHidden(ROW())=FALSE,MyRowHidden(ROW()-1)=TRUE),0,IF(M878&lt;totalMonths,(totalMonths-M878)/totalMonths *(I878-I877)+N877,0))</f>
        <v>0</v>
      </c>
      <c r="P878">
        <f>IF(AND(MyRowHidden(ROW())=FALSE,MyRowHidden(ROW()-1)=TRUE),0,IF(M878&lt;totalMonths,(totalMonths-M878)/totalMonths *(J878-J877)+P877,0))</f>
        <v>0</v>
      </c>
      <c r="Q878">
        <f>IF(AND(MyRowHidden(ROW())=FALSE,MyRowHidden(ROW()-1)=TRUE),0,IF(M878&lt;totalMonths,(totalMonths-M878)/totalMonths *(K878-K877)+Q877,0))</f>
        <v>0</v>
      </c>
      <c r="R878">
        <f>IF(AND(MyRowHidden(ROW())=FALSE,MyRowHidden(ROW()-1)=TRUE),0,IF(M878&lt;totalMonths,(totalMonths-M878)/totalMonths *(L878-L877)+R877,0))</f>
        <v>0</v>
      </c>
    </row>
    <row r="879" spans="1:18" hidden="1" x14ac:dyDescent="0.25">
      <c r="A879" s="1"/>
      <c r="C879" s="1"/>
      <c r="D879" s="1">
        <v>42488</v>
      </c>
      <c r="E879" s="10">
        <v>14316</v>
      </c>
      <c r="F879" s="1">
        <v>42488</v>
      </c>
      <c r="G879">
        <v>-9875</v>
      </c>
      <c r="H879" s="1">
        <f t="shared" si="77"/>
        <v>42488</v>
      </c>
      <c r="I879">
        <f>IF(AND(MyRowHidden(ROW())=FALSE,MyRowHidden(ROW()-1)=TRUE),0,(E879-E878)*unitsOfDHp+I878)</f>
        <v>237440</v>
      </c>
      <c r="J879">
        <f>IF(AND(MyRowHidden(ROW())=FALSE,MyRowHidden(ROW()-1)=TRUE),0,(G879-G878)*unitsOfExo+J878)</f>
        <v>-826704</v>
      </c>
      <c r="K879" s="9">
        <f t="shared" si="78"/>
        <v>826704</v>
      </c>
      <c r="L879">
        <f t="shared" si="79"/>
        <v>-589264</v>
      </c>
      <c r="M879">
        <f>IF(AND(MyRowHidden(ROW())=FALSE,MyRowHidden(ROW()-1)=TRUE),0,IF(MONTH(H879)&lt;&gt;MONTH(H878),M878+1,M878))</f>
        <v>15</v>
      </c>
      <c r="N879">
        <f>IF(AND(MyRowHidden(ROW())=FALSE,MyRowHidden(ROW()-1)=TRUE),0,IF(M879&lt;totalMonths,(totalMonths-M879)/totalMonths *(I879-I878)+N878,0))</f>
        <v>0</v>
      </c>
      <c r="P879">
        <f>IF(AND(MyRowHidden(ROW())=FALSE,MyRowHidden(ROW()-1)=TRUE),0,IF(M879&lt;totalMonths,(totalMonths-M879)/totalMonths *(J879-J878)+P878,0))</f>
        <v>0</v>
      </c>
      <c r="Q879">
        <f>IF(AND(MyRowHidden(ROW())=FALSE,MyRowHidden(ROW()-1)=TRUE),0,IF(M879&lt;totalMonths,(totalMonths-M879)/totalMonths *(K879-K878)+Q878,0))</f>
        <v>0</v>
      </c>
      <c r="R879">
        <f>IF(AND(MyRowHidden(ROW())=FALSE,MyRowHidden(ROW()-1)=TRUE),0,IF(M879&lt;totalMonths,(totalMonths-M879)/totalMonths *(L879-L878)+R878,0))</f>
        <v>0</v>
      </c>
    </row>
    <row r="880" spans="1:18" hidden="1" x14ac:dyDescent="0.25">
      <c r="A880" s="1"/>
      <c r="C880" s="1"/>
      <c r="D880" s="1">
        <v>42489</v>
      </c>
      <c r="E880" s="10">
        <v>14422</v>
      </c>
      <c r="F880" s="1">
        <v>42489</v>
      </c>
      <c r="G880">
        <v>-9862.5</v>
      </c>
      <c r="H880" s="1">
        <f t="shared" si="77"/>
        <v>42489</v>
      </c>
      <c r="I880">
        <f>IF(AND(MyRowHidden(ROW())=FALSE,MyRowHidden(ROW()-1)=TRUE),0,(E880-E879)*unitsOfDHp+I879)</f>
        <v>241150</v>
      </c>
      <c r="J880">
        <f>IF(AND(MyRowHidden(ROW())=FALSE,MyRowHidden(ROW()-1)=TRUE),0,(G880-G879)*unitsOfExo+J879)</f>
        <v>-823104</v>
      </c>
      <c r="K880" s="9">
        <f t="shared" si="78"/>
        <v>823104</v>
      </c>
      <c r="L880">
        <f t="shared" si="79"/>
        <v>-581954</v>
      </c>
      <c r="M880">
        <f>IF(AND(MyRowHidden(ROW())=FALSE,MyRowHidden(ROW()-1)=TRUE),0,IF(MONTH(H880)&lt;&gt;MONTH(H879),M879+1,M879))</f>
        <v>15</v>
      </c>
      <c r="N880">
        <f>IF(AND(MyRowHidden(ROW())=FALSE,MyRowHidden(ROW()-1)=TRUE),0,IF(M880&lt;totalMonths,(totalMonths-M880)/totalMonths *(I880-I879)+N879,0))</f>
        <v>0</v>
      </c>
      <c r="P880">
        <f>IF(AND(MyRowHidden(ROW())=FALSE,MyRowHidden(ROW()-1)=TRUE),0,IF(M880&lt;totalMonths,(totalMonths-M880)/totalMonths *(J880-J879)+P879,0))</f>
        <v>0</v>
      </c>
      <c r="Q880">
        <f>IF(AND(MyRowHidden(ROW())=FALSE,MyRowHidden(ROW()-1)=TRUE),0,IF(M880&lt;totalMonths,(totalMonths-M880)/totalMonths *(K880-K879)+Q879,0))</f>
        <v>0</v>
      </c>
      <c r="R880">
        <f>IF(AND(MyRowHidden(ROW())=FALSE,MyRowHidden(ROW()-1)=TRUE),0,IF(M880&lt;totalMonths,(totalMonths-M880)/totalMonths *(L880-L879)+R879,0))</f>
        <v>0</v>
      </c>
    </row>
    <row r="881" spans="1:18" hidden="1" x14ac:dyDescent="0.25">
      <c r="A881" s="1"/>
      <c r="C881" s="1"/>
      <c r="D881" s="1">
        <v>42492</v>
      </c>
      <c r="E881" s="10">
        <v>14060</v>
      </c>
      <c r="F881" s="1">
        <v>42492</v>
      </c>
      <c r="G881">
        <v>-9974.5</v>
      </c>
      <c r="H881" s="1">
        <f t="shared" si="77"/>
        <v>42492</v>
      </c>
      <c r="I881">
        <f>IF(AND(MyRowHidden(ROW())=FALSE,MyRowHidden(ROW()-1)=TRUE),0,(E881-E880)*unitsOfDHp+I880)</f>
        <v>228480</v>
      </c>
      <c r="J881">
        <f>IF(AND(MyRowHidden(ROW())=FALSE,MyRowHidden(ROW()-1)=TRUE),0,(G881-G880)*unitsOfExo+J880)</f>
        <v>-855360</v>
      </c>
      <c r="K881" s="9">
        <f t="shared" si="78"/>
        <v>855360</v>
      </c>
      <c r="L881">
        <f t="shared" si="79"/>
        <v>-626880</v>
      </c>
      <c r="M881">
        <f>IF(AND(MyRowHidden(ROW())=FALSE,MyRowHidden(ROW()-1)=TRUE),0,IF(MONTH(H881)&lt;&gt;MONTH(H880),M880+1,M880))</f>
        <v>16</v>
      </c>
      <c r="N881">
        <f>IF(AND(MyRowHidden(ROW())=FALSE,MyRowHidden(ROW()-1)=TRUE),0,IF(M881&lt;totalMonths,(totalMonths-M881)/totalMonths *(I881-I880)+N880,0))</f>
        <v>0</v>
      </c>
      <c r="P881">
        <f>IF(AND(MyRowHidden(ROW())=FALSE,MyRowHidden(ROW()-1)=TRUE),0,IF(M881&lt;totalMonths,(totalMonths-M881)/totalMonths *(J881-J880)+P880,0))</f>
        <v>0</v>
      </c>
      <c r="Q881">
        <f>IF(AND(MyRowHidden(ROW())=FALSE,MyRowHidden(ROW()-1)=TRUE),0,IF(M881&lt;totalMonths,(totalMonths-M881)/totalMonths *(K881-K880)+Q880,0))</f>
        <v>0</v>
      </c>
      <c r="R881">
        <f>IF(AND(MyRowHidden(ROW())=FALSE,MyRowHidden(ROW()-1)=TRUE),0,IF(M881&lt;totalMonths,(totalMonths-M881)/totalMonths *(L881-L880)+R880,0))</f>
        <v>0</v>
      </c>
    </row>
    <row r="882" spans="1:18" hidden="1" x14ac:dyDescent="0.25">
      <c r="A882" s="1"/>
      <c r="C882" s="1"/>
      <c r="D882" s="1">
        <v>42493</v>
      </c>
      <c r="E882" s="10">
        <v>10990</v>
      </c>
      <c r="F882" s="1">
        <v>42493</v>
      </c>
      <c r="G882">
        <v>-10499.5</v>
      </c>
      <c r="H882" s="1">
        <f t="shared" si="77"/>
        <v>42493</v>
      </c>
      <c r="I882">
        <f>IF(AND(MyRowHidden(ROW())=FALSE,MyRowHidden(ROW()-1)=TRUE),0,(E882-E881)*unitsOfDHp+I881)</f>
        <v>121030</v>
      </c>
      <c r="J882">
        <f>IF(AND(MyRowHidden(ROW())=FALSE,MyRowHidden(ROW()-1)=TRUE),0,(G882-G881)*unitsOfExo+J881)</f>
        <v>-1006560</v>
      </c>
      <c r="K882" s="9">
        <f t="shared" si="78"/>
        <v>1006560</v>
      </c>
      <c r="L882">
        <f t="shared" si="79"/>
        <v>-885530</v>
      </c>
      <c r="M882">
        <f>IF(AND(MyRowHidden(ROW())=FALSE,MyRowHidden(ROW()-1)=TRUE),0,IF(MONTH(H882)&lt;&gt;MONTH(H881),M881+1,M881))</f>
        <v>16</v>
      </c>
      <c r="N882">
        <f>IF(AND(MyRowHidden(ROW())=FALSE,MyRowHidden(ROW()-1)=TRUE),0,IF(M882&lt;totalMonths,(totalMonths-M882)/totalMonths *(I882-I881)+N881,0))</f>
        <v>0</v>
      </c>
      <c r="P882">
        <f>IF(AND(MyRowHidden(ROW())=FALSE,MyRowHidden(ROW()-1)=TRUE),0,IF(M882&lt;totalMonths,(totalMonths-M882)/totalMonths *(J882-J881)+P881,0))</f>
        <v>0</v>
      </c>
      <c r="Q882">
        <f>IF(AND(MyRowHidden(ROW())=FALSE,MyRowHidden(ROW()-1)=TRUE),0,IF(M882&lt;totalMonths,(totalMonths-M882)/totalMonths *(K882-K881)+Q881,0))</f>
        <v>0</v>
      </c>
      <c r="R882">
        <f>IF(AND(MyRowHidden(ROW())=FALSE,MyRowHidden(ROW()-1)=TRUE),0,IF(M882&lt;totalMonths,(totalMonths-M882)/totalMonths *(L882-L881)+R881,0))</f>
        <v>0</v>
      </c>
    </row>
    <row r="883" spans="1:18" hidden="1" x14ac:dyDescent="0.25">
      <c r="A883" s="1"/>
      <c r="C883" s="1"/>
      <c r="D883" s="1">
        <v>42494</v>
      </c>
      <c r="E883" s="10">
        <v>10704</v>
      </c>
      <c r="F883" s="1">
        <v>42494</v>
      </c>
      <c r="G883">
        <v>-10512</v>
      </c>
      <c r="H883" s="1">
        <f t="shared" si="77"/>
        <v>42494</v>
      </c>
      <c r="I883">
        <f>IF(AND(MyRowHidden(ROW())=FALSE,MyRowHidden(ROW()-1)=TRUE),0,(E883-E882)*unitsOfDHp+I882)</f>
        <v>111020</v>
      </c>
      <c r="J883">
        <f>IF(AND(MyRowHidden(ROW())=FALSE,MyRowHidden(ROW()-1)=TRUE),0,(G883-G882)*unitsOfExo+J882)</f>
        <v>-1010160</v>
      </c>
      <c r="K883" s="9">
        <f t="shared" si="78"/>
        <v>1010160</v>
      </c>
      <c r="L883">
        <f t="shared" si="79"/>
        <v>-899140</v>
      </c>
      <c r="M883">
        <f>IF(AND(MyRowHidden(ROW())=FALSE,MyRowHidden(ROW()-1)=TRUE),0,IF(MONTH(H883)&lt;&gt;MONTH(H882),M882+1,M882))</f>
        <v>16</v>
      </c>
      <c r="N883">
        <f>IF(AND(MyRowHidden(ROW())=FALSE,MyRowHidden(ROW()-1)=TRUE),0,IF(M883&lt;totalMonths,(totalMonths-M883)/totalMonths *(I883-I882)+N882,0))</f>
        <v>0</v>
      </c>
      <c r="P883">
        <f>IF(AND(MyRowHidden(ROW())=FALSE,MyRowHidden(ROW()-1)=TRUE),0,IF(M883&lt;totalMonths,(totalMonths-M883)/totalMonths *(J883-J882)+P882,0))</f>
        <v>0</v>
      </c>
      <c r="Q883">
        <f>IF(AND(MyRowHidden(ROW())=FALSE,MyRowHidden(ROW()-1)=TRUE),0,IF(M883&lt;totalMonths,(totalMonths-M883)/totalMonths *(K883-K882)+Q882,0))</f>
        <v>0</v>
      </c>
      <c r="R883">
        <f>IF(AND(MyRowHidden(ROW())=FALSE,MyRowHidden(ROW()-1)=TRUE),0,IF(M883&lt;totalMonths,(totalMonths-M883)/totalMonths *(L883-L882)+R882,0))</f>
        <v>0</v>
      </c>
    </row>
    <row r="884" spans="1:18" hidden="1" x14ac:dyDescent="0.25">
      <c r="A884" s="1"/>
      <c r="C884" s="1"/>
      <c r="D884" s="1">
        <v>42495</v>
      </c>
      <c r="E884" s="10">
        <v>9900</v>
      </c>
      <c r="F884" s="1">
        <v>42495</v>
      </c>
      <c r="G884">
        <v>-10724.5</v>
      </c>
      <c r="H884" s="1">
        <f t="shared" si="77"/>
        <v>42495</v>
      </c>
      <c r="I884">
        <f>IF(AND(MyRowHidden(ROW())=FALSE,MyRowHidden(ROW()-1)=TRUE),0,(E884-E883)*unitsOfDHp+I883)</f>
        <v>82880</v>
      </c>
      <c r="J884">
        <f>IF(AND(MyRowHidden(ROW())=FALSE,MyRowHidden(ROW()-1)=TRUE),0,(G884-G883)*unitsOfExo+J883)</f>
        <v>-1071360</v>
      </c>
      <c r="K884" s="9">
        <f t="shared" si="78"/>
        <v>1071360</v>
      </c>
      <c r="L884">
        <f t="shared" si="79"/>
        <v>-988480</v>
      </c>
      <c r="M884">
        <f>IF(AND(MyRowHidden(ROW())=FALSE,MyRowHidden(ROW()-1)=TRUE),0,IF(MONTH(H884)&lt;&gt;MONTH(H883),M883+1,M883))</f>
        <v>16</v>
      </c>
      <c r="N884">
        <f>IF(AND(MyRowHidden(ROW())=FALSE,MyRowHidden(ROW()-1)=TRUE),0,IF(M884&lt;totalMonths,(totalMonths-M884)/totalMonths *(I884-I883)+N883,0))</f>
        <v>0</v>
      </c>
      <c r="P884">
        <f>IF(AND(MyRowHidden(ROW())=FALSE,MyRowHidden(ROW()-1)=TRUE),0,IF(M884&lt;totalMonths,(totalMonths-M884)/totalMonths *(J884-J883)+P883,0))</f>
        <v>0</v>
      </c>
      <c r="Q884">
        <f>IF(AND(MyRowHidden(ROW())=FALSE,MyRowHidden(ROW()-1)=TRUE),0,IF(M884&lt;totalMonths,(totalMonths-M884)/totalMonths *(K884-K883)+Q883,0))</f>
        <v>0</v>
      </c>
      <c r="R884">
        <f>IF(AND(MyRowHidden(ROW())=FALSE,MyRowHidden(ROW()-1)=TRUE),0,IF(M884&lt;totalMonths,(totalMonths-M884)/totalMonths *(L884-L883)+R883,0))</f>
        <v>0</v>
      </c>
    </row>
    <row r="885" spans="1:18" hidden="1" x14ac:dyDescent="0.25">
      <c r="A885" s="1"/>
      <c r="C885" s="1"/>
      <c r="D885" s="1">
        <v>42496</v>
      </c>
      <c r="E885" s="10">
        <v>9762</v>
      </c>
      <c r="F885" s="1">
        <v>42496</v>
      </c>
      <c r="G885">
        <v>-10549.5</v>
      </c>
      <c r="H885" s="1">
        <f t="shared" si="77"/>
        <v>42496</v>
      </c>
      <c r="I885">
        <f>IF(AND(MyRowHidden(ROW())=FALSE,MyRowHidden(ROW()-1)=TRUE),0,(E885-E884)*unitsOfDHp+I884)</f>
        <v>78050</v>
      </c>
      <c r="J885">
        <f>IF(AND(MyRowHidden(ROW())=FALSE,MyRowHidden(ROW()-1)=TRUE),0,(G885-G884)*unitsOfExo+J884)</f>
        <v>-1020960</v>
      </c>
      <c r="K885" s="9">
        <f t="shared" si="78"/>
        <v>1020960</v>
      </c>
      <c r="L885">
        <f t="shared" si="79"/>
        <v>-942910</v>
      </c>
      <c r="M885">
        <f>IF(AND(MyRowHidden(ROW())=FALSE,MyRowHidden(ROW()-1)=TRUE),0,IF(MONTH(H885)&lt;&gt;MONTH(H884),M884+1,M884))</f>
        <v>16</v>
      </c>
      <c r="N885">
        <f>IF(AND(MyRowHidden(ROW())=FALSE,MyRowHidden(ROW()-1)=TRUE),0,IF(M885&lt;totalMonths,(totalMonths-M885)/totalMonths *(I885-I884)+N884,0))</f>
        <v>0</v>
      </c>
      <c r="P885">
        <f>IF(AND(MyRowHidden(ROW())=FALSE,MyRowHidden(ROW()-1)=TRUE),0,IF(M885&lt;totalMonths,(totalMonths-M885)/totalMonths *(J885-J884)+P884,0))</f>
        <v>0</v>
      </c>
      <c r="Q885">
        <f>IF(AND(MyRowHidden(ROW())=FALSE,MyRowHidden(ROW()-1)=TRUE),0,IF(M885&lt;totalMonths,(totalMonths-M885)/totalMonths *(K885-K884)+Q884,0))</f>
        <v>0</v>
      </c>
      <c r="R885">
        <f>IF(AND(MyRowHidden(ROW())=FALSE,MyRowHidden(ROW()-1)=TRUE),0,IF(M885&lt;totalMonths,(totalMonths-M885)/totalMonths *(L885-L884)+R884,0))</f>
        <v>0</v>
      </c>
    </row>
    <row r="886" spans="1:18" hidden="1" x14ac:dyDescent="0.25">
      <c r="A886" s="1"/>
      <c r="C886" s="1"/>
      <c r="D886" s="1">
        <v>42499</v>
      </c>
      <c r="E886" s="10">
        <v>9712</v>
      </c>
      <c r="F886" s="1">
        <v>42499</v>
      </c>
      <c r="G886">
        <v>-10899.5</v>
      </c>
      <c r="H886" s="1">
        <f t="shared" si="77"/>
        <v>42499</v>
      </c>
      <c r="I886">
        <f>IF(AND(MyRowHidden(ROW())=FALSE,MyRowHidden(ROW()-1)=TRUE),0,(E886-E885)*unitsOfDHp+I885)</f>
        <v>76300</v>
      </c>
      <c r="J886">
        <f>IF(AND(MyRowHidden(ROW())=FALSE,MyRowHidden(ROW()-1)=TRUE),0,(G886-G885)*unitsOfExo+J885)</f>
        <v>-1121760</v>
      </c>
      <c r="K886" s="9">
        <f t="shared" si="78"/>
        <v>1121760</v>
      </c>
      <c r="L886">
        <f t="shared" si="79"/>
        <v>-1045460</v>
      </c>
      <c r="M886">
        <f>IF(AND(MyRowHidden(ROW())=FALSE,MyRowHidden(ROW()-1)=TRUE),0,IF(MONTH(H886)&lt;&gt;MONTH(H885),M885+1,M885))</f>
        <v>16</v>
      </c>
      <c r="N886">
        <f>IF(AND(MyRowHidden(ROW())=FALSE,MyRowHidden(ROW()-1)=TRUE),0,IF(M886&lt;totalMonths,(totalMonths-M886)/totalMonths *(I886-I885)+N885,0))</f>
        <v>0</v>
      </c>
      <c r="P886">
        <f>IF(AND(MyRowHidden(ROW())=FALSE,MyRowHidden(ROW()-1)=TRUE),0,IF(M886&lt;totalMonths,(totalMonths-M886)/totalMonths *(J886-J885)+P885,0))</f>
        <v>0</v>
      </c>
      <c r="Q886">
        <f>IF(AND(MyRowHidden(ROW())=FALSE,MyRowHidden(ROW()-1)=TRUE),0,IF(M886&lt;totalMonths,(totalMonths-M886)/totalMonths *(K886-K885)+Q885,0))</f>
        <v>0</v>
      </c>
      <c r="R886">
        <f>IF(AND(MyRowHidden(ROW())=FALSE,MyRowHidden(ROW()-1)=TRUE),0,IF(M886&lt;totalMonths,(totalMonths-M886)/totalMonths *(L886-L885)+R885,0))</f>
        <v>0</v>
      </c>
    </row>
    <row r="887" spans="1:18" hidden="1" x14ac:dyDescent="0.25">
      <c r="A887" s="1"/>
      <c r="C887" s="1"/>
      <c r="D887" s="1">
        <v>42500</v>
      </c>
      <c r="E887" s="10">
        <v>9788</v>
      </c>
      <c r="F887" s="1">
        <v>42500</v>
      </c>
      <c r="G887">
        <v>-10512</v>
      </c>
      <c r="H887" s="1">
        <f t="shared" si="77"/>
        <v>42500</v>
      </c>
      <c r="I887">
        <f>IF(AND(MyRowHidden(ROW())=FALSE,MyRowHidden(ROW()-1)=TRUE),0,(E887-E886)*unitsOfDHp+I886)</f>
        <v>78960</v>
      </c>
      <c r="J887">
        <f>IF(AND(MyRowHidden(ROW())=FALSE,MyRowHidden(ROW()-1)=TRUE),0,(G887-G886)*unitsOfExo+J886)</f>
        <v>-1010160</v>
      </c>
      <c r="K887" s="9">
        <f t="shared" si="78"/>
        <v>1010160</v>
      </c>
      <c r="L887">
        <f t="shared" si="79"/>
        <v>-931200</v>
      </c>
      <c r="M887">
        <f>IF(AND(MyRowHidden(ROW())=FALSE,MyRowHidden(ROW()-1)=TRUE),0,IF(MONTH(H887)&lt;&gt;MONTH(H886),M886+1,M886))</f>
        <v>16</v>
      </c>
      <c r="N887">
        <f>IF(AND(MyRowHidden(ROW())=FALSE,MyRowHidden(ROW()-1)=TRUE),0,IF(M887&lt;totalMonths,(totalMonths-M887)/totalMonths *(I887-I886)+N886,0))</f>
        <v>0</v>
      </c>
      <c r="P887">
        <f>IF(AND(MyRowHidden(ROW())=FALSE,MyRowHidden(ROW()-1)=TRUE),0,IF(M887&lt;totalMonths,(totalMonths-M887)/totalMonths *(J887-J886)+P886,0))</f>
        <v>0</v>
      </c>
      <c r="Q887">
        <f>IF(AND(MyRowHidden(ROW())=FALSE,MyRowHidden(ROW()-1)=TRUE),0,IF(M887&lt;totalMonths,(totalMonths-M887)/totalMonths *(K887-K886)+Q886,0))</f>
        <v>0</v>
      </c>
      <c r="R887">
        <f>IF(AND(MyRowHidden(ROW())=FALSE,MyRowHidden(ROW()-1)=TRUE),0,IF(M887&lt;totalMonths,(totalMonths-M887)/totalMonths *(L887-L886)+R886,0))</f>
        <v>0</v>
      </c>
    </row>
    <row r="888" spans="1:18" hidden="1" x14ac:dyDescent="0.25">
      <c r="A888" s="1"/>
      <c r="C888" s="1"/>
      <c r="D888" s="1">
        <v>42501</v>
      </c>
      <c r="E888" s="10">
        <v>9950</v>
      </c>
      <c r="F888" s="1">
        <v>42501</v>
      </c>
      <c r="G888">
        <v>-10624.5</v>
      </c>
      <c r="H888" s="1">
        <f t="shared" si="77"/>
        <v>42501</v>
      </c>
      <c r="I888">
        <f>IF(AND(MyRowHidden(ROW())=FALSE,MyRowHidden(ROW()-1)=TRUE),0,(E888-E887)*unitsOfDHp+I887)</f>
        <v>84630</v>
      </c>
      <c r="J888">
        <f>IF(AND(MyRowHidden(ROW())=FALSE,MyRowHidden(ROW()-1)=TRUE),0,(G888-G887)*unitsOfExo+J887)</f>
        <v>-1042560</v>
      </c>
      <c r="K888" s="9">
        <f t="shared" si="78"/>
        <v>1042560</v>
      </c>
      <c r="L888">
        <f t="shared" si="79"/>
        <v>-957930</v>
      </c>
      <c r="M888">
        <f>IF(AND(MyRowHidden(ROW())=FALSE,MyRowHidden(ROW()-1)=TRUE),0,IF(MONTH(H888)&lt;&gt;MONTH(H887),M887+1,M887))</f>
        <v>16</v>
      </c>
      <c r="N888">
        <f>IF(AND(MyRowHidden(ROW())=FALSE,MyRowHidden(ROW()-1)=TRUE),0,IF(M888&lt;totalMonths,(totalMonths-M888)/totalMonths *(I888-I887)+N887,0))</f>
        <v>0</v>
      </c>
      <c r="P888">
        <f>IF(AND(MyRowHidden(ROW())=FALSE,MyRowHidden(ROW()-1)=TRUE),0,IF(M888&lt;totalMonths,(totalMonths-M888)/totalMonths *(J888-J887)+P887,0))</f>
        <v>0</v>
      </c>
      <c r="Q888">
        <f>IF(AND(MyRowHidden(ROW())=FALSE,MyRowHidden(ROW()-1)=TRUE),0,IF(M888&lt;totalMonths,(totalMonths-M888)/totalMonths *(K888-K887)+Q887,0))</f>
        <v>0</v>
      </c>
      <c r="R888">
        <f>IF(AND(MyRowHidden(ROW())=FALSE,MyRowHidden(ROW()-1)=TRUE),0,IF(M888&lt;totalMonths,(totalMonths-M888)/totalMonths *(L888-L887)+R887,0))</f>
        <v>0</v>
      </c>
    </row>
    <row r="889" spans="1:18" hidden="1" x14ac:dyDescent="0.25">
      <c r="A889" s="1"/>
      <c r="C889" s="1"/>
      <c r="D889" s="1">
        <v>42502</v>
      </c>
      <c r="E889" s="10">
        <v>9854</v>
      </c>
      <c r="F889" s="1">
        <v>42502</v>
      </c>
      <c r="G889">
        <v>-10062</v>
      </c>
      <c r="H889" s="1">
        <f t="shared" si="77"/>
        <v>42502</v>
      </c>
      <c r="I889">
        <f>IF(AND(MyRowHidden(ROW())=FALSE,MyRowHidden(ROW()-1)=TRUE),0,(E889-E888)*unitsOfDHp+I888)</f>
        <v>81270</v>
      </c>
      <c r="J889">
        <f>IF(AND(MyRowHidden(ROW())=FALSE,MyRowHidden(ROW()-1)=TRUE),0,(G889-G888)*unitsOfExo+J888)</f>
        <v>-880560</v>
      </c>
      <c r="K889" s="9">
        <f t="shared" si="78"/>
        <v>880560</v>
      </c>
      <c r="L889">
        <f t="shared" si="79"/>
        <v>-799290</v>
      </c>
      <c r="M889">
        <f>IF(AND(MyRowHidden(ROW())=FALSE,MyRowHidden(ROW()-1)=TRUE),0,IF(MONTH(H889)&lt;&gt;MONTH(H888),M888+1,M888))</f>
        <v>16</v>
      </c>
      <c r="N889">
        <f>IF(AND(MyRowHidden(ROW())=FALSE,MyRowHidden(ROW()-1)=TRUE),0,IF(M889&lt;totalMonths,(totalMonths-M889)/totalMonths *(I889-I888)+N888,0))</f>
        <v>0</v>
      </c>
      <c r="P889">
        <f>IF(AND(MyRowHidden(ROW())=FALSE,MyRowHidden(ROW()-1)=TRUE),0,IF(M889&lt;totalMonths,(totalMonths-M889)/totalMonths *(J889-J888)+P888,0))</f>
        <v>0</v>
      </c>
      <c r="Q889">
        <f>IF(AND(MyRowHidden(ROW())=FALSE,MyRowHidden(ROW()-1)=TRUE),0,IF(M889&lt;totalMonths,(totalMonths-M889)/totalMonths *(K889-K888)+Q888,0))</f>
        <v>0</v>
      </c>
      <c r="R889">
        <f>IF(AND(MyRowHidden(ROW())=FALSE,MyRowHidden(ROW()-1)=TRUE),0,IF(M889&lt;totalMonths,(totalMonths-M889)/totalMonths *(L889-L888)+R888,0))</f>
        <v>0</v>
      </c>
    </row>
    <row r="890" spans="1:18" hidden="1" x14ac:dyDescent="0.25">
      <c r="A890" s="1"/>
      <c r="C890" s="1"/>
      <c r="D890" s="1">
        <v>42503</v>
      </c>
      <c r="E890" s="10">
        <v>10080</v>
      </c>
      <c r="F890" s="1">
        <v>42503</v>
      </c>
      <c r="G890">
        <v>-9912</v>
      </c>
      <c r="H890" s="1">
        <f t="shared" si="77"/>
        <v>42503</v>
      </c>
      <c r="I890">
        <f>IF(AND(MyRowHidden(ROW())=FALSE,MyRowHidden(ROW()-1)=TRUE),0,(E890-E889)*unitsOfDHp+I889)</f>
        <v>89180</v>
      </c>
      <c r="J890">
        <f>IF(AND(MyRowHidden(ROW())=FALSE,MyRowHidden(ROW()-1)=TRUE),0,(G890-G889)*unitsOfExo+J889)</f>
        <v>-837360</v>
      </c>
      <c r="K890" s="9">
        <f t="shared" si="78"/>
        <v>837360</v>
      </c>
      <c r="L890">
        <f t="shared" si="79"/>
        <v>-748180</v>
      </c>
      <c r="M890">
        <f>IF(AND(MyRowHidden(ROW())=FALSE,MyRowHidden(ROW()-1)=TRUE),0,IF(MONTH(H890)&lt;&gt;MONTH(H889),M889+1,M889))</f>
        <v>16</v>
      </c>
      <c r="N890">
        <f>IF(AND(MyRowHidden(ROW())=FALSE,MyRowHidden(ROW()-1)=TRUE),0,IF(M890&lt;totalMonths,(totalMonths-M890)/totalMonths *(I890-I889)+N889,0))</f>
        <v>0</v>
      </c>
      <c r="P890">
        <f>IF(AND(MyRowHidden(ROW())=FALSE,MyRowHidden(ROW()-1)=TRUE),0,IF(M890&lt;totalMonths,(totalMonths-M890)/totalMonths *(J890-J889)+P889,0))</f>
        <v>0</v>
      </c>
      <c r="Q890">
        <f>IF(AND(MyRowHidden(ROW())=FALSE,MyRowHidden(ROW()-1)=TRUE),0,IF(M890&lt;totalMonths,(totalMonths-M890)/totalMonths *(K890-K889)+Q889,0))</f>
        <v>0</v>
      </c>
      <c r="R890">
        <f>IF(AND(MyRowHidden(ROW())=FALSE,MyRowHidden(ROW()-1)=TRUE),0,IF(M890&lt;totalMonths,(totalMonths-M890)/totalMonths *(L890-L889)+R889,0))</f>
        <v>0</v>
      </c>
    </row>
    <row r="891" spans="1:18" hidden="1" x14ac:dyDescent="0.25">
      <c r="A891" s="1"/>
      <c r="C891" s="1"/>
      <c r="D891" s="1">
        <v>42506</v>
      </c>
      <c r="E891" s="10">
        <v>10382</v>
      </c>
      <c r="F891" s="1">
        <v>42506</v>
      </c>
      <c r="G891">
        <v>-9824.5</v>
      </c>
      <c r="H891" s="1">
        <f t="shared" si="77"/>
        <v>42506</v>
      </c>
      <c r="I891">
        <f>IF(AND(MyRowHidden(ROW())=FALSE,MyRowHidden(ROW()-1)=TRUE),0,(E891-E890)*unitsOfDHp+I890)</f>
        <v>99750</v>
      </c>
      <c r="J891">
        <f>IF(AND(MyRowHidden(ROW())=FALSE,MyRowHidden(ROW()-1)=TRUE),0,(G891-G890)*unitsOfExo+J890)</f>
        <v>-812160</v>
      </c>
      <c r="K891" s="9">
        <f t="shared" si="78"/>
        <v>812160</v>
      </c>
      <c r="L891">
        <f t="shared" si="79"/>
        <v>-712410</v>
      </c>
      <c r="M891">
        <f>IF(AND(MyRowHidden(ROW())=FALSE,MyRowHidden(ROW()-1)=TRUE),0,IF(MONTH(H891)&lt;&gt;MONTH(H890),M890+1,M890))</f>
        <v>16</v>
      </c>
      <c r="N891">
        <f>IF(AND(MyRowHidden(ROW())=FALSE,MyRowHidden(ROW()-1)=TRUE),0,IF(M891&lt;totalMonths,(totalMonths-M891)/totalMonths *(I891-I890)+N890,0))</f>
        <v>0</v>
      </c>
      <c r="P891">
        <f>IF(AND(MyRowHidden(ROW())=FALSE,MyRowHidden(ROW()-1)=TRUE),0,IF(M891&lt;totalMonths,(totalMonths-M891)/totalMonths *(J891-J890)+P890,0))</f>
        <v>0</v>
      </c>
      <c r="Q891">
        <f>IF(AND(MyRowHidden(ROW())=FALSE,MyRowHidden(ROW()-1)=TRUE),0,IF(M891&lt;totalMonths,(totalMonths-M891)/totalMonths *(K891-K890)+Q890,0))</f>
        <v>0</v>
      </c>
      <c r="R891">
        <f>IF(AND(MyRowHidden(ROW())=FALSE,MyRowHidden(ROW()-1)=TRUE),0,IF(M891&lt;totalMonths,(totalMonths-M891)/totalMonths *(L891-L890)+R890,0))</f>
        <v>0</v>
      </c>
    </row>
    <row r="892" spans="1:18" hidden="1" x14ac:dyDescent="0.25">
      <c r="A892" s="1"/>
      <c r="C892" s="1"/>
      <c r="D892" s="1">
        <v>42507</v>
      </c>
      <c r="E892" s="10">
        <v>10732</v>
      </c>
      <c r="F892" s="1">
        <v>42507</v>
      </c>
      <c r="G892">
        <v>-9587</v>
      </c>
      <c r="H892" s="1">
        <f t="shared" si="77"/>
        <v>42507</v>
      </c>
      <c r="I892">
        <f>IF(AND(MyRowHidden(ROW())=FALSE,MyRowHidden(ROW()-1)=TRUE),0,(E892-E891)*unitsOfDHp+I891)</f>
        <v>112000</v>
      </c>
      <c r="J892">
        <f>IF(AND(MyRowHidden(ROW())=FALSE,MyRowHidden(ROW()-1)=TRUE),0,(G892-G891)*unitsOfExo+J891)</f>
        <v>-743760</v>
      </c>
      <c r="K892" s="9">
        <f t="shared" si="78"/>
        <v>743760</v>
      </c>
      <c r="L892">
        <f t="shared" si="79"/>
        <v>-631760</v>
      </c>
      <c r="M892">
        <f>IF(AND(MyRowHidden(ROW())=FALSE,MyRowHidden(ROW()-1)=TRUE),0,IF(MONTH(H892)&lt;&gt;MONTH(H891),M891+1,M891))</f>
        <v>16</v>
      </c>
      <c r="N892">
        <f>IF(AND(MyRowHidden(ROW())=FALSE,MyRowHidden(ROW()-1)=TRUE),0,IF(M892&lt;totalMonths,(totalMonths-M892)/totalMonths *(I892-I891)+N891,0))</f>
        <v>0</v>
      </c>
      <c r="P892">
        <f>IF(AND(MyRowHidden(ROW())=FALSE,MyRowHidden(ROW()-1)=TRUE),0,IF(M892&lt;totalMonths,(totalMonths-M892)/totalMonths *(J892-J891)+P891,0))</f>
        <v>0</v>
      </c>
      <c r="Q892">
        <f>IF(AND(MyRowHidden(ROW())=FALSE,MyRowHidden(ROW()-1)=TRUE),0,IF(M892&lt;totalMonths,(totalMonths-M892)/totalMonths *(K892-K891)+Q891,0))</f>
        <v>0</v>
      </c>
      <c r="R892">
        <f>IF(AND(MyRowHidden(ROW())=FALSE,MyRowHidden(ROW()-1)=TRUE),0,IF(M892&lt;totalMonths,(totalMonths-M892)/totalMonths *(L892-L891)+R891,0))</f>
        <v>0</v>
      </c>
    </row>
    <row r="893" spans="1:18" hidden="1" x14ac:dyDescent="0.25">
      <c r="A893" s="1"/>
      <c r="C893" s="1"/>
      <c r="D893" s="1">
        <v>42508</v>
      </c>
      <c r="E893" s="10">
        <v>10857</v>
      </c>
      <c r="F893" s="1">
        <v>42508</v>
      </c>
      <c r="G893">
        <v>-9462</v>
      </c>
      <c r="H893" s="1">
        <f t="shared" si="77"/>
        <v>42508</v>
      </c>
      <c r="I893">
        <f>IF(AND(MyRowHidden(ROW())=FALSE,MyRowHidden(ROW()-1)=TRUE),0,(E893-E892)*unitsOfDHp+I892)</f>
        <v>116375</v>
      </c>
      <c r="J893">
        <f>IF(AND(MyRowHidden(ROW())=FALSE,MyRowHidden(ROW()-1)=TRUE),0,(G893-G892)*unitsOfExo+J892)</f>
        <v>-707760</v>
      </c>
      <c r="K893" s="9">
        <f t="shared" si="78"/>
        <v>707760</v>
      </c>
      <c r="L893">
        <f t="shared" si="79"/>
        <v>-591385</v>
      </c>
      <c r="M893">
        <f>IF(AND(MyRowHidden(ROW())=FALSE,MyRowHidden(ROW()-1)=TRUE),0,IF(MONTH(H893)&lt;&gt;MONTH(H892),M892+1,M892))</f>
        <v>16</v>
      </c>
      <c r="N893">
        <f>IF(AND(MyRowHidden(ROW())=FALSE,MyRowHidden(ROW()-1)=TRUE),0,IF(M893&lt;totalMonths,(totalMonths-M893)/totalMonths *(I893-I892)+N892,0))</f>
        <v>0</v>
      </c>
      <c r="P893">
        <f>IF(AND(MyRowHidden(ROW())=FALSE,MyRowHidden(ROW()-1)=TRUE),0,IF(M893&lt;totalMonths,(totalMonths-M893)/totalMonths *(J893-J892)+P892,0))</f>
        <v>0</v>
      </c>
      <c r="Q893">
        <f>IF(AND(MyRowHidden(ROW())=FALSE,MyRowHidden(ROW()-1)=TRUE),0,IF(M893&lt;totalMonths,(totalMonths-M893)/totalMonths *(K893-K892)+Q892,0))</f>
        <v>0</v>
      </c>
      <c r="R893">
        <f>IF(AND(MyRowHidden(ROW())=FALSE,MyRowHidden(ROW()-1)=TRUE),0,IF(M893&lt;totalMonths,(totalMonths-M893)/totalMonths *(L893-L892)+R892,0))</f>
        <v>0</v>
      </c>
    </row>
    <row r="894" spans="1:18" hidden="1" x14ac:dyDescent="0.25">
      <c r="A894" s="1"/>
      <c r="C894" s="1"/>
      <c r="D894" s="1">
        <v>42509</v>
      </c>
      <c r="E894" s="10">
        <v>10077</v>
      </c>
      <c r="F894" s="1">
        <v>42509</v>
      </c>
      <c r="G894">
        <v>-9974.5</v>
      </c>
      <c r="H894" s="1">
        <f t="shared" si="77"/>
        <v>42509</v>
      </c>
      <c r="I894">
        <f>IF(AND(MyRowHidden(ROW())=FALSE,MyRowHidden(ROW()-1)=TRUE),0,(E894-E893)*unitsOfDHp+I893)</f>
        <v>89075</v>
      </c>
      <c r="J894">
        <f>IF(AND(MyRowHidden(ROW())=FALSE,MyRowHidden(ROW()-1)=TRUE),0,(G894-G893)*unitsOfExo+J893)</f>
        <v>-855360</v>
      </c>
      <c r="K894" s="9">
        <f t="shared" si="78"/>
        <v>855360</v>
      </c>
      <c r="L894">
        <f t="shared" si="79"/>
        <v>-766285</v>
      </c>
      <c r="M894">
        <f>IF(AND(MyRowHidden(ROW())=FALSE,MyRowHidden(ROW()-1)=TRUE),0,IF(MONTH(H894)&lt;&gt;MONTH(H893),M893+1,M893))</f>
        <v>16</v>
      </c>
      <c r="N894">
        <f>IF(AND(MyRowHidden(ROW())=FALSE,MyRowHidden(ROW()-1)=TRUE),0,IF(M894&lt;totalMonths,(totalMonths-M894)/totalMonths *(I894-I893)+N893,0))</f>
        <v>0</v>
      </c>
      <c r="P894">
        <f>IF(AND(MyRowHidden(ROW())=FALSE,MyRowHidden(ROW()-1)=TRUE),0,IF(M894&lt;totalMonths,(totalMonths-M894)/totalMonths *(J894-J893)+P893,0))</f>
        <v>0</v>
      </c>
      <c r="Q894">
        <f>IF(AND(MyRowHidden(ROW())=FALSE,MyRowHidden(ROW()-1)=TRUE),0,IF(M894&lt;totalMonths,(totalMonths-M894)/totalMonths *(K894-K893)+Q893,0))</f>
        <v>0</v>
      </c>
      <c r="R894">
        <f>IF(AND(MyRowHidden(ROW())=FALSE,MyRowHidden(ROW()-1)=TRUE),0,IF(M894&lt;totalMonths,(totalMonths-M894)/totalMonths *(L894-L893)+R893,0))</f>
        <v>0</v>
      </c>
    </row>
    <row r="895" spans="1:18" hidden="1" x14ac:dyDescent="0.25">
      <c r="A895" s="1"/>
      <c r="C895" s="1"/>
      <c r="D895" s="1">
        <v>42510</v>
      </c>
      <c r="E895" s="10">
        <v>10390</v>
      </c>
      <c r="F895" s="1">
        <v>42510</v>
      </c>
      <c r="G895">
        <v>-9787</v>
      </c>
      <c r="H895" s="1">
        <f t="shared" si="77"/>
        <v>42510</v>
      </c>
      <c r="I895">
        <f>IF(AND(MyRowHidden(ROW())=FALSE,MyRowHidden(ROW()-1)=TRUE),0,(E895-E894)*unitsOfDHp+I894)</f>
        <v>100030</v>
      </c>
      <c r="J895">
        <f>IF(AND(MyRowHidden(ROW())=FALSE,MyRowHidden(ROW()-1)=TRUE),0,(G895-G894)*unitsOfExo+J894)</f>
        <v>-801360</v>
      </c>
      <c r="K895" s="9">
        <f t="shared" si="78"/>
        <v>801360</v>
      </c>
      <c r="L895">
        <f t="shared" si="79"/>
        <v>-701330</v>
      </c>
      <c r="M895">
        <f>IF(AND(MyRowHidden(ROW())=FALSE,MyRowHidden(ROW()-1)=TRUE),0,IF(MONTH(H895)&lt;&gt;MONTH(H894),M894+1,M894))</f>
        <v>16</v>
      </c>
      <c r="N895">
        <f>IF(AND(MyRowHidden(ROW())=FALSE,MyRowHidden(ROW()-1)=TRUE),0,IF(M895&lt;totalMonths,(totalMonths-M895)/totalMonths *(I895-I894)+N894,0))</f>
        <v>0</v>
      </c>
      <c r="P895">
        <f>IF(AND(MyRowHidden(ROW())=FALSE,MyRowHidden(ROW()-1)=TRUE),0,IF(M895&lt;totalMonths,(totalMonths-M895)/totalMonths *(J895-J894)+P894,0))</f>
        <v>0</v>
      </c>
      <c r="Q895">
        <f>IF(AND(MyRowHidden(ROW())=FALSE,MyRowHidden(ROW()-1)=TRUE),0,IF(M895&lt;totalMonths,(totalMonths-M895)/totalMonths *(K895-K894)+Q894,0))</f>
        <v>0</v>
      </c>
      <c r="R895">
        <f>IF(AND(MyRowHidden(ROW())=FALSE,MyRowHidden(ROW()-1)=TRUE),0,IF(M895&lt;totalMonths,(totalMonths-M895)/totalMonths *(L895-L894)+R894,0))</f>
        <v>0</v>
      </c>
    </row>
    <row r="896" spans="1:18" hidden="1" x14ac:dyDescent="0.25">
      <c r="A896" s="1"/>
      <c r="D896" s="1">
        <v>42513</v>
      </c>
      <c r="E896" s="10">
        <v>10968</v>
      </c>
      <c r="F896" s="1">
        <v>42513</v>
      </c>
      <c r="G896">
        <v>-9574.5</v>
      </c>
      <c r="H896" s="1">
        <f t="shared" si="77"/>
        <v>42513</v>
      </c>
      <c r="I896">
        <f>IF(AND(MyRowHidden(ROW())=FALSE,MyRowHidden(ROW()-1)=TRUE),0,(E896-E895)*unitsOfDHp+I895)</f>
        <v>120260</v>
      </c>
      <c r="J896">
        <f>IF(AND(MyRowHidden(ROW())=FALSE,MyRowHidden(ROW()-1)=TRUE),0,(G896-G895)*unitsOfExo+J895)</f>
        <v>-740160</v>
      </c>
      <c r="K896" s="9">
        <f t="shared" si="78"/>
        <v>740160</v>
      </c>
      <c r="L896">
        <f t="shared" si="79"/>
        <v>-619900</v>
      </c>
      <c r="M896">
        <f>IF(AND(MyRowHidden(ROW())=FALSE,MyRowHidden(ROW()-1)=TRUE),0,IF(MONTH(H896)&lt;&gt;MONTH(H895),M895+1,M895))</f>
        <v>16</v>
      </c>
      <c r="N896">
        <f>IF(AND(MyRowHidden(ROW())=FALSE,MyRowHidden(ROW()-1)=TRUE),0,IF(M896&lt;totalMonths,(totalMonths-M896)/totalMonths *(I896-I895)+N895,0))</f>
        <v>0</v>
      </c>
      <c r="P896">
        <f>IF(AND(MyRowHidden(ROW())=FALSE,MyRowHidden(ROW()-1)=TRUE),0,IF(M896&lt;totalMonths,(totalMonths-M896)/totalMonths *(J896-J895)+P895,0))</f>
        <v>0</v>
      </c>
      <c r="Q896">
        <f>IF(AND(MyRowHidden(ROW())=FALSE,MyRowHidden(ROW()-1)=TRUE),0,IF(M896&lt;totalMonths,(totalMonths-M896)/totalMonths *(K896-K895)+Q895,0))</f>
        <v>0</v>
      </c>
      <c r="R896">
        <f>IF(AND(MyRowHidden(ROW())=FALSE,MyRowHidden(ROW()-1)=TRUE),0,IF(M896&lt;totalMonths,(totalMonths-M896)/totalMonths *(L896-L895)+R895,0))</f>
        <v>0</v>
      </c>
    </row>
    <row r="897" spans="1:18" hidden="1" x14ac:dyDescent="0.25">
      <c r="A897" s="1"/>
      <c r="D897" s="1">
        <v>42514</v>
      </c>
      <c r="E897" s="10">
        <v>11643</v>
      </c>
      <c r="F897" s="1">
        <v>42514</v>
      </c>
      <c r="G897">
        <v>-9412</v>
      </c>
      <c r="H897" s="1">
        <f t="shared" si="77"/>
        <v>42514</v>
      </c>
      <c r="I897">
        <f>IF(AND(MyRowHidden(ROW())=FALSE,MyRowHidden(ROW()-1)=TRUE),0,(E897-E896)*unitsOfDHp+I896)</f>
        <v>143885</v>
      </c>
      <c r="J897">
        <f>IF(AND(MyRowHidden(ROW())=FALSE,MyRowHidden(ROW()-1)=TRUE),0,(G897-G896)*unitsOfExo+J896)</f>
        <v>-693360</v>
      </c>
      <c r="K897" s="9">
        <f t="shared" si="78"/>
        <v>693360</v>
      </c>
      <c r="L897">
        <f t="shared" si="79"/>
        <v>-549475</v>
      </c>
      <c r="M897">
        <f>IF(AND(MyRowHidden(ROW())=FALSE,MyRowHidden(ROW()-1)=TRUE),0,IF(MONTH(H897)&lt;&gt;MONTH(H896),M896+1,M896))</f>
        <v>16</v>
      </c>
      <c r="N897">
        <f>IF(AND(MyRowHidden(ROW())=FALSE,MyRowHidden(ROW()-1)=TRUE),0,IF(M897&lt;totalMonths,(totalMonths-M897)/totalMonths *(I897-I896)+N896,0))</f>
        <v>0</v>
      </c>
      <c r="P897">
        <f>IF(AND(MyRowHidden(ROW())=FALSE,MyRowHidden(ROW()-1)=TRUE),0,IF(M897&lt;totalMonths,(totalMonths-M897)/totalMonths *(J897-J896)+P896,0))</f>
        <v>0</v>
      </c>
      <c r="Q897">
        <f>IF(AND(MyRowHidden(ROW())=FALSE,MyRowHidden(ROW()-1)=TRUE),0,IF(M897&lt;totalMonths,(totalMonths-M897)/totalMonths *(K897-K896)+Q896,0))</f>
        <v>0</v>
      </c>
      <c r="R897">
        <f>IF(AND(MyRowHidden(ROW())=FALSE,MyRowHidden(ROW()-1)=TRUE),0,IF(M897&lt;totalMonths,(totalMonths-M897)/totalMonths *(L897-L896)+R896,0))</f>
        <v>0</v>
      </c>
    </row>
    <row r="898" spans="1:18" hidden="1" x14ac:dyDescent="0.25">
      <c r="D898" s="1">
        <v>42515</v>
      </c>
      <c r="E898" s="10">
        <v>12393</v>
      </c>
      <c r="F898" s="1">
        <v>42515</v>
      </c>
      <c r="G898">
        <v>-9224.5</v>
      </c>
      <c r="H898" s="1">
        <f t="shared" si="77"/>
        <v>42515</v>
      </c>
      <c r="I898">
        <f>IF(AND(MyRowHidden(ROW())=FALSE,MyRowHidden(ROW()-1)=TRUE),0,(E898-E897)*unitsOfDHp+I897)</f>
        <v>170135</v>
      </c>
      <c r="J898">
        <f>IF(AND(MyRowHidden(ROW())=FALSE,MyRowHidden(ROW()-1)=TRUE),0,(G898-G897)*unitsOfExo+J897)</f>
        <v>-639360</v>
      </c>
      <c r="K898" s="9">
        <f t="shared" si="78"/>
        <v>639360</v>
      </c>
      <c r="L898">
        <f t="shared" si="79"/>
        <v>-469225</v>
      </c>
      <c r="M898">
        <f>IF(AND(MyRowHidden(ROW())=FALSE,MyRowHidden(ROW()-1)=TRUE),0,IF(MONTH(H898)&lt;&gt;MONTH(H897),M897+1,M897))</f>
        <v>16</v>
      </c>
      <c r="N898">
        <f>IF(AND(MyRowHidden(ROW())=FALSE,MyRowHidden(ROW()-1)=TRUE),0,IF(M898&lt;totalMonths,(totalMonths-M898)/totalMonths *(I898-I897)+N897,0))</f>
        <v>0</v>
      </c>
      <c r="P898">
        <f>IF(AND(MyRowHidden(ROW())=FALSE,MyRowHidden(ROW()-1)=TRUE),0,IF(M898&lt;totalMonths,(totalMonths-M898)/totalMonths *(J898-J897)+P897,0))</f>
        <v>0</v>
      </c>
      <c r="Q898">
        <f>IF(AND(MyRowHidden(ROW())=FALSE,MyRowHidden(ROW()-1)=TRUE),0,IF(M898&lt;totalMonths,(totalMonths-M898)/totalMonths *(K898-K897)+Q897,0))</f>
        <v>0</v>
      </c>
      <c r="R898">
        <f>IF(AND(MyRowHidden(ROW())=FALSE,MyRowHidden(ROW()-1)=TRUE),0,IF(M898&lt;totalMonths,(totalMonths-M898)/totalMonths *(L898-L897)+R897,0))</f>
        <v>0</v>
      </c>
    </row>
    <row r="899" spans="1:18" hidden="1" x14ac:dyDescent="0.25">
      <c r="D899" s="1">
        <v>42516</v>
      </c>
      <c r="E899" s="10">
        <v>12684</v>
      </c>
      <c r="F899" s="1">
        <v>42516</v>
      </c>
      <c r="G899">
        <v>-9037</v>
      </c>
      <c r="H899" s="1">
        <f t="shared" si="77"/>
        <v>42516</v>
      </c>
      <c r="I899">
        <f>IF(AND(MyRowHidden(ROW())=FALSE,MyRowHidden(ROW()-1)=TRUE),0,(E899-E898)*unitsOfDHp+I898)</f>
        <v>180320</v>
      </c>
      <c r="J899">
        <f>IF(AND(MyRowHidden(ROW())=FALSE,MyRowHidden(ROW()-1)=TRUE),0,(G899-G898)*unitsOfExo+J898)</f>
        <v>-585360</v>
      </c>
      <c r="K899" s="9">
        <f t="shared" si="78"/>
        <v>585360</v>
      </c>
      <c r="L899">
        <f t="shared" si="79"/>
        <v>-405040</v>
      </c>
      <c r="M899">
        <f>IF(AND(MyRowHidden(ROW())=FALSE,MyRowHidden(ROW()-1)=TRUE),0,IF(MONTH(H899)&lt;&gt;MONTH(H898),M898+1,M898))</f>
        <v>16</v>
      </c>
      <c r="N899">
        <f>IF(AND(MyRowHidden(ROW())=FALSE,MyRowHidden(ROW()-1)=TRUE),0,IF(M899&lt;totalMonths,(totalMonths-M899)/totalMonths *(I899-I898)+N898,0))</f>
        <v>0</v>
      </c>
      <c r="P899">
        <f>IF(AND(MyRowHidden(ROW())=FALSE,MyRowHidden(ROW()-1)=TRUE),0,IF(M899&lt;totalMonths,(totalMonths-M899)/totalMonths *(J899-J898)+P898,0))</f>
        <v>0</v>
      </c>
      <c r="Q899">
        <f>IF(AND(MyRowHidden(ROW())=FALSE,MyRowHidden(ROW()-1)=TRUE),0,IF(M899&lt;totalMonths,(totalMonths-M899)/totalMonths *(K899-K898)+Q898,0))</f>
        <v>0</v>
      </c>
      <c r="R899">
        <f>IF(AND(MyRowHidden(ROW())=FALSE,MyRowHidden(ROW()-1)=TRUE),0,IF(M899&lt;totalMonths,(totalMonths-M899)/totalMonths *(L899-L898)+R898,0))</f>
        <v>0</v>
      </c>
    </row>
    <row r="900" spans="1:18" hidden="1" x14ac:dyDescent="0.25">
      <c r="D900" s="1">
        <v>42517</v>
      </c>
      <c r="E900" s="10">
        <v>12660</v>
      </c>
      <c r="F900" s="1">
        <v>42517</v>
      </c>
      <c r="G900">
        <v>-8824.5</v>
      </c>
      <c r="H900" s="1">
        <f t="shared" si="77"/>
        <v>42517</v>
      </c>
      <c r="I900">
        <f>IF(AND(MyRowHidden(ROW())=FALSE,MyRowHidden(ROW()-1)=TRUE),0,(E900-E899)*unitsOfDHp+I899)</f>
        <v>179480</v>
      </c>
      <c r="J900">
        <f>IF(AND(MyRowHidden(ROW())=FALSE,MyRowHidden(ROW()-1)=TRUE),0,(G900-G899)*unitsOfExo+J899)</f>
        <v>-524160</v>
      </c>
      <c r="K900" s="9">
        <f t="shared" si="78"/>
        <v>524160</v>
      </c>
      <c r="L900">
        <f t="shared" si="79"/>
        <v>-344680</v>
      </c>
      <c r="M900">
        <f>IF(AND(MyRowHidden(ROW())=FALSE,MyRowHidden(ROW()-1)=TRUE),0,IF(MONTH(H900)&lt;&gt;MONTH(H899),M899+1,M899))</f>
        <v>16</v>
      </c>
      <c r="N900">
        <f>IF(AND(MyRowHidden(ROW())=FALSE,MyRowHidden(ROW()-1)=TRUE),0,IF(M900&lt;totalMonths,(totalMonths-M900)/totalMonths *(I900-I899)+N899,0))</f>
        <v>0</v>
      </c>
      <c r="P900">
        <f>IF(AND(MyRowHidden(ROW())=FALSE,MyRowHidden(ROW()-1)=TRUE),0,IF(M900&lt;totalMonths,(totalMonths-M900)/totalMonths *(J900-J899)+P899,0))</f>
        <v>0</v>
      </c>
      <c r="Q900">
        <f>IF(AND(MyRowHidden(ROW())=FALSE,MyRowHidden(ROW()-1)=TRUE),0,IF(M900&lt;totalMonths,(totalMonths-M900)/totalMonths *(K900-K899)+Q899,0))</f>
        <v>0</v>
      </c>
      <c r="R900">
        <f>IF(AND(MyRowHidden(ROW())=FALSE,MyRowHidden(ROW()-1)=TRUE),0,IF(M900&lt;totalMonths,(totalMonths-M900)/totalMonths *(L900-L899)+R899,0))</f>
        <v>0</v>
      </c>
    </row>
    <row r="901" spans="1:18" hidden="1" x14ac:dyDescent="0.25">
      <c r="D901" s="1">
        <v>42520</v>
      </c>
      <c r="E901" s="10">
        <v>12898</v>
      </c>
      <c r="F901" s="1">
        <v>42520</v>
      </c>
      <c r="G901">
        <v>-8749.5</v>
      </c>
      <c r="H901" s="1">
        <f t="shared" si="77"/>
        <v>42520</v>
      </c>
      <c r="I901">
        <f>IF(AND(MyRowHidden(ROW())=FALSE,MyRowHidden(ROW()-1)=TRUE),0,(E901-E900)*unitsOfDHp+I900)</f>
        <v>187810</v>
      </c>
      <c r="J901">
        <f>IF(AND(MyRowHidden(ROW())=FALSE,MyRowHidden(ROW()-1)=TRUE),0,(G901-G900)*unitsOfExo+J900)</f>
        <v>-502560</v>
      </c>
      <c r="K901" s="9">
        <f t="shared" si="78"/>
        <v>502560</v>
      </c>
      <c r="L901">
        <f t="shared" si="79"/>
        <v>-314750</v>
      </c>
      <c r="M901">
        <f>IF(AND(MyRowHidden(ROW())=FALSE,MyRowHidden(ROW()-1)=TRUE),0,IF(MONTH(H901)&lt;&gt;MONTH(H900),M900+1,M900))</f>
        <v>16</v>
      </c>
      <c r="N901">
        <f>IF(AND(MyRowHidden(ROW())=FALSE,MyRowHidden(ROW()-1)=TRUE),0,IF(M901&lt;totalMonths,(totalMonths-M901)/totalMonths *(I901-I900)+N900,0))</f>
        <v>0</v>
      </c>
      <c r="P901">
        <f>IF(AND(MyRowHidden(ROW())=FALSE,MyRowHidden(ROW()-1)=TRUE),0,IF(M901&lt;totalMonths,(totalMonths-M901)/totalMonths *(J901-J900)+P900,0))</f>
        <v>0</v>
      </c>
      <c r="Q901">
        <f>IF(AND(MyRowHidden(ROW())=FALSE,MyRowHidden(ROW()-1)=TRUE),0,IF(M901&lt;totalMonths,(totalMonths-M901)/totalMonths *(K901-K900)+Q900,0))</f>
        <v>0</v>
      </c>
      <c r="R901">
        <f>IF(AND(MyRowHidden(ROW())=FALSE,MyRowHidden(ROW()-1)=TRUE),0,IF(M901&lt;totalMonths,(totalMonths-M901)/totalMonths *(L901-L900)+R900,0))</f>
        <v>0</v>
      </c>
    </row>
    <row r="902" spans="1:18" hidden="1" x14ac:dyDescent="0.25">
      <c r="D902" s="1">
        <v>42521</v>
      </c>
      <c r="E902" s="10">
        <v>12626</v>
      </c>
      <c r="F902" s="1">
        <v>42521</v>
      </c>
      <c r="G902">
        <v>-9137</v>
      </c>
      <c r="H902" s="1">
        <f t="shared" si="77"/>
        <v>42521</v>
      </c>
      <c r="I902">
        <f>IF(AND(MyRowHidden(ROW())=FALSE,MyRowHidden(ROW()-1)=TRUE),0,(E902-E901)*unitsOfDHp+I901)</f>
        <v>178290</v>
      </c>
      <c r="J902">
        <f>IF(AND(MyRowHidden(ROW())=FALSE,MyRowHidden(ROW()-1)=TRUE),0,(G902-G901)*unitsOfExo+J901)</f>
        <v>-614160</v>
      </c>
      <c r="K902" s="9">
        <f t="shared" si="78"/>
        <v>614160</v>
      </c>
      <c r="L902">
        <f t="shared" si="79"/>
        <v>-435870</v>
      </c>
      <c r="M902">
        <f>IF(AND(MyRowHidden(ROW())=FALSE,MyRowHidden(ROW()-1)=TRUE),0,IF(MONTH(H902)&lt;&gt;MONTH(H901),M901+1,M901))</f>
        <v>16</v>
      </c>
      <c r="N902">
        <f>IF(AND(MyRowHidden(ROW())=FALSE,MyRowHidden(ROW()-1)=TRUE),0,IF(M902&lt;totalMonths,(totalMonths-M902)/totalMonths *(I902-I901)+N901,0))</f>
        <v>0</v>
      </c>
      <c r="P902">
        <f>IF(AND(MyRowHidden(ROW())=FALSE,MyRowHidden(ROW()-1)=TRUE),0,IF(M902&lt;totalMonths,(totalMonths-M902)/totalMonths *(J902-J901)+P901,0))</f>
        <v>0</v>
      </c>
      <c r="Q902">
        <f>IF(AND(MyRowHidden(ROW())=FALSE,MyRowHidden(ROW()-1)=TRUE),0,IF(M902&lt;totalMonths,(totalMonths-M902)/totalMonths *(K902-K901)+Q901,0))</f>
        <v>0</v>
      </c>
      <c r="R902">
        <f>IF(AND(MyRowHidden(ROW())=FALSE,MyRowHidden(ROW()-1)=TRUE),0,IF(M902&lt;totalMonths,(totalMonths-M902)/totalMonths *(L902-L901)+R901,0))</f>
        <v>0</v>
      </c>
    </row>
    <row r="903" spans="1:18" hidden="1" x14ac:dyDescent="0.25">
      <c r="D903" s="1">
        <v>42522</v>
      </c>
      <c r="E903" s="10">
        <v>12538</v>
      </c>
      <c r="F903" s="1">
        <v>42522</v>
      </c>
      <c r="G903">
        <v>-8799.5</v>
      </c>
      <c r="H903" s="1">
        <f t="shared" si="77"/>
        <v>42522</v>
      </c>
      <c r="I903">
        <f>IF(AND(MyRowHidden(ROW())=FALSE,MyRowHidden(ROW()-1)=TRUE),0,(E903-E902)*unitsOfDHp+I902)</f>
        <v>175210</v>
      </c>
      <c r="J903">
        <f>IF(AND(MyRowHidden(ROW())=FALSE,MyRowHidden(ROW()-1)=TRUE),0,(G903-G902)*unitsOfExo+J902)</f>
        <v>-516960</v>
      </c>
      <c r="K903" s="9">
        <f t="shared" si="78"/>
        <v>516960</v>
      </c>
      <c r="L903">
        <f t="shared" si="79"/>
        <v>-341750</v>
      </c>
      <c r="M903">
        <f>IF(AND(MyRowHidden(ROW())=FALSE,MyRowHidden(ROW()-1)=TRUE),0,IF(MONTH(H903)&lt;&gt;MONTH(H902),M902+1,M902))</f>
        <v>17</v>
      </c>
      <c r="N903">
        <f>IF(AND(MyRowHidden(ROW())=FALSE,MyRowHidden(ROW()-1)=TRUE),0,IF(M903&lt;totalMonths,(totalMonths-M903)/totalMonths *(I903-I902)+N902,0))</f>
        <v>0</v>
      </c>
      <c r="P903">
        <f>IF(AND(MyRowHidden(ROW())=FALSE,MyRowHidden(ROW()-1)=TRUE),0,IF(M903&lt;totalMonths,(totalMonths-M903)/totalMonths *(J903-J902)+P902,0))</f>
        <v>0</v>
      </c>
      <c r="Q903">
        <f>IF(AND(MyRowHidden(ROW())=FALSE,MyRowHidden(ROW()-1)=TRUE),0,IF(M903&lt;totalMonths,(totalMonths-M903)/totalMonths *(K903-K902)+Q902,0))</f>
        <v>0</v>
      </c>
      <c r="R903">
        <f>IF(AND(MyRowHidden(ROW())=FALSE,MyRowHidden(ROW()-1)=TRUE),0,IF(M903&lt;totalMonths,(totalMonths-M903)/totalMonths *(L903-L902)+R902,0))</f>
        <v>0</v>
      </c>
    </row>
    <row r="904" spans="1:18" hidden="1" x14ac:dyDescent="0.25">
      <c r="D904" s="1">
        <v>42523</v>
      </c>
      <c r="E904" s="10">
        <v>12326</v>
      </c>
      <c r="F904" s="1">
        <v>42523</v>
      </c>
      <c r="G904">
        <v>-8587</v>
      </c>
      <c r="H904" s="1">
        <f t="shared" si="77"/>
        <v>42523</v>
      </c>
      <c r="I904">
        <f>IF(AND(MyRowHidden(ROW())=FALSE,MyRowHidden(ROW()-1)=TRUE),0,(E904-E903)*unitsOfDHp+I903)</f>
        <v>167790</v>
      </c>
      <c r="J904">
        <f>IF(AND(MyRowHidden(ROW())=FALSE,MyRowHidden(ROW()-1)=TRUE),0,(G904-G903)*unitsOfExo+J903)</f>
        <v>-455760</v>
      </c>
      <c r="K904" s="9">
        <f t="shared" si="78"/>
        <v>455760</v>
      </c>
      <c r="L904">
        <f t="shared" si="79"/>
        <v>-287970</v>
      </c>
      <c r="M904">
        <f>IF(AND(MyRowHidden(ROW())=FALSE,MyRowHidden(ROW()-1)=TRUE),0,IF(MONTH(H904)&lt;&gt;MONTH(H903),M903+1,M903))</f>
        <v>17</v>
      </c>
      <c r="N904">
        <f>IF(AND(MyRowHidden(ROW())=FALSE,MyRowHidden(ROW()-1)=TRUE),0,IF(M904&lt;totalMonths,(totalMonths-M904)/totalMonths *(I904-I903)+N903,0))</f>
        <v>0</v>
      </c>
      <c r="P904">
        <f>IF(AND(MyRowHidden(ROW())=FALSE,MyRowHidden(ROW()-1)=TRUE),0,IF(M904&lt;totalMonths,(totalMonths-M904)/totalMonths *(J904-J903)+P903,0))</f>
        <v>0</v>
      </c>
      <c r="Q904">
        <f>IF(AND(MyRowHidden(ROW())=FALSE,MyRowHidden(ROW()-1)=TRUE),0,IF(M904&lt;totalMonths,(totalMonths-M904)/totalMonths *(K904-K903)+Q903,0))</f>
        <v>0</v>
      </c>
      <c r="R904">
        <f>IF(AND(MyRowHidden(ROW())=FALSE,MyRowHidden(ROW()-1)=TRUE),0,IF(M904&lt;totalMonths,(totalMonths-M904)/totalMonths *(L904-L903)+R903,0))</f>
        <v>0</v>
      </c>
    </row>
    <row r="905" spans="1:18" hidden="1" x14ac:dyDescent="0.25">
      <c r="D905" s="1">
        <v>42524</v>
      </c>
      <c r="E905" s="10">
        <v>13314</v>
      </c>
      <c r="F905" s="1">
        <v>42524</v>
      </c>
      <c r="G905">
        <v>-8549.5</v>
      </c>
      <c r="H905" s="1">
        <f t="shared" si="77"/>
        <v>42524</v>
      </c>
      <c r="I905">
        <f>IF(AND(MyRowHidden(ROW())=FALSE,MyRowHidden(ROW()-1)=TRUE),0,(E905-E904)*unitsOfDHp+I904)</f>
        <v>202370</v>
      </c>
      <c r="J905">
        <f>IF(AND(MyRowHidden(ROW())=FALSE,MyRowHidden(ROW()-1)=TRUE),0,(G905-G904)*unitsOfExo+J904)</f>
        <v>-444960</v>
      </c>
      <c r="K905" s="9">
        <f t="shared" si="78"/>
        <v>444960</v>
      </c>
      <c r="L905">
        <f t="shared" si="79"/>
        <v>-242590</v>
      </c>
      <c r="M905">
        <f>IF(AND(MyRowHidden(ROW())=FALSE,MyRowHidden(ROW()-1)=TRUE),0,IF(MONTH(H905)&lt;&gt;MONTH(H904),M904+1,M904))</f>
        <v>17</v>
      </c>
      <c r="N905">
        <f>IF(AND(MyRowHidden(ROW())=FALSE,MyRowHidden(ROW()-1)=TRUE),0,IF(M905&lt;totalMonths,(totalMonths-M905)/totalMonths *(I905-I904)+N904,0))</f>
        <v>0</v>
      </c>
      <c r="P905">
        <f>IF(AND(MyRowHidden(ROW())=FALSE,MyRowHidden(ROW()-1)=TRUE),0,IF(M905&lt;totalMonths,(totalMonths-M905)/totalMonths *(J905-J904)+P904,0))</f>
        <v>0</v>
      </c>
      <c r="Q905">
        <f>IF(AND(MyRowHidden(ROW())=FALSE,MyRowHidden(ROW()-1)=TRUE),0,IF(M905&lt;totalMonths,(totalMonths-M905)/totalMonths *(K905-K904)+Q904,0))</f>
        <v>0</v>
      </c>
      <c r="R905">
        <f>IF(AND(MyRowHidden(ROW())=FALSE,MyRowHidden(ROW()-1)=TRUE),0,IF(M905&lt;totalMonths,(totalMonths-M905)/totalMonths *(L905-L904)+R904,0))</f>
        <v>0</v>
      </c>
    </row>
    <row r="906" spans="1:18" hidden="1" x14ac:dyDescent="0.25">
      <c r="D906" s="1">
        <v>42527</v>
      </c>
      <c r="E906" s="10">
        <v>11727</v>
      </c>
      <c r="F906" s="1">
        <v>42527</v>
      </c>
      <c r="G906">
        <v>-8062</v>
      </c>
      <c r="H906" s="1">
        <f t="shared" si="77"/>
        <v>42527</v>
      </c>
      <c r="I906">
        <f>IF(AND(MyRowHidden(ROW())=FALSE,MyRowHidden(ROW()-1)=TRUE),0,(E906-E905)*unitsOfDHp+I905)</f>
        <v>146825</v>
      </c>
      <c r="J906">
        <f>IF(AND(MyRowHidden(ROW())=FALSE,MyRowHidden(ROW()-1)=TRUE),0,(G906-G905)*unitsOfExo+J905)</f>
        <v>-304560</v>
      </c>
      <c r="K906" s="9">
        <f t="shared" si="78"/>
        <v>304560</v>
      </c>
      <c r="L906">
        <f t="shared" si="79"/>
        <v>-157735</v>
      </c>
      <c r="M906">
        <f>IF(AND(MyRowHidden(ROW())=FALSE,MyRowHidden(ROW()-1)=TRUE),0,IF(MONTH(H906)&lt;&gt;MONTH(H905),M905+1,M905))</f>
        <v>17</v>
      </c>
      <c r="N906">
        <f>IF(AND(MyRowHidden(ROW())=FALSE,MyRowHidden(ROW()-1)=TRUE),0,IF(M906&lt;totalMonths,(totalMonths-M906)/totalMonths *(I906-I905)+N905,0))</f>
        <v>0</v>
      </c>
      <c r="P906">
        <f>IF(AND(MyRowHidden(ROW())=FALSE,MyRowHidden(ROW()-1)=TRUE),0,IF(M906&lt;totalMonths,(totalMonths-M906)/totalMonths *(J906-J905)+P905,0))</f>
        <v>0</v>
      </c>
      <c r="Q906">
        <f>IF(AND(MyRowHidden(ROW())=FALSE,MyRowHidden(ROW()-1)=TRUE),0,IF(M906&lt;totalMonths,(totalMonths-M906)/totalMonths *(K906-K905)+Q905,0))</f>
        <v>0</v>
      </c>
      <c r="R906">
        <f>IF(AND(MyRowHidden(ROW())=FALSE,MyRowHidden(ROW()-1)=TRUE),0,IF(M906&lt;totalMonths,(totalMonths-M906)/totalMonths *(L906-L905)+R905,0))</f>
        <v>0</v>
      </c>
    </row>
    <row r="907" spans="1:18" hidden="1" x14ac:dyDescent="0.25">
      <c r="D907" s="1">
        <v>42528</v>
      </c>
      <c r="E907" s="10">
        <v>11577</v>
      </c>
      <c r="F907" s="1">
        <v>42528</v>
      </c>
      <c r="G907">
        <v>-8074.5</v>
      </c>
      <c r="H907" s="1">
        <f t="shared" si="77"/>
        <v>42528</v>
      </c>
      <c r="I907">
        <f>IF(AND(MyRowHidden(ROW())=FALSE,MyRowHidden(ROW()-1)=TRUE),0,(E907-E906)*unitsOfDHp+I906)</f>
        <v>141575</v>
      </c>
      <c r="J907">
        <f>IF(AND(MyRowHidden(ROW())=FALSE,MyRowHidden(ROW()-1)=TRUE),0,(G907-G906)*unitsOfExo+J906)</f>
        <v>-308160</v>
      </c>
      <c r="K907" s="9">
        <f t="shared" si="78"/>
        <v>308160</v>
      </c>
      <c r="L907">
        <f t="shared" si="79"/>
        <v>-166585</v>
      </c>
      <c r="M907">
        <f>IF(AND(MyRowHidden(ROW())=FALSE,MyRowHidden(ROW()-1)=TRUE),0,IF(MONTH(H907)&lt;&gt;MONTH(H906),M906+1,M906))</f>
        <v>17</v>
      </c>
      <c r="N907">
        <f>IF(AND(MyRowHidden(ROW())=FALSE,MyRowHidden(ROW()-1)=TRUE),0,IF(M907&lt;totalMonths,(totalMonths-M907)/totalMonths *(I907-I906)+N906,0))</f>
        <v>0</v>
      </c>
      <c r="P907">
        <f>IF(AND(MyRowHidden(ROW())=FALSE,MyRowHidden(ROW()-1)=TRUE),0,IF(M907&lt;totalMonths,(totalMonths-M907)/totalMonths *(J907-J906)+P906,0))</f>
        <v>0</v>
      </c>
      <c r="Q907">
        <f>IF(AND(MyRowHidden(ROW())=FALSE,MyRowHidden(ROW()-1)=TRUE),0,IF(M907&lt;totalMonths,(totalMonths-M907)/totalMonths *(K907-K906)+Q906,0))</f>
        <v>0</v>
      </c>
      <c r="R907">
        <f>IF(AND(MyRowHidden(ROW())=FALSE,MyRowHidden(ROW()-1)=TRUE),0,IF(M907&lt;totalMonths,(totalMonths-M907)/totalMonths *(L907-L906)+R906,0))</f>
        <v>0</v>
      </c>
    </row>
    <row r="908" spans="1:18" hidden="1" x14ac:dyDescent="0.25">
      <c r="D908" s="1">
        <v>42529</v>
      </c>
      <c r="E908" s="10">
        <v>11064</v>
      </c>
      <c r="F908" s="1">
        <v>42529</v>
      </c>
      <c r="G908">
        <v>-7799.5</v>
      </c>
      <c r="H908" s="1">
        <f t="shared" si="77"/>
        <v>42529</v>
      </c>
      <c r="I908">
        <f>IF(AND(MyRowHidden(ROW())=FALSE,MyRowHidden(ROW()-1)=TRUE),0,(E908-E907)*unitsOfDHp+I907)</f>
        <v>123620</v>
      </c>
      <c r="J908">
        <f>IF(AND(MyRowHidden(ROW())=FALSE,MyRowHidden(ROW()-1)=TRUE),0,(G908-G907)*unitsOfExo+J907)</f>
        <v>-228960</v>
      </c>
      <c r="K908" s="9">
        <f t="shared" si="78"/>
        <v>228960</v>
      </c>
      <c r="L908">
        <f t="shared" si="79"/>
        <v>-105340</v>
      </c>
      <c r="M908">
        <f>IF(AND(MyRowHidden(ROW())=FALSE,MyRowHidden(ROW()-1)=TRUE),0,IF(MONTH(H908)&lt;&gt;MONTH(H907),M907+1,M907))</f>
        <v>17</v>
      </c>
      <c r="N908">
        <f>IF(AND(MyRowHidden(ROW())=FALSE,MyRowHidden(ROW()-1)=TRUE),0,IF(M908&lt;totalMonths,(totalMonths-M908)/totalMonths *(I908-I907)+N907,0))</f>
        <v>0</v>
      </c>
      <c r="P908">
        <f>IF(AND(MyRowHidden(ROW())=FALSE,MyRowHidden(ROW()-1)=TRUE),0,IF(M908&lt;totalMonths,(totalMonths-M908)/totalMonths *(J908-J907)+P907,0))</f>
        <v>0</v>
      </c>
      <c r="Q908">
        <f>IF(AND(MyRowHidden(ROW())=FALSE,MyRowHidden(ROW()-1)=TRUE),0,IF(M908&lt;totalMonths,(totalMonths-M908)/totalMonths *(K908-K907)+Q907,0))</f>
        <v>0</v>
      </c>
      <c r="R908">
        <f>IF(AND(MyRowHidden(ROW())=FALSE,MyRowHidden(ROW()-1)=TRUE),0,IF(M908&lt;totalMonths,(totalMonths-M908)/totalMonths *(L908-L907)+R907,0))</f>
        <v>0</v>
      </c>
    </row>
    <row r="909" spans="1:18" hidden="1" x14ac:dyDescent="0.25">
      <c r="D909" s="1">
        <v>42530</v>
      </c>
      <c r="E909" s="10">
        <v>11939</v>
      </c>
      <c r="F909" s="1">
        <v>42530</v>
      </c>
      <c r="G909">
        <v>-8124.5</v>
      </c>
      <c r="H909" s="1">
        <f t="shared" si="77"/>
        <v>42530</v>
      </c>
      <c r="I909">
        <f>IF(AND(MyRowHidden(ROW())=FALSE,MyRowHidden(ROW()-1)=TRUE),0,(E909-E908)*unitsOfDHp+I908)</f>
        <v>154245</v>
      </c>
      <c r="J909">
        <f>IF(AND(MyRowHidden(ROW())=FALSE,MyRowHidden(ROW()-1)=TRUE),0,(G909-G908)*unitsOfExo+J908)</f>
        <v>-322560</v>
      </c>
      <c r="K909" s="9">
        <f t="shared" si="78"/>
        <v>322560</v>
      </c>
      <c r="L909">
        <f t="shared" si="79"/>
        <v>-168315</v>
      </c>
      <c r="M909">
        <f>IF(AND(MyRowHidden(ROW())=FALSE,MyRowHidden(ROW()-1)=TRUE),0,IF(MONTH(H909)&lt;&gt;MONTH(H908),M908+1,M908))</f>
        <v>17</v>
      </c>
      <c r="N909">
        <f>IF(AND(MyRowHidden(ROW())=FALSE,MyRowHidden(ROW()-1)=TRUE),0,IF(M909&lt;totalMonths,(totalMonths-M909)/totalMonths *(I909-I908)+N908,0))</f>
        <v>0</v>
      </c>
      <c r="P909">
        <f>IF(AND(MyRowHidden(ROW())=FALSE,MyRowHidden(ROW()-1)=TRUE),0,IF(M909&lt;totalMonths,(totalMonths-M909)/totalMonths *(J909-J908)+P908,0))</f>
        <v>0</v>
      </c>
      <c r="Q909">
        <f>IF(AND(MyRowHidden(ROW())=FALSE,MyRowHidden(ROW()-1)=TRUE),0,IF(M909&lt;totalMonths,(totalMonths-M909)/totalMonths *(K909-K908)+Q908,0))</f>
        <v>0</v>
      </c>
      <c r="R909">
        <f>IF(AND(MyRowHidden(ROW())=FALSE,MyRowHidden(ROW()-1)=TRUE),0,IF(M909&lt;totalMonths,(totalMonths-M909)/totalMonths *(L909-L908)+R908,0))</f>
        <v>0</v>
      </c>
    </row>
    <row r="910" spans="1:18" hidden="1" x14ac:dyDescent="0.25">
      <c r="D910" s="1">
        <v>42531</v>
      </c>
      <c r="E910" s="10">
        <v>12314</v>
      </c>
      <c r="F910" s="1">
        <v>42531</v>
      </c>
      <c r="G910">
        <v>-8299.5</v>
      </c>
      <c r="H910" s="1">
        <f t="shared" si="77"/>
        <v>42531</v>
      </c>
      <c r="I910">
        <f>IF(AND(MyRowHidden(ROW())=FALSE,MyRowHidden(ROW()-1)=TRUE),0,(E910-E909)*unitsOfDHp+I909)</f>
        <v>167370</v>
      </c>
      <c r="J910">
        <f>IF(AND(MyRowHidden(ROW())=FALSE,MyRowHidden(ROW()-1)=TRUE),0,(G910-G909)*unitsOfExo+J909)</f>
        <v>-372960</v>
      </c>
      <c r="K910" s="9">
        <f t="shared" si="78"/>
        <v>372960</v>
      </c>
      <c r="L910">
        <f t="shared" si="79"/>
        <v>-205590</v>
      </c>
      <c r="M910">
        <f>IF(AND(MyRowHidden(ROW())=FALSE,MyRowHidden(ROW()-1)=TRUE),0,IF(MONTH(H910)&lt;&gt;MONTH(H909),M909+1,M909))</f>
        <v>17</v>
      </c>
      <c r="N910">
        <f>IF(AND(MyRowHidden(ROW())=FALSE,MyRowHidden(ROW()-1)=TRUE),0,IF(M910&lt;totalMonths,(totalMonths-M910)/totalMonths *(I910-I909)+N909,0))</f>
        <v>0</v>
      </c>
      <c r="P910">
        <f>IF(AND(MyRowHidden(ROW())=FALSE,MyRowHidden(ROW()-1)=TRUE),0,IF(M910&lt;totalMonths,(totalMonths-M910)/totalMonths *(J910-J909)+P909,0))</f>
        <v>0</v>
      </c>
      <c r="Q910">
        <f>IF(AND(MyRowHidden(ROW())=FALSE,MyRowHidden(ROW()-1)=TRUE),0,IF(M910&lt;totalMonths,(totalMonths-M910)/totalMonths *(K910-K909)+Q909,0))</f>
        <v>0</v>
      </c>
      <c r="R910">
        <f>IF(AND(MyRowHidden(ROW())=FALSE,MyRowHidden(ROW()-1)=TRUE),0,IF(M910&lt;totalMonths,(totalMonths-M910)/totalMonths *(L910-L909)+R909,0))</f>
        <v>0</v>
      </c>
    </row>
    <row r="911" spans="1:18" hidden="1" x14ac:dyDescent="0.25">
      <c r="D911" s="1">
        <v>42534</v>
      </c>
      <c r="E911" s="10">
        <v>11539</v>
      </c>
      <c r="F911" s="1">
        <v>42534</v>
      </c>
      <c r="G911">
        <v>-7962</v>
      </c>
      <c r="H911" s="1">
        <f t="shared" si="77"/>
        <v>42534</v>
      </c>
      <c r="I911">
        <f>IF(AND(MyRowHidden(ROW())=FALSE,MyRowHidden(ROW()-1)=TRUE),0,(E911-E910)*unitsOfDHp+I910)</f>
        <v>140245</v>
      </c>
      <c r="J911">
        <f>IF(AND(MyRowHidden(ROW())=FALSE,MyRowHidden(ROW()-1)=TRUE),0,(G911-G910)*unitsOfExo+J910)</f>
        <v>-275760</v>
      </c>
      <c r="K911" s="9">
        <f t="shared" si="78"/>
        <v>275760</v>
      </c>
      <c r="L911">
        <f t="shared" si="79"/>
        <v>-135515</v>
      </c>
      <c r="M911">
        <f>IF(AND(MyRowHidden(ROW())=FALSE,MyRowHidden(ROW()-1)=TRUE),0,IF(MONTH(H911)&lt;&gt;MONTH(H910),M910+1,M910))</f>
        <v>17</v>
      </c>
      <c r="N911">
        <f>IF(AND(MyRowHidden(ROW())=FALSE,MyRowHidden(ROW()-1)=TRUE),0,IF(M911&lt;totalMonths,(totalMonths-M911)/totalMonths *(I911-I910)+N910,0))</f>
        <v>0</v>
      </c>
      <c r="P911">
        <f>IF(AND(MyRowHidden(ROW())=FALSE,MyRowHidden(ROW()-1)=TRUE),0,IF(M911&lt;totalMonths,(totalMonths-M911)/totalMonths *(J911-J910)+P910,0))</f>
        <v>0</v>
      </c>
      <c r="Q911">
        <f>IF(AND(MyRowHidden(ROW())=FALSE,MyRowHidden(ROW()-1)=TRUE),0,IF(M911&lt;totalMonths,(totalMonths-M911)/totalMonths *(K911-K910)+Q910,0))</f>
        <v>0</v>
      </c>
      <c r="R911">
        <f>IF(AND(MyRowHidden(ROW())=FALSE,MyRowHidden(ROW()-1)=TRUE),0,IF(M911&lt;totalMonths,(totalMonths-M911)/totalMonths *(L911-L910)+R910,0))</f>
        <v>0</v>
      </c>
    </row>
    <row r="912" spans="1:18" hidden="1" x14ac:dyDescent="0.25">
      <c r="D912" s="1">
        <v>42535</v>
      </c>
      <c r="E912" s="10">
        <v>10914</v>
      </c>
      <c r="F912" s="1">
        <v>42535</v>
      </c>
      <c r="G912">
        <v>-7737</v>
      </c>
      <c r="H912" s="1">
        <f t="shared" si="77"/>
        <v>42535</v>
      </c>
      <c r="I912">
        <f>IF(AND(MyRowHidden(ROW())=FALSE,MyRowHidden(ROW()-1)=TRUE),0,(E912-E911)*unitsOfDHp+I911)</f>
        <v>118370</v>
      </c>
      <c r="J912">
        <f>IF(AND(MyRowHidden(ROW())=FALSE,MyRowHidden(ROW()-1)=TRUE),0,(G912-G911)*unitsOfExo+J911)</f>
        <v>-210960</v>
      </c>
      <c r="K912" s="9">
        <f t="shared" si="78"/>
        <v>210960</v>
      </c>
      <c r="L912">
        <f t="shared" si="79"/>
        <v>-92590</v>
      </c>
      <c r="M912">
        <f>IF(AND(MyRowHidden(ROW())=FALSE,MyRowHidden(ROW()-1)=TRUE),0,IF(MONTH(H912)&lt;&gt;MONTH(H911),M911+1,M911))</f>
        <v>17</v>
      </c>
      <c r="N912">
        <f>IF(AND(MyRowHidden(ROW())=FALSE,MyRowHidden(ROW()-1)=TRUE),0,IF(M912&lt;totalMonths,(totalMonths-M912)/totalMonths *(I912-I911)+N911,0))</f>
        <v>0</v>
      </c>
      <c r="P912">
        <f>IF(AND(MyRowHidden(ROW())=FALSE,MyRowHidden(ROW()-1)=TRUE),0,IF(M912&lt;totalMonths,(totalMonths-M912)/totalMonths *(J912-J911)+P911,0))</f>
        <v>0</v>
      </c>
      <c r="Q912">
        <f>IF(AND(MyRowHidden(ROW())=FALSE,MyRowHidden(ROW()-1)=TRUE),0,IF(M912&lt;totalMonths,(totalMonths-M912)/totalMonths *(K912-K911)+Q911,0))</f>
        <v>0</v>
      </c>
      <c r="R912">
        <f>IF(AND(MyRowHidden(ROW())=FALSE,MyRowHidden(ROW()-1)=TRUE),0,IF(M912&lt;totalMonths,(totalMonths-M912)/totalMonths *(L912-L911)+R911,0))</f>
        <v>0</v>
      </c>
    </row>
    <row r="913" spans="4:18" hidden="1" x14ac:dyDescent="0.25">
      <c r="D913" s="1">
        <v>42536</v>
      </c>
      <c r="E913" s="10">
        <v>11264</v>
      </c>
      <c r="F913" s="1">
        <v>42536</v>
      </c>
      <c r="G913">
        <v>-7874.5</v>
      </c>
      <c r="H913" s="1">
        <f t="shared" ref="H913:H967" si="80">D913</f>
        <v>42536</v>
      </c>
      <c r="I913">
        <f>IF(AND(MyRowHidden(ROW())=FALSE,MyRowHidden(ROW()-1)=TRUE),0,(E913-E912)*unitsOfDHp+I912)</f>
        <v>130620</v>
      </c>
      <c r="J913">
        <f>IF(AND(MyRowHidden(ROW())=FALSE,MyRowHidden(ROW()-1)=TRUE),0,(G913-G912)*unitsOfExo+J912)</f>
        <v>-250560</v>
      </c>
      <c r="K913" s="9">
        <f t="shared" ref="K913:K967" si="81">-(J913-J912)+K912</f>
        <v>250560</v>
      </c>
      <c r="L913">
        <f t="shared" ref="L913:L967" si="82">I913+J913</f>
        <v>-119940</v>
      </c>
      <c r="M913">
        <f>IF(AND(MyRowHidden(ROW())=FALSE,MyRowHidden(ROW()-1)=TRUE),0,IF(MONTH(H913)&lt;&gt;MONTH(H912),M912+1,M912))</f>
        <v>17</v>
      </c>
      <c r="N913">
        <f>IF(AND(MyRowHidden(ROW())=FALSE,MyRowHidden(ROW()-1)=TRUE),0,IF(M913&lt;totalMonths,(totalMonths-M913)/totalMonths *(I913-I912)+N912,0))</f>
        <v>0</v>
      </c>
      <c r="P913">
        <f>IF(AND(MyRowHidden(ROW())=FALSE,MyRowHidden(ROW()-1)=TRUE),0,IF(M913&lt;totalMonths,(totalMonths-M913)/totalMonths *(J913-J912)+P912,0))</f>
        <v>0</v>
      </c>
      <c r="Q913">
        <f>IF(AND(MyRowHidden(ROW())=FALSE,MyRowHidden(ROW()-1)=TRUE),0,IF(M913&lt;totalMonths,(totalMonths-M913)/totalMonths *(K913-K912)+Q912,0))</f>
        <v>0</v>
      </c>
      <c r="R913">
        <f>IF(AND(MyRowHidden(ROW())=FALSE,MyRowHidden(ROW()-1)=TRUE),0,IF(M913&lt;totalMonths,(totalMonths-M913)/totalMonths *(L913-L912)+R912,0))</f>
        <v>0</v>
      </c>
    </row>
    <row r="914" spans="4:18" hidden="1" x14ac:dyDescent="0.25">
      <c r="D914" s="1">
        <v>42537</v>
      </c>
      <c r="E914" s="10">
        <v>12064</v>
      </c>
      <c r="F914" s="1">
        <v>42537</v>
      </c>
      <c r="G914">
        <v>-8187</v>
      </c>
      <c r="H914" s="1">
        <f t="shared" si="80"/>
        <v>42537</v>
      </c>
      <c r="I914">
        <f>IF(AND(MyRowHidden(ROW())=FALSE,MyRowHidden(ROW()-1)=TRUE),0,(E914-E913)*unitsOfDHp+I913)</f>
        <v>158620</v>
      </c>
      <c r="J914">
        <f>IF(AND(MyRowHidden(ROW())=FALSE,MyRowHidden(ROW()-1)=TRUE),0,(G914-G913)*unitsOfExo+J913)</f>
        <v>-340560</v>
      </c>
      <c r="K914" s="9">
        <f t="shared" si="81"/>
        <v>340560</v>
      </c>
      <c r="L914">
        <f t="shared" si="82"/>
        <v>-181940</v>
      </c>
      <c r="M914">
        <f>IF(AND(MyRowHidden(ROW())=FALSE,MyRowHidden(ROW()-1)=TRUE),0,IF(MONTH(H914)&lt;&gt;MONTH(H913),M913+1,M913))</f>
        <v>17</v>
      </c>
      <c r="N914">
        <f>IF(AND(MyRowHidden(ROW())=FALSE,MyRowHidden(ROW()-1)=TRUE),0,IF(M914&lt;totalMonths,(totalMonths-M914)/totalMonths *(I914-I913)+N913,0))</f>
        <v>0</v>
      </c>
      <c r="P914">
        <f>IF(AND(MyRowHidden(ROW())=FALSE,MyRowHidden(ROW()-1)=TRUE),0,IF(M914&lt;totalMonths,(totalMonths-M914)/totalMonths *(J914-J913)+P913,0))</f>
        <v>0</v>
      </c>
      <c r="Q914">
        <f>IF(AND(MyRowHidden(ROW())=FALSE,MyRowHidden(ROW()-1)=TRUE),0,IF(M914&lt;totalMonths,(totalMonths-M914)/totalMonths *(K914-K913)+Q913,0))</f>
        <v>0</v>
      </c>
      <c r="R914">
        <f>IF(AND(MyRowHidden(ROW())=FALSE,MyRowHidden(ROW()-1)=TRUE),0,IF(M914&lt;totalMonths,(totalMonths-M914)/totalMonths *(L914-L913)+R913,0))</f>
        <v>0</v>
      </c>
    </row>
    <row r="915" spans="4:18" hidden="1" x14ac:dyDescent="0.25">
      <c r="D915" s="1">
        <v>42538</v>
      </c>
      <c r="E915" s="10">
        <v>10826</v>
      </c>
      <c r="F915" s="1">
        <v>42538</v>
      </c>
      <c r="G915">
        <v>-7712</v>
      </c>
      <c r="H915" s="1">
        <f t="shared" si="80"/>
        <v>42538</v>
      </c>
      <c r="I915">
        <f>IF(AND(MyRowHidden(ROW())=FALSE,MyRowHidden(ROW()-1)=TRUE),0,(E915-E914)*unitsOfDHp+I914)</f>
        <v>115290</v>
      </c>
      <c r="J915">
        <f>IF(AND(MyRowHidden(ROW())=FALSE,MyRowHidden(ROW()-1)=TRUE),0,(G915-G914)*unitsOfExo+J914)</f>
        <v>-203760</v>
      </c>
      <c r="K915" s="9">
        <f t="shared" si="81"/>
        <v>203760</v>
      </c>
      <c r="L915">
        <f t="shared" si="82"/>
        <v>-88470</v>
      </c>
      <c r="M915">
        <f>IF(AND(MyRowHidden(ROW())=FALSE,MyRowHidden(ROW()-1)=TRUE),0,IF(MONTH(H915)&lt;&gt;MONTH(H914),M914+1,M914))</f>
        <v>17</v>
      </c>
      <c r="N915">
        <f>IF(AND(MyRowHidden(ROW())=FALSE,MyRowHidden(ROW()-1)=TRUE),0,IF(M915&lt;totalMonths,(totalMonths-M915)/totalMonths *(I915-I914)+N914,0))</f>
        <v>0</v>
      </c>
      <c r="P915">
        <f>IF(AND(MyRowHidden(ROW())=FALSE,MyRowHidden(ROW()-1)=TRUE),0,IF(M915&lt;totalMonths,(totalMonths-M915)/totalMonths *(J915-J914)+P914,0))</f>
        <v>0</v>
      </c>
      <c r="Q915">
        <f>IF(AND(MyRowHidden(ROW())=FALSE,MyRowHidden(ROW()-1)=TRUE),0,IF(M915&lt;totalMonths,(totalMonths-M915)/totalMonths *(K915-K914)+Q914,0))</f>
        <v>0</v>
      </c>
      <c r="R915">
        <f>IF(AND(MyRowHidden(ROW())=FALSE,MyRowHidden(ROW()-1)=TRUE),0,IF(M915&lt;totalMonths,(totalMonths-M915)/totalMonths *(L915-L914)+R914,0))</f>
        <v>0</v>
      </c>
    </row>
    <row r="916" spans="4:18" hidden="1" x14ac:dyDescent="0.25">
      <c r="D916" s="1">
        <v>42541</v>
      </c>
      <c r="E916" s="10">
        <v>12314</v>
      </c>
      <c r="F916" s="1">
        <v>42541</v>
      </c>
      <c r="G916">
        <v>-8274.5</v>
      </c>
      <c r="H916" s="1">
        <f t="shared" si="80"/>
        <v>42541</v>
      </c>
      <c r="I916">
        <f>IF(AND(MyRowHidden(ROW())=FALSE,MyRowHidden(ROW()-1)=TRUE),0,(E916-E915)*unitsOfDHp+I915)</f>
        <v>167370</v>
      </c>
      <c r="J916">
        <f>IF(AND(MyRowHidden(ROW())=FALSE,MyRowHidden(ROW()-1)=TRUE),0,(G916-G915)*unitsOfExo+J915)</f>
        <v>-365760</v>
      </c>
      <c r="K916" s="9">
        <f t="shared" si="81"/>
        <v>365760</v>
      </c>
      <c r="L916">
        <f t="shared" si="82"/>
        <v>-198390</v>
      </c>
      <c r="M916">
        <f>IF(AND(MyRowHidden(ROW())=FALSE,MyRowHidden(ROW()-1)=TRUE),0,IF(MONTH(H916)&lt;&gt;MONTH(H915),M915+1,M915))</f>
        <v>17</v>
      </c>
      <c r="N916">
        <f>IF(AND(MyRowHidden(ROW())=FALSE,MyRowHidden(ROW()-1)=TRUE),0,IF(M916&lt;totalMonths,(totalMonths-M916)/totalMonths *(I916-I915)+N915,0))</f>
        <v>0</v>
      </c>
      <c r="P916">
        <f>IF(AND(MyRowHidden(ROW())=FALSE,MyRowHidden(ROW()-1)=TRUE),0,IF(M916&lt;totalMonths,(totalMonths-M916)/totalMonths *(J916-J915)+P915,0))</f>
        <v>0</v>
      </c>
      <c r="Q916">
        <f>IF(AND(MyRowHidden(ROW())=FALSE,MyRowHidden(ROW()-1)=TRUE),0,IF(M916&lt;totalMonths,(totalMonths-M916)/totalMonths *(K916-K915)+Q915,0))</f>
        <v>0</v>
      </c>
      <c r="R916">
        <f>IF(AND(MyRowHidden(ROW())=FALSE,MyRowHidden(ROW()-1)=TRUE),0,IF(M916&lt;totalMonths,(totalMonths-M916)/totalMonths *(L916-L915)+R915,0))</f>
        <v>0</v>
      </c>
    </row>
    <row r="917" spans="4:18" hidden="1" x14ac:dyDescent="0.25">
      <c r="D917" s="1">
        <v>42542</v>
      </c>
      <c r="E917" s="10">
        <v>15002</v>
      </c>
      <c r="F917" s="1">
        <v>42542</v>
      </c>
      <c r="G917">
        <v>-9549.5</v>
      </c>
      <c r="H917" s="1">
        <f t="shared" si="80"/>
        <v>42542</v>
      </c>
      <c r="I917">
        <f>IF(AND(MyRowHidden(ROW())=FALSE,MyRowHidden(ROW()-1)=TRUE),0,(E917-E916)*unitsOfDHp+I916)</f>
        <v>261450</v>
      </c>
      <c r="J917">
        <f>IF(AND(MyRowHidden(ROW())=FALSE,MyRowHidden(ROW()-1)=TRUE),0,(G917-G916)*unitsOfExo+J916)</f>
        <v>-732960</v>
      </c>
      <c r="K917" s="9">
        <f t="shared" si="81"/>
        <v>732960</v>
      </c>
      <c r="L917">
        <f t="shared" si="82"/>
        <v>-471510</v>
      </c>
      <c r="M917">
        <f>IF(AND(MyRowHidden(ROW())=FALSE,MyRowHidden(ROW()-1)=TRUE),0,IF(MONTH(H917)&lt;&gt;MONTH(H916),M916+1,M916))</f>
        <v>17</v>
      </c>
      <c r="N917">
        <f>IF(AND(MyRowHidden(ROW())=FALSE,MyRowHidden(ROW()-1)=TRUE),0,IF(M917&lt;totalMonths,(totalMonths-M917)/totalMonths *(I917-I916)+N916,0))</f>
        <v>0</v>
      </c>
      <c r="P917">
        <f>IF(AND(MyRowHidden(ROW())=FALSE,MyRowHidden(ROW()-1)=TRUE),0,IF(M917&lt;totalMonths,(totalMonths-M917)/totalMonths *(J917-J916)+P916,0))</f>
        <v>0</v>
      </c>
      <c r="Q917">
        <f>IF(AND(MyRowHidden(ROW())=FALSE,MyRowHidden(ROW()-1)=TRUE),0,IF(M917&lt;totalMonths,(totalMonths-M917)/totalMonths *(K917-K916)+Q916,0))</f>
        <v>0</v>
      </c>
      <c r="R917">
        <f>IF(AND(MyRowHidden(ROW())=FALSE,MyRowHidden(ROW()-1)=TRUE),0,IF(M917&lt;totalMonths,(totalMonths-M917)/totalMonths *(L917-L916)+R916,0))</f>
        <v>0</v>
      </c>
    </row>
    <row r="918" spans="4:18" hidden="1" x14ac:dyDescent="0.25">
      <c r="D918" s="1">
        <v>42543</v>
      </c>
      <c r="E918" s="10">
        <v>14736</v>
      </c>
      <c r="F918" s="1">
        <v>42543</v>
      </c>
      <c r="G918">
        <v>-9562</v>
      </c>
      <c r="H918" s="1">
        <f t="shared" si="80"/>
        <v>42543</v>
      </c>
      <c r="I918">
        <f>IF(AND(MyRowHidden(ROW())=FALSE,MyRowHidden(ROW()-1)=TRUE),0,(E918-E917)*unitsOfDHp+I917)</f>
        <v>252140</v>
      </c>
      <c r="J918">
        <f>IF(AND(MyRowHidden(ROW())=FALSE,MyRowHidden(ROW()-1)=TRUE),0,(G918-G917)*unitsOfExo+J917)</f>
        <v>-736560</v>
      </c>
      <c r="K918" s="9">
        <f t="shared" si="81"/>
        <v>736560</v>
      </c>
      <c r="L918">
        <f t="shared" si="82"/>
        <v>-484420</v>
      </c>
      <c r="M918">
        <f>IF(AND(MyRowHidden(ROW())=FALSE,MyRowHidden(ROW()-1)=TRUE),0,IF(MONTH(H918)&lt;&gt;MONTH(H917),M917+1,M917))</f>
        <v>17</v>
      </c>
      <c r="N918">
        <f>IF(AND(MyRowHidden(ROW())=FALSE,MyRowHidden(ROW()-1)=TRUE),0,IF(M918&lt;totalMonths,(totalMonths-M918)/totalMonths *(I918-I917)+N917,0))</f>
        <v>0</v>
      </c>
      <c r="P918">
        <f>IF(AND(MyRowHidden(ROW())=FALSE,MyRowHidden(ROW()-1)=TRUE),0,IF(M918&lt;totalMonths,(totalMonths-M918)/totalMonths *(J918-J917)+P917,0))</f>
        <v>0</v>
      </c>
      <c r="Q918">
        <f>IF(AND(MyRowHidden(ROW())=FALSE,MyRowHidden(ROW()-1)=TRUE),0,IF(M918&lt;totalMonths,(totalMonths-M918)/totalMonths *(K918-K917)+Q917,0))</f>
        <v>0</v>
      </c>
      <c r="R918">
        <f>IF(AND(MyRowHidden(ROW())=FALSE,MyRowHidden(ROW()-1)=TRUE),0,IF(M918&lt;totalMonths,(totalMonths-M918)/totalMonths *(L918-L917)+R917,0))</f>
        <v>0</v>
      </c>
    </row>
    <row r="919" spans="4:18" hidden="1" x14ac:dyDescent="0.25">
      <c r="D919" s="1">
        <v>42544</v>
      </c>
      <c r="E919" s="10">
        <v>14702</v>
      </c>
      <c r="F919" s="1">
        <v>42544</v>
      </c>
      <c r="G919">
        <v>-10037</v>
      </c>
      <c r="H919" s="1">
        <f t="shared" si="80"/>
        <v>42544</v>
      </c>
      <c r="I919">
        <f>IF(AND(MyRowHidden(ROW())=FALSE,MyRowHidden(ROW()-1)=TRUE),0,(E919-E918)*unitsOfDHp+I918)</f>
        <v>250950</v>
      </c>
      <c r="J919">
        <f>IF(AND(MyRowHidden(ROW())=FALSE,MyRowHidden(ROW()-1)=TRUE),0,(G919-G918)*unitsOfExo+J918)</f>
        <v>-873360</v>
      </c>
      <c r="K919" s="9">
        <f t="shared" si="81"/>
        <v>873360</v>
      </c>
      <c r="L919">
        <f t="shared" si="82"/>
        <v>-622410</v>
      </c>
      <c r="M919">
        <f>IF(AND(MyRowHidden(ROW())=FALSE,MyRowHidden(ROW()-1)=TRUE),0,IF(MONTH(H919)&lt;&gt;MONTH(H918),M918+1,M918))</f>
        <v>17</v>
      </c>
      <c r="N919">
        <f>IF(AND(MyRowHidden(ROW())=FALSE,MyRowHidden(ROW()-1)=TRUE),0,IF(M919&lt;totalMonths,(totalMonths-M919)/totalMonths *(I919-I918)+N918,0))</f>
        <v>0</v>
      </c>
      <c r="P919">
        <f>IF(AND(MyRowHidden(ROW())=FALSE,MyRowHidden(ROW()-1)=TRUE),0,IF(M919&lt;totalMonths,(totalMonths-M919)/totalMonths *(J919-J918)+P918,0))</f>
        <v>0</v>
      </c>
      <c r="Q919">
        <f>IF(AND(MyRowHidden(ROW())=FALSE,MyRowHidden(ROW()-1)=TRUE),0,IF(M919&lt;totalMonths,(totalMonths-M919)/totalMonths *(K919-K918)+Q918,0))</f>
        <v>0</v>
      </c>
      <c r="R919">
        <f>IF(AND(MyRowHidden(ROW())=FALSE,MyRowHidden(ROW()-1)=TRUE),0,IF(M919&lt;totalMonths,(totalMonths-M919)/totalMonths *(L919-L918)+R918,0))</f>
        <v>0</v>
      </c>
    </row>
    <row r="920" spans="4:18" hidden="1" x14ac:dyDescent="0.25">
      <c r="D920" s="1">
        <v>42545</v>
      </c>
      <c r="E920" s="10">
        <v>14442</v>
      </c>
      <c r="F920" s="1">
        <v>42545</v>
      </c>
      <c r="G920">
        <v>-10349.5</v>
      </c>
      <c r="H920" s="1">
        <f t="shared" si="80"/>
        <v>42545</v>
      </c>
      <c r="I920">
        <f>IF(AND(MyRowHidden(ROW())=FALSE,MyRowHidden(ROW()-1)=TRUE),0,(E920-E919)*unitsOfDHp+I919)</f>
        <v>241850</v>
      </c>
      <c r="J920">
        <f>IF(AND(MyRowHidden(ROW())=FALSE,MyRowHidden(ROW()-1)=TRUE),0,(G920-G919)*unitsOfExo+J919)</f>
        <v>-963360</v>
      </c>
      <c r="K920" s="9">
        <f t="shared" si="81"/>
        <v>963360</v>
      </c>
      <c r="L920">
        <f t="shared" si="82"/>
        <v>-721510</v>
      </c>
      <c r="M920">
        <f>IF(AND(MyRowHidden(ROW())=FALSE,MyRowHidden(ROW()-1)=TRUE),0,IF(MONTH(H920)&lt;&gt;MONTH(H919),M919+1,M919))</f>
        <v>17</v>
      </c>
      <c r="N920">
        <f>IF(AND(MyRowHidden(ROW())=FALSE,MyRowHidden(ROW()-1)=TRUE),0,IF(M920&lt;totalMonths,(totalMonths-M920)/totalMonths *(I920-I919)+N919,0))</f>
        <v>0</v>
      </c>
      <c r="P920">
        <f>IF(AND(MyRowHidden(ROW())=FALSE,MyRowHidden(ROW()-1)=TRUE),0,IF(M920&lt;totalMonths,(totalMonths-M920)/totalMonths *(J920-J919)+P919,0))</f>
        <v>0</v>
      </c>
      <c r="Q920">
        <f>IF(AND(MyRowHidden(ROW())=FALSE,MyRowHidden(ROW()-1)=TRUE),0,IF(M920&lt;totalMonths,(totalMonths-M920)/totalMonths *(K920-K919)+Q919,0))</f>
        <v>0</v>
      </c>
      <c r="R920">
        <f>IF(AND(MyRowHidden(ROW())=FALSE,MyRowHidden(ROW()-1)=TRUE),0,IF(M920&lt;totalMonths,(totalMonths-M920)/totalMonths *(L920-L919)+R919,0))</f>
        <v>0</v>
      </c>
    </row>
    <row r="921" spans="4:18" hidden="1" x14ac:dyDescent="0.25">
      <c r="D921" s="1">
        <v>42548</v>
      </c>
      <c r="E921" s="10">
        <v>14630</v>
      </c>
      <c r="F921" s="1">
        <v>42548</v>
      </c>
      <c r="G921">
        <v>-10262</v>
      </c>
      <c r="H921" s="1">
        <f t="shared" si="80"/>
        <v>42548</v>
      </c>
      <c r="I921">
        <f>IF(AND(MyRowHidden(ROW())=FALSE,MyRowHidden(ROW()-1)=TRUE),0,(E921-E920)*unitsOfDHp+I920)</f>
        <v>248430</v>
      </c>
      <c r="J921">
        <f>IF(AND(MyRowHidden(ROW())=FALSE,MyRowHidden(ROW()-1)=TRUE),0,(G921-G920)*unitsOfExo+J920)</f>
        <v>-938160</v>
      </c>
      <c r="K921" s="9">
        <f t="shared" si="81"/>
        <v>938160</v>
      </c>
      <c r="L921">
        <f t="shared" si="82"/>
        <v>-689730</v>
      </c>
      <c r="M921">
        <f>IF(AND(MyRowHidden(ROW())=FALSE,MyRowHidden(ROW()-1)=TRUE),0,IF(MONTH(H921)&lt;&gt;MONTH(H920),M920+1,M920))</f>
        <v>17</v>
      </c>
      <c r="N921">
        <f>IF(AND(MyRowHidden(ROW())=FALSE,MyRowHidden(ROW()-1)=TRUE),0,IF(M921&lt;totalMonths,(totalMonths-M921)/totalMonths *(I921-I920)+N920,0))</f>
        <v>0</v>
      </c>
      <c r="P921">
        <f>IF(AND(MyRowHidden(ROW())=FALSE,MyRowHidden(ROW()-1)=TRUE),0,IF(M921&lt;totalMonths,(totalMonths-M921)/totalMonths *(J921-J920)+P920,0))</f>
        <v>0</v>
      </c>
      <c r="Q921">
        <f>IF(AND(MyRowHidden(ROW())=FALSE,MyRowHidden(ROW()-1)=TRUE),0,IF(M921&lt;totalMonths,(totalMonths-M921)/totalMonths *(K921-K920)+Q920,0))</f>
        <v>0</v>
      </c>
      <c r="R921">
        <f>IF(AND(MyRowHidden(ROW())=FALSE,MyRowHidden(ROW()-1)=TRUE),0,IF(M921&lt;totalMonths,(totalMonths-M921)/totalMonths *(L921-L920)+R920,0))</f>
        <v>0</v>
      </c>
    </row>
    <row r="922" spans="4:18" hidden="1" x14ac:dyDescent="0.25">
      <c r="D922" s="1">
        <v>42549</v>
      </c>
      <c r="E922" s="10">
        <v>14768</v>
      </c>
      <c r="F922" s="1">
        <v>42549</v>
      </c>
      <c r="G922">
        <v>-10212</v>
      </c>
      <c r="H922" s="1">
        <f t="shared" si="80"/>
        <v>42549</v>
      </c>
      <c r="I922">
        <f>IF(AND(MyRowHidden(ROW())=FALSE,MyRowHidden(ROW()-1)=TRUE),0,(E922-E921)*unitsOfDHp+I921)</f>
        <v>253260</v>
      </c>
      <c r="J922">
        <f>IF(AND(MyRowHidden(ROW())=FALSE,MyRowHidden(ROW()-1)=TRUE),0,(G922-G921)*unitsOfExo+J921)</f>
        <v>-923760</v>
      </c>
      <c r="K922" s="9">
        <f t="shared" si="81"/>
        <v>923760</v>
      </c>
      <c r="L922">
        <f t="shared" si="82"/>
        <v>-670500</v>
      </c>
      <c r="M922">
        <f>IF(AND(MyRowHidden(ROW())=FALSE,MyRowHidden(ROW()-1)=TRUE),0,IF(MONTH(H922)&lt;&gt;MONTH(H921),M921+1,M921))</f>
        <v>17</v>
      </c>
      <c r="N922">
        <f>IF(AND(MyRowHidden(ROW())=FALSE,MyRowHidden(ROW()-1)=TRUE),0,IF(M922&lt;totalMonths,(totalMonths-M922)/totalMonths *(I922-I921)+N921,0))</f>
        <v>0</v>
      </c>
      <c r="P922">
        <f>IF(AND(MyRowHidden(ROW())=FALSE,MyRowHidden(ROW()-1)=TRUE),0,IF(M922&lt;totalMonths,(totalMonths-M922)/totalMonths *(J922-J921)+P921,0))</f>
        <v>0</v>
      </c>
      <c r="Q922">
        <f>IF(AND(MyRowHidden(ROW())=FALSE,MyRowHidden(ROW()-1)=TRUE),0,IF(M922&lt;totalMonths,(totalMonths-M922)/totalMonths *(K922-K921)+Q921,0))</f>
        <v>0</v>
      </c>
      <c r="R922">
        <f>IF(AND(MyRowHidden(ROW())=FALSE,MyRowHidden(ROW()-1)=TRUE),0,IF(M922&lt;totalMonths,(totalMonths-M922)/totalMonths *(L922-L921)+R921,0))</f>
        <v>0</v>
      </c>
    </row>
    <row r="923" spans="4:18" hidden="1" x14ac:dyDescent="0.25">
      <c r="D923" s="1">
        <v>42550</v>
      </c>
      <c r="E923" s="10">
        <v>14584</v>
      </c>
      <c r="F923" s="1">
        <v>42550</v>
      </c>
      <c r="G923">
        <v>-10749.5</v>
      </c>
      <c r="H923" s="1">
        <f t="shared" si="80"/>
        <v>42550</v>
      </c>
      <c r="I923">
        <f>IF(AND(MyRowHidden(ROW())=FALSE,MyRowHidden(ROW()-1)=TRUE),0,(E923-E922)*unitsOfDHp+I922)</f>
        <v>246820</v>
      </c>
      <c r="J923">
        <f>IF(AND(MyRowHidden(ROW())=FALSE,MyRowHidden(ROW()-1)=TRUE),0,(G923-G922)*unitsOfExo+J922)</f>
        <v>-1078560</v>
      </c>
      <c r="K923" s="9">
        <f t="shared" si="81"/>
        <v>1078560</v>
      </c>
      <c r="L923">
        <f t="shared" si="82"/>
        <v>-831740</v>
      </c>
      <c r="M923">
        <f>IF(AND(MyRowHidden(ROW())=FALSE,MyRowHidden(ROW()-1)=TRUE),0,IF(MONTH(H923)&lt;&gt;MONTH(H922),M922+1,M922))</f>
        <v>17</v>
      </c>
      <c r="N923">
        <f>IF(AND(MyRowHidden(ROW())=FALSE,MyRowHidden(ROW()-1)=TRUE),0,IF(M923&lt;totalMonths,(totalMonths-M923)/totalMonths *(I923-I922)+N922,0))</f>
        <v>0</v>
      </c>
      <c r="P923">
        <f>IF(AND(MyRowHidden(ROW())=FALSE,MyRowHidden(ROW()-1)=TRUE),0,IF(M923&lt;totalMonths,(totalMonths-M923)/totalMonths *(J923-J922)+P922,0))</f>
        <v>0</v>
      </c>
      <c r="Q923">
        <f>IF(AND(MyRowHidden(ROW())=FALSE,MyRowHidden(ROW()-1)=TRUE),0,IF(M923&lt;totalMonths,(totalMonths-M923)/totalMonths *(K923-K922)+Q922,0))</f>
        <v>0</v>
      </c>
      <c r="R923">
        <f>IF(AND(MyRowHidden(ROW())=FALSE,MyRowHidden(ROW()-1)=TRUE),0,IF(M923&lt;totalMonths,(totalMonths-M923)/totalMonths *(L923-L922)+R922,0))</f>
        <v>0</v>
      </c>
    </row>
    <row r="924" spans="4:18" hidden="1" x14ac:dyDescent="0.25">
      <c r="D924" s="1">
        <v>42551</v>
      </c>
      <c r="E924" s="10">
        <v>14746</v>
      </c>
      <c r="F924" s="1">
        <v>42551</v>
      </c>
      <c r="G924">
        <v>-11299.5</v>
      </c>
      <c r="H924" s="1">
        <f t="shared" si="80"/>
        <v>42551</v>
      </c>
      <c r="I924">
        <f>IF(AND(MyRowHidden(ROW())=FALSE,MyRowHidden(ROW()-1)=TRUE),0,(E924-E923)*unitsOfDHp+I923)</f>
        <v>252490</v>
      </c>
      <c r="J924">
        <f>IF(AND(MyRowHidden(ROW())=FALSE,MyRowHidden(ROW()-1)=TRUE),0,(G924-G923)*unitsOfExo+J923)</f>
        <v>-1236960</v>
      </c>
      <c r="K924" s="9">
        <f t="shared" si="81"/>
        <v>1236960</v>
      </c>
      <c r="L924">
        <f t="shared" si="82"/>
        <v>-984470</v>
      </c>
      <c r="M924">
        <f>IF(AND(MyRowHidden(ROW())=FALSE,MyRowHidden(ROW()-1)=TRUE),0,IF(MONTH(H924)&lt;&gt;MONTH(H923),M923+1,M923))</f>
        <v>17</v>
      </c>
      <c r="N924">
        <f>IF(AND(MyRowHidden(ROW())=FALSE,MyRowHidden(ROW()-1)=TRUE),0,IF(M924&lt;totalMonths,(totalMonths-M924)/totalMonths *(I924-I923)+N923,0))</f>
        <v>0</v>
      </c>
      <c r="P924">
        <f>IF(AND(MyRowHidden(ROW())=FALSE,MyRowHidden(ROW()-1)=TRUE),0,IF(M924&lt;totalMonths,(totalMonths-M924)/totalMonths *(J924-J923)+P923,0))</f>
        <v>0</v>
      </c>
      <c r="Q924">
        <f>IF(AND(MyRowHidden(ROW())=FALSE,MyRowHidden(ROW()-1)=TRUE),0,IF(M924&lt;totalMonths,(totalMonths-M924)/totalMonths *(K924-K923)+Q923,0))</f>
        <v>0</v>
      </c>
      <c r="R924">
        <f>IF(AND(MyRowHidden(ROW())=FALSE,MyRowHidden(ROW()-1)=TRUE),0,IF(M924&lt;totalMonths,(totalMonths-M924)/totalMonths *(L924-L923)+R923,0))</f>
        <v>0</v>
      </c>
    </row>
    <row r="925" spans="4:18" hidden="1" x14ac:dyDescent="0.25">
      <c r="D925" s="1">
        <v>42552</v>
      </c>
      <c r="E925" s="10">
        <v>14960</v>
      </c>
      <c r="F925" s="1">
        <v>42552</v>
      </c>
      <c r="G925">
        <v>-11674</v>
      </c>
      <c r="H925" s="1">
        <f t="shared" si="80"/>
        <v>42552</v>
      </c>
      <c r="I925">
        <f>IF(AND(MyRowHidden(ROW())=FALSE,MyRowHidden(ROW()-1)=TRUE),0,(E925-E924)*unitsOfDHp+I924)</f>
        <v>259980</v>
      </c>
      <c r="J925">
        <f>IF(AND(MyRowHidden(ROW())=FALSE,MyRowHidden(ROW()-1)=TRUE),0,(G925-G924)*unitsOfExo+J924)</f>
        <v>-1344816</v>
      </c>
      <c r="K925" s="9">
        <f t="shared" si="81"/>
        <v>1344816</v>
      </c>
      <c r="L925">
        <f t="shared" si="82"/>
        <v>-1084836</v>
      </c>
      <c r="M925">
        <f>IF(AND(MyRowHidden(ROW())=FALSE,MyRowHidden(ROW()-1)=TRUE),0,IF(MONTH(H925)&lt;&gt;MONTH(H924),M924+1,M924))</f>
        <v>18</v>
      </c>
      <c r="N925">
        <f>IF(AND(MyRowHidden(ROW())=FALSE,MyRowHidden(ROW()-1)=TRUE),0,IF(M925&lt;totalMonths,(totalMonths-M925)/totalMonths *(I925-I924)+N924,0))</f>
        <v>0</v>
      </c>
      <c r="P925">
        <f>IF(AND(MyRowHidden(ROW())=FALSE,MyRowHidden(ROW()-1)=TRUE),0,IF(M925&lt;totalMonths,(totalMonths-M925)/totalMonths *(J925-J924)+P924,0))</f>
        <v>0</v>
      </c>
      <c r="Q925">
        <f>IF(AND(MyRowHidden(ROW())=FALSE,MyRowHidden(ROW()-1)=TRUE),0,IF(M925&lt;totalMonths,(totalMonths-M925)/totalMonths *(K925-K924)+Q924,0))</f>
        <v>0</v>
      </c>
      <c r="R925">
        <f>IF(AND(MyRowHidden(ROW())=FALSE,MyRowHidden(ROW()-1)=TRUE),0,IF(M925&lt;totalMonths,(totalMonths-M925)/totalMonths *(L925-L924)+R924,0))</f>
        <v>0</v>
      </c>
    </row>
    <row r="926" spans="4:18" hidden="1" x14ac:dyDescent="0.25">
      <c r="D926" s="1">
        <v>42555</v>
      </c>
      <c r="E926" s="10">
        <v>14660</v>
      </c>
      <c r="F926" s="1">
        <v>42555</v>
      </c>
      <c r="G926">
        <v>-12099</v>
      </c>
      <c r="H926" s="1">
        <f t="shared" si="80"/>
        <v>42555</v>
      </c>
      <c r="I926">
        <f>IF(AND(MyRowHidden(ROW())=FALSE,MyRowHidden(ROW()-1)=TRUE),0,(E926-E925)*unitsOfDHp+I925)</f>
        <v>249480</v>
      </c>
      <c r="J926">
        <f>IF(AND(MyRowHidden(ROW())=FALSE,MyRowHidden(ROW()-1)=TRUE),0,(G926-G925)*unitsOfExo+J925)</f>
        <v>-1467216</v>
      </c>
      <c r="K926" s="9">
        <f t="shared" si="81"/>
        <v>1467216</v>
      </c>
      <c r="L926">
        <f t="shared" si="82"/>
        <v>-1217736</v>
      </c>
      <c r="M926">
        <f>IF(AND(MyRowHidden(ROW())=FALSE,MyRowHidden(ROW()-1)=TRUE),0,IF(MONTH(H926)&lt;&gt;MONTH(H925),M925+1,M925))</f>
        <v>18</v>
      </c>
      <c r="N926">
        <f>IF(AND(MyRowHidden(ROW())=FALSE,MyRowHidden(ROW()-1)=TRUE),0,IF(M926&lt;totalMonths,(totalMonths-M926)/totalMonths *(I926-I925)+N925,0))</f>
        <v>0</v>
      </c>
      <c r="P926">
        <f>IF(AND(MyRowHidden(ROW())=FALSE,MyRowHidden(ROW()-1)=TRUE),0,IF(M926&lt;totalMonths,(totalMonths-M926)/totalMonths *(J926-J925)+P925,0))</f>
        <v>0</v>
      </c>
      <c r="Q926">
        <f>IF(AND(MyRowHidden(ROW())=FALSE,MyRowHidden(ROW()-1)=TRUE),0,IF(M926&lt;totalMonths,(totalMonths-M926)/totalMonths *(K926-K925)+Q925,0))</f>
        <v>0</v>
      </c>
      <c r="R926">
        <f>IF(AND(MyRowHidden(ROW())=FALSE,MyRowHidden(ROW()-1)=TRUE),0,IF(M926&lt;totalMonths,(totalMonths-M926)/totalMonths *(L926-L925)+R925,0))</f>
        <v>0</v>
      </c>
    </row>
    <row r="927" spans="4:18" hidden="1" x14ac:dyDescent="0.25">
      <c r="D927" s="1">
        <v>42556</v>
      </c>
      <c r="E927" s="10">
        <v>14548</v>
      </c>
      <c r="F927" s="1">
        <v>42556</v>
      </c>
      <c r="G927">
        <v>-12186.5</v>
      </c>
      <c r="H927" s="1">
        <f t="shared" si="80"/>
        <v>42556</v>
      </c>
      <c r="I927">
        <f>IF(AND(MyRowHidden(ROW())=FALSE,MyRowHidden(ROW()-1)=TRUE),0,(E927-E926)*unitsOfDHp+I926)</f>
        <v>245560</v>
      </c>
      <c r="J927">
        <f>IF(AND(MyRowHidden(ROW())=FALSE,MyRowHidden(ROW()-1)=TRUE),0,(G927-G926)*unitsOfExo+J926)</f>
        <v>-1492416</v>
      </c>
      <c r="K927" s="9">
        <f t="shared" si="81"/>
        <v>1492416</v>
      </c>
      <c r="L927">
        <f t="shared" si="82"/>
        <v>-1246856</v>
      </c>
      <c r="M927">
        <f>IF(AND(MyRowHidden(ROW())=FALSE,MyRowHidden(ROW()-1)=TRUE),0,IF(MONTH(H927)&lt;&gt;MONTH(H926),M926+1,M926))</f>
        <v>18</v>
      </c>
      <c r="N927">
        <f>IF(AND(MyRowHidden(ROW())=FALSE,MyRowHidden(ROW()-1)=TRUE),0,IF(M927&lt;totalMonths,(totalMonths-M927)/totalMonths *(I927-I926)+N926,0))</f>
        <v>0</v>
      </c>
      <c r="P927">
        <f>IF(AND(MyRowHidden(ROW())=FALSE,MyRowHidden(ROW()-1)=TRUE),0,IF(M927&lt;totalMonths,(totalMonths-M927)/totalMonths *(J927-J926)+P926,0))</f>
        <v>0</v>
      </c>
      <c r="Q927">
        <f>IF(AND(MyRowHidden(ROW())=FALSE,MyRowHidden(ROW()-1)=TRUE),0,IF(M927&lt;totalMonths,(totalMonths-M927)/totalMonths *(K927-K926)+Q926,0))</f>
        <v>0</v>
      </c>
      <c r="R927">
        <f>IF(AND(MyRowHidden(ROW())=FALSE,MyRowHidden(ROW()-1)=TRUE),0,IF(M927&lt;totalMonths,(totalMonths-M927)/totalMonths *(L927-L926)+R926,0))</f>
        <v>0</v>
      </c>
    </row>
    <row r="928" spans="4:18" hidden="1" x14ac:dyDescent="0.25">
      <c r="D928" s="1">
        <v>42557</v>
      </c>
      <c r="E928" s="10">
        <v>14373</v>
      </c>
      <c r="F928" s="1">
        <v>42557</v>
      </c>
      <c r="G928">
        <v>-12486.5</v>
      </c>
      <c r="H928" s="1">
        <f t="shared" si="80"/>
        <v>42557</v>
      </c>
      <c r="I928">
        <f>IF(AND(MyRowHidden(ROW())=FALSE,MyRowHidden(ROW()-1)=TRUE),0,(E928-E927)*unitsOfDHp+I927)</f>
        <v>239435</v>
      </c>
      <c r="J928">
        <f>IF(AND(MyRowHidden(ROW())=FALSE,MyRowHidden(ROW()-1)=TRUE),0,(G928-G927)*unitsOfExo+J927)</f>
        <v>-1578816</v>
      </c>
      <c r="K928" s="9">
        <f t="shared" si="81"/>
        <v>1578816</v>
      </c>
      <c r="L928">
        <f t="shared" si="82"/>
        <v>-1339381</v>
      </c>
      <c r="M928">
        <f>IF(AND(MyRowHidden(ROW())=FALSE,MyRowHidden(ROW()-1)=TRUE),0,IF(MONTH(H928)&lt;&gt;MONTH(H927),M927+1,M927))</f>
        <v>18</v>
      </c>
      <c r="N928">
        <f>IF(AND(MyRowHidden(ROW())=FALSE,MyRowHidden(ROW()-1)=TRUE),0,IF(M928&lt;totalMonths,(totalMonths-M928)/totalMonths *(I928-I927)+N927,0))</f>
        <v>0</v>
      </c>
      <c r="P928">
        <f>IF(AND(MyRowHidden(ROW())=FALSE,MyRowHidden(ROW()-1)=TRUE),0,IF(M928&lt;totalMonths,(totalMonths-M928)/totalMonths *(J928-J927)+P927,0))</f>
        <v>0</v>
      </c>
      <c r="Q928">
        <f>IF(AND(MyRowHidden(ROW())=FALSE,MyRowHidden(ROW()-1)=TRUE),0,IF(M928&lt;totalMonths,(totalMonths-M928)/totalMonths *(K928-K927)+Q927,0))</f>
        <v>0</v>
      </c>
      <c r="R928">
        <f>IF(AND(MyRowHidden(ROW())=FALSE,MyRowHidden(ROW()-1)=TRUE),0,IF(M928&lt;totalMonths,(totalMonths-M928)/totalMonths *(L928-L927)+R927,0))</f>
        <v>0</v>
      </c>
    </row>
    <row r="929" spans="4:18" hidden="1" x14ac:dyDescent="0.25">
      <c r="D929" s="1">
        <v>42558</v>
      </c>
      <c r="E929" s="10">
        <v>14026</v>
      </c>
      <c r="F929" s="1">
        <v>42558</v>
      </c>
      <c r="G929">
        <v>-12624</v>
      </c>
      <c r="H929" s="1">
        <f t="shared" si="80"/>
        <v>42558</v>
      </c>
      <c r="I929">
        <f>IF(AND(MyRowHidden(ROW())=FALSE,MyRowHidden(ROW()-1)=TRUE),0,(E929-E928)*unitsOfDHp+I928)</f>
        <v>227290</v>
      </c>
      <c r="J929">
        <f>IF(AND(MyRowHidden(ROW())=FALSE,MyRowHidden(ROW()-1)=TRUE),0,(G929-G928)*unitsOfExo+J928)</f>
        <v>-1618416</v>
      </c>
      <c r="K929" s="9">
        <f t="shared" si="81"/>
        <v>1618416</v>
      </c>
      <c r="L929">
        <f t="shared" si="82"/>
        <v>-1391126</v>
      </c>
      <c r="M929">
        <f>IF(AND(MyRowHidden(ROW())=FALSE,MyRowHidden(ROW()-1)=TRUE),0,IF(MONTH(H929)&lt;&gt;MONTH(H928),M928+1,M928))</f>
        <v>18</v>
      </c>
      <c r="N929">
        <f>IF(AND(MyRowHidden(ROW())=FALSE,MyRowHidden(ROW()-1)=TRUE),0,IF(M929&lt;totalMonths,(totalMonths-M929)/totalMonths *(I929-I928)+N928,0))</f>
        <v>0</v>
      </c>
      <c r="P929">
        <f>IF(AND(MyRowHidden(ROW())=FALSE,MyRowHidden(ROW()-1)=TRUE),0,IF(M929&lt;totalMonths,(totalMonths-M929)/totalMonths *(J929-J928)+P928,0))</f>
        <v>0</v>
      </c>
      <c r="Q929">
        <f>IF(AND(MyRowHidden(ROW())=FALSE,MyRowHidden(ROW()-1)=TRUE),0,IF(M929&lt;totalMonths,(totalMonths-M929)/totalMonths *(K929-K928)+Q928,0))</f>
        <v>0</v>
      </c>
      <c r="R929">
        <f>IF(AND(MyRowHidden(ROW())=FALSE,MyRowHidden(ROW()-1)=TRUE),0,IF(M929&lt;totalMonths,(totalMonths-M929)/totalMonths *(L929-L928)+R928,0))</f>
        <v>0</v>
      </c>
    </row>
    <row r="930" spans="4:18" hidden="1" x14ac:dyDescent="0.25">
      <c r="D930" s="1">
        <v>42559</v>
      </c>
      <c r="E930" s="10">
        <v>14888</v>
      </c>
      <c r="F930" s="1">
        <v>42559</v>
      </c>
      <c r="G930">
        <v>-11999</v>
      </c>
      <c r="H930" s="1">
        <f t="shared" si="80"/>
        <v>42559</v>
      </c>
      <c r="I930">
        <f>IF(AND(MyRowHidden(ROW())=FALSE,MyRowHidden(ROW()-1)=TRUE),0,(E930-E929)*unitsOfDHp+I929)</f>
        <v>257460</v>
      </c>
      <c r="J930">
        <f>IF(AND(MyRowHidden(ROW())=FALSE,MyRowHidden(ROW()-1)=TRUE),0,(G930-G929)*unitsOfExo+J929)</f>
        <v>-1438416</v>
      </c>
      <c r="K930" s="9">
        <f t="shared" si="81"/>
        <v>1438416</v>
      </c>
      <c r="L930">
        <f t="shared" si="82"/>
        <v>-1180956</v>
      </c>
      <c r="M930">
        <f>IF(AND(MyRowHidden(ROW())=FALSE,MyRowHidden(ROW()-1)=TRUE),0,IF(MONTH(H930)&lt;&gt;MONTH(H929),M929+1,M929))</f>
        <v>18</v>
      </c>
      <c r="N930">
        <f>IF(AND(MyRowHidden(ROW())=FALSE,MyRowHidden(ROW()-1)=TRUE),0,IF(M930&lt;totalMonths,(totalMonths-M930)/totalMonths *(I930-I929)+N929,0))</f>
        <v>0</v>
      </c>
      <c r="P930">
        <f>IF(AND(MyRowHidden(ROW())=FALSE,MyRowHidden(ROW()-1)=TRUE),0,IF(M930&lt;totalMonths,(totalMonths-M930)/totalMonths *(J930-J929)+P929,0))</f>
        <v>0</v>
      </c>
      <c r="Q930">
        <f>IF(AND(MyRowHidden(ROW())=FALSE,MyRowHidden(ROW()-1)=TRUE),0,IF(M930&lt;totalMonths,(totalMonths-M930)/totalMonths *(K930-K929)+Q929,0))</f>
        <v>0</v>
      </c>
      <c r="R930">
        <f>IF(AND(MyRowHidden(ROW())=FALSE,MyRowHidden(ROW()-1)=TRUE),0,IF(M930&lt;totalMonths,(totalMonths-M930)/totalMonths *(L930-L929)+R929,0))</f>
        <v>0</v>
      </c>
    </row>
    <row r="931" spans="4:18" hidden="1" x14ac:dyDescent="0.25">
      <c r="D931" s="1">
        <v>42562</v>
      </c>
      <c r="E931" s="10">
        <v>14538</v>
      </c>
      <c r="F931" s="1">
        <v>42562</v>
      </c>
      <c r="G931">
        <v>-12361.5</v>
      </c>
      <c r="H931" s="1">
        <f t="shared" si="80"/>
        <v>42562</v>
      </c>
      <c r="I931">
        <f>IF(AND(MyRowHidden(ROW())=FALSE,MyRowHidden(ROW()-1)=TRUE),0,(E931-E930)*unitsOfDHp+I930)</f>
        <v>245210</v>
      </c>
      <c r="J931">
        <f>IF(AND(MyRowHidden(ROW())=FALSE,MyRowHidden(ROW()-1)=TRUE),0,(G931-G930)*unitsOfExo+J930)</f>
        <v>-1542816</v>
      </c>
      <c r="K931" s="9">
        <f t="shared" si="81"/>
        <v>1542816</v>
      </c>
      <c r="L931">
        <f t="shared" si="82"/>
        <v>-1297606</v>
      </c>
      <c r="M931">
        <f>IF(AND(MyRowHidden(ROW())=FALSE,MyRowHidden(ROW()-1)=TRUE),0,IF(MONTH(H931)&lt;&gt;MONTH(H930),M930+1,M930))</f>
        <v>18</v>
      </c>
      <c r="N931">
        <f>IF(AND(MyRowHidden(ROW())=FALSE,MyRowHidden(ROW()-1)=TRUE),0,IF(M931&lt;totalMonths,(totalMonths-M931)/totalMonths *(I931-I930)+N930,0))</f>
        <v>0</v>
      </c>
      <c r="P931">
        <f>IF(AND(MyRowHidden(ROW())=FALSE,MyRowHidden(ROW()-1)=TRUE),0,IF(M931&lt;totalMonths,(totalMonths-M931)/totalMonths *(J931-J930)+P930,0))</f>
        <v>0</v>
      </c>
      <c r="Q931">
        <f>IF(AND(MyRowHidden(ROW())=FALSE,MyRowHidden(ROW()-1)=TRUE),0,IF(M931&lt;totalMonths,(totalMonths-M931)/totalMonths *(K931-K930)+Q930,0))</f>
        <v>0</v>
      </c>
      <c r="R931">
        <f>IF(AND(MyRowHidden(ROW())=FALSE,MyRowHidden(ROW()-1)=TRUE),0,IF(M931&lt;totalMonths,(totalMonths-M931)/totalMonths *(L931-L930)+R930,0))</f>
        <v>0</v>
      </c>
    </row>
    <row r="932" spans="4:18" hidden="1" x14ac:dyDescent="0.25">
      <c r="D932" s="1">
        <v>42563</v>
      </c>
      <c r="E932" s="10">
        <v>14876</v>
      </c>
      <c r="F932" s="1">
        <v>42563</v>
      </c>
      <c r="G932">
        <v>-12074</v>
      </c>
      <c r="H932" s="1">
        <f t="shared" si="80"/>
        <v>42563</v>
      </c>
      <c r="I932">
        <f>IF(AND(MyRowHidden(ROW())=FALSE,MyRowHidden(ROW()-1)=TRUE),0,(E932-E931)*unitsOfDHp+I931)</f>
        <v>257040</v>
      </c>
      <c r="J932">
        <f>IF(AND(MyRowHidden(ROW())=FALSE,MyRowHidden(ROW()-1)=TRUE),0,(G932-G931)*unitsOfExo+J931)</f>
        <v>-1460016</v>
      </c>
      <c r="K932" s="9">
        <f t="shared" si="81"/>
        <v>1460016</v>
      </c>
      <c r="L932">
        <f t="shared" si="82"/>
        <v>-1202976</v>
      </c>
      <c r="M932">
        <f>IF(AND(MyRowHidden(ROW())=FALSE,MyRowHidden(ROW()-1)=TRUE),0,IF(MONTH(H932)&lt;&gt;MONTH(H931),M931+1,M931))</f>
        <v>18</v>
      </c>
      <c r="N932">
        <f>IF(AND(MyRowHidden(ROW())=FALSE,MyRowHidden(ROW()-1)=TRUE),0,IF(M932&lt;totalMonths,(totalMonths-M932)/totalMonths *(I932-I931)+N931,0))</f>
        <v>0</v>
      </c>
      <c r="P932">
        <f>IF(AND(MyRowHidden(ROW())=FALSE,MyRowHidden(ROW()-1)=TRUE),0,IF(M932&lt;totalMonths,(totalMonths-M932)/totalMonths *(J932-J931)+P931,0))</f>
        <v>0</v>
      </c>
      <c r="Q932">
        <f>IF(AND(MyRowHidden(ROW())=FALSE,MyRowHidden(ROW()-1)=TRUE),0,IF(M932&lt;totalMonths,(totalMonths-M932)/totalMonths *(K932-K931)+Q931,0))</f>
        <v>0</v>
      </c>
      <c r="R932">
        <f>IF(AND(MyRowHidden(ROW())=FALSE,MyRowHidden(ROW()-1)=TRUE),0,IF(M932&lt;totalMonths,(totalMonths-M932)/totalMonths *(L932-L931)+R931,0))</f>
        <v>0</v>
      </c>
    </row>
    <row r="933" spans="4:18" hidden="1" x14ac:dyDescent="0.25">
      <c r="D933" s="1">
        <v>42564</v>
      </c>
      <c r="E933" s="10">
        <v>15638</v>
      </c>
      <c r="F933" s="1">
        <v>42564</v>
      </c>
      <c r="G933">
        <v>-11586.5</v>
      </c>
      <c r="H933" s="1">
        <f t="shared" si="80"/>
        <v>42564</v>
      </c>
      <c r="I933">
        <f>IF(AND(MyRowHidden(ROW())=FALSE,MyRowHidden(ROW()-1)=TRUE),0,(E933-E932)*unitsOfDHp+I932)</f>
        <v>283710</v>
      </c>
      <c r="J933">
        <f>IF(AND(MyRowHidden(ROW())=FALSE,MyRowHidden(ROW()-1)=TRUE),0,(G933-G932)*unitsOfExo+J932)</f>
        <v>-1319616</v>
      </c>
      <c r="K933" s="9">
        <f t="shared" si="81"/>
        <v>1319616</v>
      </c>
      <c r="L933">
        <f t="shared" si="82"/>
        <v>-1035906</v>
      </c>
      <c r="M933">
        <f>IF(AND(MyRowHidden(ROW())=FALSE,MyRowHidden(ROW()-1)=TRUE),0,IF(MONTH(H933)&lt;&gt;MONTH(H932),M932+1,M932))</f>
        <v>18</v>
      </c>
      <c r="N933">
        <f>IF(AND(MyRowHidden(ROW())=FALSE,MyRowHidden(ROW()-1)=TRUE),0,IF(M933&lt;totalMonths,(totalMonths-M933)/totalMonths *(I933-I932)+N932,0))</f>
        <v>0</v>
      </c>
      <c r="P933">
        <f>IF(AND(MyRowHidden(ROW())=FALSE,MyRowHidden(ROW()-1)=TRUE),0,IF(M933&lt;totalMonths,(totalMonths-M933)/totalMonths *(J933-J932)+P932,0))</f>
        <v>0</v>
      </c>
      <c r="Q933">
        <f>IF(AND(MyRowHidden(ROW())=FALSE,MyRowHidden(ROW()-1)=TRUE),0,IF(M933&lt;totalMonths,(totalMonths-M933)/totalMonths *(K933-K932)+Q932,0))</f>
        <v>0</v>
      </c>
      <c r="R933">
        <f>IF(AND(MyRowHidden(ROW())=FALSE,MyRowHidden(ROW()-1)=TRUE),0,IF(M933&lt;totalMonths,(totalMonths-M933)/totalMonths *(L933-L932)+R932,0))</f>
        <v>0</v>
      </c>
    </row>
    <row r="934" spans="4:18" hidden="1" x14ac:dyDescent="0.25">
      <c r="D934" s="1">
        <v>42565</v>
      </c>
      <c r="E934" s="10">
        <v>15163</v>
      </c>
      <c r="F934" s="1">
        <v>42565</v>
      </c>
      <c r="G934">
        <v>-11774</v>
      </c>
      <c r="H934" s="1">
        <f t="shared" si="80"/>
        <v>42565</v>
      </c>
      <c r="I934">
        <f>IF(AND(MyRowHidden(ROW())=FALSE,MyRowHidden(ROW()-1)=TRUE),0,(E934-E933)*unitsOfDHp+I933)</f>
        <v>267085</v>
      </c>
      <c r="J934">
        <f>IF(AND(MyRowHidden(ROW())=FALSE,MyRowHidden(ROW()-1)=TRUE),0,(G934-G933)*unitsOfExo+J933)</f>
        <v>-1373616</v>
      </c>
      <c r="K934" s="9">
        <f t="shared" si="81"/>
        <v>1373616</v>
      </c>
      <c r="L934">
        <f t="shared" si="82"/>
        <v>-1106531</v>
      </c>
      <c r="M934">
        <f>IF(AND(MyRowHidden(ROW())=FALSE,MyRowHidden(ROW()-1)=TRUE),0,IF(MONTH(H934)&lt;&gt;MONTH(H933),M933+1,M933))</f>
        <v>18</v>
      </c>
      <c r="N934">
        <f>IF(AND(MyRowHidden(ROW())=FALSE,MyRowHidden(ROW()-1)=TRUE),0,IF(M934&lt;totalMonths,(totalMonths-M934)/totalMonths *(I934-I933)+N933,0))</f>
        <v>0</v>
      </c>
      <c r="P934">
        <f>IF(AND(MyRowHidden(ROW())=FALSE,MyRowHidden(ROW()-1)=TRUE),0,IF(M934&lt;totalMonths,(totalMonths-M934)/totalMonths *(J934-J933)+P933,0))</f>
        <v>0</v>
      </c>
      <c r="Q934">
        <f>IF(AND(MyRowHidden(ROW())=FALSE,MyRowHidden(ROW()-1)=TRUE),0,IF(M934&lt;totalMonths,(totalMonths-M934)/totalMonths *(K934-K933)+Q933,0))</f>
        <v>0</v>
      </c>
      <c r="R934">
        <f>IF(AND(MyRowHidden(ROW())=FALSE,MyRowHidden(ROW()-1)=TRUE),0,IF(M934&lt;totalMonths,(totalMonths-M934)/totalMonths *(L934-L933)+R933,0))</f>
        <v>0</v>
      </c>
    </row>
    <row r="935" spans="4:18" hidden="1" x14ac:dyDescent="0.25">
      <c r="D935" s="1">
        <v>42566</v>
      </c>
      <c r="E935" s="10">
        <v>14788</v>
      </c>
      <c r="F935" s="1">
        <v>42566</v>
      </c>
      <c r="G935">
        <v>-12036.5</v>
      </c>
      <c r="H935" s="1">
        <f t="shared" si="80"/>
        <v>42566</v>
      </c>
      <c r="I935">
        <f>IF(AND(MyRowHidden(ROW())=FALSE,MyRowHidden(ROW()-1)=TRUE),0,(E935-E934)*unitsOfDHp+I934)</f>
        <v>253960</v>
      </c>
      <c r="J935">
        <f>IF(AND(MyRowHidden(ROW())=FALSE,MyRowHidden(ROW()-1)=TRUE),0,(G935-G934)*unitsOfExo+J934)</f>
        <v>-1449216</v>
      </c>
      <c r="K935" s="9">
        <f t="shared" si="81"/>
        <v>1449216</v>
      </c>
      <c r="L935">
        <f t="shared" si="82"/>
        <v>-1195256</v>
      </c>
      <c r="M935">
        <f>IF(AND(MyRowHidden(ROW())=FALSE,MyRowHidden(ROW()-1)=TRUE),0,IF(MONTH(H935)&lt;&gt;MONTH(H934),M934+1,M934))</f>
        <v>18</v>
      </c>
      <c r="N935">
        <f>IF(AND(MyRowHidden(ROW())=FALSE,MyRowHidden(ROW()-1)=TRUE),0,IF(M935&lt;totalMonths,(totalMonths-M935)/totalMonths *(I935-I934)+N934,0))</f>
        <v>0</v>
      </c>
      <c r="P935">
        <f>IF(AND(MyRowHidden(ROW())=FALSE,MyRowHidden(ROW()-1)=TRUE),0,IF(M935&lt;totalMonths,(totalMonths-M935)/totalMonths *(J935-J934)+P934,0))</f>
        <v>0</v>
      </c>
      <c r="Q935">
        <f>IF(AND(MyRowHidden(ROW())=FALSE,MyRowHidden(ROW()-1)=TRUE),0,IF(M935&lt;totalMonths,(totalMonths-M935)/totalMonths *(K935-K934)+Q934,0))</f>
        <v>0</v>
      </c>
      <c r="R935">
        <f>IF(AND(MyRowHidden(ROW())=FALSE,MyRowHidden(ROW()-1)=TRUE),0,IF(M935&lt;totalMonths,(totalMonths-M935)/totalMonths *(L935-L934)+R934,0))</f>
        <v>0</v>
      </c>
    </row>
    <row r="936" spans="4:18" hidden="1" x14ac:dyDescent="0.25">
      <c r="D936" s="1">
        <v>42569</v>
      </c>
      <c r="E936" s="10">
        <v>14876</v>
      </c>
      <c r="F936" s="1">
        <v>42569</v>
      </c>
      <c r="G936">
        <v>-11924</v>
      </c>
      <c r="H936" s="1">
        <f t="shared" si="80"/>
        <v>42569</v>
      </c>
      <c r="I936">
        <f>IF(AND(MyRowHidden(ROW())=FALSE,MyRowHidden(ROW()-1)=TRUE),0,(E936-E935)*unitsOfDHp+I935)</f>
        <v>257040</v>
      </c>
      <c r="J936">
        <f>IF(AND(MyRowHidden(ROW())=FALSE,MyRowHidden(ROW()-1)=TRUE),0,(G936-G935)*unitsOfExo+J935)</f>
        <v>-1416816</v>
      </c>
      <c r="K936" s="9">
        <f t="shared" si="81"/>
        <v>1416816</v>
      </c>
      <c r="L936">
        <f t="shared" si="82"/>
        <v>-1159776</v>
      </c>
      <c r="M936">
        <f>IF(AND(MyRowHidden(ROW())=FALSE,MyRowHidden(ROW()-1)=TRUE),0,IF(MONTH(H936)&lt;&gt;MONTH(H935),M935+1,M935))</f>
        <v>18</v>
      </c>
      <c r="N936">
        <f>IF(AND(MyRowHidden(ROW())=FALSE,MyRowHidden(ROW()-1)=TRUE),0,IF(M936&lt;totalMonths,(totalMonths-M936)/totalMonths *(I936-I935)+N935,0))</f>
        <v>0</v>
      </c>
      <c r="P936">
        <f>IF(AND(MyRowHidden(ROW())=FALSE,MyRowHidden(ROW()-1)=TRUE),0,IF(M936&lt;totalMonths,(totalMonths-M936)/totalMonths *(J936-J935)+P935,0))</f>
        <v>0</v>
      </c>
      <c r="Q936">
        <f>IF(AND(MyRowHidden(ROW())=FALSE,MyRowHidden(ROW()-1)=TRUE),0,IF(M936&lt;totalMonths,(totalMonths-M936)/totalMonths *(K936-K935)+Q935,0))</f>
        <v>0</v>
      </c>
      <c r="R936">
        <f>IF(AND(MyRowHidden(ROW())=FALSE,MyRowHidden(ROW()-1)=TRUE),0,IF(M936&lt;totalMonths,(totalMonths-M936)/totalMonths *(L936-L935)+R935,0))</f>
        <v>0</v>
      </c>
    </row>
    <row r="937" spans="4:18" hidden="1" x14ac:dyDescent="0.25">
      <c r="D937" s="1">
        <v>42570</v>
      </c>
      <c r="E937" s="10">
        <v>14301</v>
      </c>
      <c r="F937" s="1">
        <v>42570</v>
      </c>
      <c r="G937">
        <v>-12511.5</v>
      </c>
      <c r="H937" s="1">
        <f t="shared" si="80"/>
        <v>42570</v>
      </c>
      <c r="I937">
        <f>IF(AND(MyRowHidden(ROW())=FALSE,MyRowHidden(ROW()-1)=TRUE),0,(E937-E936)*unitsOfDHp+I936)</f>
        <v>236915</v>
      </c>
      <c r="J937">
        <f>IF(AND(MyRowHidden(ROW())=FALSE,MyRowHidden(ROW()-1)=TRUE),0,(G937-G936)*unitsOfExo+J936)</f>
        <v>-1586016</v>
      </c>
      <c r="K937" s="9">
        <f t="shared" si="81"/>
        <v>1586016</v>
      </c>
      <c r="L937">
        <f t="shared" si="82"/>
        <v>-1349101</v>
      </c>
      <c r="M937">
        <f>IF(AND(MyRowHidden(ROW())=FALSE,MyRowHidden(ROW()-1)=TRUE),0,IF(MONTH(H937)&lt;&gt;MONTH(H936),M936+1,M936))</f>
        <v>18</v>
      </c>
      <c r="N937">
        <f>IF(AND(MyRowHidden(ROW())=FALSE,MyRowHidden(ROW()-1)=TRUE),0,IF(M937&lt;totalMonths,(totalMonths-M937)/totalMonths *(I937-I936)+N936,0))</f>
        <v>0</v>
      </c>
      <c r="P937">
        <f>IF(AND(MyRowHidden(ROW())=FALSE,MyRowHidden(ROW()-1)=TRUE),0,IF(M937&lt;totalMonths,(totalMonths-M937)/totalMonths *(J937-J936)+P936,0))</f>
        <v>0</v>
      </c>
      <c r="Q937">
        <f>IF(AND(MyRowHidden(ROW())=FALSE,MyRowHidden(ROW()-1)=TRUE),0,IF(M937&lt;totalMonths,(totalMonths-M937)/totalMonths *(K937-K936)+Q936,0))</f>
        <v>0</v>
      </c>
      <c r="R937">
        <f>IF(AND(MyRowHidden(ROW())=FALSE,MyRowHidden(ROW()-1)=TRUE),0,IF(M937&lt;totalMonths,(totalMonths-M937)/totalMonths *(L937-L936)+R936,0))</f>
        <v>0</v>
      </c>
    </row>
    <row r="938" spans="4:18" hidden="1" x14ac:dyDescent="0.25">
      <c r="D938" s="1">
        <v>42571</v>
      </c>
      <c r="E938" s="10">
        <v>13588</v>
      </c>
      <c r="F938" s="1">
        <v>42571</v>
      </c>
      <c r="G938">
        <v>-12911.5</v>
      </c>
      <c r="H938" s="1">
        <f t="shared" si="80"/>
        <v>42571</v>
      </c>
      <c r="I938">
        <f>IF(AND(MyRowHidden(ROW())=FALSE,MyRowHidden(ROW()-1)=TRUE),0,(E938-E937)*unitsOfDHp+I937)</f>
        <v>211960</v>
      </c>
      <c r="J938">
        <f>IF(AND(MyRowHidden(ROW())=FALSE,MyRowHidden(ROW()-1)=TRUE),0,(G938-G937)*unitsOfExo+J937)</f>
        <v>-1701216</v>
      </c>
      <c r="K938" s="9">
        <f t="shared" si="81"/>
        <v>1701216</v>
      </c>
      <c r="L938">
        <f t="shared" si="82"/>
        <v>-1489256</v>
      </c>
      <c r="M938">
        <f>IF(AND(MyRowHidden(ROW())=FALSE,MyRowHidden(ROW()-1)=TRUE),0,IF(MONTH(H938)&lt;&gt;MONTH(H937),M937+1,M937))</f>
        <v>18</v>
      </c>
      <c r="N938">
        <f>IF(AND(MyRowHidden(ROW())=FALSE,MyRowHidden(ROW()-1)=TRUE),0,IF(M938&lt;totalMonths,(totalMonths-M938)/totalMonths *(I938-I937)+N937,0))</f>
        <v>0</v>
      </c>
      <c r="P938">
        <f>IF(AND(MyRowHidden(ROW())=FALSE,MyRowHidden(ROW()-1)=TRUE),0,IF(M938&lt;totalMonths,(totalMonths-M938)/totalMonths *(J938-J937)+P937,0))</f>
        <v>0</v>
      </c>
      <c r="Q938">
        <f>IF(AND(MyRowHidden(ROW())=FALSE,MyRowHidden(ROW()-1)=TRUE),0,IF(M938&lt;totalMonths,(totalMonths-M938)/totalMonths *(K938-K937)+Q937,0))</f>
        <v>0</v>
      </c>
      <c r="R938">
        <f>IF(AND(MyRowHidden(ROW())=FALSE,MyRowHidden(ROW()-1)=TRUE),0,IF(M938&lt;totalMonths,(totalMonths-M938)/totalMonths *(L938-L937)+R937,0))</f>
        <v>0</v>
      </c>
    </row>
    <row r="939" spans="4:18" hidden="1" x14ac:dyDescent="0.25">
      <c r="D939" s="1">
        <v>42572</v>
      </c>
      <c r="E939" s="10">
        <v>13600</v>
      </c>
      <c r="F939" s="1">
        <v>42572</v>
      </c>
      <c r="G939">
        <v>-12936.5</v>
      </c>
      <c r="H939" s="1">
        <f t="shared" si="80"/>
        <v>42572</v>
      </c>
      <c r="I939">
        <f>IF(AND(MyRowHidden(ROW())=FALSE,MyRowHidden(ROW()-1)=TRUE),0,(E939-E938)*unitsOfDHp+I938)</f>
        <v>212380</v>
      </c>
      <c r="J939">
        <f>IF(AND(MyRowHidden(ROW())=FALSE,MyRowHidden(ROW()-1)=TRUE),0,(G939-G938)*unitsOfExo+J938)</f>
        <v>-1708416</v>
      </c>
      <c r="K939" s="9">
        <f t="shared" si="81"/>
        <v>1708416</v>
      </c>
      <c r="L939">
        <f t="shared" si="82"/>
        <v>-1496036</v>
      </c>
      <c r="M939">
        <f>IF(AND(MyRowHidden(ROW())=FALSE,MyRowHidden(ROW()-1)=TRUE),0,IF(MONTH(H939)&lt;&gt;MONTH(H938),M938+1,M938))</f>
        <v>18</v>
      </c>
      <c r="N939">
        <f>IF(AND(MyRowHidden(ROW())=FALSE,MyRowHidden(ROW()-1)=TRUE),0,IF(M939&lt;totalMonths,(totalMonths-M939)/totalMonths *(I939-I938)+N938,0))</f>
        <v>0</v>
      </c>
      <c r="P939">
        <f>IF(AND(MyRowHidden(ROW())=FALSE,MyRowHidden(ROW()-1)=TRUE),0,IF(M939&lt;totalMonths,(totalMonths-M939)/totalMonths *(J939-J938)+P938,0))</f>
        <v>0</v>
      </c>
      <c r="Q939">
        <f>IF(AND(MyRowHidden(ROW())=FALSE,MyRowHidden(ROW()-1)=TRUE),0,IF(M939&lt;totalMonths,(totalMonths-M939)/totalMonths *(K939-K938)+Q938,0))</f>
        <v>0</v>
      </c>
      <c r="R939">
        <f>IF(AND(MyRowHidden(ROW())=FALSE,MyRowHidden(ROW()-1)=TRUE),0,IF(M939&lt;totalMonths,(totalMonths-M939)/totalMonths *(L939-L938)+R938,0))</f>
        <v>0</v>
      </c>
    </row>
    <row r="940" spans="4:18" hidden="1" x14ac:dyDescent="0.25">
      <c r="D940" s="1">
        <v>42573</v>
      </c>
      <c r="E940" s="10">
        <v>13600</v>
      </c>
      <c r="F940" s="1">
        <v>42573</v>
      </c>
      <c r="G940">
        <v>-12924</v>
      </c>
      <c r="H940" s="1">
        <f t="shared" si="80"/>
        <v>42573</v>
      </c>
      <c r="I940">
        <f>IF(AND(MyRowHidden(ROW())=FALSE,MyRowHidden(ROW()-1)=TRUE),0,(E940-E939)*unitsOfDHp+I939)</f>
        <v>212380</v>
      </c>
      <c r="J940">
        <f>IF(AND(MyRowHidden(ROW())=FALSE,MyRowHidden(ROW()-1)=TRUE),0,(G940-G939)*unitsOfExo+J939)</f>
        <v>-1704816</v>
      </c>
      <c r="K940" s="9">
        <f t="shared" si="81"/>
        <v>1704816</v>
      </c>
      <c r="L940">
        <f t="shared" si="82"/>
        <v>-1492436</v>
      </c>
      <c r="M940">
        <f>IF(AND(MyRowHidden(ROW())=FALSE,MyRowHidden(ROW()-1)=TRUE),0,IF(MONTH(H940)&lt;&gt;MONTH(H939),M939+1,M939))</f>
        <v>18</v>
      </c>
      <c r="N940">
        <f>IF(AND(MyRowHidden(ROW())=FALSE,MyRowHidden(ROW()-1)=TRUE),0,IF(M940&lt;totalMonths,(totalMonths-M940)/totalMonths *(I940-I939)+N939,0))</f>
        <v>0</v>
      </c>
      <c r="P940">
        <f>IF(AND(MyRowHidden(ROW())=FALSE,MyRowHidden(ROW()-1)=TRUE),0,IF(M940&lt;totalMonths,(totalMonths-M940)/totalMonths *(J940-J939)+P939,0))</f>
        <v>0</v>
      </c>
      <c r="Q940">
        <f>IF(AND(MyRowHidden(ROW())=FALSE,MyRowHidden(ROW()-1)=TRUE),0,IF(M940&lt;totalMonths,(totalMonths-M940)/totalMonths *(K940-K939)+Q939,0))</f>
        <v>0</v>
      </c>
      <c r="R940">
        <f>IF(AND(MyRowHidden(ROW())=FALSE,MyRowHidden(ROW()-1)=TRUE),0,IF(M940&lt;totalMonths,(totalMonths-M940)/totalMonths *(L940-L939)+R939,0))</f>
        <v>0</v>
      </c>
    </row>
    <row r="941" spans="4:18" hidden="1" x14ac:dyDescent="0.25">
      <c r="D941" s="1">
        <v>42576</v>
      </c>
      <c r="E941" s="10">
        <v>13588</v>
      </c>
      <c r="F941" s="1">
        <v>42576</v>
      </c>
      <c r="G941">
        <v>-12999</v>
      </c>
      <c r="H941" s="1">
        <f t="shared" si="80"/>
        <v>42576</v>
      </c>
      <c r="I941">
        <f>IF(AND(MyRowHidden(ROW())=FALSE,MyRowHidden(ROW()-1)=TRUE),0,(E941-E940)*unitsOfDHp+I940)</f>
        <v>211960</v>
      </c>
      <c r="J941">
        <f>IF(AND(MyRowHidden(ROW())=FALSE,MyRowHidden(ROW()-1)=TRUE),0,(G941-G940)*unitsOfExo+J940)</f>
        <v>-1726416</v>
      </c>
      <c r="K941" s="9">
        <f t="shared" si="81"/>
        <v>1726416</v>
      </c>
      <c r="L941">
        <f t="shared" si="82"/>
        <v>-1514456</v>
      </c>
      <c r="M941">
        <f>IF(AND(MyRowHidden(ROW())=FALSE,MyRowHidden(ROW()-1)=TRUE),0,IF(MONTH(H941)&lt;&gt;MONTH(H940),M940+1,M940))</f>
        <v>18</v>
      </c>
      <c r="N941">
        <f>IF(AND(MyRowHidden(ROW())=FALSE,MyRowHidden(ROW()-1)=TRUE),0,IF(M941&lt;totalMonths,(totalMonths-M941)/totalMonths *(I941-I940)+N940,0))</f>
        <v>0</v>
      </c>
      <c r="P941">
        <f>IF(AND(MyRowHidden(ROW())=FALSE,MyRowHidden(ROW()-1)=TRUE),0,IF(M941&lt;totalMonths,(totalMonths-M941)/totalMonths *(J941-J940)+P940,0))</f>
        <v>0</v>
      </c>
      <c r="Q941">
        <f>IF(AND(MyRowHidden(ROW())=FALSE,MyRowHidden(ROW()-1)=TRUE),0,IF(M941&lt;totalMonths,(totalMonths-M941)/totalMonths *(K941-K940)+Q940,0))</f>
        <v>0</v>
      </c>
      <c r="R941">
        <f>IF(AND(MyRowHidden(ROW())=FALSE,MyRowHidden(ROW()-1)=TRUE),0,IF(M941&lt;totalMonths,(totalMonths-M941)/totalMonths *(L941-L940)+R940,0))</f>
        <v>0</v>
      </c>
    </row>
    <row r="942" spans="4:18" hidden="1" x14ac:dyDescent="0.25">
      <c r="D942" s="1">
        <v>42577</v>
      </c>
      <c r="E942" s="10">
        <v>13576</v>
      </c>
      <c r="F942" s="1">
        <v>42577</v>
      </c>
      <c r="G942">
        <v>-13111.5</v>
      </c>
      <c r="H942" s="1">
        <f t="shared" si="80"/>
        <v>42577</v>
      </c>
      <c r="I942">
        <f>IF(AND(MyRowHidden(ROW())=FALSE,MyRowHidden(ROW()-1)=TRUE),0,(E942-E941)*unitsOfDHp+I941)</f>
        <v>211540</v>
      </c>
      <c r="J942">
        <f>IF(AND(MyRowHidden(ROW())=FALSE,MyRowHidden(ROW()-1)=TRUE),0,(G942-G941)*unitsOfExo+J941)</f>
        <v>-1758816</v>
      </c>
      <c r="K942" s="9">
        <f t="shared" si="81"/>
        <v>1758816</v>
      </c>
      <c r="L942">
        <f t="shared" si="82"/>
        <v>-1547276</v>
      </c>
      <c r="M942">
        <f>IF(AND(MyRowHidden(ROW())=FALSE,MyRowHidden(ROW()-1)=TRUE),0,IF(MONTH(H942)&lt;&gt;MONTH(H941),M941+1,M941))</f>
        <v>18</v>
      </c>
      <c r="N942">
        <f>IF(AND(MyRowHidden(ROW())=FALSE,MyRowHidden(ROW()-1)=TRUE),0,IF(M942&lt;totalMonths,(totalMonths-M942)/totalMonths *(I942-I941)+N941,0))</f>
        <v>0</v>
      </c>
      <c r="P942">
        <f>IF(AND(MyRowHidden(ROW())=FALSE,MyRowHidden(ROW()-1)=TRUE),0,IF(M942&lt;totalMonths,(totalMonths-M942)/totalMonths *(J942-J941)+P941,0))</f>
        <v>0</v>
      </c>
      <c r="Q942">
        <f>IF(AND(MyRowHidden(ROW())=FALSE,MyRowHidden(ROW()-1)=TRUE),0,IF(M942&lt;totalMonths,(totalMonths-M942)/totalMonths *(K942-K941)+Q941,0))</f>
        <v>0</v>
      </c>
      <c r="R942">
        <f>IF(AND(MyRowHidden(ROW())=FALSE,MyRowHidden(ROW()-1)=TRUE),0,IF(M942&lt;totalMonths,(totalMonths-M942)/totalMonths *(L942-L941)+R941,0))</f>
        <v>0</v>
      </c>
    </row>
    <row r="943" spans="4:18" hidden="1" x14ac:dyDescent="0.25">
      <c r="D943" s="1">
        <v>42578</v>
      </c>
      <c r="E943" s="10">
        <v>13576</v>
      </c>
      <c r="F943" s="1">
        <v>42578</v>
      </c>
      <c r="G943">
        <v>-12886.5</v>
      </c>
      <c r="H943" s="1">
        <f t="shared" si="80"/>
        <v>42578</v>
      </c>
      <c r="I943">
        <f>IF(AND(MyRowHidden(ROW())=FALSE,MyRowHidden(ROW()-1)=TRUE),0,(E943-E942)*unitsOfDHp+I942)</f>
        <v>211540</v>
      </c>
      <c r="J943">
        <f>IF(AND(MyRowHidden(ROW())=FALSE,MyRowHidden(ROW()-1)=TRUE),0,(G943-G942)*unitsOfExo+J942)</f>
        <v>-1694016</v>
      </c>
      <c r="K943" s="9">
        <f t="shared" si="81"/>
        <v>1694016</v>
      </c>
      <c r="L943">
        <f t="shared" si="82"/>
        <v>-1482476</v>
      </c>
      <c r="M943">
        <f>IF(AND(MyRowHidden(ROW())=FALSE,MyRowHidden(ROW()-1)=TRUE),0,IF(MONTH(H943)&lt;&gt;MONTH(H942),M942+1,M942))</f>
        <v>18</v>
      </c>
      <c r="N943">
        <f>IF(AND(MyRowHidden(ROW())=FALSE,MyRowHidden(ROW()-1)=TRUE),0,IF(M943&lt;totalMonths,(totalMonths-M943)/totalMonths *(I943-I942)+N942,0))</f>
        <v>0</v>
      </c>
      <c r="P943">
        <f>IF(AND(MyRowHidden(ROW())=FALSE,MyRowHidden(ROW()-1)=TRUE),0,IF(M943&lt;totalMonths,(totalMonths-M943)/totalMonths *(J943-J942)+P942,0))</f>
        <v>0</v>
      </c>
      <c r="Q943">
        <f>IF(AND(MyRowHidden(ROW())=FALSE,MyRowHidden(ROW()-1)=TRUE),0,IF(M943&lt;totalMonths,(totalMonths-M943)/totalMonths *(K943-K942)+Q942,0))</f>
        <v>0</v>
      </c>
      <c r="R943">
        <f>IF(AND(MyRowHidden(ROW())=FALSE,MyRowHidden(ROW()-1)=TRUE),0,IF(M943&lt;totalMonths,(totalMonths-M943)/totalMonths *(L943-L942)+R942,0))</f>
        <v>0</v>
      </c>
    </row>
    <row r="944" spans="4:18" hidden="1" x14ac:dyDescent="0.25">
      <c r="D944" s="1">
        <v>42579</v>
      </c>
      <c r="E944" s="10">
        <v>13626</v>
      </c>
      <c r="F944" s="1">
        <v>42579</v>
      </c>
      <c r="G944">
        <v>-13199</v>
      </c>
      <c r="H944" s="1">
        <f t="shared" si="80"/>
        <v>42579</v>
      </c>
      <c r="I944">
        <f>IF(AND(MyRowHidden(ROW())=FALSE,MyRowHidden(ROW()-1)=TRUE),0,(E944-E943)*unitsOfDHp+I943)</f>
        <v>213290</v>
      </c>
      <c r="J944">
        <f>IF(AND(MyRowHidden(ROW())=FALSE,MyRowHidden(ROW()-1)=TRUE),0,(G944-G943)*unitsOfExo+J943)</f>
        <v>-1784016</v>
      </c>
      <c r="K944" s="9">
        <f t="shared" si="81"/>
        <v>1784016</v>
      </c>
      <c r="L944">
        <f t="shared" si="82"/>
        <v>-1570726</v>
      </c>
      <c r="M944">
        <f>IF(AND(MyRowHidden(ROW())=FALSE,MyRowHidden(ROW()-1)=TRUE),0,IF(MONTH(H944)&lt;&gt;MONTH(H943),M943+1,M943))</f>
        <v>18</v>
      </c>
      <c r="N944">
        <f>IF(AND(MyRowHidden(ROW())=FALSE,MyRowHidden(ROW()-1)=TRUE),0,IF(M944&lt;totalMonths,(totalMonths-M944)/totalMonths *(I944-I943)+N943,0))</f>
        <v>0</v>
      </c>
      <c r="P944">
        <f>IF(AND(MyRowHidden(ROW())=FALSE,MyRowHidden(ROW()-1)=TRUE),0,IF(M944&lt;totalMonths,(totalMonths-M944)/totalMonths *(J944-J943)+P943,0))</f>
        <v>0</v>
      </c>
      <c r="Q944">
        <f>IF(AND(MyRowHidden(ROW())=FALSE,MyRowHidden(ROW()-1)=TRUE),0,IF(M944&lt;totalMonths,(totalMonths-M944)/totalMonths *(K944-K943)+Q943,0))</f>
        <v>0</v>
      </c>
      <c r="R944">
        <f>IF(AND(MyRowHidden(ROW())=FALSE,MyRowHidden(ROW()-1)=TRUE),0,IF(M944&lt;totalMonths,(totalMonths-M944)/totalMonths *(L944-L943)+R943,0))</f>
        <v>0</v>
      </c>
    </row>
    <row r="945" spans="4:18" hidden="1" x14ac:dyDescent="0.25">
      <c r="D945" s="1">
        <v>42580</v>
      </c>
      <c r="E945" s="10">
        <v>13588</v>
      </c>
      <c r="F945" s="1">
        <v>42580</v>
      </c>
      <c r="G945">
        <v>-13011.5</v>
      </c>
      <c r="H945" s="1">
        <f t="shared" si="80"/>
        <v>42580</v>
      </c>
      <c r="I945">
        <f>IF(AND(MyRowHidden(ROW())=FALSE,MyRowHidden(ROW()-1)=TRUE),0,(E945-E944)*unitsOfDHp+I944)</f>
        <v>211960</v>
      </c>
      <c r="J945">
        <f>IF(AND(MyRowHidden(ROW())=FALSE,MyRowHidden(ROW()-1)=TRUE),0,(G945-G944)*unitsOfExo+J944)</f>
        <v>-1730016</v>
      </c>
      <c r="K945" s="9">
        <f t="shared" si="81"/>
        <v>1730016</v>
      </c>
      <c r="L945">
        <f t="shared" si="82"/>
        <v>-1518056</v>
      </c>
      <c r="M945">
        <f>IF(AND(MyRowHidden(ROW())=FALSE,MyRowHidden(ROW()-1)=TRUE),0,IF(MONTH(H945)&lt;&gt;MONTH(H944),M944+1,M944))</f>
        <v>18</v>
      </c>
      <c r="N945">
        <f>IF(AND(MyRowHidden(ROW())=FALSE,MyRowHidden(ROW()-1)=TRUE),0,IF(M945&lt;totalMonths,(totalMonths-M945)/totalMonths *(I945-I944)+N944,0))</f>
        <v>0</v>
      </c>
      <c r="P945">
        <f>IF(AND(MyRowHidden(ROW())=FALSE,MyRowHidden(ROW()-1)=TRUE),0,IF(M945&lt;totalMonths,(totalMonths-M945)/totalMonths *(J945-J944)+P944,0))</f>
        <v>0</v>
      </c>
      <c r="Q945">
        <f>IF(AND(MyRowHidden(ROW())=FALSE,MyRowHidden(ROW()-1)=TRUE),0,IF(M945&lt;totalMonths,(totalMonths-M945)/totalMonths *(K945-K944)+Q944,0))</f>
        <v>0</v>
      </c>
      <c r="R945">
        <f>IF(AND(MyRowHidden(ROW())=FALSE,MyRowHidden(ROW()-1)=TRUE),0,IF(M945&lt;totalMonths,(totalMonths-M945)/totalMonths *(L945-L944)+R944,0))</f>
        <v>0</v>
      </c>
    </row>
    <row r="946" spans="4:18" hidden="1" x14ac:dyDescent="0.25">
      <c r="D946" s="1">
        <v>42583</v>
      </c>
      <c r="E946" s="10">
        <v>13650</v>
      </c>
      <c r="F946" s="1">
        <v>42583</v>
      </c>
      <c r="G946">
        <v>-13274</v>
      </c>
      <c r="H946" s="1">
        <f t="shared" si="80"/>
        <v>42583</v>
      </c>
      <c r="I946">
        <f>IF(AND(MyRowHidden(ROW())=FALSE,MyRowHidden(ROW()-1)=TRUE),0,(E946-E945)*unitsOfDHp+I945)</f>
        <v>214130</v>
      </c>
      <c r="J946">
        <f>IF(AND(MyRowHidden(ROW())=FALSE,MyRowHidden(ROW()-1)=TRUE),0,(G946-G945)*unitsOfExo+J945)</f>
        <v>-1805616</v>
      </c>
      <c r="K946" s="9">
        <f t="shared" si="81"/>
        <v>1805616</v>
      </c>
      <c r="L946">
        <f t="shared" si="82"/>
        <v>-1591486</v>
      </c>
      <c r="M946">
        <f>IF(AND(MyRowHidden(ROW())=FALSE,MyRowHidden(ROW()-1)=TRUE),0,IF(MONTH(H946)&lt;&gt;MONTH(H945),M945+1,M945))</f>
        <v>19</v>
      </c>
      <c r="N946">
        <f>IF(AND(MyRowHidden(ROW())=FALSE,MyRowHidden(ROW()-1)=TRUE),0,IF(M946&lt;totalMonths,(totalMonths-M946)/totalMonths *(I946-I945)+N945,0))</f>
        <v>0</v>
      </c>
      <c r="P946">
        <f>IF(AND(MyRowHidden(ROW())=FALSE,MyRowHidden(ROW()-1)=TRUE),0,IF(M946&lt;totalMonths,(totalMonths-M946)/totalMonths *(J946-J945)+P945,0))</f>
        <v>0</v>
      </c>
      <c r="Q946">
        <f>IF(AND(MyRowHidden(ROW())=FALSE,MyRowHidden(ROW()-1)=TRUE),0,IF(M946&lt;totalMonths,(totalMonths-M946)/totalMonths *(K946-K945)+Q945,0))</f>
        <v>0</v>
      </c>
      <c r="R946">
        <f>IF(AND(MyRowHidden(ROW())=FALSE,MyRowHidden(ROW()-1)=TRUE),0,IF(M946&lt;totalMonths,(totalMonths-M946)/totalMonths *(L946-L945)+R945,0))</f>
        <v>0</v>
      </c>
    </row>
    <row r="947" spans="4:18" hidden="1" x14ac:dyDescent="0.25">
      <c r="D947" s="1">
        <v>42584</v>
      </c>
      <c r="E947" s="10">
        <v>13625</v>
      </c>
      <c r="F947" s="1">
        <v>42584</v>
      </c>
      <c r="G947">
        <v>-13611.5</v>
      </c>
      <c r="H947" s="1">
        <f t="shared" si="80"/>
        <v>42584</v>
      </c>
      <c r="I947">
        <f>IF(AND(MyRowHidden(ROW())=FALSE,MyRowHidden(ROW()-1)=TRUE),0,(E947-E946)*unitsOfDHp+I946)</f>
        <v>213255</v>
      </c>
      <c r="J947">
        <f>IF(AND(MyRowHidden(ROW())=FALSE,MyRowHidden(ROW()-1)=TRUE),0,(G947-G946)*unitsOfExo+J946)</f>
        <v>-1902816</v>
      </c>
      <c r="K947" s="9">
        <f t="shared" si="81"/>
        <v>1902816</v>
      </c>
      <c r="L947">
        <f t="shared" si="82"/>
        <v>-1689561</v>
      </c>
      <c r="M947">
        <f>IF(AND(MyRowHidden(ROW())=FALSE,MyRowHidden(ROW()-1)=TRUE),0,IF(MONTH(H947)&lt;&gt;MONTH(H946),M946+1,M946))</f>
        <v>19</v>
      </c>
      <c r="N947">
        <f>IF(AND(MyRowHidden(ROW())=FALSE,MyRowHidden(ROW()-1)=TRUE),0,IF(M947&lt;totalMonths,(totalMonths-M947)/totalMonths *(I947-I946)+N946,0))</f>
        <v>0</v>
      </c>
      <c r="P947">
        <f>IF(AND(MyRowHidden(ROW())=FALSE,MyRowHidden(ROW()-1)=TRUE),0,IF(M947&lt;totalMonths,(totalMonths-M947)/totalMonths *(J947-J946)+P946,0))</f>
        <v>0</v>
      </c>
      <c r="Q947">
        <f>IF(AND(MyRowHidden(ROW())=FALSE,MyRowHidden(ROW()-1)=TRUE),0,IF(M947&lt;totalMonths,(totalMonths-M947)/totalMonths *(K947-K946)+Q946,0))</f>
        <v>0</v>
      </c>
      <c r="R947">
        <f>IF(AND(MyRowHidden(ROW())=FALSE,MyRowHidden(ROW()-1)=TRUE),0,IF(M947&lt;totalMonths,(totalMonths-M947)/totalMonths *(L947-L946)+R946,0))</f>
        <v>0</v>
      </c>
    </row>
    <row r="948" spans="4:18" hidden="1" x14ac:dyDescent="0.25">
      <c r="D948" s="1">
        <v>42585</v>
      </c>
      <c r="E948" s="10">
        <v>13625</v>
      </c>
      <c r="F948" s="1">
        <v>42585</v>
      </c>
      <c r="G948">
        <v>-13436.5</v>
      </c>
      <c r="H948" s="1">
        <f t="shared" si="80"/>
        <v>42585</v>
      </c>
      <c r="I948">
        <f>IF(AND(MyRowHidden(ROW())=FALSE,MyRowHidden(ROW()-1)=TRUE),0,(E948-E947)*unitsOfDHp+I947)</f>
        <v>213255</v>
      </c>
      <c r="J948">
        <f>IF(AND(MyRowHidden(ROW())=FALSE,MyRowHidden(ROW()-1)=TRUE),0,(G948-G947)*unitsOfExo+J947)</f>
        <v>-1852416</v>
      </c>
      <c r="K948" s="9">
        <f t="shared" si="81"/>
        <v>1852416</v>
      </c>
      <c r="L948">
        <f t="shared" si="82"/>
        <v>-1639161</v>
      </c>
      <c r="M948">
        <f>IF(AND(MyRowHidden(ROW())=FALSE,MyRowHidden(ROW()-1)=TRUE),0,IF(MONTH(H948)&lt;&gt;MONTH(H947),M947+1,M947))</f>
        <v>19</v>
      </c>
      <c r="N948">
        <f>IF(AND(MyRowHidden(ROW())=FALSE,MyRowHidden(ROW()-1)=TRUE),0,IF(M948&lt;totalMonths,(totalMonths-M948)/totalMonths *(I948-I947)+N947,0))</f>
        <v>0</v>
      </c>
      <c r="P948">
        <f>IF(AND(MyRowHidden(ROW())=FALSE,MyRowHidden(ROW()-1)=TRUE),0,IF(M948&lt;totalMonths,(totalMonths-M948)/totalMonths *(J948-J947)+P947,0))</f>
        <v>0</v>
      </c>
      <c r="Q948">
        <f>IF(AND(MyRowHidden(ROW())=FALSE,MyRowHidden(ROW()-1)=TRUE),0,IF(M948&lt;totalMonths,(totalMonths-M948)/totalMonths *(K948-K947)+Q947,0))</f>
        <v>0</v>
      </c>
      <c r="R948">
        <f>IF(AND(MyRowHidden(ROW())=FALSE,MyRowHidden(ROW()-1)=TRUE),0,IF(M948&lt;totalMonths,(totalMonths-M948)/totalMonths *(L948-L947)+R947,0))</f>
        <v>0</v>
      </c>
    </row>
    <row r="949" spans="4:18" hidden="1" x14ac:dyDescent="0.25">
      <c r="D949" s="1">
        <v>42586</v>
      </c>
      <c r="E949" s="10">
        <v>13662</v>
      </c>
      <c r="F949" s="1">
        <v>42586</v>
      </c>
      <c r="G949">
        <v>-13561.5</v>
      </c>
      <c r="H949" s="1">
        <f t="shared" si="80"/>
        <v>42586</v>
      </c>
      <c r="I949">
        <f>IF(AND(MyRowHidden(ROW())=FALSE,MyRowHidden(ROW()-1)=TRUE),0,(E949-E948)*unitsOfDHp+I948)</f>
        <v>214550</v>
      </c>
      <c r="J949">
        <f>IF(AND(MyRowHidden(ROW())=FALSE,MyRowHidden(ROW()-1)=TRUE),0,(G949-G948)*unitsOfExo+J948)</f>
        <v>-1888416</v>
      </c>
      <c r="K949" s="9">
        <f t="shared" si="81"/>
        <v>1888416</v>
      </c>
      <c r="L949">
        <f t="shared" si="82"/>
        <v>-1673866</v>
      </c>
      <c r="M949">
        <f>IF(AND(MyRowHidden(ROW())=FALSE,MyRowHidden(ROW()-1)=TRUE),0,IF(MONTH(H949)&lt;&gt;MONTH(H948),M948+1,M948))</f>
        <v>19</v>
      </c>
      <c r="N949">
        <f>IF(AND(MyRowHidden(ROW())=FALSE,MyRowHidden(ROW()-1)=TRUE),0,IF(M949&lt;totalMonths,(totalMonths-M949)/totalMonths *(I949-I948)+N948,0))</f>
        <v>0</v>
      </c>
      <c r="P949">
        <f>IF(AND(MyRowHidden(ROW())=FALSE,MyRowHidden(ROW()-1)=TRUE),0,IF(M949&lt;totalMonths,(totalMonths-M949)/totalMonths *(J949-J948)+P948,0))</f>
        <v>0</v>
      </c>
      <c r="Q949">
        <f>IF(AND(MyRowHidden(ROW())=FALSE,MyRowHidden(ROW()-1)=TRUE),0,IF(M949&lt;totalMonths,(totalMonths-M949)/totalMonths *(K949-K948)+Q948,0))</f>
        <v>0</v>
      </c>
      <c r="R949">
        <f>IF(AND(MyRowHidden(ROW())=FALSE,MyRowHidden(ROW()-1)=TRUE),0,IF(M949&lt;totalMonths,(totalMonths-M949)/totalMonths *(L949-L948)+R948,0))</f>
        <v>0</v>
      </c>
    </row>
    <row r="950" spans="4:18" hidden="1" x14ac:dyDescent="0.25">
      <c r="D950" s="1">
        <v>42587</v>
      </c>
      <c r="E950" s="10">
        <v>13662</v>
      </c>
      <c r="F950" s="1">
        <v>42587</v>
      </c>
      <c r="G950">
        <v>-13549</v>
      </c>
      <c r="H950" s="1">
        <f t="shared" si="80"/>
        <v>42587</v>
      </c>
      <c r="I950">
        <f>IF(AND(MyRowHidden(ROW())=FALSE,MyRowHidden(ROW()-1)=TRUE),0,(E950-E949)*unitsOfDHp+I949)</f>
        <v>214550</v>
      </c>
      <c r="J950">
        <f>IF(AND(MyRowHidden(ROW())=FALSE,MyRowHidden(ROW()-1)=TRUE),0,(G950-G949)*unitsOfExo+J949)</f>
        <v>-1884816</v>
      </c>
      <c r="K950" s="9">
        <f t="shared" si="81"/>
        <v>1884816</v>
      </c>
      <c r="L950">
        <f t="shared" si="82"/>
        <v>-1670266</v>
      </c>
      <c r="M950">
        <f>IF(AND(MyRowHidden(ROW())=FALSE,MyRowHidden(ROW()-1)=TRUE),0,IF(MONTH(H950)&lt;&gt;MONTH(H949),M949+1,M949))</f>
        <v>19</v>
      </c>
      <c r="N950">
        <f>IF(AND(MyRowHidden(ROW())=FALSE,MyRowHidden(ROW()-1)=TRUE),0,IF(M950&lt;totalMonths,(totalMonths-M950)/totalMonths *(I950-I949)+N949,0))</f>
        <v>0</v>
      </c>
      <c r="P950">
        <f>IF(AND(MyRowHidden(ROW())=FALSE,MyRowHidden(ROW()-1)=TRUE),0,IF(M950&lt;totalMonths,(totalMonths-M950)/totalMonths *(J950-J949)+P949,0))</f>
        <v>0</v>
      </c>
      <c r="Q950">
        <f>IF(AND(MyRowHidden(ROW())=FALSE,MyRowHidden(ROW()-1)=TRUE),0,IF(M950&lt;totalMonths,(totalMonths-M950)/totalMonths *(K950-K949)+Q949,0))</f>
        <v>0</v>
      </c>
      <c r="R950">
        <f>IF(AND(MyRowHidden(ROW())=FALSE,MyRowHidden(ROW()-1)=TRUE),0,IF(M950&lt;totalMonths,(totalMonths-M950)/totalMonths *(L950-L949)+R949,0))</f>
        <v>0</v>
      </c>
    </row>
    <row r="951" spans="4:18" hidden="1" x14ac:dyDescent="0.25">
      <c r="D951" s="1">
        <v>42590</v>
      </c>
      <c r="E951" s="10">
        <v>13650</v>
      </c>
      <c r="F951" s="1">
        <v>42590</v>
      </c>
      <c r="G951">
        <v>-13449</v>
      </c>
      <c r="H951" s="1">
        <f t="shared" si="80"/>
        <v>42590</v>
      </c>
      <c r="I951">
        <f>IF(AND(MyRowHidden(ROW())=FALSE,MyRowHidden(ROW()-1)=TRUE),0,(E951-E950)*unitsOfDHp+I950)</f>
        <v>214130</v>
      </c>
      <c r="J951">
        <f>IF(AND(MyRowHidden(ROW())=FALSE,MyRowHidden(ROW()-1)=TRUE),0,(G951-G950)*unitsOfExo+J950)</f>
        <v>-1856016</v>
      </c>
      <c r="K951" s="9">
        <f t="shared" si="81"/>
        <v>1856016</v>
      </c>
      <c r="L951">
        <f t="shared" si="82"/>
        <v>-1641886</v>
      </c>
      <c r="M951">
        <f>IF(AND(MyRowHidden(ROW())=FALSE,MyRowHidden(ROW()-1)=TRUE),0,IF(MONTH(H951)&lt;&gt;MONTH(H950),M950+1,M950))</f>
        <v>19</v>
      </c>
      <c r="N951">
        <f>IF(AND(MyRowHidden(ROW())=FALSE,MyRowHidden(ROW()-1)=TRUE),0,IF(M951&lt;totalMonths,(totalMonths-M951)/totalMonths *(I951-I950)+N950,0))</f>
        <v>0</v>
      </c>
      <c r="P951">
        <f>IF(AND(MyRowHidden(ROW())=FALSE,MyRowHidden(ROW()-1)=TRUE),0,IF(M951&lt;totalMonths,(totalMonths-M951)/totalMonths *(J951-J950)+P950,0))</f>
        <v>0</v>
      </c>
      <c r="Q951">
        <f>IF(AND(MyRowHidden(ROW())=FALSE,MyRowHidden(ROW()-1)=TRUE),0,IF(M951&lt;totalMonths,(totalMonths-M951)/totalMonths *(K951-K950)+Q950,0))</f>
        <v>0</v>
      </c>
      <c r="R951">
        <f>IF(AND(MyRowHidden(ROW())=FALSE,MyRowHidden(ROW()-1)=TRUE),0,IF(M951&lt;totalMonths,(totalMonths-M951)/totalMonths *(L951-L950)+R950,0))</f>
        <v>0</v>
      </c>
    </row>
    <row r="952" spans="4:18" hidden="1" x14ac:dyDescent="0.25">
      <c r="D952" s="1">
        <v>42591</v>
      </c>
      <c r="E952" s="10">
        <v>13650</v>
      </c>
      <c r="F952" s="1">
        <v>42591</v>
      </c>
      <c r="G952">
        <v>-13474</v>
      </c>
      <c r="H952" s="1">
        <f t="shared" si="80"/>
        <v>42591</v>
      </c>
      <c r="I952">
        <f>IF(AND(MyRowHidden(ROW())=FALSE,MyRowHidden(ROW()-1)=TRUE),0,(E952-E951)*unitsOfDHp+I951)</f>
        <v>214130</v>
      </c>
      <c r="J952">
        <f>IF(AND(MyRowHidden(ROW())=FALSE,MyRowHidden(ROW()-1)=TRUE),0,(G952-G951)*unitsOfExo+J951)</f>
        <v>-1863216</v>
      </c>
      <c r="K952" s="9">
        <f t="shared" si="81"/>
        <v>1863216</v>
      </c>
      <c r="L952">
        <f t="shared" si="82"/>
        <v>-1649086</v>
      </c>
      <c r="M952">
        <f>IF(AND(MyRowHidden(ROW())=FALSE,MyRowHidden(ROW()-1)=TRUE),0,IF(MONTH(H952)&lt;&gt;MONTH(H951),M951+1,M951))</f>
        <v>19</v>
      </c>
      <c r="N952">
        <f>IF(AND(MyRowHidden(ROW())=FALSE,MyRowHidden(ROW()-1)=TRUE),0,IF(M952&lt;totalMonths,(totalMonths-M952)/totalMonths *(I952-I951)+N951,0))</f>
        <v>0</v>
      </c>
      <c r="P952">
        <f>IF(AND(MyRowHidden(ROW())=FALSE,MyRowHidden(ROW()-1)=TRUE),0,IF(M952&lt;totalMonths,(totalMonths-M952)/totalMonths *(J952-J951)+P951,0))</f>
        <v>0</v>
      </c>
      <c r="Q952">
        <f>IF(AND(MyRowHidden(ROW())=FALSE,MyRowHidden(ROW()-1)=TRUE),0,IF(M952&lt;totalMonths,(totalMonths-M952)/totalMonths *(K952-K951)+Q951,0))</f>
        <v>0</v>
      </c>
      <c r="R952">
        <f>IF(AND(MyRowHidden(ROW())=FALSE,MyRowHidden(ROW()-1)=TRUE),0,IF(M952&lt;totalMonths,(totalMonths-M952)/totalMonths *(L952-L951)+R951,0))</f>
        <v>0</v>
      </c>
    </row>
    <row r="953" spans="4:18" hidden="1" x14ac:dyDescent="0.25">
      <c r="D953" s="1">
        <v>42592</v>
      </c>
      <c r="E953" s="10">
        <v>13650</v>
      </c>
      <c r="F953" s="1">
        <v>42592</v>
      </c>
      <c r="G953">
        <v>-13449</v>
      </c>
      <c r="H953" s="1">
        <f t="shared" si="80"/>
        <v>42592</v>
      </c>
      <c r="I953">
        <f>IF(AND(MyRowHidden(ROW())=FALSE,MyRowHidden(ROW()-1)=TRUE),0,(E953-E952)*unitsOfDHp+I952)</f>
        <v>214130</v>
      </c>
      <c r="J953">
        <f>IF(AND(MyRowHidden(ROW())=FALSE,MyRowHidden(ROW()-1)=TRUE),0,(G953-G952)*unitsOfExo+J952)</f>
        <v>-1856016</v>
      </c>
      <c r="K953" s="9">
        <f t="shared" si="81"/>
        <v>1856016</v>
      </c>
      <c r="L953">
        <f t="shared" si="82"/>
        <v>-1641886</v>
      </c>
      <c r="M953">
        <f>IF(AND(MyRowHidden(ROW())=FALSE,MyRowHidden(ROW()-1)=TRUE),0,IF(MONTH(H953)&lt;&gt;MONTH(H952),M952+1,M952))</f>
        <v>19</v>
      </c>
      <c r="N953">
        <f>IF(AND(MyRowHidden(ROW())=FALSE,MyRowHidden(ROW()-1)=TRUE),0,IF(M953&lt;totalMonths,(totalMonths-M953)/totalMonths *(I953-I952)+N952,0))</f>
        <v>0</v>
      </c>
      <c r="P953">
        <f>IF(AND(MyRowHidden(ROW())=FALSE,MyRowHidden(ROW()-1)=TRUE),0,IF(M953&lt;totalMonths,(totalMonths-M953)/totalMonths *(J953-J952)+P952,0))</f>
        <v>0</v>
      </c>
      <c r="Q953">
        <f>IF(AND(MyRowHidden(ROW())=FALSE,MyRowHidden(ROW()-1)=TRUE),0,IF(M953&lt;totalMonths,(totalMonths-M953)/totalMonths *(K953-K952)+Q952,0))</f>
        <v>0</v>
      </c>
      <c r="R953">
        <f>IF(AND(MyRowHidden(ROW())=FALSE,MyRowHidden(ROW()-1)=TRUE),0,IF(M953&lt;totalMonths,(totalMonths-M953)/totalMonths *(L953-L952)+R952,0))</f>
        <v>0</v>
      </c>
    </row>
    <row r="954" spans="4:18" hidden="1" x14ac:dyDescent="0.25">
      <c r="D954" s="1">
        <v>42593</v>
      </c>
      <c r="E954" s="10">
        <v>13662</v>
      </c>
      <c r="F954" s="1">
        <v>42593</v>
      </c>
      <c r="G954">
        <v>-13611.5</v>
      </c>
      <c r="H954" s="1">
        <f t="shared" si="80"/>
        <v>42593</v>
      </c>
      <c r="I954">
        <f>IF(AND(MyRowHidden(ROW())=FALSE,MyRowHidden(ROW()-1)=TRUE),0,(E954-E953)*unitsOfDHp+I953)</f>
        <v>214550</v>
      </c>
      <c r="J954">
        <f>IF(AND(MyRowHidden(ROW())=FALSE,MyRowHidden(ROW()-1)=TRUE),0,(G954-G953)*unitsOfExo+J953)</f>
        <v>-1902816</v>
      </c>
      <c r="K954" s="9">
        <f t="shared" si="81"/>
        <v>1902816</v>
      </c>
      <c r="L954">
        <f t="shared" si="82"/>
        <v>-1688266</v>
      </c>
      <c r="M954">
        <f>IF(AND(MyRowHidden(ROW())=FALSE,MyRowHidden(ROW()-1)=TRUE),0,IF(MONTH(H954)&lt;&gt;MONTH(H953),M953+1,M953))</f>
        <v>19</v>
      </c>
      <c r="N954">
        <f>IF(AND(MyRowHidden(ROW())=FALSE,MyRowHidden(ROW()-1)=TRUE),0,IF(M954&lt;totalMonths,(totalMonths-M954)/totalMonths *(I954-I953)+N953,0))</f>
        <v>0</v>
      </c>
      <c r="P954">
        <f>IF(AND(MyRowHidden(ROW())=FALSE,MyRowHidden(ROW()-1)=TRUE),0,IF(M954&lt;totalMonths,(totalMonths-M954)/totalMonths *(J954-J953)+P953,0))</f>
        <v>0</v>
      </c>
      <c r="Q954">
        <f>IF(AND(MyRowHidden(ROW())=FALSE,MyRowHidden(ROW()-1)=TRUE),0,IF(M954&lt;totalMonths,(totalMonths-M954)/totalMonths *(K954-K953)+Q953,0))</f>
        <v>0</v>
      </c>
      <c r="R954">
        <f>IF(AND(MyRowHidden(ROW())=FALSE,MyRowHidden(ROW()-1)=TRUE),0,IF(M954&lt;totalMonths,(totalMonths-M954)/totalMonths *(L954-L953)+R953,0))</f>
        <v>0</v>
      </c>
    </row>
    <row r="955" spans="4:18" hidden="1" x14ac:dyDescent="0.25">
      <c r="D955" s="1">
        <v>42594</v>
      </c>
      <c r="E955" s="10">
        <v>13575</v>
      </c>
      <c r="F955" s="1">
        <v>42594</v>
      </c>
      <c r="G955">
        <v>-13749</v>
      </c>
      <c r="H955" s="1">
        <f t="shared" si="80"/>
        <v>42594</v>
      </c>
      <c r="I955">
        <f>IF(AND(MyRowHidden(ROW())=FALSE,MyRowHidden(ROW()-1)=TRUE),0,(E955-E954)*unitsOfDHp+I954)</f>
        <v>211505</v>
      </c>
      <c r="J955">
        <f>IF(AND(MyRowHidden(ROW())=FALSE,MyRowHidden(ROW()-1)=TRUE),0,(G955-G954)*unitsOfExo+J954)</f>
        <v>-1942416</v>
      </c>
      <c r="K955" s="9">
        <f t="shared" si="81"/>
        <v>1942416</v>
      </c>
      <c r="L955">
        <f t="shared" si="82"/>
        <v>-1730911</v>
      </c>
      <c r="M955">
        <f>IF(AND(MyRowHidden(ROW())=FALSE,MyRowHidden(ROW()-1)=TRUE),0,IF(MONTH(H955)&lt;&gt;MONTH(H954),M954+1,M954))</f>
        <v>19</v>
      </c>
      <c r="N955">
        <f>IF(AND(MyRowHidden(ROW())=FALSE,MyRowHidden(ROW()-1)=TRUE),0,IF(M955&lt;totalMonths,(totalMonths-M955)/totalMonths *(I955-I954)+N954,0))</f>
        <v>0</v>
      </c>
      <c r="P955">
        <f>IF(AND(MyRowHidden(ROW())=FALSE,MyRowHidden(ROW()-1)=TRUE),0,IF(M955&lt;totalMonths,(totalMonths-M955)/totalMonths *(J955-J954)+P954,0))</f>
        <v>0</v>
      </c>
      <c r="Q955">
        <f>IF(AND(MyRowHidden(ROW())=FALSE,MyRowHidden(ROW()-1)=TRUE),0,IF(M955&lt;totalMonths,(totalMonths-M955)/totalMonths *(K955-K954)+Q954,0))</f>
        <v>0</v>
      </c>
      <c r="R955">
        <f>IF(AND(MyRowHidden(ROW())=FALSE,MyRowHidden(ROW()-1)=TRUE),0,IF(M955&lt;totalMonths,(totalMonths-M955)/totalMonths *(L955-L954)+R954,0))</f>
        <v>0</v>
      </c>
    </row>
    <row r="956" spans="4:18" hidden="1" x14ac:dyDescent="0.25">
      <c r="D956" s="1">
        <v>42597</v>
      </c>
      <c r="E956" s="10">
        <v>13314</v>
      </c>
      <c r="F956" s="1">
        <v>42597</v>
      </c>
      <c r="G956">
        <v>-13324</v>
      </c>
      <c r="H956" s="1">
        <f t="shared" si="80"/>
        <v>42597</v>
      </c>
      <c r="I956">
        <f>IF(AND(MyRowHidden(ROW())=FALSE,MyRowHidden(ROW()-1)=TRUE),0,(E956-E955)*unitsOfDHp+I955)</f>
        <v>202370</v>
      </c>
      <c r="J956">
        <f>IF(AND(MyRowHidden(ROW())=FALSE,MyRowHidden(ROW()-1)=TRUE),0,(G956-G955)*unitsOfExo+J955)</f>
        <v>-1820016</v>
      </c>
      <c r="K956" s="9">
        <f t="shared" si="81"/>
        <v>1820016</v>
      </c>
      <c r="L956">
        <f t="shared" si="82"/>
        <v>-1617646</v>
      </c>
      <c r="M956">
        <f>IF(AND(MyRowHidden(ROW())=FALSE,MyRowHidden(ROW()-1)=TRUE),0,IF(MONTH(H956)&lt;&gt;MONTH(H955),M955+1,M955))</f>
        <v>19</v>
      </c>
      <c r="N956">
        <f>IF(AND(MyRowHidden(ROW())=FALSE,MyRowHidden(ROW()-1)=TRUE),0,IF(M956&lt;totalMonths,(totalMonths-M956)/totalMonths *(I956-I955)+N955,0))</f>
        <v>0</v>
      </c>
      <c r="P956">
        <f>IF(AND(MyRowHidden(ROW())=FALSE,MyRowHidden(ROW()-1)=TRUE),0,IF(M956&lt;totalMonths,(totalMonths-M956)/totalMonths *(J956-J955)+P955,0))</f>
        <v>0</v>
      </c>
      <c r="Q956">
        <f>IF(AND(MyRowHidden(ROW())=FALSE,MyRowHidden(ROW()-1)=TRUE),0,IF(M956&lt;totalMonths,(totalMonths-M956)/totalMonths *(K956-K955)+Q955,0))</f>
        <v>0</v>
      </c>
      <c r="R956">
        <f>IF(AND(MyRowHidden(ROW())=FALSE,MyRowHidden(ROW()-1)=TRUE),0,IF(M956&lt;totalMonths,(totalMonths-M956)/totalMonths *(L956-L955)+R955,0))</f>
        <v>0</v>
      </c>
    </row>
    <row r="957" spans="4:18" hidden="1" x14ac:dyDescent="0.25">
      <c r="D957" s="1">
        <v>42598</v>
      </c>
      <c r="E957" s="10">
        <v>13314</v>
      </c>
      <c r="F957" s="1">
        <v>42598</v>
      </c>
      <c r="G957">
        <v>-13286.5</v>
      </c>
      <c r="H957" s="1">
        <f t="shared" si="80"/>
        <v>42598</v>
      </c>
      <c r="I957">
        <f>IF(AND(MyRowHidden(ROW())=FALSE,MyRowHidden(ROW()-1)=TRUE),0,(E957-E956)*unitsOfDHp+I956)</f>
        <v>202370</v>
      </c>
      <c r="J957">
        <f>IF(AND(MyRowHidden(ROW())=FALSE,MyRowHidden(ROW()-1)=TRUE),0,(G957-G956)*unitsOfExo+J956)</f>
        <v>-1809216</v>
      </c>
      <c r="K957" s="9">
        <f t="shared" si="81"/>
        <v>1809216</v>
      </c>
      <c r="L957">
        <f t="shared" si="82"/>
        <v>-1606846</v>
      </c>
      <c r="M957">
        <f>IF(AND(MyRowHidden(ROW())=FALSE,MyRowHidden(ROW()-1)=TRUE),0,IF(MONTH(H957)&lt;&gt;MONTH(H956),M956+1,M956))</f>
        <v>19</v>
      </c>
      <c r="N957">
        <f>IF(AND(MyRowHidden(ROW())=FALSE,MyRowHidden(ROW()-1)=TRUE),0,IF(M957&lt;totalMonths,(totalMonths-M957)/totalMonths *(I957-I956)+N956,0))</f>
        <v>0</v>
      </c>
      <c r="P957">
        <f>IF(AND(MyRowHidden(ROW())=FALSE,MyRowHidden(ROW()-1)=TRUE),0,IF(M957&lt;totalMonths,(totalMonths-M957)/totalMonths *(J957-J956)+P956,0))</f>
        <v>0</v>
      </c>
      <c r="Q957">
        <f>IF(AND(MyRowHidden(ROW())=FALSE,MyRowHidden(ROW()-1)=TRUE),0,IF(M957&lt;totalMonths,(totalMonths-M957)/totalMonths *(K957-K956)+Q956,0))</f>
        <v>0</v>
      </c>
      <c r="R957">
        <f>IF(AND(MyRowHidden(ROW())=FALSE,MyRowHidden(ROW()-1)=TRUE),0,IF(M957&lt;totalMonths,(totalMonths-M957)/totalMonths *(L957-L956)+R956,0))</f>
        <v>0</v>
      </c>
    </row>
    <row r="958" spans="4:18" hidden="1" x14ac:dyDescent="0.25">
      <c r="D958" s="1">
        <v>42599</v>
      </c>
      <c r="E958" s="10">
        <v>13352</v>
      </c>
      <c r="F958" s="1">
        <v>42599</v>
      </c>
      <c r="G958">
        <v>-13261.5</v>
      </c>
      <c r="H958" s="1">
        <f t="shared" si="80"/>
        <v>42599</v>
      </c>
      <c r="I958">
        <f>IF(AND(MyRowHidden(ROW())=FALSE,MyRowHidden(ROW()-1)=TRUE),0,(E958-E957)*unitsOfDHp+I957)</f>
        <v>203700</v>
      </c>
      <c r="J958">
        <f>IF(AND(MyRowHidden(ROW())=FALSE,MyRowHidden(ROW()-1)=TRUE),0,(G958-G957)*unitsOfExo+J957)</f>
        <v>-1802016</v>
      </c>
      <c r="K958" s="9">
        <f t="shared" si="81"/>
        <v>1802016</v>
      </c>
      <c r="L958">
        <f t="shared" si="82"/>
        <v>-1598316</v>
      </c>
      <c r="M958">
        <f>IF(AND(MyRowHidden(ROW())=FALSE,MyRowHidden(ROW()-1)=TRUE),0,IF(MONTH(H958)&lt;&gt;MONTH(H957),M957+1,M957))</f>
        <v>19</v>
      </c>
      <c r="N958">
        <f>IF(AND(MyRowHidden(ROW())=FALSE,MyRowHidden(ROW()-1)=TRUE),0,IF(M958&lt;totalMonths,(totalMonths-M958)/totalMonths *(I958-I957)+N957,0))</f>
        <v>0</v>
      </c>
      <c r="P958">
        <f>IF(AND(MyRowHidden(ROW())=FALSE,MyRowHidden(ROW()-1)=TRUE),0,IF(M958&lt;totalMonths,(totalMonths-M958)/totalMonths *(J958-J957)+P957,0))</f>
        <v>0</v>
      </c>
      <c r="Q958">
        <f>IF(AND(MyRowHidden(ROW())=FALSE,MyRowHidden(ROW()-1)=TRUE),0,IF(M958&lt;totalMonths,(totalMonths-M958)/totalMonths *(K958-K957)+Q957,0))</f>
        <v>0</v>
      </c>
      <c r="R958">
        <f>IF(AND(MyRowHidden(ROW())=FALSE,MyRowHidden(ROW()-1)=TRUE),0,IF(M958&lt;totalMonths,(totalMonths-M958)/totalMonths *(L958-L957)+R957,0))</f>
        <v>0</v>
      </c>
    </row>
    <row r="959" spans="4:18" hidden="1" x14ac:dyDescent="0.25">
      <c r="D959" s="1">
        <v>42600</v>
      </c>
      <c r="E959" s="10">
        <v>13464</v>
      </c>
      <c r="F959" s="1">
        <v>42600</v>
      </c>
      <c r="G959">
        <v>-13149</v>
      </c>
      <c r="H959" s="1">
        <f t="shared" si="80"/>
        <v>42600</v>
      </c>
      <c r="I959">
        <f>IF(AND(MyRowHidden(ROW())=FALSE,MyRowHidden(ROW()-1)=TRUE),0,(E959-E958)*unitsOfDHp+I958)</f>
        <v>207620</v>
      </c>
      <c r="J959">
        <f>IF(AND(MyRowHidden(ROW())=FALSE,MyRowHidden(ROW()-1)=TRUE),0,(G959-G958)*unitsOfExo+J958)</f>
        <v>-1769616</v>
      </c>
      <c r="K959" s="9">
        <f t="shared" si="81"/>
        <v>1769616</v>
      </c>
      <c r="L959">
        <f t="shared" si="82"/>
        <v>-1561996</v>
      </c>
      <c r="M959">
        <f>IF(AND(MyRowHidden(ROW())=FALSE,MyRowHidden(ROW()-1)=TRUE),0,IF(MONTH(H959)&lt;&gt;MONTH(H958),M958+1,M958))</f>
        <v>19</v>
      </c>
      <c r="N959">
        <f>IF(AND(MyRowHidden(ROW())=FALSE,MyRowHidden(ROW()-1)=TRUE),0,IF(M959&lt;totalMonths,(totalMonths-M959)/totalMonths *(I959-I958)+N958,0))</f>
        <v>0</v>
      </c>
      <c r="P959">
        <f>IF(AND(MyRowHidden(ROW())=FALSE,MyRowHidden(ROW()-1)=TRUE),0,IF(M959&lt;totalMonths,(totalMonths-M959)/totalMonths *(J959-J958)+P958,0))</f>
        <v>0</v>
      </c>
      <c r="Q959">
        <f>IF(AND(MyRowHidden(ROW())=FALSE,MyRowHidden(ROW()-1)=TRUE),0,IF(M959&lt;totalMonths,(totalMonths-M959)/totalMonths *(K959-K958)+Q958,0))</f>
        <v>0</v>
      </c>
      <c r="R959">
        <f>IF(AND(MyRowHidden(ROW())=FALSE,MyRowHidden(ROW()-1)=TRUE),0,IF(M959&lt;totalMonths,(totalMonths-M959)/totalMonths *(L959-L958)+R958,0))</f>
        <v>0</v>
      </c>
    </row>
    <row r="960" spans="4:18" hidden="1" x14ac:dyDescent="0.25">
      <c r="D960" s="1">
        <v>42601</v>
      </c>
      <c r="E960" s="10">
        <v>13676</v>
      </c>
      <c r="F960" s="1">
        <v>42601</v>
      </c>
      <c r="G960">
        <v>-12961.5</v>
      </c>
      <c r="H960" s="1">
        <f t="shared" si="80"/>
        <v>42601</v>
      </c>
      <c r="I960">
        <f>IF(AND(MyRowHidden(ROW())=FALSE,MyRowHidden(ROW()-1)=TRUE),0,(E960-E959)*unitsOfDHp+I959)</f>
        <v>215040</v>
      </c>
      <c r="J960">
        <f>IF(AND(MyRowHidden(ROW())=FALSE,MyRowHidden(ROW()-1)=TRUE),0,(G960-G959)*unitsOfExo+J959)</f>
        <v>-1715616</v>
      </c>
      <c r="K960" s="9">
        <f t="shared" si="81"/>
        <v>1715616</v>
      </c>
      <c r="L960">
        <f t="shared" si="82"/>
        <v>-1500576</v>
      </c>
      <c r="M960">
        <f>IF(AND(MyRowHidden(ROW())=FALSE,MyRowHidden(ROW()-1)=TRUE),0,IF(MONTH(H960)&lt;&gt;MONTH(H959),M959+1,M959))</f>
        <v>19</v>
      </c>
      <c r="N960">
        <f>IF(AND(MyRowHidden(ROW())=FALSE,MyRowHidden(ROW()-1)=TRUE),0,IF(M960&lt;totalMonths,(totalMonths-M960)/totalMonths *(I960-I959)+N959,0))</f>
        <v>0</v>
      </c>
      <c r="P960">
        <f>IF(AND(MyRowHidden(ROW())=FALSE,MyRowHidden(ROW()-1)=TRUE),0,IF(M960&lt;totalMonths,(totalMonths-M960)/totalMonths *(J960-J959)+P959,0))</f>
        <v>0</v>
      </c>
      <c r="Q960">
        <f>IF(AND(MyRowHidden(ROW())=FALSE,MyRowHidden(ROW()-1)=TRUE),0,IF(M960&lt;totalMonths,(totalMonths-M960)/totalMonths *(K960-K959)+Q959,0))</f>
        <v>0</v>
      </c>
      <c r="R960">
        <f>IF(AND(MyRowHidden(ROW())=FALSE,MyRowHidden(ROW()-1)=TRUE),0,IF(M960&lt;totalMonths,(totalMonths-M960)/totalMonths *(L960-L959)+R959,0))</f>
        <v>0</v>
      </c>
    </row>
    <row r="961" spans="4:19" hidden="1" x14ac:dyDescent="0.25">
      <c r="D961" s="1">
        <v>42604</v>
      </c>
      <c r="E961" s="10">
        <v>13576</v>
      </c>
      <c r="F961" s="1">
        <v>42604</v>
      </c>
      <c r="G961">
        <v>-13024</v>
      </c>
      <c r="H961" s="1">
        <f t="shared" si="80"/>
        <v>42604</v>
      </c>
      <c r="I961">
        <f>IF(AND(MyRowHidden(ROW())=FALSE,MyRowHidden(ROW()-1)=TRUE),0,(E961-E960)*unitsOfDHp+I960)</f>
        <v>211540</v>
      </c>
      <c r="J961">
        <f>IF(AND(MyRowHidden(ROW())=FALSE,MyRowHidden(ROW()-1)=TRUE),0,(G961-G960)*unitsOfExo+J960)</f>
        <v>-1733616</v>
      </c>
      <c r="K961" s="9">
        <f t="shared" si="81"/>
        <v>1733616</v>
      </c>
      <c r="L961">
        <f t="shared" si="82"/>
        <v>-1522076</v>
      </c>
      <c r="M961">
        <f>IF(AND(MyRowHidden(ROW())=FALSE,MyRowHidden(ROW()-1)=TRUE),0,IF(MONTH(H961)&lt;&gt;MONTH(H960),M960+1,M960))</f>
        <v>19</v>
      </c>
      <c r="N961">
        <f>IF(AND(MyRowHidden(ROW())=FALSE,MyRowHidden(ROW()-1)=TRUE),0,IF(M961&lt;totalMonths,(totalMonths-M961)/totalMonths *(I961-I960)+N960,0))</f>
        <v>0</v>
      </c>
      <c r="P961">
        <f>IF(AND(MyRowHidden(ROW())=FALSE,MyRowHidden(ROW()-1)=TRUE),0,IF(M961&lt;totalMonths,(totalMonths-M961)/totalMonths *(J961-J960)+P960,0))</f>
        <v>0</v>
      </c>
      <c r="Q961">
        <f>IF(AND(MyRowHidden(ROW())=FALSE,MyRowHidden(ROW()-1)=TRUE),0,IF(M961&lt;totalMonths,(totalMonths-M961)/totalMonths *(K961-K960)+Q960,0))</f>
        <v>0</v>
      </c>
      <c r="R961">
        <f>IF(AND(MyRowHidden(ROW())=FALSE,MyRowHidden(ROW()-1)=TRUE),0,IF(M961&lt;totalMonths,(totalMonths-M961)/totalMonths *(L961-L960)+R960,0))</f>
        <v>0</v>
      </c>
    </row>
    <row r="962" spans="4:19" hidden="1" x14ac:dyDescent="0.25">
      <c r="D962" s="1">
        <v>42605</v>
      </c>
      <c r="E962" s="10">
        <v>13364</v>
      </c>
      <c r="F962" s="1">
        <v>42605</v>
      </c>
      <c r="G962">
        <v>-13224</v>
      </c>
      <c r="H962" s="1">
        <f t="shared" si="80"/>
        <v>42605</v>
      </c>
      <c r="I962">
        <f>IF(AND(MyRowHidden(ROW())=FALSE,MyRowHidden(ROW()-1)=TRUE),0,(E962-E961)*unitsOfDHp+I961)</f>
        <v>204120</v>
      </c>
      <c r="J962">
        <f>IF(AND(MyRowHidden(ROW())=FALSE,MyRowHidden(ROW()-1)=TRUE),0,(G962-G961)*unitsOfExo+J961)</f>
        <v>-1791216</v>
      </c>
      <c r="K962" s="9">
        <f t="shared" si="81"/>
        <v>1791216</v>
      </c>
      <c r="L962">
        <f t="shared" si="82"/>
        <v>-1587096</v>
      </c>
      <c r="M962">
        <f>IF(AND(MyRowHidden(ROW())=FALSE,MyRowHidden(ROW()-1)=TRUE),0,IF(MONTH(H962)&lt;&gt;MONTH(H961),M961+1,M961))</f>
        <v>19</v>
      </c>
      <c r="N962">
        <f>IF(AND(MyRowHidden(ROW())=FALSE,MyRowHidden(ROW()-1)=TRUE),0,IF(M962&lt;totalMonths,(totalMonths-M962)/totalMonths *(I962-I961)+N961,0))</f>
        <v>0</v>
      </c>
      <c r="P962">
        <f>IF(AND(MyRowHidden(ROW())=FALSE,MyRowHidden(ROW()-1)=TRUE),0,IF(M962&lt;totalMonths,(totalMonths-M962)/totalMonths *(J962-J961)+P961,0))</f>
        <v>0</v>
      </c>
      <c r="Q962">
        <f>IF(AND(MyRowHidden(ROW())=FALSE,MyRowHidden(ROW()-1)=TRUE),0,IF(M962&lt;totalMonths,(totalMonths-M962)/totalMonths *(K962-K961)+Q961,0))</f>
        <v>0</v>
      </c>
      <c r="R962">
        <f>IF(AND(MyRowHidden(ROW())=FALSE,MyRowHidden(ROW()-1)=TRUE),0,IF(M962&lt;totalMonths,(totalMonths-M962)/totalMonths *(L962-L961)+R961,0))</f>
        <v>0</v>
      </c>
    </row>
    <row r="963" spans="4:19" hidden="1" x14ac:dyDescent="0.25">
      <c r="D963" s="1">
        <v>42606</v>
      </c>
      <c r="E963" s="10">
        <v>13204</v>
      </c>
      <c r="F963" s="1">
        <v>42606</v>
      </c>
      <c r="G963">
        <v>-13336.5</v>
      </c>
      <c r="H963" s="1">
        <f t="shared" si="80"/>
        <v>42606</v>
      </c>
      <c r="I963">
        <f>IF(AND(MyRowHidden(ROW())=FALSE,MyRowHidden(ROW()-1)=TRUE),0,(E963-E962)*unitsOfDHp+I962)</f>
        <v>198520</v>
      </c>
      <c r="J963">
        <f>IF(AND(MyRowHidden(ROW())=FALSE,MyRowHidden(ROW()-1)=TRUE),0,(G963-G962)*unitsOfExo+J962)</f>
        <v>-1823616</v>
      </c>
      <c r="K963" s="9">
        <f t="shared" si="81"/>
        <v>1823616</v>
      </c>
      <c r="L963">
        <f t="shared" si="82"/>
        <v>-1625096</v>
      </c>
      <c r="M963">
        <f>IF(AND(MyRowHidden(ROW())=FALSE,MyRowHidden(ROW()-1)=TRUE),0,IF(MONTH(H963)&lt;&gt;MONTH(H962),M962+1,M962))</f>
        <v>19</v>
      </c>
      <c r="N963">
        <f>IF(AND(MyRowHidden(ROW())=FALSE,MyRowHidden(ROW()-1)=TRUE),0,IF(M963&lt;totalMonths,(totalMonths-M963)/totalMonths *(I963-I962)+N962,0))</f>
        <v>0</v>
      </c>
      <c r="P963">
        <f>IF(AND(MyRowHidden(ROW())=FALSE,MyRowHidden(ROW()-1)=TRUE),0,IF(M963&lt;totalMonths,(totalMonths-M963)/totalMonths *(J963-J962)+P962,0))</f>
        <v>0</v>
      </c>
      <c r="Q963">
        <f>IF(AND(MyRowHidden(ROW())=FALSE,MyRowHidden(ROW()-1)=TRUE),0,IF(M963&lt;totalMonths,(totalMonths-M963)/totalMonths *(K963-K962)+Q962,0))</f>
        <v>0</v>
      </c>
      <c r="R963">
        <f>IF(AND(MyRowHidden(ROW())=FALSE,MyRowHidden(ROW()-1)=TRUE),0,IF(M963&lt;totalMonths,(totalMonths-M963)/totalMonths *(L963-L962)+R962,0))</f>
        <v>0</v>
      </c>
    </row>
    <row r="964" spans="4:19" hidden="1" x14ac:dyDescent="0.25">
      <c r="D964" s="1">
        <v>42607</v>
      </c>
      <c r="E964" s="10">
        <v>12749</v>
      </c>
      <c r="F964" s="1">
        <v>42607</v>
      </c>
      <c r="G964">
        <v>-13536.5</v>
      </c>
      <c r="H964" s="1">
        <f t="shared" si="80"/>
        <v>42607</v>
      </c>
      <c r="I964">
        <f>IF(AND(MyRowHidden(ROW())=FALSE,MyRowHidden(ROW()-1)=TRUE),0,(E964-E963)*unitsOfDHp+I963)</f>
        <v>182595</v>
      </c>
      <c r="J964">
        <f>IF(AND(MyRowHidden(ROW())=FALSE,MyRowHidden(ROW()-1)=TRUE),0,(G964-G963)*unitsOfExo+J963)</f>
        <v>-1881216</v>
      </c>
      <c r="K964" s="9">
        <f t="shared" si="81"/>
        <v>1881216</v>
      </c>
      <c r="L964">
        <f t="shared" si="82"/>
        <v>-1698621</v>
      </c>
      <c r="M964">
        <f>IF(AND(MyRowHidden(ROW())=FALSE,MyRowHidden(ROW()-1)=TRUE),0,IF(MONTH(H964)&lt;&gt;MONTH(H963),M963+1,M963))</f>
        <v>19</v>
      </c>
      <c r="N964">
        <f>IF(AND(MyRowHidden(ROW())=FALSE,MyRowHidden(ROW()-1)=TRUE),0,IF(M964&lt;totalMonths,(totalMonths-M964)/totalMonths *(I964-I963)+N963,0))</f>
        <v>0</v>
      </c>
      <c r="P964">
        <f>IF(AND(MyRowHidden(ROW())=FALSE,MyRowHidden(ROW()-1)=TRUE),0,IF(M964&lt;totalMonths,(totalMonths-M964)/totalMonths *(J964-J963)+P963,0))</f>
        <v>0</v>
      </c>
      <c r="Q964">
        <f>IF(AND(MyRowHidden(ROW())=FALSE,MyRowHidden(ROW()-1)=TRUE),0,IF(M964&lt;totalMonths,(totalMonths-M964)/totalMonths *(K964-K963)+Q963,0))</f>
        <v>0</v>
      </c>
      <c r="R964">
        <f>IF(AND(MyRowHidden(ROW())=FALSE,MyRowHidden(ROW()-1)=TRUE),0,IF(M964&lt;totalMonths,(totalMonths-M964)/totalMonths *(L964-L963)+R963,0))</f>
        <v>0</v>
      </c>
    </row>
    <row r="965" spans="4:19" hidden="1" x14ac:dyDescent="0.25">
      <c r="D965" s="1">
        <v>42608</v>
      </c>
      <c r="E965" s="10">
        <v>13194</v>
      </c>
      <c r="F965" s="1">
        <v>42608</v>
      </c>
      <c r="G965">
        <v>-13799</v>
      </c>
      <c r="H965" s="1">
        <f t="shared" si="80"/>
        <v>42608</v>
      </c>
      <c r="I965">
        <f>IF(AND(MyRowHidden(ROW())=FALSE,MyRowHidden(ROW()-1)=TRUE),0,(E965-E964)*unitsOfDHp+I964)</f>
        <v>198170</v>
      </c>
      <c r="J965">
        <f>IF(AND(MyRowHidden(ROW())=FALSE,MyRowHidden(ROW()-1)=TRUE),0,(G965-G964)*unitsOfExo+J964)</f>
        <v>-1956816</v>
      </c>
      <c r="K965" s="9">
        <f t="shared" si="81"/>
        <v>1956816</v>
      </c>
      <c r="L965">
        <f t="shared" si="82"/>
        <v>-1758646</v>
      </c>
      <c r="M965">
        <f>IF(AND(MyRowHidden(ROW())=FALSE,MyRowHidden(ROW()-1)=TRUE),0,IF(MONTH(H965)&lt;&gt;MONTH(H964),M964+1,M964))</f>
        <v>19</v>
      </c>
      <c r="N965">
        <f>IF(AND(MyRowHidden(ROW())=FALSE,MyRowHidden(ROW()-1)=TRUE),0,IF(M965&lt;totalMonths,(totalMonths-M965)/totalMonths *(I965-I964)+N964,0))</f>
        <v>0</v>
      </c>
      <c r="P965">
        <f>IF(AND(MyRowHidden(ROW())=FALSE,MyRowHidden(ROW()-1)=TRUE),0,IF(M965&lt;totalMonths,(totalMonths-M965)/totalMonths *(J965-J964)+P964,0))</f>
        <v>0</v>
      </c>
      <c r="Q965">
        <f>IF(AND(MyRowHidden(ROW())=FALSE,MyRowHidden(ROW()-1)=TRUE),0,IF(M965&lt;totalMonths,(totalMonths-M965)/totalMonths *(K965-K964)+Q964,0))</f>
        <v>0</v>
      </c>
      <c r="R965">
        <f>IF(AND(MyRowHidden(ROW())=FALSE,MyRowHidden(ROW()-1)=TRUE),0,IF(M965&lt;totalMonths,(totalMonths-M965)/totalMonths *(L965-L964)+R964,0))</f>
        <v>0</v>
      </c>
    </row>
    <row r="966" spans="4:19" hidden="1" x14ac:dyDescent="0.25">
      <c r="D966" s="1">
        <v>42611</v>
      </c>
      <c r="E966" s="10">
        <v>13497</v>
      </c>
      <c r="F966" s="1">
        <v>42611</v>
      </c>
      <c r="G966">
        <v>-14124</v>
      </c>
      <c r="H966" s="1">
        <f t="shared" si="80"/>
        <v>42611</v>
      </c>
      <c r="I966">
        <f>IF(AND(MyRowHidden(ROW())=FALSE,MyRowHidden(ROW()-1)=TRUE),0,(E966-E965)*unitsOfDHp+I965)</f>
        <v>208775</v>
      </c>
      <c r="J966">
        <f>IF(AND(MyRowHidden(ROW())=FALSE,MyRowHidden(ROW()-1)=TRUE),0,(G966-G965)*unitsOfExo+J965)</f>
        <v>-2050416</v>
      </c>
      <c r="K966" s="9">
        <f t="shared" si="81"/>
        <v>2050416</v>
      </c>
      <c r="L966">
        <f t="shared" si="82"/>
        <v>-1841641</v>
      </c>
      <c r="M966">
        <f>IF(AND(MyRowHidden(ROW())=FALSE,MyRowHidden(ROW()-1)=TRUE),0,IF(MONTH(H966)&lt;&gt;MONTH(H965),M965+1,M965))</f>
        <v>19</v>
      </c>
      <c r="N966">
        <f>IF(AND(MyRowHidden(ROW())=FALSE,MyRowHidden(ROW()-1)=TRUE),0,IF(M966&lt;totalMonths,(totalMonths-M966)/totalMonths *(I966-I965)+N965,0))</f>
        <v>0</v>
      </c>
      <c r="P966">
        <f>IF(AND(MyRowHidden(ROW())=FALSE,MyRowHidden(ROW()-1)=TRUE),0,IF(M966&lt;totalMonths,(totalMonths-M966)/totalMonths *(J966-J965)+P965,0))</f>
        <v>0</v>
      </c>
      <c r="Q966">
        <f>IF(AND(MyRowHidden(ROW())=FALSE,MyRowHidden(ROW()-1)=TRUE),0,IF(M966&lt;totalMonths,(totalMonths-M966)/totalMonths *(K966-K965)+Q965,0))</f>
        <v>0</v>
      </c>
      <c r="R966">
        <f>IF(AND(MyRowHidden(ROW())=FALSE,MyRowHidden(ROW()-1)=TRUE),0,IF(M966&lt;totalMonths,(totalMonths-M966)/totalMonths *(L966-L965)+R965,0))</f>
        <v>0</v>
      </c>
    </row>
    <row r="967" spans="4:19" hidden="1" x14ac:dyDescent="0.25">
      <c r="D967" s="1">
        <v>42612</v>
      </c>
      <c r="E967" s="10">
        <v>13186</v>
      </c>
      <c r="F967" s="1">
        <v>42612</v>
      </c>
      <c r="G967">
        <v>-14274</v>
      </c>
      <c r="H967" s="1">
        <f t="shared" si="80"/>
        <v>42612</v>
      </c>
      <c r="I967">
        <f>IF(AND(MyRowHidden(ROW())=FALSE,MyRowHidden(ROW()-1)=TRUE),0,(E967-E966)*unitsOfDHp+I966)</f>
        <v>197890</v>
      </c>
      <c r="J967">
        <f>IF(AND(MyRowHidden(ROW())=FALSE,MyRowHidden(ROW()-1)=TRUE),0,(G967-G966)*unitsOfExo+J966)</f>
        <v>-2093616</v>
      </c>
      <c r="K967" s="9">
        <f t="shared" si="81"/>
        <v>2093616</v>
      </c>
      <c r="L967">
        <f t="shared" si="82"/>
        <v>-1895726</v>
      </c>
      <c r="M967">
        <f>IF(AND(MyRowHidden(ROW())=FALSE,MyRowHidden(ROW()-1)=TRUE),0,IF(MONTH(H967)&lt;&gt;MONTH(H966),M966+1,M966))</f>
        <v>19</v>
      </c>
      <c r="N967">
        <f>IF(AND(MyRowHidden(ROW())=FALSE,MyRowHidden(ROW()-1)=TRUE),0,IF(M967&lt;totalMonths,(totalMonths-M967)/totalMonths *(I967-I966)+N966,0))</f>
        <v>0</v>
      </c>
      <c r="P967">
        <f>IF(AND(MyRowHidden(ROW())=FALSE,MyRowHidden(ROW()-1)=TRUE),0,IF(M967&lt;totalMonths,(totalMonths-M967)/totalMonths *(J967-J966)+P966,0))</f>
        <v>0</v>
      </c>
      <c r="Q967">
        <f>IF(AND(MyRowHidden(ROW())=FALSE,MyRowHidden(ROW()-1)=TRUE),0,IF(M967&lt;totalMonths,(totalMonths-M967)/totalMonths *(K967-K966)+Q966,0))</f>
        <v>0</v>
      </c>
      <c r="R967">
        <f>IF(AND(MyRowHidden(ROW())=FALSE,MyRowHidden(ROW()-1)=TRUE),0,IF(M967&lt;totalMonths,(totalMonths-M967)/totalMonths *(L967-L966)+R966,0))</f>
        <v>0</v>
      </c>
    </row>
    <row r="968" spans="4:19" hidden="1" x14ac:dyDescent="0.25">
      <c r="D968" s="1">
        <v>42613</v>
      </c>
      <c r="E968" s="10">
        <v>13036</v>
      </c>
      <c r="F968" s="1">
        <v>42613</v>
      </c>
      <c r="G968">
        <v>-14299</v>
      </c>
    </row>
    <row r="969" spans="4:19" hidden="1" x14ac:dyDescent="0.25">
      <c r="D969" s="1">
        <v>42614</v>
      </c>
      <c r="E969" s="10">
        <v>12836</v>
      </c>
      <c r="F969" s="1">
        <v>42614</v>
      </c>
      <c r="G969">
        <v>-14036</v>
      </c>
      <c r="H969" s="1">
        <f t="shared" ref="H969:H987" si="83">D969</f>
        <v>42614</v>
      </c>
      <c r="I969">
        <f>IF(AND(MyRowHidden(ROW())=FALSE,MyRowHidden(ROW()-1)=TRUE),0,(E969-E968)*unitsOfDHp+I968)</f>
        <v>-7000</v>
      </c>
      <c r="J969">
        <f>IF(AND(MyRowHidden(ROW())=FALSE,MyRowHidden(ROW()-1)=TRUE),0,(G969-G968)*unitsOfExo+J968)</f>
        <v>75744</v>
      </c>
      <c r="K969" s="9">
        <f t="shared" ref="K969:K987" si="84">-(J969-J968)+K968</f>
        <v>-75744</v>
      </c>
      <c r="L969">
        <f t="shared" ref="L969:L987" si="85">I969+J969</f>
        <v>68744</v>
      </c>
      <c r="M969">
        <f>IF(AND(MyRowHidden(ROW())=FALSE,MyRowHidden(ROW()-1)=TRUE),0,IF(MONTH(H969)&lt;&gt;MONTH(H968),M968+1,M968))</f>
        <v>1</v>
      </c>
      <c r="N969">
        <f t="shared" ref="N969:N987" si="86">I969</f>
        <v>-7000</v>
      </c>
      <c r="O969">
        <f>IF(AND(MyRowHidden(ROW())=FALSE,MyRowHidden(ROW()-1)=TRUE),0,IF(M969&lt;totalMonths,(totalMonths-M969)/totalMonths *(I969-I968)+O968,0))</f>
        <v>-6416.6666666666661</v>
      </c>
      <c r="P969">
        <f>IF(AND(MyRowHidden(ROW())=FALSE,MyRowHidden(ROW()-1)=TRUE),0,IF(M969&lt;totalMonths,(totalMonths-M969)/totalMonths *(J969-J968)+P968,0))</f>
        <v>69432</v>
      </c>
      <c r="Q969">
        <f>IF(AND(MyRowHidden(ROW())=FALSE,MyRowHidden(ROW()-1)=TRUE),0,IF(M969&lt;totalMonths,(totalMonths-M969)/totalMonths *(K969-K968)+Q968,0))</f>
        <v>-69432</v>
      </c>
      <c r="R969">
        <f t="shared" ref="R969:R987" si="87">N969+P969</f>
        <v>62432</v>
      </c>
      <c r="S969">
        <f t="shared" ref="S969:S987" si="88">O969+P969</f>
        <v>63015.333333333336</v>
      </c>
    </row>
    <row r="970" spans="4:19" hidden="1" x14ac:dyDescent="0.25">
      <c r="D970" s="1">
        <v>42615</v>
      </c>
      <c r="E970" s="10">
        <v>12761</v>
      </c>
      <c r="F970" s="1">
        <v>42615</v>
      </c>
      <c r="G970">
        <v>-13711</v>
      </c>
      <c r="H970" s="1">
        <f t="shared" si="83"/>
        <v>42615</v>
      </c>
      <c r="I970">
        <f>IF(AND(MyRowHidden(ROW())=FALSE,MyRowHidden(ROW()-1)=TRUE),0,(E970-E969)*unitsOfDHp+I969)</f>
        <v>-9625</v>
      </c>
      <c r="J970">
        <f>IF(AND(MyRowHidden(ROW())=FALSE,MyRowHidden(ROW()-1)=TRUE),0,(G970-G969)*unitsOfExo+J969)</f>
        <v>169344</v>
      </c>
      <c r="K970" s="9">
        <f t="shared" si="84"/>
        <v>-169344</v>
      </c>
      <c r="L970">
        <f t="shared" si="85"/>
        <v>159719</v>
      </c>
      <c r="M970">
        <f>IF(AND(MyRowHidden(ROW())=FALSE,MyRowHidden(ROW()-1)=TRUE),0,IF(MONTH(H970)&lt;&gt;MONTH(H969),M969+1,M969))</f>
        <v>1</v>
      </c>
      <c r="N970">
        <f t="shared" si="86"/>
        <v>-9625</v>
      </c>
      <c r="O970">
        <f>IF(AND(MyRowHidden(ROW())=FALSE,MyRowHidden(ROW()-1)=TRUE),0,IF(M970&lt;totalMonths,(totalMonths-M970)/totalMonths *(I970-I969)+O969,0))</f>
        <v>-8822.9166666666661</v>
      </c>
      <c r="P970">
        <f>IF(AND(MyRowHidden(ROW())=FALSE,MyRowHidden(ROW()-1)=TRUE),0,IF(M970&lt;totalMonths,(totalMonths-M970)/totalMonths *(J970-J969)+P969,0))</f>
        <v>155232</v>
      </c>
      <c r="Q970">
        <f>IF(AND(MyRowHidden(ROW())=FALSE,MyRowHidden(ROW()-1)=TRUE),0,IF(M970&lt;totalMonths,(totalMonths-M970)/totalMonths *(K970-K969)+Q969,0))</f>
        <v>-155232</v>
      </c>
      <c r="R970">
        <f t="shared" si="87"/>
        <v>145607</v>
      </c>
      <c r="S970">
        <f t="shared" si="88"/>
        <v>146409.08333333334</v>
      </c>
    </row>
    <row r="971" spans="4:19" hidden="1" x14ac:dyDescent="0.25">
      <c r="D971" s="1">
        <v>42618</v>
      </c>
      <c r="E971" s="10">
        <v>12848</v>
      </c>
      <c r="F971" s="1">
        <v>42618</v>
      </c>
      <c r="G971">
        <v>-13711</v>
      </c>
      <c r="H971" s="1">
        <f t="shared" si="83"/>
        <v>42618</v>
      </c>
      <c r="I971">
        <f>IF(AND(MyRowHidden(ROW())=FALSE,MyRowHidden(ROW()-1)=TRUE),0,(E971-E970)*unitsOfDHp+I970)</f>
        <v>-6580</v>
      </c>
      <c r="J971">
        <f>IF(AND(MyRowHidden(ROW())=FALSE,MyRowHidden(ROW()-1)=TRUE),0,(G971-G970)*unitsOfExo+J970)</f>
        <v>169344</v>
      </c>
      <c r="K971" s="9">
        <f t="shared" si="84"/>
        <v>-169344</v>
      </c>
      <c r="L971">
        <f t="shared" si="85"/>
        <v>162764</v>
      </c>
      <c r="M971">
        <f>IF(AND(MyRowHidden(ROW())=FALSE,MyRowHidden(ROW()-1)=TRUE),0,IF(MONTH(H971)&lt;&gt;MONTH(H970),M970+1,M970))</f>
        <v>1</v>
      </c>
      <c r="N971">
        <f t="shared" si="86"/>
        <v>-6580</v>
      </c>
      <c r="O971">
        <f>IF(AND(MyRowHidden(ROW())=FALSE,MyRowHidden(ROW()-1)=TRUE),0,IF(M971&lt;totalMonths,(totalMonths-M971)/totalMonths *(I971-I970)+O970,0))</f>
        <v>-6031.6666666666661</v>
      </c>
      <c r="P971">
        <f>IF(AND(MyRowHidden(ROW())=FALSE,MyRowHidden(ROW()-1)=TRUE),0,IF(M971&lt;totalMonths,(totalMonths-M971)/totalMonths *(J971-J970)+P970,0))</f>
        <v>155232</v>
      </c>
      <c r="Q971">
        <f>IF(AND(MyRowHidden(ROW())=FALSE,MyRowHidden(ROW()-1)=TRUE),0,IF(M971&lt;totalMonths,(totalMonths-M971)/totalMonths *(K971-K970)+Q970,0))</f>
        <v>-155232</v>
      </c>
      <c r="R971">
        <f t="shared" si="87"/>
        <v>148652</v>
      </c>
      <c r="S971">
        <f t="shared" si="88"/>
        <v>149200.33333333334</v>
      </c>
    </row>
    <row r="972" spans="4:19" hidden="1" x14ac:dyDescent="0.25">
      <c r="D972" s="1">
        <v>42619</v>
      </c>
      <c r="E972" s="10">
        <v>12760</v>
      </c>
      <c r="F972" s="1">
        <v>42619</v>
      </c>
      <c r="G972">
        <v>-13773.5</v>
      </c>
      <c r="H972" s="1">
        <f t="shared" si="83"/>
        <v>42619</v>
      </c>
      <c r="I972">
        <f>IF(AND(MyRowHidden(ROW())=FALSE,MyRowHidden(ROW()-1)=TRUE),0,(E972-E971)*unitsOfDHp+I971)</f>
        <v>-9660</v>
      </c>
      <c r="J972">
        <f>IF(AND(MyRowHidden(ROW())=FALSE,MyRowHidden(ROW()-1)=TRUE),0,(G972-G971)*unitsOfExo+J971)</f>
        <v>151344</v>
      </c>
      <c r="K972" s="9">
        <f t="shared" si="84"/>
        <v>-151344</v>
      </c>
      <c r="L972">
        <f t="shared" si="85"/>
        <v>141684</v>
      </c>
      <c r="M972">
        <f>IF(AND(MyRowHidden(ROW())=FALSE,MyRowHidden(ROW()-1)=TRUE),0,IF(MONTH(H972)&lt;&gt;MONTH(H971),M971+1,M971))</f>
        <v>1</v>
      </c>
      <c r="N972">
        <f t="shared" si="86"/>
        <v>-9660</v>
      </c>
      <c r="O972">
        <f>IF(AND(MyRowHidden(ROW())=FALSE,MyRowHidden(ROW()-1)=TRUE),0,IF(M972&lt;totalMonths,(totalMonths-M972)/totalMonths *(I972-I971)+O971,0))</f>
        <v>-8855</v>
      </c>
      <c r="P972">
        <f>IF(AND(MyRowHidden(ROW())=FALSE,MyRowHidden(ROW()-1)=TRUE),0,IF(M972&lt;totalMonths,(totalMonths-M972)/totalMonths *(J972-J971)+P971,0))</f>
        <v>138732</v>
      </c>
      <c r="Q972">
        <f>IF(AND(MyRowHidden(ROW())=FALSE,MyRowHidden(ROW()-1)=TRUE),0,IF(M972&lt;totalMonths,(totalMonths-M972)/totalMonths *(K972-K971)+Q971,0))</f>
        <v>-138732</v>
      </c>
      <c r="R972">
        <f t="shared" si="87"/>
        <v>129072</v>
      </c>
      <c r="S972">
        <f t="shared" si="88"/>
        <v>129877</v>
      </c>
    </row>
    <row r="973" spans="4:19" hidden="1" x14ac:dyDescent="0.25">
      <c r="D973" s="1">
        <v>42620</v>
      </c>
      <c r="E973" s="10">
        <v>12872</v>
      </c>
      <c r="F973" s="1">
        <v>42620</v>
      </c>
      <c r="G973">
        <v>-13536</v>
      </c>
      <c r="H973" s="1">
        <f t="shared" si="83"/>
        <v>42620</v>
      </c>
      <c r="I973">
        <f>IF(AND(MyRowHidden(ROW())=FALSE,MyRowHidden(ROW()-1)=TRUE),0,(E973-E972)*unitsOfDHp+I972)</f>
        <v>-5740</v>
      </c>
      <c r="J973">
        <f>IF(AND(MyRowHidden(ROW())=FALSE,MyRowHidden(ROW()-1)=TRUE),0,(G973-G972)*unitsOfExo+J972)</f>
        <v>219744</v>
      </c>
      <c r="K973" s="9">
        <f t="shared" si="84"/>
        <v>-219744</v>
      </c>
      <c r="L973">
        <f t="shared" si="85"/>
        <v>214004</v>
      </c>
      <c r="M973">
        <f>IF(AND(MyRowHidden(ROW())=FALSE,MyRowHidden(ROW()-1)=TRUE),0,IF(MONTH(H973)&lt;&gt;MONTH(H972),M972+1,M972))</f>
        <v>1</v>
      </c>
      <c r="N973">
        <f t="shared" si="86"/>
        <v>-5740</v>
      </c>
      <c r="O973">
        <f>IF(AND(MyRowHidden(ROW())=FALSE,MyRowHidden(ROW()-1)=TRUE),0,IF(M973&lt;totalMonths,(totalMonths-M973)/totalMonths *(I973-I972)+O972,0))</f>
        <v>-5261.666666666667</v>
      </c>
      <c r="P973">
        <f>IF(AND(MyRowHidden(ROW())=FALSE,MyRowHidden(ROW()-1)=TRUE),0,IF(M973&lt;totalMonths,(totalMonths-M973)/totalMonths *(J973-J972)+P972,0))</f>
        <v>201432</v>
      </c>
      <c r="Q973">
        <f>IF(AND(MyRowHidden(ROW())=FALSE,MyRowHidden(ROW()-1)=TRUE),0,IF(M973&lt;totalMonths,(totalMonths-M973)/totalMonths *(K973-K972)+Q972,0))</f>
        <v>-201432</v>
      </c>
      <c r="R973">
        <f t="shared" si="87"/>
        <v>195692</v>
      </c>
      <c r="S973">
        <f t="shared" si="88"/>
        <v>196170.33333333334</v>
      </c>
    </row>
    <row r="974" spans="4:19" hidden="1" x14ac:dyDescent="0.25">
      <c r="D974" s="1">
        <v>42621</v>
      </c>
      <c r="E974" s="10">
        <v>12898</v>
      </c>
      <c r="F974" s="1">
        <v>42621</v>
      </c>
      <c r="G974">
        <v>-13223.5</v>
      </c>
      <c r="H974" s="1">
        <f t="shared" si="83"/>
        <v>42621</v>
      </c>
      <c r="I974">
        <f>IF(AND(MyRowHidden(ROW())=FALSE,MyRowHidden(ROW()-1)=TRUE),0,(E974-E973)*unitsOfDHp+I973)</f>
        <v>-4830</v>
      </c>
      <c r="J974">
        <f>IF(AND(MyRowHidden(ROW())=FALSE,MyRowHidden(ROW()-1)=TRUE),0,(G974-G973)*unitsOfExo+J973)</f>
        <v>309744</v>
      </c>
      <c r="K974" s="9">
        <f t="shared" si="84"/>
        <v>-309744</v>
      </c>
      <c r="L974">
        <f t="shared" si="85"/>
        <v>304914</v>
      </c>
      <c r="M974">
        <f>IF(AND(MyRowHidden(ROW())=FALSE,MyRowHidden(ROW()-1)=TRUE),0,IF(MONTH(H974)&lt;&gt;MONTH(H973),M973+1,M973))</f>
        <v>1</v>
      </c>
      <c r="N974">
        <f t="shared" si="86"/>
        <v>-4830</v>
      </c>
      <c r="O974">
        <f>IF(AND(MyRowHidden(ROW())=FALSE,MyRowHidden(ROW()-1)=TRUE),0,IF(M974&lt;totalMonths,(totalMonths-M974)/totalMonths *(I974-I973)+O973,0))</f>
        <v>-4427.5</v>
      </c>
      <c r="P974">
        <f>IF(AND(MyRowHidden(ROW())=FALSE,MyRowHidden(ROW()-1)=TRUE),0,IF(M974&lt;totalMonths,(totalMonths-M974)/totalMonths *(J974-J973)+P973,0))</f>
        <v>283932</v>
      </c>
      <c r="Q974">
        <f>IF(AND(MyRowHidden(ROW())=FALSE,MyRowHidden(ROW()-1)=TRUE),0,IF(M974&lt;totalMonths,(totalMonths-M974)/totalMonths *(K974-K973)+Q973,0))</f>
        <v>-283932</v>
      </c>
      <c r="R974">
        <f t="shared" si="87"/>
        <v>279102</v>
      </c>
      <c r="S974">
        <f t="shared" si="88"/>
        <v>279504.5</v>
      </c>
    </row>
    <row r="975" spans="4:19" hidden="1" x14ac:dyDescent="0.25">
      <c r="D975" s="1">
        <v>42622</v>
      </c>
      <c r="E975" s="10">
        <v>12873</v>
      </c>
      <c r="F975" s="1">
        <v>42622</v>
      </c>
      <c r="G975">
        <v>-13061</v>
      </c>
      <c r="H975" s="1">
        <f t="shared" si="83"/>
        <v>42622</v>
      </c>
      <c r="I975">
        <f>IF(AND(MyRowHidden(ROW())=FALSE,MyRowHidden(ROW()-1)=TRUE),0,(E975-E974)*unitsOfDHp+I974)</f>
        <v>-5705</v>
      </c>
      <c r="J975">
        <f>IF(AND(MyRowHidden(ROW())=FALSE,MyRowHidden(ROW()-1)=TRUE),0,(G975-G974)*unitsOfExo+J974)</f>
        <v>356544</v>
      </c>
      <c r="K975" s="9">
        <f t="shared" si="84"/>
        <v>-356544</v>
      </c>
      <c r="L975">
        <f t="shared" si="85"/>
        <v>350839</v>
      </c>
      <c r="M975">
        <f>IF(AND(MyRowHidden(ROW())=FALSE,MyRowHidden(ROW()-1)=TRUE),0,IF(MONTH(H975)&lt;&gt;MONTH(H974),M974+1,M974))</f>
        <v>1</v>
      </c>
      <c r="N975">
        <f t="shared" si="86"/>
        <v>-5705</v>
      </c>
      <c r="O975">
        <f>IF(AND(MyRowHidden(ROW())=FALSE,MyRowHidden(ROW()-1)=TRUE),0,IF(M975&lt;totalMonths,(totalMonths-M975)/totalMonths *(I975-I974)+O974,0))</f>
        <v>-5229.583333333333</v>
      </c>
      <c r="P975">
        <f>IF(AND(MyRowHidden(ROW())=FALSE,MyRowHidden(ROW()-1)=TRUE),0,IF(M975&lt;totalMonths,(totalMonths-M975)/totalMonths *(J975-J974)+P974,0))</f>
        <v>326832</v>
      </c>
      <c r="Q975">
        <f>IF(AND(MyRowHidden(ROW())=FALSE,MyRowHidden(ROW()-1)=TRUE),0,IF(M975&lt;totalMonths,(totalMonths-M975)/totalMonths *(K975-K974)+Q974,0))</f>
        <v>-326832</v>
      </c>
      <c r="R975">
        <f t="shared" si="87"/>
        <v>321127</v>
      </c>
      <c r="S975">
        <f t="shared" si="88"/>
        <v>321602.41666666669</v>
      </c>
    </row>
    <row r="976" spans="4:19" hidden="1" x14ac:dyDescent="0.25">
      <c r="D976" s="1">
        <v>42625</v>
      </c>
      <c r="E976" s="10">
        <v>12786</v>
      </c>
      <c r="F976" s="1">
        <v>42625</v>
      </c>
      <c r="G976">
        <v>-13148.5</v>
      </c>
      <c r="H976" s="1">
        <f t="shared" si="83"/>
        <v>42625</v>
      </c>
      <c r="I976">
        <f>IF(AND(MyRowHidden(ROW())=FALSE,MyRowHidden(ROW()-1)=TRUE),0,(E976-E975)*unitsOfDHp+I975)</f>
        <v>-8750</v>
      </c>
      <c r="J976">
        <f>IF(AND(MyRowHidden(ROW())=FALSE,MyRowHidden(ROW()-1)=TRUE),0,(G976-G975)*unitsOfExo+J975)</f>
        <v>331344</v>
      </c>
      <c r="K976" s="9">
        <f t="shared" si="84"/>
        <v>-331344</v>
      </c>
      <c r="L976">
        <f t="shared" si="85"/>
        <v>322594</v>
      </c>
      <c r="M976">
        <f>IF(AND(MyRowHidden(ROW())=FALSE,MyRowHidden(ROW()-1)=TRUE),0,IF(MONTH(H976)&lt;&gt;MONTH(H975),M975+1,M975))</f>
        <v>1</v>
      </c>
      <c r="N976">
        <f t="shared" si="86"/>
        <v>-8750</v>
      </c>
      <c r="O976">
        <f>IF(AND(MyRowHidden(ROW())=FALSE,MyRowHidden(ROW()-1)=TRUE),0,IF(M976&lt;totalMonths,(totalMonths-M976)/totalMonths *(I976-I975)+O975,0))</f>
        <v>-8020.833333333333</v>
      </c>
      <c r="P976">
        <f>IF(AND(MyRowHidden(ROW())=FALSE,MyRowHidden(ROW()-1)=TRUE),0,IF(M976&lt;totalMonths,(totalMonths-M976)/totalMonths *(J976-J975)+P975,0))</f>
        <v>303732</v>
      </c>
      <c r="Q976">
        <f>IF(AND(MyRowHidden(ROW())=FALSE,MyRowHidden(ROW()-1)=TRUE),0,IF(M976&lt;totalMonths,(totalMonths-M976)/totalMonths *(K976-K975)+Q975,0))</f>
        <v>-303732</v>
      </c>
      <c r="R976">
        <f t="shared" si="87"/>
        <v>294982</v>
      </c>
      <c r="S976">
        <f t="shared" si="88"/>
        <v>295711.16666666669</v>
      </c>
    </row>
    <row r="977" spans="4:19" hidden="1" x14ac:dyDescent="0.25">
      <c r="D977" s="1">
        <v>42626</v>
      </c>
      <c r="E977" s="10">
        <v>13152</v>
      </c>
      <c r="F977" s="1">
        <v>42626</v>
      </c>
      <c r="G977">
        <v>-13623.5</v>
      </c>
      <c r="H977" s="1">
        <f t="shared" si="83"/>
        <v>42626</v>
      </c>
      <c r="I977">
        <f>IF(AND(MyRowHidden(ROW())=FALSE,MyRowHidden(ROW()-1)=TRUE),0,(E977-E976)*unitsOfDHp+I976)</f>
        <v>4060</v>
      </c>
      <c r="J977">
        <f>IF(AND(MyRowHidden(ROW())=FALSE,MyRowHidden(ROW()-1)=TRUE),0,(G977-G976)*unitsOfExo+J976)</f>
        <v>194544</v>
      </c>
      <c r="K977" s="9">
        <f t="shared" si="84"/>
        <v>-194544</v>
      </c>
      <c r="L977">
        <f t="shared" si="85"/>
        <v>198604</v>
      </c>
      <c r="M977">
        <f>IF(AND(MyRowHidden(ROW())=FALSE,MyRowHidden(ROW()-1)=TRUE),0,IF(MONTH(H977)&lt;&gt;MONTH(H976),M976+1,M976))</f>
        <v>1</v>
      </c>
      <c r="N977">
        <f t="shared" si="86"/>
        <v>4060</v>
      </c>
      <c r="O977">
        <f>IF(AND(MyRowHidden(ROW())=FALSE,MyRowHidden(ROW()-1)=TRUE),0,IF(M977&lt;totalMonths,(totalMonths-M977)/totalMonths *(I977-I976)+O976,0))</f>
        <v>3721.666666666667</v>
      </c>
      <c r="P977">
        <f>IF(AND(MyRowHidden(ROW())=FALSE,MyRowHidden(ROW()-1)=TRUE),0,IF(M977&lt;totalMonths,(totalMonths-M977)/totalMonths *(J977-J976)+P976,0))</f>
        <v>178332</v>
      </c>
      <c r="Q977">
        <f>IF(AND(MyRowHidden(ROW())=FALSE,MyRowHidden(ROW()-1)=TRUE),0,IF(M977&lt;totalMonths,(totalMonths-M977)/totalMonths *(K977-K976)+Q976,0))</f>
        <v>-178332</v>
      </c>
      <c r="R977">
        <f t="shared" si="87"/>
        <v>182392</v>
      </c>
      <c r="S977">
        <f t="shared" si="88"/>
        <v>182053.66666666666</v>
      </c>
    </row>
    <row r="978" spans="4:19" hidden="1" x14ac:dyDescent="0.25">
      <c r="D978" s="1">
        <v>42627</v>
      </c>
      <c r="E978" s="10">
        <v>12990</v>
      </c>
      <c r="F978" s="1">
        <v>42627</v>
      </c>
      <c r="G978">
        <v>-13598.5</v>
      </c>
      <c r="H978" s="1">
        <f t="shared" si="83"/>
        <v>42627</v>
      </c>
      <c r="I978">
        <f>IF(AND(MyRowHidden(ROW())=FALSE,MyRowHidden(ROW()-1)=TRUE),0,(E978-E977)*unitsOfDHp+I977)</f>
        <v>-1610</v>
      </c>
      <c r="J978">
        <f>IF(AND(MyRowHidden(ROW())=FALSE,MyRowHidden(ROW()-1)=TRUE),0,(G978-G977)*unitsOfExo+J977)</f>
        <v>201744</v>
      </c>
      <c r="K978" s="9">
        <f t="shared" si="84"/>
        <v>-201744</v>
      </c>
      <c r="L978">
        <f t="shared" si="85"/>
        <v>200134</v>
      </c>
      <c r="M978">
        <f>IF(AND(MyRowHidden(ROW())=FALSE,MyRowHidden(ROW()-1)=TRUE),0,IF(MONTH(H978)&lt;&gt;MONTH(H977),M977+1,M977))</f>
        <v>1</v>
      </c>
      <c r="N978">
        <f t="shared" si="86"/>
        <v>-1610</v>
      </c>
      <c r="O978">
        <f>IF(AND(MyRowHidden(ROW())=FALSE,MyRowHidden(ROW()-1)=TRUE),0,IF(M978&lt;totalMonths,(totalMonths-M978)/totalMonths *(I978-I977)+O977,0))</f>
        <v>-1475.833333333333</v>
      </c>
      <c r="P978">
        <f>IF(AND(MyRowHidden(ROW())=FALSE,MyRowHidden(ROW()-1)=TRUE),0,IF(M978&lt;totalMonths,(totalMonths-M978)/totalMonths *(J978-J977)+P977,0))</f>
        <v>184932</v>
      </c>
      <c r="Q978">
        <f>IF(AND(MyRowHidden(ROW())=FALSE,MyRowHidden(ROW()-1)=TRUE),0,IF(M978&lt;totalMonths,(totalMonths-M978)/totalMonths *(K978-K977)+Q977,0))</f>
        <v>-184932</v>
      </c>
      <c r="R978">
        <f t="shared" si="87"/>
        <v>183322</v>
      </c>
      <c r="S978">
        <f t="shared" si="88"/>
        <v>183456.16666666666</v>
      </c>
    </row>
    <row r="979" spans="4:19" hidden="1" x14ac:dyDescent="0.25">
      <c r="D979" s="1">
        <v>42628</v>
      </c>
      <c r="E979" s="10">
        <v>12993</v>
      </c>
      <c r="F979" s="1">
        <v>42628</v>
      </c>
      <c r="G979">
        <v>-13686</v>
      </c>
      <c r="H979" s="1">
        <f t="shared" si="83"/>
        <v>42628</v>
      </c>
      <c r="I979">
        <f>IF(AND(MyRowHidden(ROW())=FALSE,MyRowHidden(ROW()-1)=TRUE),0,(E979-E978)*unitsOfDHp+I978)</f>
        <v>-1505</v>
      </c>
      <c r="J979">
        <f>IF(AND(MyRowHidden(ROW())=FALSE,MyRowHidden(ROW()-1)=TRUE),0,(G979-G978)*unitsOfExo+J978)</f>
        <v>176544</v>
      </c>
      <c r="K979" s="9">
        <f t="shared" si="84"/>
        <v>-176544</v>
      </c>
      <c r="L979">
        <f t="shared" si="85"/>
        <v>175039</v>
      </c>
      <c r="M979">
        <f>IF(AND(MyRowHidden(ROW())=FALSE,MyRowHidden(ROW()-1)=TRUE),0,IF(MONTH(H979)&lt;&gt;MONTH(H978),M978+1,M978))</f>
        <v>1</v>
      </c>
      <c r="N979">
        <f t="shared" si="86"/>
        <v>-1505</v>
      </c>
      <c r="O979">
        <f>IF(AND(MyRowHidden(ROW())=FALSE,MyRowHidden(ROW()-1)=TRUE),0,IF(M979&lt;totalMonths,(totalMonths-M979)/totalMonths *(I979-I978)+O978,0))</f>
        <v>-1379.583333333333</v>
      </c>
      <c r="P979">
        <f>IF(AND(MyRowHidden(ROW())=FALSE,MyRowHidden(ROW()-1)=TRUE),0,IF(M979&lt;totalMonths,(totalMonths-M979)/totalMonths *(J979-J978)+P978,0))</f>
        <v>161832</v>
      </c>
      <c r="Q979">
        <f>IF(AND(MyRowHidden(ROW())=FALSE,MyRowHidden(ROW()-1)=TRUE),0,IF(M979&lt;totalMonths,(totalMonths-M979)/totalMonths *(K979-K978)+Q978,0))</f>
        <v>-161832</v>
      </c>
      <c r="R979">
        <f t="shared" si="87"/>
        <v>160327</v>
      </c>
      <c r="S979">
        <f t="shared" si="88"/>
        <v>160452.41666666666</v>
      </c>
    </row>
    <row r="980" spans="4:19" hidden="1" x14ac:dyDescent="0.25">
      <c r="D980" s="1">
        <v>42629</v>
      </c>
      <c r="E980" s="10">
        <v>13494</v>
      </c>
      <c r="F980" s="1">
        <v>42629</v>
      </c>
      <c r="G980">
        <v>-13286</v>
      </c>
      <c r="H980" s="1">
        <f t="shared" si="83"/>
        <v>42629</v>
      </c>
      <c r="I980">
        <f>IF(AND(MyRowHidden(ROW())=FALSE,MyRowHidden(ROW()-1)=TRUE),0,(E980-E979)*unitsOfDHp+I979)</f>
        <v>16030</v>
      </c>
      <c r="J980">
        <f>IF(AND(MyRowHidden(ROW())=FALSE,MyRowHidden(ROW()-1)=TRUE),0,(G980-G979)*unitsOfExo+J979)</f>
        <v>291744</v>
      </c>
      <c r="K980" s="9">
        <f t="shared" si="84"/>
        <v>-291744</v>
      </c>
      <c r="L980">
        <f t="shared" si="85"/>
        <v>307774</v>
      </c>
      <c r="M980">
        <f>IF(AND(MyRowHidden(ROW())=FALSE,MyRowHidden(ROW()-1)=TRUE),0,IF(MONTH(H980)&lt;&gt;MONTH(H979),M979+1,M979))</f>
        <v>1</v>
      </c>
      <c r="N980">
        <f t="shared" si="86"/>
        <v>16030</v>
      </c>
      <c r="O980">
        <f>IF(AND(MyRowHidden(ROW())=FALSE,MyRowHidden(ROW()-1)=TRUE),0,IF(M980&lt;totalMonths,(totalMonths-M980)/totalMonths *(I980-I979)+O979,0))</f>
        <v>14694.166666666668</v>
      </c>
      <c r="P980">
        <f>IF(AND(MyRowHidden(ROW())=FALSE,MyRowHidden(ROW()-1)=TRUE),0,IF(M980&lt;totalMonths,(totalMonths-M980)/totalMonths *(J980-J979)+P979,0))</f>
        <v>267432</v>
      </c>
      <c r="Q980">
        <f>IF(AND(MyRowHidden(ROW())=FALSE,MyRowHidden(ROW()-1)=TRUE),0,IF(M980&lt;totalMonths,(totalMonths-M980)/totalMonths *(K980-K979)+Q979,0))</f>
        <v>-267432</v>
      </c>
      <c r="R980">
        <f t="shared" si="87"/>
        <v>283462</v>
      </c>
      <c r="S980">
        <f t="shared" si="88"/>
        <v>282126.16666666669</v>
      </c>
    </row>
    <row r="981" spans="4:19" hidden="1" x14ac:dyDescent="0.25">
      <c r="D981" s="1">
        <v>42632</v>
      </c>
      <c r="E981" s="10">
        <v>13432</v>
      </c>
      <c r="F981" s="1">
        <v>42632</v>
      </c>
      <c r="G981">
        <v>-13398.5</v>
      </c>
      <c r="H981" s="1">
        <f t="shared" si="83"/>
        <v>42632</v>
      </c>
      <c r="I981">
        <f>IF(AND(MyRowHidden(ROW())=FALSE,MyRowHidden(ROW()-1)=TRUE),0,(E981-E980)*unitsOfDHp+I980)</f>
        <v>13860</v>
      </c>
      <c r="J981">
        <f>IF(AND(MyRowHidden(ROW())=FALSE,MyRowHidden(ROW()-1)=TRUE),0,(G981-G980)*unitsOfExo+J980)</f>
        <v>259344</v>
      </c>
      <c r="K981" s="9">
        <f t="shared" si="84"/>
        <v>-259344</v>
      </c>
      <c r="L981">
        <f t="shared" si="85"/>
        <v>273204</v>
      </c>
      <c r="M981">
        <f>IF(AND(MyRowHidden(ROW())=FALSE,MyRowHidden(ROW()-1)=TRUE),0,IF(MONTH(H981)&lt;&gt;MONTH(H980),M980+1,M980))</f>
        <v>1</v>
      </c>
      <c r="N981">
        <f t="shared" si="86"/>
        <v>13860</v>
      </c>
      <c r="O981">
        <f>IF(AND(MyRowHidden(ROW())=FALSE,MyRowHidden(ROW()-1)=TRUE),0,IF(M981&lt;totalMonths,(totalMonths-M981)/totalMonths *(I981-I980)+O980,0))</f>
        <v>12705.000000000002</v>
      </c>
      <c r="P981">
        <f>IF(AND(MyRowHidden(ROW())=FALSE,MyRowHidden(ROW()-1)=TRUE),0,IF(M981&lt;totalMonths,(totalMonths-M981)/totalMonths *(J981-J980)+P980,0))</f>
        <v>237732</v>
      </c>
      <c r="Q981">
        <f>IF(AND(MyRowHidden(ROW())=FALSE,MyRowHidden(ROW()-1)=TRUE),0,IF(M981&lt;totalMonths,(totalMonths-M981)/totalMonths *(K981-K980)+Q980,0))</f>
        <v>-237732</v>
      </c>
      <c r="R981">
        <f t="shared" si="87"/>
        <v>251592</v>
      </c>
      <c r="S981">
        <f t="shared" si="88"/>
        <v>250437</v>
      </c>
    </row>
    <row r="982" spans="4:19" hidden="1" x14ac:dyDescent="0.25">
      <c r="D982" s="1">
        <v>42633</v>
      </c>
      <c r="E982" s="10">
        <v>13920</v>
      </c>
      <c r="F982" s="1">
        <v>42633</v>
      </c>
      <c r="G982">
        <v>-13123.5</v>
      </c>
      <c r="H982" s="1">
        <f t="shared" si="83"/>
        <v>42633</v>
      </c>
      <c r="I982">
        <f>IF(AND(MyRowHidden(ROW())=FALSE,MyRowHidden(ROW()-1)=TRUE),0,(E982-E981)*unitsOfDHp+I981)</f>
        <v>30940</v>
      </c>
      <c r="J982">
        <f>IF(AND(MyRowHidden(ROW())=FALSE,MyRowHidden(ROW()-1)=TRUE),0,(G982-G981)*unitsOfExo+J981)</f>
        <v>338544</v>
      </c>
      <c r="K982" s="9">
        <f t="shared" si="84"/>
        <v>-338544</v>
      </c>
      <c r="L982">
        <f t="shared" si="85"/>
        <v>369484</v>
      </c>
      <c r="M982">
        <f>IF(AND(MyRowHidden(ROW())=FALSE,MyRowHidden(ROW()-1)=TRUE),0,IF(MONTH(H982)&lt;&gt;MONTH(H981),M981+1,M981))</f>
        <v>1</v>
      </c>
      <c r="N982">
        <f t="shared" si="86"/>
        <v>30940</v>
      </c>
      <c r="O982">
        <f>IF(AND(MyRowHidden(ROW())=FALSE,MyRowHidden(ROW()-1)=TRUE),0,IF(M982&lt;totalMonths,(totalMonths-M982)/totalMonths *(I982-I981)+O981,0))</f>
        <v>28361.666666666668</v>
      </c>
      <c r="P982">
        <f>IF(AND(MyRowHidden(ROW())=FALSE,MyRowHidden(ROW()-1)=TRUE),0,IF(M982&lt;totalMonths,(totalMonths-M982)/totalMonths *(J982-J981)+P981,0))</f>
        <v>310332</v>
      </c>
      <c r="Q982">
        <f>IF(AND(MyRowHidden(ROW())=FALSE,MyRowHidden(ROW()-1)=TRUE),0,IF(M982&lt;totalMonths,(totalMonths-M982)/totalMonths *(K982-K981)+Q981,0))</f>
        <v>-310332</v>
      </c>
      <c r="R982">
        <f t="shared" si="87"/>
        <v>341272</v>
      </c>
      <c r="S982">
        <f t="shared" si="88"/>
        <v>338693.66666666669</v>
      </c>
    </row>
    <row r="983" spans="4:19" hidden="1" x14ac:dyDescent="0.25">
      <c r="D983" s="1">
        <v>42634</v>
      </c>
      <c r="E983" s="10">
        <v>13895</v>
      </c>
      <c r="F983" s="1">
        <v>42634</v>
      </c>
      <c r="G983">
        <v>-13123.5</v>
      </c>
      <c r="H983" s="1">
        <f t="shared" si="83"/>
        <v>42634</v>
      </c>
      <c r="I983">
        <f>IF(AND(MyRowHidden(ROW())=FALSE,MyRowHidden(ROW()-1)=TRUE),0,(E983-E982)*unitsOfDHp+I982)</f>
        <v>30065</v>
      </c>
      <c r="J983">
        <f>IF(AND(MyRowHidden(ROW())=FALSE,MyRowHidden(ROW()-1)=TRUE),0,(G983-G982)*unitsOfExo+J982)</f>
        <v>338544</v>
      </c>
      <c r="K983" s="9">
        <f t="shared" si="84"/>
        <v>-338544</v>
      </c>
      <c r="L983">
        <f t="shared" si="85"/>
        <v>368609</v>
      </c>
      <c r="M983">
        <f>IF(AND(MyRowHidden(ROW())=FALSE,MyRowHidden(ROW()-1)=TRUE),0,IF(MONTH(H983)&lt;&gt;MONTH(H982),M982+1,M982))</f>
        <v>1</v>
      </c>
      <c r="N983">
        <f t="shared" si="86"/>
        <v>30065</v>
      </c>
      <c r="O983">
        <f>IF(AND(MyRowHidden(ROW())=FALSE,MyRowHidden(ROW()-1)=TRUE),0,IF(M983&lt;totalMonths,(totalMonths-M983)/totalMonths *(I983-I982)+O982,0))</f>
        <v>27559.583333333336</v>
      </c>
      <c r="P983">
        <f>IF(AND(MyRowHidden(ROW())=FALSE,MyRowHidden(ROW()-1)=TRUE),0,IF(M983&lt;totalMonths,(totalMonths-M983)/totalMonths *(J983-J982)+P982,0))</f>
        <v>310332</v>
      </c>
      <c r="Q983">
        <f>IF(AND(MyRowHidden(ROW())=FALSE,MyRowHidden(ROW()-1)=TRUE),0,IF(M983&lt;totalMonths,(totalMonths-M983)/totalMonths *(K983-K982)+Q982,0))</f>
        <v>-310332</v>
      </c>
      <c r="R983">
        <f t="shared" si="87"/>
        <v>340397</v>
      </c>
      <c r="S983">
        <f t="shared" si="88"/>
        <v>337891.58333333331</v>
      </c>
    </row>
    <row r="984" spans="4:19" hidden="1" x14ac:dyDescent="0.25">
      <c r="D984" s="1">
        <v>42635</v>
      </c>
      <c r="E984" s="10">
        <v>13420</v>
      </c>
      <c r="F984" s="1">
        <v>42635</v>
      </c>
      <c r="G984">
        <v>-13361</v>
      </c>
      <c r="H984" s="1">
        <f t="shared" si="83"/>
        <v>42635</v>
      </c>
      <c r="I984">
        <f>IF(AND(MyRowHidden(ROW())=FALSE,MyRowHidden(ROW()-1)=TRUE),0,(E984-E983)*unitsOfDHp+I983)</f>
        <v>13440</v>
      </c>
      <c r="J984">
        <f>IF(AND(MyRowHidden(ROW())=FALSE,MyRowHidden(ROW()-1)=TRUE),0,(G984-G983)*unitsOfExo+J983)</f>
        <v>270144</v>
      </c>
      <c r="K984" s="9">
        <f t="shared" si="84"/>
        <v>-270144</v>
      </c>
      <c r="L984">
        <f t="shared" si="85"/>
        <v>283584</v>
      </c>
      <c r="M984">
        <f>IF(AND(MyRowHidden(ROW())=FALSE,MyRowHidden(ROW()-1)=TRUE),0,IF(MONTH(H984)&lt;&gt;MONTH(H983),M983+1,M983))</f>
        <v>1</v>
      </c>
      <c r="N984">
        <f t="shared" si="86"/>
        <v>13440</v>
      </c>
      <c r="O984">
        <f>IF(AND(MyRowHidden(ROW())=FALSE,MyRowHidden(ROW()-1)=TRUE),0,IF(M984&lt;totalMonths,(totalMonths-M984)/totalMonths *(I984-I983)+O983,0))</f>
        <v>12320.000000000004</v>
      </c>
      <c r="P984">
        <f>IF(AND(MyRowHidden(ROW())=FALSE,MyRowHidden(ROW()-1)=TRUE),0,IF(M984&lt;totalMonths,(totalMonths-M984)/totalMonths *(J984-J983)+P983,0))</f>
        <v>247632</v>
      </c>
      <c r="Q984">
        <f>IF(AND(MyRowHidden(ROW())=FALSE,MyRowHidden(ROW()-1)=TRUE),0,IF(M984&lt;totalMonths,(totalMonths-M984)/totalMonths *(K984-K983)+Q983,0))</f>
        <v>-247632</v>
      </c>
      <c r="R984">
        <f t="shared" si="87"/>
        <v>261072</v>
      </c>
      <c r="S984">
        <f t="shared" si="88"/>
        <v>259952</v>
      </c>
    </row>
    <row r="985" spans="4:19" hidden="1" x14ac:dyDescent="0.25">
      <c r="D985" s="1">
        <v>42636</v>
      </c>
      <c r="E985" s="10">
        <v>13446</v>
      </c>
      <c r="F985" s="1">
        <v>42636</v>
      </c>
      <c r="G985">
        <v>-13386</v>
      </c>
      <c r="H985" s="1">
        <f t="shared" si="83"/>
        <v>42636</v>
      </c>
      <c r="I985">
        <f>IF(AND(MyRowHidden(ROW())=FALSE,MyRowHidden(ROW()-1)=TRUE),0,(E985-E984)*unitsOfDHp+I984)</f>
        <v>14350</v>
      </c>
      <c r="J985">
        <f>IF(AND(MyRowHidden(ROW())=FALSE,MyRowHidden(ROW()-1)=TRUE),0,(G985-G984)*unitsOfExo+J984)</f>
        <v>262944</v>
      </c>
      <c r="K985" s="9">
        <f t="shared" si="84"/>
        <v>-262944</v>
      </c>
      <c r="L985">
        <f t="shared" si="85"/>
        <v>277294</v>
      </c>
      <c r="M985">
        <f>IF(AND(MyRowHidden(ROW())=FALSE,MyRowHidden(ROW()-1)=TRUE),0,IF(MONTH(H985)&lt;&gt;MONTH(H984),M984+1,M984))</f>
        <v>1</v>
      </c>
      <c r="N985">
        <f t="shared" si="86"/>
        <v>14350</v>
      </c>
      <c r="O985">
        <f>IF(AND(MyRowHidden(ROW())=FALSE,MyRowHidden(ROW()-1)=TRUE),0,IF(M985&lt;totalMonths,(totalMonths-M985)/totalMonths *(I985-I984)+O984,0))</f>
        <v>13154.16666666667</v>
      </c>
      <c r="P985">
        <f>IF(AND(MyRowHidden(ROW())=FALSE,MyRowHidden(ROW()-1)=TRUE),0,IF(M985&lt;totalMonths,(totalMonths-M985)/totalMonths *(J985-J984)+P984,0))</f>
        <v>241032</v>
      </c>
      <c r="Q985">
        <f>IF(AND(MyRowHidden(ROW())=FALSE,MyRowHidden(ROW()-1)=TRUE),0,IF(M985&lt;totalMonths,(totalMonths-M985)/totalMonths *(K985-K984)+Q984,0))</f>
        <v>-241032</v>
      </c>
      <c r="R985">
        <f t="shared" si="87"/>
        <v>255382</v>
      </c>
      <c r="S985">
        <f t="shared" si="88"/>
        <v>254186.16666666666</v>
      </c>
    </row>
    <row r="986" spans="4:19" hidden="1" x14ac:dyDescent="0.25">
      <c r="D986" s="1">
        <v>42639</v>
      </c>
      <c r="E986" s="10">
        <v>12640</v>
      </c>
      <c r="F986" s="1">
        <v>42639</v>
      </c>
      <c r="G986">
        <v>-13673.5</v>
      </c>
      <c r="H986" s="1">
        <f t="shared" si="83"/>
        <v>42639</v>
      </c>
      <c r="I986">
        <f>IF(AND(MyRowHidden(ROW())=FALSE,MyRowHidden(ROW()-1)=TRUE),0,(E986-E985)*unitsOfDHp+I985)</f>
        <v>-13860</v>
      </c>
      <c r="J986">
        <f>IF(AND(MyRowHidden(ROW())=FALSE,MyRowHidden(ROW()-1)=TRUE),0,(G986-G985)*unitsOfExo+J985)</f>
        <v>180144</v>
      </c>
      <c r="K986" s="9">
        <f t="shared" si="84"/>
        <v>-180144</v>
      </c>
      <c r="L986">
        <f t="shared" si="85"/>
        <v>166284</v>
      </c>
      <c r="M986">
        <f>IF(AND(MyRowHidden(ROW())=FALSE,MyRowHidden(ROW()-1)=TRUE),0,IF(MONTH(H986)&lt;&gt;MONTH(H985),M985+1,M985))</f>
        <v>1</v>
      </c>
      <c r="N986">
        <f t="shared" si="86"/>
        <v>-13860</v>
      </c>
      <c r="O986">
        <f>IF(AND(MyRowHidden(ROW())=FALSE,MyRowHidden(ROW()-1)=TRUE),0,IF(M986&lt;totalMonths,(totalMonths-M986)/totalMonths *(I986-I985)+O985,0))</f>
        <v>-12704.999999999995</v>
      </c>
      <c r="P986">
        <f>IF(AND(MyRowHidden(ROW())=FALSE,MyRowHidden(ROW()-1)=TRUE),0,IF(M986&lt;totalMonths,(totalMonths-M986)/totalMonths *(J986-J985)+P985,0))</f>
        <v>165132</v>
      </c>
      <c r="Q986">
        <f>IF(AND(MyRowHidden(ROW())=FALSE,MyRowHidden(ROW()-1)=TRUE),0,IF(M986&lt;totalMonths,(totalMonths-M986)/totalMonths *(K986-K985)+Q985,0))</f>
        <v>-165132</v>
      </c>
      <c r="R986">
        <f t="shared" si="87"/>
        <v>151272</v>
      </c>
      <c r="S986">
        <f t="shared" si="88"/>
        <v>152427</v>
      </c>
    </row>
    <row r="987" spans="4:19" hidden="1" x14ac:dyDescent="0.25">
      <c r="D987" s="1">
        <v>42640</v>
      </c>
      <c r="E987" s="10">
        <v>12540</v>
      </c>
      <c r="F987" s="1">
        <v>42640</v>
      </c>
      <c r="G987">
        <v>-13573.5</v>
      </c>
      <c r="H987" s="1">
        <f t="shared" si="83"/>
        <v>42640</v>
      </c>
      <c r="I987">
        <f>IF(AND(MyRowHidden(ROW())=FALSE,MyRowHidden(ROW()-1)=TRUE),0,(E987-E986)*unitsOfDHp+I986)</f>
        <v>-17360</v>
      </c>
      <c r="J987">
        <f>IF(AND(MyRowHidden(ROW())=FALSE,MyRowHidden(ROW()-1)=TRUE),0,(G987-G986)*unitsOfExo+J986)</f>
        <v>208944</v>
      </c>
      <c r="K987" s="9">
        <f t="shared" si="84"/>
        <v>-208944</v>
      </c>
      <c r="L987">
        <f t="shared" si="85"/>
        <v>191584</v>
      </c>
      <c r="M987">
        <f>IF(AND(MyRowHidden(ROW())=FALSE,MyRowHidden(ROW()-1)=TRUE),0,IF(MONTH(H987)&lt;&gt;MONTH(H986),M986+1,M986))</f>
        <v>1</v>
      </c>
      <c r="N987">
        <f t="shared" si="86"/>
        <v>-17360</v>
      </c>
      <c r="O987">
        <f>IF(AND(MyRowHidden(ROW())=FALSE,MyRowHidden(ROW()-1)=TRUE),0,IF(M987&lt;totalMonths,(totalMonths-M987)/totalMonths *(I987-I986)+O986,0))</f>
        <v>-15913.333333333328</v>
      </c>
      <c r="P987">
        <f>IF(AND(MyRowHidden(ROW())=FALSE,MyRowHidden(ROW()-1)=TRUE),0,IF(M987&lt;totalMonths,(totalMonths-M987)/totalMonths *(J987-J986)+P986,0))</f>
        <v>191532</v>
      </c>
      <c r="Q987">
        <f>IF(AND(MyRowHidden(ROW())=FALSE,MyRowHidden(ROW()-1)=TRUE),0,IF(M987&lt;totalMonths,(totalMonths-M987)/totalMonths *(K987-K986)+Q986,0))</f>
        <v>-191532</v>
      </c>
      <c r="R987">
        <f t="shared" si="87"/>
        <v>174172</v>
      </c>
      <c r="S987">
        <f t="shared" si="88"/>
        <v>175618.66666666669</v>
      </c>
    </row>
    <row r="988" spans="4:19" hidden="1" x14ac:dyDescent="0.25">
      <c r="D988" s="1">
        <v>42641</v>
      </c>
      <c r="E988" s="10">
        <v>12604</v>
      </c>
    </row>
  </sheetData>
  <autoFilter ref="H11:L988">
    <filterColumn colId="0">
      <filters>
        <dateGroupItem year="2015" dateTimeGrouping="year"/>
      </filters>
    </filterColumn>
  </autoFilter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75"/>
  <sheetViews>
    <sheetView workbookViewId="0">
      <selection activeCell="P14" sqref="P14"/>
    </sheetView>
  </sheetViews>
  <sheetFormatPr defaultRowHeight="15" x14ac:dyDescent="0.25"/>
  <cols>
    <col min="2" max="2" width="10.75" bestFit="1" customWidth="1"/>
    <col min="12" max="12" width="10.75" style="9" bestFit="1" customWidth="1"/>
    <col min="13" max="15" width="9.125" style="9"/>
  </cols>
  <sheetData>
    <row r="1" spans="1:18" x14ac:dyDescent="0.25">
      <c r="A1" t="s">
        <v>59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52</v>
      </c>
      <c r="K1" t="s">
        <v>53</v>
      </c>
      <c r="L1" s="9" t="s">
        <v>54</v>
      </c>
      <c r="M1" s="9" t="s">
        <v>55</v>
      </c>
      <c r="N1" s="9" t="s">
        <v>56</v>
      </c>
      <c r="O1" s="9" t="s">
        <v>57</v>
      </c>
      <c r="P1" s="9" t="s">
        <v>58</v>
      </c>
      <c r="R1" t="s">
        <v>60</v>
      </c>
    </row>
    <row r="2" spans="1:18" x14ac:dyDescent="0.25">
      <c r="A2">
        <v>1</v>
      </c>
      <c r="B2" s="1">
        <v>41943</v>
      </c>
      <c r="I2">
        <v>0</v>
      </c>
      <c r="J2">
        <f>I2*R$2</f>
        <v>0</v>
      </c>
      <c r="K2">
        <v>0</v>
      </c>
      <c r="L2" s="9">
        <v>0</v>
      </c>
      <c r="M2" s="9">
        <v>0</v>
      </c>
      <c r="N2" s="9">
        <v>0</v>
      </c>
      <c r="O2" s="9">
        <v>0</v>
      </c>
      <c r="P2">
        <v>0</v>
      </c>
      <c r="R2" s="14">
        <v>1</v>
      </c>
    </row>
    <row r="3" spans="1:18" x14ac:dyDescent="0.25">
      <c r="A3">
        <v>1</v>
      </c>
      <c r="B3" s="1">
        <v>42035</v>
      </c>
      <c r="C3">
        <v>506018</v>
      </c>
      <c r="D3">
        <v>99219</v>
      </c>
      <c r="E3" t="s">
        <v>53</v>
      </c>
      <c r="F3">
        <v>0</v>
      </c>
      <c r="G3">
        <v>0</v>
      </c>
      <c r="H3">
        <v>0</v>
      </c>
      <c r="I3">
        <v>0</v>
      </c>
      <c r="J3">
        <f t="shared" ref="J3:J14" si="0">I3*R$2</f>
        <v>0</v>
      </c>
      <c r="K3">
        <f t="shared" ref="K3:L5" si="1">IF($E3=K$1,IF($E3=$E2,$J3+K2,$J3),0)</f>
        <v>0</v>
      </c>
      <c r="L3">
        <f t="shared" si="1"/>
        <v>0</v>
      </c>
      <c r="M3">
        <f t="shared" ref="M3:M9" si="2">IF($E3=M$1,IF($E3=$E2,$J3+M2,$J3),0)</f>
        <v>0</v>
      </c>
      <c r="N3">
        <f t="shared" ref="N3:N11" si="3">IF($E3=N$1,IF($E3=$E2,$J3+N2,$J3),0)</f>
        <v>0</v>
      </c>
      <c r="O3">
        <f t="shared" ref="O3:O14" si="4">IF($E3=O$1,IF($E3=$E2,$J3+O2,$J3),0)</f>
        <v>0</v>
      </c>
      <c r="P3" s="9">
        <v>0</v>
      </c>
    </row>
    <row r="4" spans="1:18" x14ac:dyDescent="0.25">
      <c r="A4">
        <v>1</v>
      </c>
      <c r="B4" s="1">
        <v>42063</v>
      </c>
      <c r="C4">
        <v>506018</v>
      </c>
      <c r="D4">
        <v>99219</v>
      </c>
      <c r="E4" t="s">
        <v>53</v>
      </c>
      <c r="F4">
        <v>100000</v>
      </c>
      <c r="G4">
        <v>4.085</v>
      </c>
      <c r="H4">
        <v>3.9725000000000001</v>
      </c>
      <c r="I4">
        <v>-11450</v>
      </c>
      <c r="J4">
        <f t="shared" si="0"/>
        <v>-11450</v>
      </c>
      <c r="K4">
        <f t="shared" si="1"/>
        <v>-11450</v>
      </c>
      <c r="L4">
        <f t="shared" si="1"/>
        <v>0</v>
      </c>
      <c r="M4">
        <f t="shared" si="2"/>
        <v>0</v>
      </c>
      <c r="N4">
        <f t="shared" si="3"/>
        <v>0</v>
      </c>
      <c r="O4">
        <f t="shared" si="4"/>
        <v>0</v>
      </c>
      <c r="P4" s="9">
        <f>J4+P3</f>
        <v>-11450</v>
      </c>
    </row>
    <row r="5" spans="1:18" x14ac:dyDescent="0.25">
      <c r="A5">
        <v>1</v>
      </c>
      <c r="B5" s="1">
        <v>42094</v>
      </c>
      <c r="C5">
        <v>506018</v>
      </c>
      <c r="D5">
        <v>99219</v>
      </c>
      <c r="E5" t="s">
        <v>53</v>
      </c>
      <c r="F5">
        <v>100000</v>
      </c>
      <c r="G5">
        <v>4.085</v>
      </c>
      <c r="H5">
        <v>3.8001</v>
      </c>
      <c r="I5">
        <v>-28690</v>
      </c>
      <c r="J5">
        <f t="shared" si="0"/>
        <v>-28690</v>
      </c>
      <c r="K5">
        <f t="shared" si="1"/>
        <v>-40140</v>
      </c>
      <c r="L5">
        <f t="shared" si="1"/>
        <v>0</v>
      </c>
      <c r="M5">
        <f t="shared" si="2"/>
        <v>0</v>
      </c>
      <c r="N5">
        <f t="shared" si="3"/>
        <v>0</v>
      </c>
      <c r="O5">
        <f t="shared" si="4"/>
        <v>0</v>
      </c>
      <c r="P5" s="9">
        <f t="shared" ref="P5:P14" si="5">J5+P4</f>
        <v>-40140</v>
      </c>
    </row>
    <row r="6" spans="1:18" x14ac:dyDescent="0.25">
      <c r="A6" s="11">
        <v>1</v>
      </c>
      <c r="B6" s="12">
        <v>42124</v>
      </c>
      <c r="C6" s="11">
        <v>698427</v>
      </c>
      <c r="D6" s="11">
        <v>136946</v>
      </c>
      <c r="E6" s="11" t="s">
        <v>54</v>
      </c>
      <c r="F6" s="11">
        <v>140000</v>
      </c>
      <c r="G6" s="11">
        <v>4.1719999999999997</v>
      </c>
      <c r="H6" s="11">
        <v>3.7812000000000001</v>
      </c>
      <c r="I6" s="11">
        <v>-54992</v>
      </c>
      <c r="J6">
        <f t="shared" si="0"/>
        <v>-54992</v>
      </c>
      <c r="K6" s="13"/>
      <c r="L6">
        <f>IF($E6=L$1,IF($E6=$E5,$J6+L5,$J6),0)</f>
        <v>-54992</v>
      </c>
      <c r="M6">
        <f t="shared" si="2"/>
        <v>0</v>
      </c>
      <c r="N6">
        <f t="shared" si="3"/>
        <v>0</v>
      </c>
      <c r="O6">
        <f t="shared" si="4"/>
        <v>0</v>
      </c>
      <c r="P6" s="9">
        <f t="shared" si="5"/>
        <v>-95132</v>
      </c>
    </row>
    <row r="7" spans="1:18" x14ac:dyDescent="0.25">
      <c r="A7" s="11">
        <v>1</v>
      </c>
      <c r="B7" s="12">
        <v>42155</v>
      </c>
      <c r="C7" s="11">
        <v>698427</v>
      </c>
      <c r="D7" s="11">
        <v>136946</v>
      </c>
      <c r="E7" s="11" t="s">
        <v>54</v>
      </c>
      <c r="F7" s="11">
        <v>140000</v>
      </c>
      <c r="G7" s="11">
        <v>4.1719999999999997</v>
      </c>
      <c r="H7" s="11">
        <v>3.6606999999999998</v>
      </c>
      <c r="I7" s="11">
        <v>-71862</v>
      </c>
      <c r="J7">
        <f t="shared" si="0"/>
        <v>-71862</v>
      </c>
      <c r="K7" s="13"/>
      <c r="L7">
        <f>IF($E7=L$1,IF($E7=$E6,$J7+L6,$J7),0)</f>
        <v>-126854</v>
      </c>
      <c r="M7">
        <f t="shared" si="2"/>
        <v>0</v>
      </c>
      <c r="N7">
        <f t="shared" si="3"/>
        <v>0</v>
      </c>
      <c r="O7">
        <f t="shared" si="4"/>
        <v>0</v>
      </c>
      <c r="P7" s="9">
        <f t="shared" si="5"/>
        <v>-166994</v>
      </c>
    </row>
    <row r="8" spans="1:18" x14ac:dyDescent="0.25">
      <c r="A8">
        <v>1</v>
      </c>
      <c r="B8" s="1">
        <v>42185</v>
      </c>
      <c r="C8">
        <v>698427</v>
      </c>
      <c r="D8">
        <v>136946</v>
      </c>
      <c r="E8" t="s">
        <v>55</v>
      </c>
      <c r="F8">
        <v>140000</v>
      </c>
      <c r="G8">
        <v>4.2389999999999999</v>
      </c>
      <c r="H8">
        <v>3.5242</v>
      </c>
      <c r="I8">
        <v>-100352</v>
      </c>
      <c r="J8">
        <f t="shared" si="0"/>
        <v>-100352</v>
      </c>
      <c r="M8">
        <f t="shared" si="2"/>
        <v>-100352</v>
      </c>
      <c r="N8">
        <f t="shared" si="3"/>
        <v>0</v>
      </c>
      <c r="O8">
        <f t="shared" si="4"/>
        <v>0</v>
      </c>
      <c r="P8" s="9">
        <f t="shared" si="5"/>
        <v>-267346</v>
      </c>
    </row>
    <row r="9" spans="1:18" x14ac:dyDescent="0.25">
      <c r="A9">
        <v>1</v>
      </c>
      <c r="B9" s="1">
        <v>42216</v>
      </c>
      <c r="C9">
        <v>698427</v>
      </c>
      <c r="D9">
        <v>136946</v>
      </c>
      <c r="E9" t="s">
        <v>55</v>
      </c>
      <c r="F9">
        <v>135000</v>
      </c>
      <c r="G9">
        <v>4.2389999999999999</v>
      </c>
      <c r="H9">
        <v>3.5142000000000002</v>
      </c>
      <c r="I9">
        <v>-98118</v>
      </c>
      <c r="J9">
        <f t="shared" si="0"/>
        <v>-98118</v>
      </c>
      <c r="M9">
        <f t="shared" si="2"/>
        <v>-198470</v>
      </c>
      <c r="N9">
        <f t="shared" si="3"/>
        <v>0</v>
      </c>
      <c r="O9">
        <f t="shared" si="4"/>
        <v>0</v>
      </c>
      <c r="P9" s="9">
        <f t="shared" si="5"/>
        <v>-365464</v>
      </c>
    </row>
    <row r="10" spans="1:18" x14ac:dyDescent="0.25">
      <c r="A10">
        <v>1</v>
      </c>
      <c r="B10" s="1">
        <v>42247</v>
      </c>
      <c r="C10">
        <v>698427</v>
      </c>
      <c r="D10">
        <v>136946</v>
      </c>
      <c r="E10" t="s">
        <v>56</v>
      </c>
      <c r="F10">
        <v>140000</v>
      </c>
      <c r="G10">
        <v>4.2619999999999996</v>
      </c>
      <c r="H10">
        <v>3.5893000000000002</v>
      </c>
      <c r="I10">
        <v>-94458</v>
      </c>
      <c r="J10">
        <f t="shared" si="0"/>
        <v>-94458</v>
      </c>
      <c r="N10">
        <f t="shared" si="3"/>
        <v>-94458</v>
      </c>
      <c r="O10">
        <f t="shared" si="4"/>
        <v>0</v>
      </c>
      <c r="P10" s="9">
        <f t="shared" si="5"/>
        <v>-459922</v>
      </c>
    </row>
    <row r="11" spans="1:18" x14ac:dyDescent="0.25">
      <c r="A11">
        <v>1</v>
      </c>
      <c r="B11" s="1">
        <v>42277</v>
      </c>
      <c r="C11">
        <v>698427</v>
      </c>
      <c r="D11">
        <v>136946</v>
      </c>
      <c r="E11" t="s">
        <v>56</v>
      </c>
      <c r="F11">
        <v>135000</v>
      </c>
      <c r="G11">
        <v>4.2619999999999996</v>
      </c>
      <c r="H11">
        <v>3.6465999999999998</v>
      </c>
      <c r="I11">
        <v>-83349</v>
      </c>
      <c r="J11">
        <f t="shared" si="0"/>
        <v>-83349</v>
      </c>
      <c r="N11">
        <f t="shared" si="3"/>
        <v>-177807</v>
      </c>
      <c r="O11">
        <f t="shared" si="4"/>
        <v>0</v>
      </c>
      <c r="P11" s="9">
        <f t="shared" si="5"/>
        <v>-543271</v>
      </c>
    </row>
    <row r="12" spans="1:18" x14ac:dyDescent="0.25">
      <c r="A12">
        <v>1</v>
      </c>
      <c r="B12" s="1">
        <v>42308</v>
      </c>
      <c r="C12">
        <v>698427</v>
      </c>
      <c r="D12">
        <v>136946</v>
      </c>
      <c r="E12" t="s">
        <v>57</v>
      </c>
      <c r="F12">
        <v>135000</v>
      </c>
      <c r="G12">
        <v>4.3330000000000002</v>
      </c>
      <c r="H12">
        <v>3.7307999999999999</v>
      </c>
      <c r="I12">
        <v>-81567</v>
      </c>
      <c r="J12">
        <f t="shared" si="0"/>
        <v>-81567</v>
      </c>
      <c r="O12">
        <f t="shared" si="4"/>
        <v>-81567</v>
      </c>
      <c r="P12" s="9">
        <f t="shared" si="5"/>
        <v>-624838</v>
      </c>
    </row>
    <row r="13" spans="1:18" x14ac:dyDescent="0.25">
      <c r="A13">
        <v>1</v>
      </c>
      <c r="B13" s="1">
        <v>42338</v>
      </c>
      <c r="C13">
        <v>698427</v>
      </c>
      <c r="D13">
        <v>136946</v>
      </c>
      <c r="E13" t="s">
        <v>57</v>
      </c>
      <c r="F13">
        <v>140000</v>
      </c>
      <c r="G13">
        <v>4.3330000000000002</v>
      </c>
      <c r="H13">
        <v>3.8332999999999999</v>
      </c>
      <c r="I13">
        <v>-70238</v>
      </c>
      <c r="J13">
        <f t="shared" si="0"/>
        <v>-70238</v>
      </c>
      <c r="O13">
        <f t="shared" si="4"/>
        <v>-151805</v>
      </c>
      <c r="P13" s="9">
        <f t="shared" si="5"/>
        <v>-695076</v>
      </c>
    </row>
    <row r="14" spans="1:18" x14ac:dyDescent="0.25">
      <c r="A14">
        <v>1</v>
      </c>
      <c r="B14" s="1">
        <v>42369</v>
      </c>
      <c r="C14">
        <v>698428</v>
      </c>
      <c r="D14">
        <v>136946</v>
      </c>
      <c r="E14" t="s">
        <v>57</v>
      </c>
      <c r="F14">
        <v>135000</v>
      </c>
      <c r="G14">
        <v>4.3330000000000002</v>
      </c>
      <c r="H14">
        <v>3.7565</v>
      </c>
      <c r="I14">
        <v>-78098</v>
      </c>
      <c r="J14">
        <f t="shared" si="0"/>
        <v>-78098</v>
      </c>
      <c r="O14">
        <f t="shared" si="4"/>
        <v>-229903</v>
      </c>
      <c r="P14" s="9">
        <f t="shared" si="5"/>
        <v>-773174</v>
      </c>
    </row>
    <row r="15" spans="1:18" x14ac:dyDescent="0.25">
      <c r="B15" s="1"/>
      <c r="P15" s="9"/>
    </row>
    <row r="16" spans="1:18" x14ac:dyDescent="0.25">
      <c r="B16" s="1"/>
      <c r="K16" t="s">
        <v>53</v>
      </c>
      <c r="L16" s="9" t="s">
        <v>54</v>
      </c>
      <c r="M16" s="9" t="s">
        <v>55</v>
      </c>
      <c r="N16" s="9" t="s">
        <v>56</v>
      </c>
      <c r="O16" s="9" t="s">
        <v>57</v>
      </c>
      <c r="P16" s="9" t="s">
        <v>58</v>
      </c>
    </row>
    <row r="17" spans="1:17" x14ac:dyDescent="0.25">
      <c r="A17">
        <v>2</v>
      </c>
      <c r="B17" s="1">
        <v>41943</v>
      </c>
      <c r="K17">
        <v>0</v>
      </c>
      <c r="L17" s="9">
        <v>0</v>
      </c>
      <c r="M17" s="9">
        <v>0</v>
      </c>
      <c r="N17" s="9">
        <v>0</v>
      </c>
      <c r="O17" s="9">
        <v>0</v>
      </c>
      <c r="P17">
        <v>0</v>
      </c>
    </row>
    <row r="18" spans="1:17" x14ac:dyDescent="0.25">
      <c r="A18">
        <v>2</v>
      </c>
      <c r="B18" s="1">
        <v>42035</v>
      </c>
      <c r="C18">
        <v>184000</v>
      </c>
      <c r="D18">
        <v>36078</v>
      </c>
      <c r="E18" t="s">
        <v>53</v>
      </c>
      <c r="F18">
        <v>35000</v>
      </c>
      <c r="G18">
        <v>3.5525000000000002</v>
      </c>
      <c r="H18">
        <v>3.8117999999999999</v>
      </c>
      <c r="I18">
        <v>9005</v>
      </c>
      <c r="J18">
        <f t="shared" ref="J18:J29" si="6">I18*R$2</f>
        <v>9005</v>
      </c>
      <c r="K18">
        <f t="shared" ref="K18:L20" si="7">IF($E18=K$1,IF($E18=$E17,$J18+K17,$J18),0)</f>
        <v>9005</v>
      </c>
      <c r="L18">
        <f t="shared" si="7"/>
        <v>0</v>
      </c>
      <c r="M18">
        <f t="shared" ref="M18:M24" si="8">IF($E18=M$1,IF($E18=$E17,$J18+M17,$J18),0)</f>
        <v>0</v>
      </c>
      <c r="N18">
        <f t="shared" ref="N18:N26" si="9">IF($E18=N$1,IF($E18=$E17,$J18+N17,$J18),0)</f>
        <v>0</v>
      </c>
      <c r="O18">
        <f t="shared" ref="O18:O29" si="10">IF($E18=O$1,IF($E18=$E17,$J18+O17,$J18),0)</f>
        <v>0</v>
      </c>
      <c r="P18" s="9">
        <f>J18+P17</f>
        <v>9005</v>
      </c>
    </row>
    <row r="19" spans="1:17" x14ac:dyDescent="0.25">
      <c r="A19">
        <v>2</v>
      </c>
      <c r="B19" s="1">
        <v>42063</v>
      </c>
      <c r="C19">
        <v>184000</v>
      </c>
      <c r="D19">
        <v>36078</v>
      </c>
      <c r="E19" t="s">
        <v>53</v>
      </c>
      <c r="F19">
        <v>40000</v>
      </c>
      <c r="G19">
        <v>3.5525000000000002</v>
      </c>
      <c r="H19">
        <v>3.9725000000000001</v>
      </c>
      <c r="I19">
        <v>16720</v>
      </c>
      <c r="J19">
        <f t="shared" si="6"/>
        <v>16720</v>
      </c>
      <c r="K19">
        <f t="shared" si="7"/>
        <v>25725</v>
      </c>
      <c r="L19">
        <f t="shared" si="7"/>
        <v>0</v>
      </c>
      <c r="M19">
        <f t="shared" si="8"/>
        <v>0</v>
      </c>
      <c r="N19">
        <f t="shared" si="9"/>
        <v>0</v>
      </c>
      <c r="O19">
        <f t="shared" si="10"/>
        <v>0</v>
      </c>
      <c r="P19" s="9">
        <f>J19+P18</f>
        <v>25725</v>
      </c>
    </row>
    <row r="20" spans="1:17" x14ac:dyDescent="0.25">
      <c r="A20">
        <v>2</v>
      </c>
      <c r="B20" s="1">
        <v>42094</v>
      </c>
      <c r="C20">
        <v>184000</v>
      </c>
      <c r="D20">
        <v>36078</v>
      </c>
      <c r="E20" t="s">
        <v>53</v>
      </c>
      <c r="F20">
        <v>35000</v>
      </c>
      <c r="G20">
        <v>3.5525000000000002</v>
      </c>
      <c r="H20">
        <v>3.8001</v>
      </c>
      <c r="I20">
        <v>8596</v>
      </c>
      <c r="J20">
        <f t="shared" si="6"/>
        <v>8596</v>
      </c>
      <c r="K20">
        <f t="shared" si="7"/>
        <v>34321</v>
      </c>
      <c r="L20">
        <f t="shared" si="7"/>
        <v>0</v>
      </c>
      <c r="M20">
        <f t="shared" si="8"/>
        <v>0</v>
      </c>
      <c r="N20">
        <f t="shared" si="9"/>
        <v>0</v>
      </c>
      <c r="O20">
        <f t="shared" si="10"/>
        <v>0</v>
      </c>
      <c r="P20" s="9">
        <f t="shared" ref="P20:P29" si="11">J20+P19</f>
        <v>34321</v>
      </c>
    </row>
    <row r="21" spans="1:17" x14ac:dyDescent="0.25">
      <c r="A21">
        <v>2</v>
      </c>
      <c r="B21" s="1">
        <v>42124</v>
      </c>
      <c r="C21">
        <v>184000</v>
      </c>
      <c r="D21">
        <v>36078</v>
      </c>
      <c r="E21" t="s">
        <v>54</v>
      </c>
      <c r="F21">
        <v>35000</v>
      </c>
      <c r="G21">
        <v>3.64</v>
      </c>
      <c r="H21">
        <v>3.7812000000000001</v>
      </c>
      <c r="I21">
        <v>4872</v>
      </c>
      <c r="J21">
        <f t="shared" si="6"/>
        <v>4872</v>
      </c>
      <c r="K21" s="13"/>
      <c r="L21">
        <f>IF($E21=L$1,IF($E21=$E20,$J21+L20,$J21),0)</f>
        <v>4872</v>
      </c>
      <c r="M21">
        <f t="shared" si="8"/>
        <v>0</v>
      </c>
      <c r="N21">
        <f t="shared" si="9"/>
        <v>0</v>
      </c>
      <c r="O21">
        <f t="shared" si="10"/>
        <v>0</v>
      </c>
      <c r="P21" s="9">
        <f t="shared" si="11"/>
        <v>39193</v>
      </c>
    </row>
    <row r="22" spans="1:17" x14ac:dyDescent="0.25">
      <c r="A22">
        <v>2</v>
      </c>
      <c r="B22" s="1">
        <v>42155</v>
      </c>
      <c r="C22">
        <v>184000</v>
      </c>
      <c r="D22">
        <v>36078</v>
      </c>
      <c r="E22" t="s">
        <v>54</v>
      </c>
      <c r="F22">
        <v>35000</v>
      </c>
      <c r="G22">
        <v>3.64</v>
      </c>
      <c r="H22">
        <v>3.6606999999999998</v>
      </c>
      <c r="I22">
        <v>654</v>
      </c>
      <c r="J22">
        <f t="shared" si="6"/>
        <v>654</v>
      </c>
      <c r="K22" s="13"/>
      <c r="L22">
        <f>IF($E22=L$1,IF($E22=$E21,$J22+L21,$J22),0)</f>
        <v>5526</v>
      </c>
      <c r="M22">
        <f t="shared" si="8"/>
        <v>0</v>
      </c>
      <c r="N22">
        <f t="shared" si="9"/>
        <v>0</v>
      </c>
      <c r="O22">
        <f t="shared" si="10"/>
        <v>0</v>
      </c>
      <c r="P22" s="9">
        <f t="shared" si="11"/>
        <v>39847</v>
      </c>
    </row>
    <row r="23" spans="1:17" x14ac:dyDescent="0.25">
      <c r="A23">
        <v>2</v>
      </c>
      <c r="B23" s="1">
        <v>42185</v>
      </c>
      <c r="C23">
        <v>184000</v>
      </c>
      <c r="D23">
        <v>36078</v>
      </c>
      <c r="E23" t="s">
        <v>55</v>
      </c>
      <c r="F23">
        <v>40000</v>
      </c>
      <c r="G23">
        <v>3.7174999999999998</v>
      </c>
      <c r="H23">
        <v>3.5242</v>
      </c>
      <c r="I23">
        <v>-7812</v>
      </c>
      <c r="J23">
        <f t="shared" si="6"/>
        <v>-7812</v>
      </c>
      <c r="M23">
        <f t="shared" si="8"/>
        <v>-7812</v>
      </c>
      <c r="N23">
        <f t="shared" si="9"/>
        <v>0</v>
      </c>
      <c r="O23">
        <f t="shared" si="10"/>
        <v>0</v>
      </c>
      <c r="P23" s="9">
        <f t="shared" si="11"/>
        <v>32035</v>
      </c>
    </row>
    <row r="24" spans="1:17" x14ac:dyDescent="0.25">
      <c r="A24">
        <v>2</v>
      </c>
      <c r="B24" s="1">
        <v>42216</v>
      </c>
      <c r="C24">
        <v>184000</v>
      </c>
      <c r="D24">
        <v>36078</v>
      </c>
      <c r="E24" t="s">
        <v>55</v>
      </c>
      <c r="F24">
        <v>35000</v>
      </c>
      <c r="G24">
        <v>3.7174999999999998</v>
      </c>
      <c r="H24">
        <v>3.5142000000000002</v>
      </c>
      <c r="I24">
        <v>-7185</v>
      </c>
      <c r="J24">
        <f t="shared" si="6"/>
        <v>-7185</v>
      </c>
      <c r="M24">
        <f t="shared" si="8"/>
        <v>-14997</v>
      </c>
      <c r="N24">
        <f t="shared" si="9"/>
        <v>0</v>
      </c>
      <c r="O24">
        <f t="shared" si="10"/>
        <v>0</v>
      </c>
      <c r="P24" s="9">
        <f t="shared" si="11"/>
        <v>24850</v>
      </c>
    </row>
    <row r="25" spans="1:17" x14ac:dyDescent="0.25">
      <c r="A25">
        <v>2</v>
      </c>
      <c r="B25" s="1">
        <v>42247</v>
      </c>
      <c r="C25">
        <v>184000</v>
      </c>
      <c r="D25">
        <v>36078</v>
      </c>
      <c r="E25" t="s">
        <v>56</v>
      </c>
      <c r="F25">
        <v>35000</v>
      </c>
      <c r="G25">
        <v>3.7925</v>
      </c>
      <c r="H25">
        <v>3.5893000000000002</v>
      </c>
      <c r="I25">
        <v>-7182</v>
      </c>
      <c r="J25">
        <f t="shared" si="6"/>
        <v>-7182</v>
      </c>
      <c r="N25">
        <f t="shared" si="9"/>
        <v>-7182</v>
      </c>
      <c r="O25">
        <f t="shared" si="10"/>
        <v>0</v>
      </c>
      <c r="P25" s="9">
        <f t="shared" si="11"/>
        <v>17668</v>
      </c>
    </row>
    <row r="26" spans="1:17" x14ac:dyDescent="0.25">
      <c r="A26">
        <v>2</v>
      </c>
      <c r="B26" s="1">
        <v>42277</v>
      </c>
      <c r="C26">
        <v>184000</v>
      </c>
      <c r="D26">
        <v>36078</v>
      </c>
      <c r="E26" t="s">
        <v>56</v>
      </c>
      <c r="F26">
        <v>35000</v>
      </c>
      <c r="G26">
        <v>3.7925</v>
      </c>
      <c r="H26">
        <v>3.6465999999999998</v>
      </c>
      <c r="I26">
        <v>-5177</v>
      </c>
      <c r="J26">
        <f t="shared" si="6"/>
        <v>-5177</v>
      </c>
      <c r="N26">
        <f t="shared" si="9"/>
        <v>-12359</v>
      </c>
      <c r="O26">
        <f t="shared" si="10"/>
        <v>0</v>
      </c>
      <c r="P26" s="9">
        <f t="shared" si="11"/>
        <v>12491</v>
      </c>
    </row>
    <row r="27" spans="1:17" x14ac:dyDescent="0.25">
      <c r="A27">
        <v>2</v>
      </c>
      <c r="B27" s="1">
        <v>42308</v>
      </c>
      <c r="C27">
        <v>184000</v>
      </c>
      <c r="D27">
        <v>36078</v>
      </c>
      <c r="E27" t="s">
        <v>57</v>
      </c>
      <c r="F27">
        <v>35000</v>
      </c>
      <c r="G27">
        <v>3.8875000000000002</v>
      </c>
      <c r="H27">
        <v>3.7307999999999999</v>
      </c>
      <c r="I27">
        <v>-5555</v>
      </c>
      <c r="J27">
        <f t="shared" si="6"/>
        <v>-5555</v>
      </c>
      <c r="O27">
        <f t="shared" si="10"/>
        <v>-5555</v>
      </c>
      <c r="P27" s="9">
        <f t="shared" si="11"/>
        <v>6936</v>
      </c>
    </row>
    <row r="28" spans="1:17" x14ac:dyDescent="0.25">
      <c r="A28">
        <v>2</v>
      </c>
      <c r="B28" s="1">
        <v>42338</v>
      </c>
      <c r="C28">
        <v>184000</v>
      </c>
      <c r="D28">
        <v>36078</v>
      </c>
      <c r="E28" t="s">
        <v>57</v>
      </c>
      <c r="F28">
        <v>40000</v>
      </c>
      <c r="G28">
        <v>3.8875000000000002</v>
      </c>
      <c r="H28">
        <v>3.8332999999999999</v>
      </c>
      <c r="I28">
        <v>-2248</v>
      </c>
      <c r="J28">
        <f t="shared" si="6"/>
        <v>-2248</v>
      </c>
      <c r="O28">
        <f t="shared" si="10"/>
        <v>-7803</v>
      </c>
      <c r="P28" s="9">
        <f t="shared" si="11"/>
        <v>4688</v>
      </c>
    </row>
    <row r="29" spans="1:17" x14ac:dyDescent="0.25">
      <c r="A29">
        <v>2</v>
      </c>
      <c r="B29" s="1">
        <v>42369</v>
      </c>
      <c r="C29">
        <v>184000</v>
      </c>
      <c r="D29">
        <v>36078</v>
      </c>
      <c r="E29" t="s">
        <v>57</v>
      </c>
      <c r="F29">
        <v>35000</v>
      </c>
      <c r="G29">
        <v>3.8875000000000002</v>
      </c>
      <c r="H29">
        <v>3.7565</v>
      </c>
      <c r="I29">
        <v>-4655</v>
      </c>
      <c r="J29">
        <f t="shared" si="6"/>
        <v>-4655</v>
      </c>
      <c r="O29">
        <f t="shared" si="10"/>
        <v>-12458</v>
      </c>
      <c r="P29" s="9">
        <f t="shared" si="11"/>
        <v>33</v>
      </c>
    </row>
    <row r="30" spans="1:17" x14ac:dyDescent="0.25">
      <c r="B30" s="1"/>
    </row>
    <row r="31" spans="1:17" x14ac:dyDescent="0.25">
      <c r="B31" s="1"/>
      <c r="K31" s="9" t="s">
        <v>57</v>
      </c>
      <c r="L31" t="s">
        <v>53</v>
      </c>
      <c r="M31" s="9" t="s">
        <v>54</v>
      </c>
      <c r="N31" s="9" t="s">
        <v>55</v>
      </c>
      <c r="O31" s="9" t="s">
        <v>56</v>
      </c>
      <c r="P31" s="9" t="s">
        <v>57</v>
      </c>
      <c r="Q31" s="9" t="s">
        <v>58</v>
      </c>
    </row>
    <row r="32" spans="1:17" x14ac:dyDescent="0.25">
      <c r="A32">
        <v>3</v>
      </c>
      <c r="B32" s="1">
        <v>41943</v>
      </c>
      <c r="K32" s="9">
        <v>0</v>
      </c>
      <c r="L32">
        <v>0</v>
      </c>
      <c r="M32" s="9">
        <v>0</v>
      </c>
      <c r="N32" s="9">
        <v>0</v>
      </c>
      <c r="O32" s="9">
        <v>0</v>
      </c>
      <c r="P32" s="9">
        <v>0</v>
      </c>
      <c r="Q32">
        <v>0</v>
      </c>
    </row>
    <row r="33" spans="1:17" x14ac:dyDescent="0.25">
      <c r="A33">
        <v>3</v>
      </c>
      <c r="B33" s="1">
        <v>42004</v>
      </c>
      <c r="C33">
        <v>5330000</v>
      </c>
      <c r="D33">
        <v>155000</v>
      </c>
      <c r="E33" t="s">
        <v>57</v>
      </c>
      <c r="F33">
        <v>155000</v>
      </c>
      <c r="G33">
        <v>3.3906000000000001</v>
      </c>
      <c r="H33">
        <v>3.6229</v>
      </c>
      <c r="I33">
        <v>35697</v>
      </c>
      <c r="J33">
        <f t="shared" ref="J33:J44" si="12">I33*R$2</f>
        <v>35697</v>
      </c>
      <c r="K33">
        <f>J33</f>
        <v>35697</v>
      </c>
      <c r="L33">
        <f>IF($E33=K$1,IF($E33=$E32,$J33+L32,$J33),0)</f>
        <v>0</v>
      </c>
      <c r="M33">
        <f>IF($E33=L$1,IF($E33=$E32,$J33+M32,$J33),0)</f>
        <v>0</v>
      </c>
      <c r="N33">
        <f>IF($E33=M$1,IF($E33=$E32,$J33+N32,$J33),0)</f>
        <v>0</v>
      </c>
      <c r="O33">
        <f>IF($E33=N$1,IF($E33=$E32,$J33+O32,$J33),0)</f>
        <v>0</v>
      </c>
      <c r="P33">
        <v>0</v>
      </c>
      <c r="Q33" s="9">
        <f t="shared" ref="Q33:Q44" si="13">J33+Q32</f>
        <v>35697</v>
      </c>
    </row>
    <row r="34" spans="1:17" x14ac:dyDescent="0.25">
      <c r="A34">
        <v>3</v>
      </c>
      <c r="B34" s="1">
        <v>42035</v>
      </c>
      <c r="C34">
        <v>5330000</v>
      </c>
      <c r="D34">
        <v>155000</v>
      </c>
      <c r="E34" t="s">
        <v>53</v>
      </c>
      <c r="F34">
        <v>155000</v>
      </c>
      <c r="G34">
        <v>3.5198</v>
      </c>
      <c r="H34">
        <v>3.9026000000000001</v>
      </c>
      <c r="I34">
        <v>59024</v>
      </c>
      <c r="J34">
        <f t="shared" si="12"/>
        <v>59024</v>
      </c>
      <c r="L34">
        <f>IF($E34=K$1,IF($E34=$E33,$J34+L33,$J34),0)</f>
        <v>59024</v>
      </c>
      <c r="M34">
        <f t="shared" ref="M34:P38" si="14">IF($E34=L$1,IF($E34=$E33,$J34+M33,$J34),0)</f>
        <v>0</v>
      </c>
      <c r="N34">
        <f t="shared" si="14"/>
        <v>0</v>
      </c>
      <c r="O34">
        <f t="shared" si="14"/>
        <v>0</v>
      </c>
      <c r="P34">
        <f t="shared" si="14"/>
        <v>0</v>
      </c>
      <c r="Q34" s="9">
        <f t="shared" si="13"/>
        <v>94721</v>
      </c>
    </row>
    <row r="35" spans="1:17" x14ac:dyDescent="0.25">
      <c r="A35">
        <v>3</v>
      </c>
      <c r="B35" s="1">
        <v>42063</v>
      </c>
      <c r="C35">
        <v>5330000</v>
      </c>
      <c r="D35">
        <v>155000</v>
      </c>
      <c r="E35" t="s">
        <v>53</v>
      </c>
      <c r="F35">
        <v>155000</v>
      </c>
      <c r="G35">
        <v>3.5198</v>
      </c>
      <c r="H35">
        <v>4.0690999999999997</v>
      </c>
      <c r="I35">
        <v>84832</v>
      </c>
      <c r="J35">
        <f t="shared" si="12"/>
        <v>84832</v>
      </c>
      <c r="L35">
        <f>IF($E35=K$1,IF($E35=$E34,$J35+L34,$J35),0)</f>
        <v>143856</v>
      </c>
      <c r="M35">
        <f t="shared" si="14"/>
        <v>0</v>
      </c>
      <c r="N35">
        <f t="shared" si="14"/>
        <v>0</v>
      </c>
      <c r="O35">
        <f t="shared" si="14"/>
        <v>0</v>
      </c>
      <c r="P35">
        <f t="shared" si="14"/>
        <v>0</v>
      </c>
      <c r="Q35" s="9">
        <f t="shared" si="13"/>
        <v>179553</v>
      </c>
    </row>
    <row r="36" spans="1:17" x14ac:dyDescent="0.25">
      <c r="A36">
        <v>3</v>
      </c>
      <c r="B36" s="1">
        <v>42094</v>
      </c>
      <c r="C36">
        <v>5330000</v>
      </c>
      <c r="D36">
        <v>155000</v>
      </c>
      <c r="E36" t="s">
        <v>53</v>
      </c>
      <c r="F36">
        <v>155000</v>
      </c>
      <c r="G36">
        <v>3.5198</v>
      </c>
      <c r="H36">
        <v>3.766</v>
      </c>
      <c r="I36">
        <v>37851</v>
      </c>
      <c r="J36">
        <f t="shared" si="12"/>
        <v>37851</v>
      </c>
      <c r="L36">
        <f>IF($E36=K$1,IF($E36=$E35,$J36+L35,$J36),0)</f>
        <v>181707</v>
      </c>
      <c r="M36">
        <f t="shared" si="14"/>
        <v>0</v>
      </c>
      <c r="N36">
        <f t="shared" si="14"/>
        <v>0</v>
      </c>
      <c r="O36">
        <f t="shared" si="14"/>
        <v>0</v>
      </c>
      <c r="P36">
        <f t="shared" si="14"/>
        <v>0</v>
      </c>
      <c r="Q36" s="9">
        <f t="shared" si="13"/>
        <v>217404</v>
      </c>
    </row>
    <row r="37" spans="1:17" x14ac:dyDescent="0.25">
      <c r="A37">
        <v>3</v>
      </c>
      <c r="B37" s="1">
        <v>42124</v>
      </c>
      <c r="C37">
        <v>5330000</v>
      </c>
      <c r="D37">
        <v>155000</v>
      </c>
      <c r="E37" t="s">
        <v>54</v>
      </c>
      <c r="F37">
        <v>155000</v>
      </c>
      <c r="G37">
        <v>3.6048</v>
      </c>
      <c r="H37">
        <v>3.8035000000000001</v>
      </c>
      <c r="I37">
        <v>30489</v>
      </c>
      <c r="J37">
        <f t="shared" si="12"/>
        <v>30489</v>
      </c>
      <c r="L37" s="13"/>
      <c r="M37">
        <f t="shared" si="14"/>
        <v>30489</v>
      </c>
      <c r="N37">
        <f t="shared" si="14"/>
        <v>0</v>
      </c>
      <c r="O37">
        <f t="shared" si="14"/>
        <v>0</v>
      </c>
      <c r="P37">
        <f t="shared" si="14"/>
        <v>0</v>
      </c>
      <c r="Q37" s="9">
        <f t="shared" si="13"/>
        <v>247893</v>
      </c>
    </row>
    <row r="38" spans="1:17" x14ac:dyDescent="0.25">
      <c r="A38">
        <v>3</v>
      </c>
      <c r="B38" s="1">
        <v>42155</v>
      </c>
      <c r="C38">
        <v>5330000</v>
      </c>
      <c r="D38">
        <v>155000</v>
      </c>
      <c r="E38" t="s">
        <v>54</v>
      </c>
      <c r="F38">
        <v>155000</v>
      </c>
      <c r="G38">
        <v>3.6025</v>
      </c>
      <c r="H38">
        <v>3.8123</v>
      </c>
      <c r="I38">
        <v>32209</v>
      </c>
      <c r="J38">
        <f t="shared" si="12"/>
        <v>32209</v>
      </c>
      <c r="L38"/>
      <c r="M38">
        <f t="shared" si="14"/>
        <v>62698</v>
      </c>
      <c r="N38">
        <f t="shared" si="14"/>
        <v>0</v>
      </c>
      <c r="O38">
        <f t="shared" si="14"/>
        <v>0</v>
      </c>
      <c r="P38">
        <f t="shared" si="14"/>
        <v>0</v>
      </c>
      <c r="Q38" s="9">
        <f t="shared" si="13"/>
        <v>280102</v>
      </c>
    </row>
    <row r="39" spans="1:17" x14ac:dyDescent="0.25">
      <c r="A39">
        <v>3</v>
      </c>
      <c r="B39" s="1">
        <v>42185</v>
      </c>
      <c r="C39">
        <v>5330000</v>
      </c>
      <c r="D39">
        <v>150000</v>
      </c>
      <c r="E39" t="s">
        <v>55</v>
      </c>
      <c r="F39">
        <v>150000</v>
      </c>
      <c r="G39">
        <v>3.6739999999999999</v>
      </c>
      <c r="H39">
        <v>3.6362999999999999</v>
      </c>
      <c r="I39">
        <v>-5955</v>
      </c>
      <c r="J39">
        <f t="shared" si="12"/>
        <v>-5955</v>
      </c>
      <c r="L39"/>
      <c r="N39">
        <f t="shared" ref="N39:P40" si="15">IF($E39=M$1,IF($E39=$E38,$J39+N38,$J39),0)</f>
        <v>-5955</v>
      </c>
      <c r="O39">
        <f t="shared" si="15"/>
        <v>0</v>
      </c>
      <c r="P39">
        <f t="shared" si="15"/>
        <v>0</v>
      </c>
      <c r="Q39" s="9">
        <f t="shared" si="13"/>
        <v>274147</v>
      </c>
    </row>
    <row r="40" spans="1:17" x14ac:dyDescent="0.25">
      <c r="A40">
        <v>3</v>
      </c>
      <c r="B40" s="1">
        <v>42216</v>
      </c>
      <c r="C40">
        <v>5330000</v>
      </c>
      <c r="D40">
        <v>155000</v>
      </c>
      <c r="E40" t="s">
        <v>55</v>
      </c>
      <c r="F40">
        <v>155000</v>
      </c>
      <c r="G40">
        <v>3.6778</v>
      </c>
      <c r="H40">
        <v>3.5861999999999998</v>
      </c>
      <c r="I40">
        <v>-14508</v>
      </c>
      <c r="J40">
        <f t="shared" si="12"/>
        <v>-14508</v>
      </c>
      <c r="L40"/>
      <c r="N40">
        <f t="shared" si="15"/>
        <v>-20463</v>
      </c>
      <c r="O40">
        <f t="shared" si="15"/>
        <v>0</v>
      </c>
      <c r="P40">
        <f t="shared" si="15"/>
        <v>0</v>
      </c>
      <c r="Q40" s="9">
        <f t="shared" si="13"/>
        <v>259639</v>
      </c>
    </row>
    <row r="41" spans="1:17" x14ac:dyDescent="0.25">
      <c r="A41">
        <v>3</v>
      </c>
      <c r="B41" s="1">
        <v>42247</v>
      </c>
      <c r="C41">
        <v>5330000</v>
      </c>
      <c r="D41">
        <v>155000</v>
      </c>
      <c r="E41" t="s">
        <v>56</v>
      </c>
      <c r="F41">
        <v>155000</v>
      </c>
      <c r="G41">
        <v>3.7538</v>
      </c>
      <c r="H41">
        <v>3.6768999999999998</v>
      </c>
      <c r="I41">
        <v>-12230</v>
      </c>
      <c r="J41">
        <f t="shared" si="12"/>
        <v>-12230</v>
      </c>
      <c r="L41"/>
      <c r="O41">
        <f>IF($E41=N$1,IF($E41=$E40,$J41+O40,$J41),0)</f>
        <v>-12230</v>
      </c>
      <c r="P41">
        <f>IF($E41=O$1,IF($E41=$E40,$J41+P40,$J41),0)</f>
        <v>0</v>
      </c>
      <c r="Q41" s="9">
        <f t="shared" si="13"/>
        <v>247409</v>
      </c>
    </row>
    <row r="42" spans="1:17" x14ac:dyDescent="0.25">
      <c r="A42">
        <v>3</v>
      </c>
      <c r="B42" s="1">
        <v>42277</v>
      </c>
      <c r="C42">
        <v>5330000</v>
      </c>
      <c r="D42">
        <v>150000</v>
      </c>
      <c r="E42" t="s">
        <v>56</v>
      </c>
      <c r="F42">
        <v>150000</v>
      </c>
      <c r="G42">
        <v>3.7515000000000001</v>
      </c>
      <c r="H42">
        <v>3.7347999999999999</v>
      </c>
      <c r="I42">
        <v>-2805</v>
      </c>
      <c r="J42">
        <f t="shared" si="12"/>
        <v>-2805</v>
      </c>
      <c r="L42"/>
      <c r="O42">
        <f>IF($E42=N$1,IF($E42=$E41,$J42+O41,$J42),0)</f>
        <v>-15035</v>
      </c>
      <c r="P42">
        <f>IF($E42=O$1,IF($E42=$E41,$J42+P41,$J42),0)</f>
        <v>0</v>
      </c>
      <c r="Q42" s="9">
        <f t="shared" si="13"/>
        <v>244604</v>
      </c>
    </row>
    <row r="43" spans="1:17" x14ac:dyDescent="0.25">
      <c r="A43">
        <v>3</v>
      </c>
      <c r="B43" s="1">
        <v>42308</v>
      </c>
      <c r="C43">
        <v>5330000</v>
      </c>
      <c r="D43">
        <v>155000</v>
      </c>
      <c r="E43" t="s">
        <v>57</v>
      </c>
      <c r="F43">
        <v>155000</v>
      </c>
      <c r="G43">
        <v>3.8435000000000001</v>
      </c>
      <c r="H43">
        <v>3.7161</v>
      </c>
      <c r="I43">
        <v>-20057</v>
      </c>
      <c r="J43">
        <f t="shared" si="12"/>
        <v>-20057</v>
      </c>
      <c r="L43"/>
      <c r="P43">
        <f>IF($E43=O$1,IF($E43=$E42,$J43+P42,$J43),0)</f>
        <v>-20057</v>
      </c>
      <c r="Q43" s="9">
        <f t="shared" si="13"/>
        <v>224547</v>
      </c>
    </row>
    <row r="44" spans="1:17" x14ac:dyDescent="0.25">
      <c r="A44">
        <v>3</v>
      </c>
      <c r="B44" s="1">
        <v>42338</v>
      </c>
      <c r="C44">
        <v>5330000</v>
      </c>
      <c r="D44">
        <v>150000</v>
      </c>
      <c r="E44" t="s">
        <v>57</v>
      </c>
      <c r="F44">
        <v>150000</v>
      </c>
      <c r="G44">
        <v>3.8414999999999999</v>
      </c>
      <c r="H44">
        <v>3.8170000000000002</v>
      </c>
      <c r="I44">
        <v>-3975</v>
      </c>
      <c r="J44">
        <f t="shared" si="12"/>
        <v>-3975</v>
      </c>
      <c r="L44"/>
      <c r="P44">
        <f>IF($E44=O$1,IF($E44=$E43,$J44+P43,$J44),0)</f>
        <v>-24032</v>
      </c>
      <c r="Q44" s="9">
        <f t="shared" si="13"/>
        <v>220572</v>
      </c>
    </row>
    <row r="45" spans="1:17" x14ac:dyDescent="0.25">
      <c r="B45" s="1"/>
    </row>
    <row r="46" spans="1:17" x14ac:dyDescent="0.25">
      <c r="B46" s="1"/>
      <c r="K46" t="s">
        <v>53</v>
      </c>
      <c r="L46" s="9" t="s">
        <v>54</v>
      </c>
      <c r="M46" s="9" t="s">
        <v>55</v>
      </c>
      <c r="N46" s="9" t="s">
        <v>56</v>
      </c>
      <c r="O46" s="9" t="s">
        <v>57</v>
      </c>
      <c r="P46" s="9" t="s">
        <v>58</v>
      </c>
    </row>
    <row r="47" spans="1:17" x14ac:dyDescent="0.25">
      <c r="A47">
        <v>4</v>
      </c>
      <c r="B47" s="1">
        <v>41943</v>
      </c>
      <c r="K47">
        <v>0</v>
      </c>
      <c r="L47" s="9">
        <v>0</v>
      </c>
      <c r="M47" s="9">
        <v>0</v>
      </c>
      <c r="N47" s="9">
        <v>0</v>
      </c>
      <c r="O47" s="9">
        <v>0</v>
      </c>
      <c r="P47">
        <v>0</v>
      </c>
    </row>
    <row r="48" spans="1:17" x14ac:dyDescent="0.25">
      <c r="A48">
        <v>4</v>
      </c>
      <c r="B48" s="1">
        <v>42035</v>
      </c>
      <c r="C48">
        <v>1600000</v>
      </c>
      <c r="D48">
        <v>50000</v>
      </c>
      <c r="E48" t="s">
        <v>53</v>
      </c>
      <c r="F48">
        <v>50000</v>
      </c>
      <c r="G48">
        <v>3.92</v>
      </c>
      <c r="H48">
        <v>3.9026000000000001</v>
      </c>
      <c r="I48">
        <v>-970</v>
      </c>
      <c r="J48">
        <f t="shared" ref="J48:J59" si="16">I48*R$2</f>
        <v>-970</v>
      </c>
      <c r="K48">
        <f t="shared" ref="K48:L50" si="17">IF($E48=K$1,IF($E48=$E47,$J48+K47,$J48),0)</f>
        <v>-970</v>
      </c>
      <c r="L48">
        <f t="shared" si="17"/>
        <v>0</v>
      </c>
      <c r="M48">
        <f t="shared" ref="M48:M54" si="18">IF($E48=M$1,IF($E48=$E47,$J48+M47,$J48),0)</f>
        <v>0</v>
      </c>
      <c r="N48">
        <f t="shared" ref="N48:N56" si="19">IF($E48=N$1,IF($E48=$E47,$J48+N47,$J48),0)</f>
        <v>0</v>
      </c>
      <c r="O48">
        <f t="shared" ref="O48:O59" si="20">IF($E48=O$1,IF($E48=$E47,$J48+O47,$J48),0)</f>
        <v>0</v>
      </c>
      <c r="P48" s="9">
        <f>J48+P47</f>
        <v>-970</v>
      </c>
    </row>
    <row r="49" spans="1:16" x14ac:dyDescent="0.25">
      <c r="A49">
        <v>4</v>
      </c>
      <c r="B49" s="1">
        <v>42063</v>
      </c>
      <c r="C49">
        <v>1600000</v>
      </c>
      <c r="D49">
        <v>50000</v>
      </c>
      <c r="E49" t="s">
        <v>53</v>
      </c>
      <c r="F49">
        <v>50000</v>
      </c>
      <c r="G49">
        <v>3.92</v>
      </c>
      <c r="H49">
        <v>4.0690999999999997</v>
      </c>
      <c r="I49">
        <v>7355</v>
      </c>
      <c r="J49">
        <f t="shared" si="16"/>
        <v>7355</v>
      </c>
      <c r="K49">
        <f t="shared" si="17"/>
        <v>6385</v>
      </c>
      <c r="L49">
        <f t="shared" si="17"/>
        <v>0</v>
      </c>
      <c r="M49">
        <f t="shared" si="18"/>
        <v>0</v>
      </c>
      <c r="N49">
        <f t="shared" si="19"/>
        <v>0</v>
      </c>
      <c r="O49">
        <f t="shared" si="20"/>
        <v>0</v>
      </c>
      <c r="P49" s="9">
        <f>J49+P48</f>
        <v>6385</v>
      </c>
    </row>
    <row r="50" spans="1:16" x14ac:dyDescent="0.25">
      <c r="A50">
        <v>4</v>
      </c>
      <c r="B50" s="1">
        <v>42094</v>
      </c>
      <c r="C50">
        <v>1600000</v>
      </c>
      <c r="D50">
        <v>50000</v>
      </c>
      <c r="E50" t="s">
        <v>53</v>
      </c>
      <c r="F50">
        <v>50000</v>
      </c>
      <c r="G50">
        <v>3.92</v>
      </c>
      <c r="H50">
        <v>3.766</v>
      </c>
      <c r="I50">
        <v>-7800</v>
      </c>
      <c r="J50">
        <f t="shared" si="16"/>
        <v>-7800</v>
      </c>
      <c r="K50">
        <f t="shared" si="17"/>
        <v>-1415</v>
      </c>
      <c r="L50">
        <f t="shared" si="17"/>
        <v>0</v>
      </c>
      <c r="M50">
        <f t="shared" si="18"/>
        <v>0</v>
      </c>
      <c r="N50">
        <f t="shared" si="19"/>
        <v>0</v>
      </c>
      <c r="O50">
        <f t="shared" si="20"/>
        <v>0</v>
      </c>
      <c r="P50" s="9">
        <f t="shared" ref="P50:P59" si="21">J50+P49</f>
        <v>-1415</v>
      </c>
    </row>
    <row r="51" spans="1:16" x14ac:dyDescent="0.25">
      <c r="A51">
        <v>4</v>
      </c>
      <c r="B51" s="1">
        <v>42124</v>
      </c>
      <c r="C51">
        <v>1600000</v>
      </c>
      <c r="D51">
        <v>50000</v>
      </c>
      <c r="E51" t="s">
        <v>54</v>
      </c>
      <c r="F51">
        <v>50000</v>
      </c>
      <c r="G51">
        <v>4</v>
      </c>
      <c r="H51">
        <v>3.8035000000000001</v>
      </c>
      <c r="I51">
        <v>-9925</v>
      </c>
      <c r="J51">
        <f t="shared" si="16"/>
        <v>-9925</v>
      </c>
      <c r="K51" s="13"/>
      <c r="L51">
        <f>IF($E51=L$1,IF($E51=$E50,$J51+L50,$J51),0)</f>
        <v>-9925</v>
      </c>
      <c r="M51">
        <f t="shared" si="18"/>
        <v>0</v>
      </c>
      <c r="N51">
        <f t="shared" si="19"/>
        <v>0</v>
      </c>
      <c r="O51">
        <f t="shared" si="20"/>
        <v>0</v>
      </c>
      <c r="P51" s="9">
        <f t="shared" si="21"/>
        <v>-11340</v>
      </c>
    </row>
    <row r="52" spans="1:16" x14ac:dyDescent="0.25">
      <c r="A52">
        <v>4</v>
      </c>
      <c r="B52" s="1">
        <v>42155</v>
      </c>
      <c r="C52">
        <v>1600000</v>
      </c>
      <c r="D52">
        <v>50000</v>
      </c>
      <c r="E52" t="s">
        <v>54</v>
      </c>
      <c r="F52">
        <v>50000</v>
      </c>
      <c r="G52">
        <v>4</v>
      </c>
      <c r="H52">
        <v>3.8123</v>
      </c>
      <c r="I52">
        <v>-9485</v>
      </c>
      <c r="J52">
        <f t="shared" si="16"/>
        <v>-9485</v>
      </c>
      <c r="K52" s="13"/>
      <c r="L52">
        <f>IF($E52=L$1,IF($E52=$E51,$J52+L51,$J52),0)</f>
        <v>-19410</v>
      </c>
      <c r="M52">
        <f t="shared" si="18"/>
        <v>0</v>
      </c>
      <c r="N52">
        <f t="shared" si="19"/>
        <v>0</v>
      </c>
      <c r="O52">
        <f t="shared" si="20"/>
        <v>0</v>
      </c>
      <c r="P52" s="9">
        <f t="shared" si="21"/>
        <v>-20825</v>
      </c>
    </row>
    <row r="53" spans="1:16" x14ac:dyDescent="0.25">
      <c r="A53">
        <v>4</v>
      </c>
      <c r="B53" s="1">
        <v>42185</v>
      </c>
      <c r="C53">
        <v>1600000</v>
      </c>
      <c r="D53">
        <v>50000</v>
      </c>
      <c r="E53" t="s">
        <v>55</v>
      </c>
      <c r="F53">
        <v>50000</v>
      </c>
      <c r="G53">
        <v>4.0724999999999998</v>
      </c>
      <c r="H53">
        <v>3.6362999999999999</v>
      </c>
      <c r="I53">
        <v>-21910</v>
      </c>
      <c r="J53">
        <f t="shared" si="16"/>
        <v>-21910</v>
      </c>
      <c r="M53">
        <f t="shared" si="18"/>
        <v>-21910</v>
      </c>
      <c r="N53">
        <f t="shared" si="19"/>
        <v>0</v>
      </c>
      <c r="O53">
        <f t="shared" si="20"/>
        <v>0</v>
      </c>
      <c r="P53" s="9">
        <f t="shared" si="21"/>
        <v>-42735</v>
      </c>
    </row>
    <row r="54" spans="1:16" x14ac:dyDescent="0.25">
      <c r="A54">
        <v>4</v>
      </c>
      <c r="B54" s="1">
        <v>42216</v>
      </c>
      <c r="C54">
        <v>1600000</v>
      </c>
      <c r="D54">
        <v>50000</v>
      </c>
      <c r="E54" t="s">
        <v>55</v>
      </c>
      <c r="F54">
        <v>50000</v>
      </c>
      <c r="G54">
        <v>4.0724999999999998</v>
      </c>
      <c r="H54">
        <v>3.5861999999999998</v>
      </c>
      <c r="I54">
        <v>-24415</v>
      </c>
      <c r="J54">
        <f t="shared" si="16"/>
        <v>-24415</v>
      </c>
      <c r="M54">
        <f t="shared" si="18"/>
        <v>-46325</v>
      </c>
      <c r="N54">
        <f t="shared" si="19"/>
        <v>0</v>
      </c>
      <c r="O54">
        <f t="shared" si="20"/>
        <v>0</v>
      </c>
      <c r="P54" s="9">
        <f t="shared" si="21"/>
        <v>-67150</v>
      </c>
    </row>
    <row r="55" spans="1:16" x14ac:dyDescent="0.25">
      <c r="A55">
        <v>4</v>
      </c>
      <c r="B55" s="1">
        <v>42247</v>
      </c>
      <c r="C55">
        <v>1600000</v>
      </c>
      <c r="D55">
        <v>50000</v>
      </c>
      <c r="E55" t="s">
        <v>56</v>
      </c>
      <c r="F55">
        <v>50000</v>
      </c>
      <c r="G55">
        <v>4.1275000000000004</v>
      </c>
      <c r="H55">
        <v>3.6768999999999998</v>
      </c>
      <c r="I55">
        <v>-22630</v>
      </c>
      <c r="J55">
        <f t="shared" si="16"/>
        <v>-22630</v>
      </c>
      <c r="N55">
        <f t="shared" si="19"/>
        <v>-22630</v>
      </c>
      <c r="O55">
        <f t="shared" si="20"/>
        <v>0</v>
      </c>
      <c r="P55" s="9">
        <f t="shared" si="21"/>
        <v>-89780</v>
      </c>
    </row>
    <row r="56" spans="1:16" x14ac:dyDescent="0.25">
      <c r="A56">
        <v>4</v>
      </c>
      <c r="B56" s="1">
        <v>42277</v>
      </c>
      <c r="C56">
        <v>1600000</v>
      </c>
      <c r="D56">
        <v>50000</v>
      </c>
      <c r="E56" t="s">
        <v>56</v>
      </c>
      <c r="F56">
        <v>50000</v>
      </c>
      <c r="G56">
        <v>4.1275000000000004</v>
      </c>
      <c r="H56">
        <v>3.7347999999999999</v>
      </c>
      <c r="I56">
        <v>-19735</v>
      </c>
      <c r="J56">
        <f t="shared" si="16"/>
        <v>-19735</v>
      </c>
      <c r="N56">
        <f t="shared" si="19"/>
        <v>-42365</v>
      </c>
      <c r="O56">
        <f t="shared" si="20"/>
        <v>0</v>
      </c>
      <c r="P56" s="9">
        <f t="shared" si="21"/>
        <v>-109515</v>
      </c>
    </row>
    <row r="57" spans="1:16" x14ac:dyDescent="0.25">
      <c r="A57">
        <v>4</v>
      </c>
      <c r="B57" s="1">
        <v>42308</v>
      </c>
      <c r="C57">
        <v>1600000</v>
      </c>
      <c r="D57">
        <v>50000</v>
      </c>
      <c r="E57" t="s">
        <v>57</v>
      </c>
      <c r="F57">
        <v>50000</v>
      </c>
      <c r="G57">
        <v>4.1974999999999998</v>
      </c>
      <c r="H57">
        <v>3.7161</v>
      </c>
      <c r="I57">
        <v>-24170</v>
      </c>
      <c r="J57">
        <f t="shared" si="16"/>
        <v>-24170</v>
      </c>
      <c r="O57">
        <f t="shared" si="20"/>
        <v>-24170</v>
      </c>
      <c r="P57" s="9">
        <f t="shared" si="21"/>
        <v>-133685</v>
      </c>
    </row>
    <row r="58" spans="1:16" x14ac:dyDescent="0.25">
      <c r="A58">
        <v>4</v>
      </c>
      <c r="B58" s="1">
        <v>42338</v>
      </c>
      <c r="C58">
        <v>1600000</v>
      </c>
      <c r="D58">
        <v>50000</v>
      </c>
      <c r="E58" t="s">
        <v>57</v>
      </c>
      <c r="F58">
        <v>50000</v>
      </c>
      <c r="G58">
        <v>4.1974999999999998</v>
      </c>
      <c r="H58">
        <v>3.8170000000000002</v>
      </c>
      <c r="I58">
        <v>-19125</v>
      </c>
      <c r="J58">
        <f t="shared" si="16"/>
        <v>-19125</v>
      </c>
      <c r="O58">
        <f t="shared" si="20"/>
        <v>-43295</v>
      </c>
      <c r="P58" s="9">
        <f t="shared" si="21"/>
        <v>-152810</v>
      </c>
    </row>
    <row r="59" spans="1:16" x14ac:dyDescent="0.25">
      <c r="A59">
        <v>4</v>
      </c>
      <c r="B59" s="1">
        <v>42339</v>
      </c>
      <c r="C59">
        <v>1600000</v>
      </c>
      <c r="D59">
        <v>50000</v>
      </c>
      <c r="E59" t="s">
        <v>57</v>
      </c>
      <c r="F59">
        <v>50000</v>
      </c>
      <c r="G59">
        <v>4.1974999999999998</v>
      </c>
      <c r="H59">
        <v>3.7202999999999999</v>
      </c>
      <c r="I59">
        <v>-23960</v>
      </c>
      <c r="J59">
        <f t="shared" si="16"/>
        <v>-23960</v>
      </c>
      <c r="O59">
        <f t="shared" si="20"/>
        <v>-67255</v>
      </c>
      <c r="P59" s="9">
        <f t="shared" si="21"/>
        <v>-176770</v>
      </c>
    </row>
    <row r="60" spans="1:16" x14ac:dyDescent="0.25">
      <c r="B60" s="1"/>
    </row>
    <row r="61" spans="1:16" x14ac:dyDescent="0.25">
      <c r="B61" s="1"/>
    </row>
    <row r="62" spans="1:16" x14ac:dyDescent="0.25">
      <c r="B62" s="1"/>
      <c r="K62" t="s">
        <v>53</v>
      </c>
      <c r="L62" s="9" t="s">
        <v>54</v>
      </c>
      <c r="M62" s="9" t="s">
        <v>55</v>
      </c>
      <c r="N62" s="9" t="s">
        <v>56</v>
      </c>
      <c r="O62" s="9" t="s">
        <v>57</v>
      </c>
      <c r="P62" s="9" t="s">
        <v>58</v>
      </c>
    </row>
    <row r="63" spans="1:16" x14ac:dyDescent="0.25">
      <c r="A63">
        <v>5</v>
      </c>
      <c r="B63" s="1">
        <v>41943</v>
      </c>
      <c r="K63">
        <v>0</v>
      </c>
      <c r="L63" s="9">
        <v>0</v>
      </c>
      <c r="M63" s="9">
        <v>0</v>
      </c>
      <c r="N63" s="9">
        <v>0</v>
      </c>
      <c r="O63" s="9">
        <v>0</v>
      </c>
      <c r="P63">
        <v>0</v>
      </c>
    </row>
    <row r="64" spans="1:16" x14ac:dyDescent="0.25">
      <c r="A64">
        <v>5</v>
      </c>
      <c r="B64" s="1">
        <v>42035</v>
      </c>
      <c r="C64">
        <v>2250000</v>
      </c>
      <c r="D64">
        <v>70313</v>
      </c>
      <c r="E64" t="s">
        <v>53</v>
      </c>
      <c r="F64">
        <v>0</v>
      </c>
      <c r="G64">
        <v>0</v>
      </c>
      <c r="H64">
        <v>0</v>
      </c>
      <c r="I64">
        <v>0</v>
      </c>
      <c r="J64">
        <f t="shared" ref="J64:J74" si="22">I64*R$2</f>
        <v>0</v>
      </c>
      <c r="K64">
        <f t="shared" ref="K64:L66" si="23">IF($E64=K$1,IF($E64=$E63,$J64+K63,$J64),0)</f>
        <v>0</v>
      </c>
      <c r="L64">
        <f t="shared" si="23"/>
        <v>0</v>
      </c>
      <c r="M64">
        <f t="shared" ref="M64:M70" si="24">IF($E64=M$1,IF($E64=$E63,$J64+M63,$J64),0)</f>
        <v>0</v>
      </c>
      <c r="N64">
        <f t="shared" ref="N64:N72" si="25">IF($E64=N$1,IF($E64=$E63,$J64+N63,$J64),0)</f>
        <v>0</v>
      </c>
      <c r="O64">
        <f t="shared" ref="O64:O74" si="26">IF($E64=O$1,IF($E64=$E63,$J64+O63,$J64),0)</f>
        <v>0</v>
      </c>
      <c r="P64" s="9">
        <f>J64+P63</f>
        <v>0</v>
      </c>
    </row>
    <row r="65" spans="1:16" x14ac:dyDescent="0.25">
      <c r="A65">
        <v>5</v>
      </c>
      <c r="B65" s="1">
        <v>42063</v>
      </c>
      <c r="C65">
        <v>2250000</v>
      </c>
      <c r="D65">
        <v>70313</v>
      </c>
      <c r="E65" t="s">
        <v>53</v>
      </c>
      <c r="F65">
        <v>70000</v>
      </c>
      <c r="G65">
        <v>4.1050000000000004</v>
      </c>
      <c r="H65">
        <v>4.0690999999999997</v>
      </c>
      <c r="I65">
        <v>-2653</v>
      </c>
      <c r="J65">
        <f t="shared" si="22"/>
        <v>-2653</v>
      </c>
      <c r="K65">
        <f t="shared" si="23"/>
        <v>-2653</v>
      </c>
      <c r="L65">
        <f t="shared" si="23"/>
        <v>0</v>
      </c>
      <c r="M65">
        <f t="shared" si="24"/>
        <v>0</v>
      </c>
      <c r="N65">
        <f t="shared" si="25"/>
        <v>0</v>
      </c>
      <c r="O65">
        <f t="shared" si="26"/>
        <v>0</v>
      </c>
      <c r="P65" s="9">
        <f>J65+P64</f>
        <v>-2653</v>
      </c>
    </row>
    <row r="66" spans="1:16" x14ac:dyDescent="0.25">
      <c r="A66">
        <v>5</v>
      </c>
      <c r="B66" s="1">
        <v>42094</v>
      </c>
      <c r="C66">
        <v>2250000</v>
      </c>
      <c r="D66">
        <v>70313</v>
      </c>
      <c r="E66" t="s">
        <v>53</v>
      </c>
      <c r="F66">
        <v>70000</v>
      </c>
      <c r="G66">
        <v>4.1050000000000004</v>
      </c>
      <c r="H66">
        <v>3.766</v>
      </c>
      <c r="I66">
        <v>-23870</v>
      </c>
      <c r="J66">
        <f t="shared" si="22"/>
        <v>-23870</v>
      </c>
      <c r="K66">
        <f t="shared" si="23"/>
        <v>-26523</v>
      </c>
      <c r="L66">
        <f t="shared" si="23"/>
        <v>0</v>
      </c>
      <c r="M66">
        <f t="shared" si="24"/>
        <v>0</v>
      </c>
      <c r="N66">
        <f t="shared" si="25"/>
        <v>0</v>
      </c>
      <c r="O66">
        <f t="shared" si="26"/>
        <v>0</v>
      </c>
      <c r="P66" s="9">
        <f t="shared" ref="P66:P74" si="27">J66+P65</f>
        <v>-26523</v>
      </c>
    </row>
    <row r="67" spans="1:16" x14ac:dyDescent="0.25">
      <c r="A67">
        <v>5</v>
      </c>
      <c r="B67" s="1">
        <v>42124</v>
      </c>
      <c r="C67">
        <v>2250000</v>
      </c>
      <c r="D67">
        <v>70313</v>
      </c>
      <c r="E67" t="s">
        <v>54</v>
      </c>
      <c r="F67">
        <v>70000</v>
      </c>
      <c r="G67">
        <v>4.1900000000000004</v>
      </c>
      <c r="H67">
        <v>3.8035000000000001</v>
      </c>
      <c r="I67">
        <v>-27195</v>
      </c>
      <c r="J67">
        <f t="shared" si="22"/>
        <v>-27195</v>
      </c>
      <c r="K67" s="13"/>
      <c r="L67">
        <f>IF($E67=L$1,IF($E67=$E66,$J67+L66,$J67),0)</f>
        <v>-27195</v>
      </c>
      <c r="M67">
        <f t="shared" si="24"/>
        <v>0</v>
      </c>
      <c r="N67">
        <f t="shared" si="25"/>
        <v>0</v>
      </c>
      <c r="O67">
        <f t="shared" si="26"/>
        <v>0</v>
      </c>
      <c r="P67" s="9">
        <f t="shared" si="27"/>
        <v>-53718</v>
      </c>
    </row>
    <row r="68" spans="1:16" x14ac:dyDescent="0.25">
      <c r="A68">
        <v>5</v>
      </c>
      <c r="B68" s="1">
        <v>42155</v>
      </c>
      <c r="C68">
        <v>2250000</v>
      </c>
      <c r="D68">
        <v>70313</v>
      </c>
      <c r="E68" t="s">
        <v>54</v>
      </c>
      <c r="F68">
        <v>70000</v>
      </c>
      <c r="G68">
        <v>4.1900000000000004</v>
      </c>
      <c r="H68">
        <v>3.8123</v>
      </c>
      <c r="I68">
        <v>-26579</v>
      </c>
      <c r="J68">
        <f t="shared" si="22"/>
        <v>-26579</v>
      </c>
      <c r="K68" s="13"/>
      <c r="L68">
        <f>IF($E68=L$1,IF($E68=$E67,$J68+L67,$J68),0)</f>
        <v>-53774</v>
      </c>
      <c r="M68">
        <f t="shared" si="24"/>
        <v>0</v>
      </c>
      <c r="N68">
        <f t="shared" si="25"/>
        <v>0</v>
      </c>
      <c r="O68">
        <f t="shared" si="26"/>
        <v>0</v>
      </c>
      <c r="P68" s="9">
        <f t="shared" si="27"/>
        <v>-80297</v>
      </c>
    </row>
    <row r="69" spans="1:16" x14ac:dyDescent="0.25">
      <c r="A69">
        <v>5</v>
      </c>
      <c r="B69" s="1">
        <v>42185</v>
      </c>
      <c r="C69">
        <v>2250000</v>
      </c>
      <c r="D69">
        <v>70313</v>
      </c>
      <c r="E69" t="s">
        <v>55</v>
      </c>
      <c r="F69">
        <v>70000</v>
      </c>
      <c r="G69">
        <v>4.2549999999999999</v>
      </c>
      <c r="H69">
        <v>3.6362999999999999</v>
      </c>
      <c r="I69">
        <v>-43449</v>
      </c>
      <c r="J69">
        <f t="shared" si="22"/>
        <v>-43449</v>
      </c>
      <c r="M69">
        <f t="shared" si="24"/>
        <v>-43449</v>
      </c>
      <c r="N69">
        <f t="shared" si="25"/>
        <v>0</v>
      </c>
      <c r="O69">
        <f t="shared" si="26"/>
        <v>0</v>
      </c>
      <c r="P69" s="9">
        <f t="shared" si="27"/>
        <v>-123746</v>
      </c>
    </row>
    <row r="70" spans="1:16" x14ac:dyDescent="0.25">
      <c r="A70">
        <v>5</v>
      </c>
      <c r="B70" s="1">
        <v>42216</v>
      </c>
      <c r="C70">
        <v>2250000</v>
      </c>
      <c r="D70">
        <v>70313</v>
      </c>
      <c r="E70" t="s">
        <v>55</v>
      </c>
      <c r="F70">
        <v>70000</v>
      </c>
      <c r="G70">
        <v>4.2549999999999999</v>
      </c>
      <c r="H70">
        <v>3.5861999999999998</v>
      </c>
      <c r="I70">
        <v>-46956</v>
      </c>
      <c r="J70">
        <f t="shared" si="22"/>
        <v>-46956</v>
      </c>
      <c r="M70">
        <f t="shared" si="24"/>
        <v>-90405</v>
      </c>
      <c r="N70">
        <f t="shared" si="25"/>
        <v>0</v>
      </c>
      <c r="O70">
        <f t="shared" si="26"/>
        <v>0</v>
      </c>
      <c r="P70" s="9">
        <f t="shared" si="27"/>
        <v>-170702</v>
      </c>
    </row>
    <row r="71" spans="1:16" x14ac:dyDescent="0.25">
      <c r="A71">
        <v>5</v>
      </c>
      <c r="B71" s="1">
        <v>42247</v>
      </c>
      <c r="C71">
        <v>2250000</v>
      </c>
      <c r="D71">
        <v>70313</v>
      </c>
      <c r="E71" t="s">
        <v>56</v>
      </c>
      <c r="F71">
        <v>70000</v>
      </c>
      <c r="G71">
        <v>4.2699999999999996</v>
      </c>
      <c r="H71">
        <v>3.6768999999999998</v>
      </c>
      <c r="I71">
        <v>-41657</v>
      </c>
      <c r="J71">
        <f t="shared" si="22"/>
        <v>-41657</v>
      </c>
      <c r="N71">
        <f t="shared" si="25"/>
        <v>-41657</v>
      </c>
      <c r="O71">
        <f t="shared" si="26"/>
        <v>0</v>
      </c>
      <c r="P71" s="9">
        <f t="shared" si="27"/>
        <v>-212359</v>
      </c>
    </row>
    <row r="72" spans="1:16" x14ac:dyDescent="0.25">
      <c r="A72">
        <v>5</v>
      </c>
      <c r="B72" s="1">
        <v>42277</v>
      </c>
      <c r="C72">
        <v>2250000</v>
      </c>
      <c r="D72">
        <v>70313</v>
      </c>
      <c r="E72" t="s">
        <v>56</v>
      </c>
      <c r="F72">
        <v>70000</v>
      </c>
      <c r="G72">
        <v>4.2699999999999996</v>
      </c>
      <c r="H72">
        <v>3.7347999999999999</v>
      </c>
      <c r="I72">
        <v>-37604</v>
      </c>
      <c r="J72">
        <f t="shared" si="22"/>
        <v>-37604</v>
      </c>
      <c r="N72">
        <f t="shared" si="25"/>
        <v>-79261</v>
      </c>
      <c r="O72">
        <f t="shared" si="26"/>
        <v>0</v>
      </c>
      <c r="P72" s="9">
        <f t="shared" si="27"/>
        <v>-249963</v>
      </c>
    </row>
    <row r="73" spans="1:16" x14ac:dyDescent="0.25">
      <c r="A73">
        <v>5</v>
      </c>
      <c r="B73" s="1">
        <v>42308</v>
      </c>
      <c r="C73">
        <v>2250000</v>
      </c>
      <c r="D73">
        <v>70313</v>
      </c>
      <c r="E73" t="s">
        <v>57</v>
      </c>
      <c r="F73">
        <v>70000</v>
      </c>
      <c r="G73">
        <v>4.3449999999999998</v>
      </c>
      <c r="H73">
        <v>3.7161</v>
      </c>
      <c r="I73">
        <v>-44163</v>
      </c>
      <c r="J73">
        <f t="shared" si="22"/>
        <v>-44163</v>
      </c>
      <c r="O73">
        <f t="shared" si="26"/>
        <v>-44163</v>
      </c>
      <c r="P73" s="9">
        <f t="shared" si="27"/>
        <v>-294126</v>
      </c>
    </row>
    <row r="74" spans="1:16" x14ac:dyDescent="0.25">
      <c r="A74">
        <v>5</v>
      </c>
      <c r="B74" s="1">
        <v>42338</v>
      </c>
      <c r="C74">
        <v>2250000</v>
      </c>
      <c r="D74">
        <v>70313</v>
      </c>
      <c r="E74" t="s">
        <v>57</v>
      </c>
      <c r="F74">
        <v>70000</v>
      </c>
      <c r="G74">
        <v>4.3449999999999998</v>
      </c>
      <c r="H74">
        <v>3.8170000000000002</v>
      </c>
      <c r="I74">
        <v>-37100</v>
      </c>
      <c r="J74">
        <f t="shared" si="22"/>
        <v>-37100</v>
      </c>
      <c r="O74">
        <f t="shared" si="26"/>
        <v>-81263</v>
      </c>
      <c r="P74" s="9">
        <f t="shared" si="27"/>
        <v>-331226</v>
      </c>
    </row>
    <row r="75" spans="1:16" x14ac:dyDescent="0.25">
      <c r="O75"/>
      <c r="P75" s="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75"/>
  <sheetViews>
    <sheetView workbookViewId="0"/>
  </sheetViews>
  <sheetFormatPr defaultRowHeight="15" x14ac:dyDescent="0.25"/>
  <cols>
    <col min="2" max="2" width="10.75" bestFit="1" customWidth="1"/>
    <col min="12" max="12" width="10.75" style="9" bestFit="1" customWidth="1"/>
    <col min="13" max="15" width="9.125" style="9"/>
  </cols>
  <sheetData>
    <row r="1" spans="1:18" x14ac:dyDescent="0.25">
      <c r="A1" t="s">
        <v>59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52</v>
      </c>
      <c r="K1" t="s">
        <v>53</v>
      </c>
      <c r="L1" s="9" t="s">
        <v>54</v>
      </c>
      <c r="M1" s="9" t="s">
        <v>55</v>
      </c>
      <c r="N1" s="9" t="s">
        <v>56</v>
      </c>
      <c r="O1" s="9" t="s">
        <v>57</v>
      </c>
      <c r="P1" s="9" t="s">
        <v>58</v>
      </c>
      <c r="R1" t="s">
        <v>60</v>
      </c>
    </row>
    <row r="2" spans="1:18" x14ac:dyDescent="0.25">
      <c r="A2">
        <v>1</v>
      </c>
      <c r="B2" s="1">
        <v>41943</v>
      </c>
      <c r="I2">
        <v>0</v>
      </c>
      <c r="J2">
        <f>I2*R$2</f>
        <v>0</v>
      </c>
      <c r="K2">
        <v>0</v>
      </c>
      <c r="L2" s="9">
        <v>0</v>
      </c>
      <c r="M2" s="9">
        <v>0</v>
      </c>
      <c r="N2" s="9">
        <v>0</v>
      </c>
      <c r="O2" s="9">
        <v>0</v>
      </c>
      <c r="P2">
        <v>0</v>
      </c>
      <c r="R2" s="14">
        <v>0.7</v>
      </c>
    </row>
    <row r="3" spans="1:18" x14ac:dyDescent="0.25">
      <c r="A3">
        <v>1</v>
      </c>
      <c r="B3" s="1">
        <v>42035</v>
      </c>
      <c r="C3">
        <v>506018</v>
      </c>
      <c r="D3">
        <v>99219</v>
      </c>
      <c r="E3" t="s">
        <v>53</v>
      </c>
      <c r="F3">
        <v>0</v>
      </c>
      <c r="G3">
        <v>0</v>
      </c>
      <c r="H3">
        <v>0</v>
      </c>
      <c r="I3">
        <v>0</v>
      </c>
      <c r="J3">
        <f t="shared" ref="J3:J14" si="0">I3*R$2</f>
        <v>0</v>
      </c>
      <c r="K3">
        <f>IF($E3=K$1,IF($E3=$E2,$J3+K2,$J3),0)</f>
        <v>0</v>
      </c>
      <c r="L3">
        <f t="shared" ref="L3:O14" si="1">IF($E3=L$1,IF($E3=$E2,$J3+L2,$J3),0)</f>
        <v>0</v>
      </c>
      <c r="M3">
        <f t="shared" si="1"/>
        <v>0</v>
      </c>
      <c r="N3">
        <f t="shared" si="1"/>
        <v>0</v>
      </c>
      <c r="O3">
        <f t="shared" si="1"/>
        <v>0</v>
      </c>
      <c r="P3" s="9">
        <v>0</v>
      </c>
    </row>
    <row r="4" spans="1:18" x14ac:dyDescent="0.25">
      <c r="A4">
        <v>1</v>
      </c>
      <c r="B4" s="1">
        <v>42063</v>
      </c>
      <c r="C4">
        <v>506018</v>
      </c>
      <c r="D4">
        <v>99219</v>
      </c>
      <c r="E4" t="s">
        <v>53</v>
      </c>
      <c r="F4">
        <v>100000</v>
      </c>
      <c r="G4">
        <v>4.085</v>
      </c>
      <c r="H4">
        <v>3.9725000000000001</v>
      </c>
      <c r="I4">
        <v>-11450</v>
      </c>
      <c r="J4">
        <f t="shared" si="0"/>
        <v>-8014.9999999999991</v>
      </c>
      <c r="K4">
        <f>IF($E4=K$1,IF($E4=$E3,$J4+K3,$J4),0)</f>
        <v>-8014.9999999999991</v>
      </c>
      <c r="L4">
        <f t="shared" si="1"/>
        <v>0</v>
      </c>
      <c r="M4">
        <f t="shared" si="1"/>
        <v>0</v>
      </c>
      <c r="N4">
        <f t="shared" si="1"/>
        <v>0</v>
      </c>
      <c r="O4">
        <f t="shared" si="1"/>
        <v>0</v>
      </c>
      <c r="P4" s="9">
        <f>J4+P3</f>
        <v>-8014.9999999999991</v>
      </c>
    </row>
    <row r="5" spans="1:18" x14ac:dyDescent="0.25">
      <c r="A5">
        <v>1</v>
      </c>
      <c r="B5" s="1">
        <v>42094</v>
      </c>
      <c r="C5">
        <v>506018</v>
      </c>
      <c r="D5">
        <v>99219</v>
      </c>
      <c r="E5" t="s">
        <v>53</v>
      </c>
      <c r="F5">
        <v>100000</v>
      </c>
      <c r="G5">
        <v>4.085</v>
      </c>
      <c r="H5">
        <v>3.8001</v>
      </c>
      <c r="I5">
        <v>-28690</v>
      </c>
      <c r="J5">
        <f t="shared" si="0"/>
        <v>-20083</v>
      </c>
      <c r="K5">
        <f>IF($E5=K$1,IF($E5=$E4,$J5+K4,$J5),0)</f>
        <v>-28098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0</v>
      </c>
      <c r="P5" s="9">
        <f t="shared" ref="P5:P14" si="2">J5+P4</f>
        <v>-28098</v>
      </c>
    </row>
    <row r="6" spans="1:18" x14ac:dyDescent="0.25">
      <c r="A6" s="11">
        <v>1</v>
      </c>
      <c r="B6" s="12">
        <v>42124</v>
      </c>
      <c r="C6" s="11">
        <v>698427</v>
      </c>
      <c r="D6" s="11">
        <v>136946</v>
      </c>
      <c r="E6" s="11" t="s">
        <v>54</v>
      </c>
      <c r="F6" s="11">
        <v>140000</v>
      </c>
      <c r="G6" s="11">
        <v>4.1719999999999997</v>
      </c>
      <c r="H6" s="11">
        <v>3.7812000000000001</v>
      </c>
      <c r="I6" s="11">
        <v>-54992</v>
      </c>
      <c r="J6">
        <f t="shared" si="0"/>
        <v>-38494.399999999994</v>
      </c>
      <c r="K6" s="13"/>
      <c r="L6">
        <f t="shared" si="1"/>
        <v>-38494.399999999994</v>
      </c>
      <c r="M6">
        <f t="shared" si="1"/>
        <v>0</v>
      </c>
      <c r="N6">
        <f t="shared" si="1"/>
        <v>0</v>
      </c>
      <c r="O6">
        <f t="shared" si="1"/>
        <v>0</v>
      </c>
      <c r="P6" s="9">
        <f t="shared" si="2"/>
        <v>-66592.399999999994</v>
      </c>
    </row>
    <row r="7" spans="1:18" x14ac:dyDescent="0.25">
      <c r="A7" s="11">
        <v>1</v>
      </c>
      <c r="B7" s="12">
        <v>42155</v>
      </c>
      <c r="C7" s="11">
        <v>698427</v>
      </c>
      <c r="D7" s="11">
        <v>136946</v>
      </c>
      <c r="E7" s="11" t="s">
        <v>54</v>
      </c>
      <c r="F7" s="11">
        <v>140000</v>
      </c>
      <c r="G7" s="11">
        <v>4.1719999999999997</v>
      </c>
      <c r="H7" s="11">
        <v>3.6606999999999998</v>
      </c>
      <c r="I7" s="11">
        <v>-71862</v>
      </c>
      <c r="J7">
        <f t="shared" si="0"/>
        <v>-50303.399999999994</v>
      </c>
      <c r="K7" s="13"/>
      <c r="L7">
        <f t="shared" si="1"/>
        <v>-88797.799999999988</v>
      </c>
      <c r="M7">
        <f t="shared" si="1"/>
        <v>0</v>
      </c>
      <c r="N7">
        <f t="shared" si="1"/>
        <v>0</v>
      </c>
      <c r="O7">
        <f t="shared" si="1"/>
        <v>0</v>
      </c>
      <c r="P7" s="9">
        <f t="shared" si="2"/>
        <v>-116895.79999999999</v>
      </c>
    </row>
    <row r="8" spans="1:18" x14ac:dyDescent="0.25">
      <c r="A8">
        <v>1</v>
      </c>
      <c r="B8" s="1">
        <v>42185</v>
      </c>
      <c r="C8">
        <v>698427</v>
      </c>
      <c r="D8">
        <v>136946</v>
      </c>
      <c r="E8" t="s">
        <v>55</v>
      </c>
      <c r="F8">
        <v>140000</v>
      </c>
      <c r="G8">
        <v>4.2389999999999999</v>
      </c>
      <c r="H8">
        <v>3.5242</v>
      </c>
      <c r="I8">
        <v>-100352</v>
      </c>
      <c r="J8">
        <f t="shared" si="0"/>
        <v>-70246.399999999994</v>
      </c>
      <c r="M8">
        <f t="shared" si="1"/>
        <v>-70246.399999999994</v>
      </c>
      <c r="N8">
        <f t="shared" si="1"/>
        <v>0</v>
      </c>
      <c r="O8">
        <f t="shared" si="1"/>
        <v>0</v>
      </c>
      <c r="P8" s="9">
        <f t="shared" si="2"/>
        <v>-187142.19999999998</v>
      </c>
    </row>
    <row r="9" spans="1:18" x14ac:dyDescent="0.25">
      <c r="A9">
        <v>1</v>
      </c>
      <c r="B9" s="1">
        <v>42216</v>
      </c>
      <c r="C9">
        <v>698427</v>
      </c>
      <c r="D9">
        <v>136946</v>
      </c>
      <c r="E9" t="s">
        <v>55</v>
      </c>
      <c r="F9">
        <v>135000</v>
      </c>
      <c r="G9">
        <v>4.2389999999999999</v>
      </c>
      <c r="H9">
        <v>3.5142000000000002</v>
      </c>
      <c r="I9">
        <v>-98118</v>
      </c>
      <c r="J9">
        <f t="shared" si="0"/>
        <v>-68682.599999999991</v>
      </c>
      <c r="M9">
        <f t="shared" si="1"/>
        <v>-138929</v>
      </c>
      <c r="N9">
        <f t="shared" si="1"/>
        <v>0</v>
      </c>
      <c r="O9">
        <f t="shared" si="1"/>
        <v>0</v>
      </c>
      <c r="P9" s="9">
        <f t="shared" si="2"/>
        <v>-255824.8</v>
      </c>
    </row>
    <row r="10" spans="1:18" x14ac:dyDescent="0.25">
      <c r="A10">
        <v>1</v>
      </c>
      <c r="B10" s="1">
        <v>42247</v>
      </c>
      <c r="C10">
        <v>698427</v>
      </c>
      <c r="D10">
        <v>136946</v>
      </c>
      <c r="E10" t="s">
        <v>56</v>
      </c>
      <c r="F10">
        <v>140000</v>
      </c>
      <c r="G10">
        <v>4.2619999999999996</v>
      </c>
      <c r="H10">
        <v>3.5893000000000002</v>
      </c>
      <c r="I10">
        <v>-94458</v>
      </c>
      <c r="J10">
        <f t="shared" si="0"/>
        <v>-66120.599999999991</v>
      </c>
      <c r="N10">
        <f t="shared" si="1"/>
        <v>-66120.599999999991</v>
      </c>
      <c r="O10">
        <f t="shared" si="1"/>
        <v>0</v>
      </c>
      <c r="P10" s="9">
        <f t="shared" si="2"/>
        <v>-321945.39999999997</v>
      </c>
    </row>
    <row r="11" spans="1:18" x14ac:dyDescent="0.25">
      <c r="A11">
        <v>1</v>
      </c>
      <c r="B11" s="1">
        <v>42277</v>
      </c>
      <c r="C11">
        <v>698427</v>
      </c>
      <c r="D11">
        <v>136946</v>
      </c>
      <c r="E11" t="s">
        <v>56</v>
      </c>
      <c r="F11">
        <v>135000</v>
      </c>
      <c r="G11">
        <v>4.2619999999999996</v>
      </c>
      <c r="H11">
        <v>3.6465999999999998</v>
      </c>
      <c r="I11">
        <v>-83349</v>
      </c>
      <c r="J11">
        <f t="shared" si="0"/>
        <v>-58344.299999999996</v>
      </c>
      <c r="N11">
        <f t="shared" si="1"/>
        <v>-124464.9</v>
      </c>
      <c r="O11">
        <f t="shared" si="1"/>
        <v>0</v>
      </c>
      <c r="P11" s="9">
        <f t="shared" si="2"/>
        <v>-380289.69999999995</v>
      </c>
    </row>
    <row r="12" spans="1:18" x14ac:dyDescent="0.25">
      <c r="A12">
        <v>1</v>
      </c>
      <c r="B12" s="1">
        <v>42308</v>
      </c>
      <c r="C12">
        <v>698427</v>
      </c>
      <c r="D12">
        <v>136946</v>
      </c>
      <c r="E12" t="s">
        <v>57</v>
      </c>
      <c r="F12">
        <v>135000</v>
      </c>
      <c r="G12">
        <v>4.3330000000000002</v>
      </c>
      <c r="H12">
        <v>3.7307999999999999</v>
      </c>
      <c r="I12">
        <v>-81567</v>
      </c>
      <c r="J12">
        <f t="shared" si="0"/>
        <v>-57096.899999999994</v>
      </c>
      <c r="O12">
        <f t="shared" si="1"/>
        <v>-57096.899999999994</v>
      </c>
      <c r="P12" s="9">
        <f t="shared" si="2"/>
        <v>-437386.6</v>
      </c>
    </row>
    <row r="13" spans="1:18" x14ac:dyDescent="0.25">
      <c r="A13">
        <v>1</v>
      </c>
      <c r="B13" s="1">
        <v>42338</v>
      </c>
      <c r="C13">
        <v>698427</v>
      </c>
      <c r="D13">
        <v>136946</v>
      </c>
      <c r="E13" t="s">
        <v>57</v>
      </c>
      <c r="F13">
        <v>140000</v>
      </c>
      <c r="G13">
        <v>4.3330000000000002</v>
      </c>
      <c r="H13">
        <v>3.8332999999999999</v>
      </c>
      <c r="I13">
        <v>-70238</v>
      </c>
      <c r="J13">
        <f t="shared" si="0"/>
        <v>-49166.6</v>
      </c>
      <c r="O13">
        <f t="shared" si="1"/>
        <v>-106263.5</v>
      </c>
      <c r="P13" s="9">
        <f t="shared" si="2"/>
        <v>-486553.19999999995</v>
      </c>
    </row>
    <row r="14" spans="1:18" x14ac:dyDescent="0.25">
      <c r="A14">
        <v>1</v>
      </c>
      <c r="B14" s="1">
        <v>42369</v>
      </c>
      <c r="C14">
        <v>698428</v>
      </c>
      <c r="D14">
        <v>136946</v>
      </c>
      <c r="E14" t="s">
        <v>57</v>
      </c>
      <c r="F14">
        <v>135000</v>
      </c>
      <c r="G14">
        <v>4.3330000000000002</v>
      </c>
      <c r="H14">
        <v>3.7565</v>
      </c>
      <c r="I14">
        <v>-78098</v>
      </c>
      <c r="J14">
        <f t="shared" si="0"/>
        <v>-54668.6</v>
      </c>
      <c r="O14">
        <f t="shared" si="1"/>
        <v>-160932.1</v>
      </c>
      <c r="P14" s="9">
        <f t="shared" si="2"/>
        <v>-541221.79999999993</v>
      </c>
    </row>
    <row r="15" spans="1:18" x14ac:dyDescent="0.25">
      <c r="B15" s="1"/>
      <c r="P15" s="9"/>
    </row>
    <row r="16" spans="1:18" x14ac:dyDescent="0.25">
      <c r="B16" s="1"/>
      <c r="K16" t="s">
        <v>53</v>
      </c>
      <c r="L16" s="9" t="s">
        <v>54</v>
      </c>
      <c r="M16" s="9" t="s">
        <v>55</v>
      </c>
      <c r="N16" s="9" t="s">
        <v>56</v>
      </c>
      <c r="O16" s="9" t="s">
        <v>57</v>
      </c>
      <c r="P16" s="9" t="s">
        <v>58</v>
      </c>
    </row>
    <row r="17" spans="1:17" x14ac:dyDescent="0.25">
      <c r="A17">
        <v>2</v>
      </c>
      <c r="B17" s="1">
        <v>41943</v>
      </c>
      <c r="K17">
        <v>0</v>
      </c>
      <c r="L17" s="9">
        <v>0</v>
      </c>
      <c r="M17" s="9">
        <v>0</v>
      </c>
      <c r="N17" s="9">
        <v>0</v>
      </c>
      <c r="O17" s="9">
        <v>0</v>
      </c>
      <c r="P17">
        <v>0</v>
      </c>
    </row>
    <row r="18" spans="1:17" x14ac:dyDescent="0.25">
      <c r="A18">
        <v>2</v>
      </c>
      <c r="B18" s="1">
        <v>42035</v>
      </c>
      <c r="C18">
        <v>184000</v>
      </c>
      <c r="D18">
        <v>36078</v>
      </c>
      <c r="E18" t="s">
        <v>53</v>
      </c>
      <c r="F18">
        <v>35000</v>
      </c>
      <c r="G18">
        <v>3.5525000000000002</v>
      </c>
      <c r="H18">
        <v>3.8117999999999999</v>
      </c>
      <c r="I18">
        <v>9005</v>
      </c>
      <c r="J18">
        <f t="shared" ref="J18:J29" si="3">I18*R$2</f>
        <v>6303.5</v>
      </c>
      <c r="K18">
        <f>IF($E18=K$1,IF($E18=$E17,$J18+K17,$J18),0)</f>
        <v>6303.5</v>
      </c>
      <c r="L18">
        <f t="shared" ref="L18:O29" si="4">IF($E18=L$1,IF($E18=$E17,$J18+L17,$J18),0)</f>
        <v>0</v>
      </c>
      <c r="M18">
        <f t="shared" si="4"/>
        <v>0</v>
      </c>
      <c r="N18">
        <f t="shared" si="4"/>
        <v>0</v>
      </c>
      <c r="O18">
        <f t="shared" si="4"/>
        <v>0</v>
      </c>
      <c r="P18" s="9">
        <f>J18+P17</f>
        <v>6303.5</v>
      </c>
    </row>
    <row r="19" spans="1:17" x14ac:dyDescent="0.25">
      <c r="A19">
        <v>2</v>
      </c>
      <c r="B19" s="1">
        <v>42063</v>
      </c>
      <c r="C19">
        <v>184000</v>
      </c>
      <c r="D19">
        <v>36078</v>
      </c>
      <c r="E19" t="s">
        <v>53</v>
      </c>
      <c r="F19">
        <v>40000</v>
      </c>
      <c r="G19">
        <v>3.5525000000000002</v>
      </c>
      <c r="H19">
        <v>3.9725000000000001</v>
      </c>
      <c r="I19">
        <v>16720</v>
      </c>
      <c r="J19">
        <f t="shared" si="3"/>
        <v>11704</v>
      </c>
      <c r="K19">
        <f>IF($E19=K$1,IF($E19=$E18,$J19+K18,$J19),0)</f>
        <v>18007.5</v>
      </c>
      <c r="L19">
        <f t="shared" si="4"/>
        <v>0</v>
      </c>
      <c r="M19">
        <f t="shared" si="4"/>
        <v>0</v>
      </c>
      <c r="N19">
        <f t="shared" si="4"/>
        <v>0</v>
      </c>
      <c r="O19">
        <f t="shared" si="4"/>
        <v>0</v>
      </c>
      <c r="P19" s="9">
        <f>J19+P18</f>
        <v>18007.5</v>
      </c>
    </row>
    <row r="20" spans="1:17" x14ac:dyDescent="0.25">
      <c r="A20">
        <v>2</v>
      </c>
      <c r="B20" s="1">
        <v>42094</v>
      </c>
      <c r="C20">
        <v>184000</v>
      </c>
      <c r="D20">
        <v>36078</v>
      </c>
      <c r="E20" t="s">
        <v>53</v>
      </c>
      <c r="F20">
        <v>35000</v>
      </c>
      <c r="G20">
        <v>3.5525000000000002</v>
      </c>
      <c r="H20">
        <v>3.8001</v>
      </c>
      <c r="I20">
        <v>8596</v>
      </c>
      <c r="J20">
        <f t="shared" si="3"/>
        <v>6017.2</v>
      </c>
      <c r="K20">
        <f>IF($E20=K$1,IF($E20=$E19,$J20+K19,$J20),0)</f>
        <v>24024.7</v>
      </c>
      <c r="L20">
        <f t="shared" si="4"/>
        <v>0</v>
      </c>
      <c r="M20">
        <f t="shared" si="4"/>
        <v>0</v>
      </c>
      <c r="N20">
        <f t="shared" si="4"/>
        <v>0</v>
      </c>
      <c r="O20">
        <f t="shared" si="4"/>
        <v>0</v>
      </c>
      <c r="P20" s="9">
        <f t="shared" ref="P20:P29" si="5">J20+P19</f>
        <v>24024.7</v>
      </c>
    </row>
    <row r="21" spans="1:17" x14ac:dyDescent="0.25">
      <c r="A21">
        <v>2</v>
      </c>
      <c r="B21" s="1">
        <v>42124</v>
      </c>
      <c r="C21">
        <v>184000</v>
      </c>
      <c r="D21">
        <v>36078</v>
      </c>
      <c r="E21" t="s">
        <v>54</v>
      </c>
      <c r="F21">
        <v>35000</v>
      </c>
      <c r="G21">
        <v>3.64</v>
      </c>
      <c r="H21">
        <v>3.7812000000000001</v>
      </c>
      <c r="I21">
        <v>4872</v>
      </c>
      <c r="J21">
        <f t="shared" si="3"/>
        <v>3410.3999999999996</v>
      </c>
      <c r="K21" s="13"/>
      <c r="L21">
        <f t="shared" si="4"/>
        <v>3410.3999999999996</v>
      </c>
      <c r="M21">
        <f t="shared" si="4"/>
        <v>0</v>
      </c>
      <c r="N21">
        <f t="shared" si="4"/>
        <v>0</v>
      </c>
      <c r="O21">
        <f t="shared" si="4"/>
        <v>0</v>
      </c>
      <c r="P21" s="9">
        <f t="shared" si="5"/>
        <v>27435.1</v>
      </c>
    </row>
    <row r="22" spans="1:17" x14ac:dyDescent="0.25">
      <c r="A22">
        <v>2</v>
      </c>
      <c r="B22" s="1">
        <v>42155</v>
      </c>
      <c r="C22">
        <v>184000</v>
      </c>
      <c r="D22">
        <v>36078</v>
      </c>
      <c r="E22" t="s">
        <v>54</v>
      </c>
      <c r="F22">
        <v>35000</v>
      </c>
      <c r="G22">
        <v>3.64</v>
      </c>
      <c r="H22">
        <v>3.6606999999999998</v>
      </c>
      <c r="I22">
        <v>654</v>
      </c>
      <c r="J22">
        <f t="shared" si="3"/>
        <v>457.79999999999995</v>
      </c>
      <c r="K22" s="13"/>
      <c r="L22">
        <f t="shared" si="4"/>
        <v>3868.2</v>
      </c>
      <c r="M22">
        <f t="shared" si="4"/>
        <v>0</v>
      </c>
      <c r="N22">
        <f t="shared" si="4"/>
        <v>0</v>
      </c>
      <c r="O22">
        <f t="shared" si="4"/>
        <v>0</v>
      </c>
      <c r="P22" s="9">
        <f t="shared" si="5"/>
        <v>27892.899999999998</v>
      </c>
    </row>
    <row r="23" spans="1:17" x14ac:dyDescent="0.25">
      <c r="A23">
        <v>2</v>
      </c>
      <c r="B23" s="1">
        <v>42185</v>
      </c>
      <c r="C23">
        <v>184000</v>
      </c>
      <c r="D23">
        <v>36078</v>
      </c>
      <c r="E23" t="s">
        <v>55</v>
      </c>
      <c r="F23">
        <v>40000</v>
      </c>
      <c r="G23">
        <v>3.7174999999999998</v>
      </c>
      <c r="H23">
        <v>3.5242</v>
      </c>
      <c r="I23">
        <v>-7812</v>
      </c>
      <c r="J23">
        <f t="shared" si="3"/>
        <v>-5468.4</v>
      </c>
      <c r="M23">
        <f t="shared" si="4"/>
        <v>-5468.4</v>
      </c>
      <c r="N23">
        <f t="shared" si="4"/>
        <v>0</v>
      </c>
      <c r="O23">
        <f t="shared" si="4"/>
        <v>0</v>
      </c>
      <c r="P23" s="9">
        <f t="shared" si="5"/>
        <v>22424.5</v>
      </c>
    </row>
    <row r="24" spans="1:17" x14ac:dyDescent="0.25">
      <c r="A24">
        <v>2</v>
      </c>
      <c r="B24" s="1">
        <v>42216</v>
      </c>
      <c r="C24">
        <v>184000</v>
      </c>
      <c r="D24">
        <v>36078</v>
      </c>
      <c r="E24" t="s">
        <v>55</v>
      </c>
      <c r="F24">
        <v>35000</v>
      </c>
      <c r="G24">
        <v>3.7174999999999998</v>
      </c>
      <c r="H24">
        <v>3.5142000000000002</v>
      </c>
      <c r="I24">
        <v>-7185</v>
      </c>
      <c r="J24">
        <f t="shared" si="3"/>
        <v>-5029.5</v>
      </c>
      <c r="M24">
        <f t="shared" si="4"/>
        <v>-10497.9</v>
      </c>
      <c r="N24">
        <f t="shared" si="4"/>
        <v>0</v>
      </c>
      <c r="O24">
        <f t="shared" si="4"/>
        <v>0</v>
      </c>
      <c r="P24" s="9">
        <f t="shared" si="5"/>
        <v>17395</v>
      </c>
    </row>
    <row r="25" spans="1:17" x14ac:dyDescent="0.25">
      <c r="A25">
        <v>2</v>
      </c>
      <c r="B25" s="1">
        <v>42247</v>
      </c>
      <c r="C25">
        <v>184000</v>
      </c>
      <c r="D25">
        <v>36078</v>
      </c>
      <c r="E25" t="s">
        <v>56</v>
      </c>
      <c r="F25">
        <v>35000</v>
      </c>
      <c r="G25">
        <v>3.7925</v>
      </c>
      <c r="H25">
        <v>3.5893000000000002</v>
      </c>
      <c r="I25">
        <v>-7182</v>
      </c>
      <c r="J25">
        <f t="shared" si="3"/>
        <v>-5027.3999999999996</v>
      </c>
      <c r="N25">
        <f t="shared" si="4"/>
        <v>-5027.3999999999996</v>
      </c>
      <c r="O25">
        <f t="shared" si="4"/>
        <v>0</v>
      </c>
      <c r="P25" s="9">
        <f t="shared" si="5"/>
        <v>12367.6</v>
      </c>
    </row>
    <row r="26" spans="1:17" x14ac:dyDescent="0.25">
      <c r="A26">
        <v>2</v>
      </c>
      <c r="B26" s="1">
        <v>42277</v>
      </c>
      <c r="C26">
        <v>184000</v>
      </c>
      <c r="D26">
        <v>36078</v>
      </c>
      <c r="E26" t="s">
        <v>56</v>
      </c>
      <c r="F26">
        <v>35000</v>
      </c>
      <c r="G26">
        <v>3.7925</v>
      </c>
      <c r="H26">
        <v>3.6465999999999998</v>
      </c>
      <c r="I26">
        <v>-5177</v>
      </c>
      <c r="J26">
        <f t="shared" si="3"/>
        <v>-3623.8999999999996</v>
      </c>
      <c r="N26">
        <f t="shared" si="4"/>
        <v>-8651.2999999999993</v>
      </c>
      <c r="O26">
        <f t="shared" si="4"/>
        <v>0</v>
      </c>
      <c r="P26" s="9">
        <f t="shared" si="5"/>
        <v>8743.7000000000007</v>
      </c>
    </row>
    <row r="27" spans="1:17" x14ac:dyDescent="0.25">
      <c r="A27">
        <v>2</v>
      </c>
      <c r="B27" s="1">
        <v>42308</v>
      </c>
      <c r="C27">
        <v>184000</v>
      </c>
      <c r="D27">
        <v>36078</v>
      </c>
      <c r="E27" t="s">
        <v>57</v>
      </c>
      <c r="F27">
        <v>35000</v>
      </c>
      <c r="G27">
        <v>3.8875000000000002</v>
      </c>
      <c r="H27">
        <v>3.7307999999999999</v>
      </c>
      <c r="I27">
        <v>-5555</v>
      </c>
      <c r="J27">
        <f t="shared" si="3"/>
        <v>-3888.4999999999995</v>
      </c>
      <c r="O27">
        <f t="shared" si="4"/>
        <v>-3888.4999999999995</v>
      </c>
      <c r="P27" s="9">
        <f t="shared" si="5"/>
        <v>4855.2000000000007</v>
      </c>
    </row>
    <row r="28" spans="1:17" x14ac:dyDescent="0.25">
      <c r="A28">
        <v>2</v>
      </c>
      <c r="B28" s="1">
        <v>42338</v>
      </c>
      <c r="C28">
        <v>184000</v>
      </c>
      <c r="D28">
        <v>36078</v>
      </c>
      <c r="E28" t="s">
        <v>57</v>
      </c>
      <c r="F28">
        <v>40000</v>
      </c>
      <c r="G28">
        <v>3.8875000000000002</v>
      </c>
      <c r="H28">
        <v>3.8332999999999999</v>
      </c>
      <c r="I28">
        <v>-2248</v>
      </c>
      <c r="J28">
        <f t="shared" si="3"/>
        <v>-1573.6</v>
      </c>
      <c r="O28">
        <f t="shared" si="4"/>
        <v>-5462.0999999999995</v>
      </c>
      <c r="P28" s="9">
        <f t="shared" si="5"/>
        <v>3281.6000000000008</v>
      </c>
    </row>
    <row r="29" spans="1:17" x14ac:dyDescent="0.25">
      <c r="A29">
        <v>2</v>
      </c>
      <c r="B29" s="1">
        <v>42369</v>
      </c>
      <c r="C29">
        <v>184000</v>
      </c>
      <c r="D29">
        <v>36078</v>
      </c>
      <c r="E29" t="s">
        <v>57</v>
      </c>
      <c r="F29">
        <v>35000</v>
      </c>
      <c r="G29">
        <v>3.8875000000000002</v>
      </c>
      <c r="H29">
        <v>3.7565</v>
      </c>
      <c r="I29">
        <v>-4655</v>
      </c>
      <c r="J29">
        <f t="shared" si="3"/>
        <v>-3258.5</v>
      </c>
      <c r="O29">
        <f t="shared" si="4"/>
        <v>-8720.5999999999985</v>
      </c>
      <c r="P29" s="9">
        <f t="shared" si="5"/>
        <v>23.100000000000819</v>
      </c>
    </row>
    <row r="30" spans="1:17" x14ac:dyDescent="0.25">
      <c r="B30" s="1"/>
    </row>
    <row r="31" spans="1:17" x14ac:dyDescent="0.25">
      <c r="B31" s="1"/>
      <c r="K31" s="9" t="s">
        <v>57</v>
      </c>
      <c r="L31" t="s">
        <v>53</v>
      </c>
      <c r="M31" s="9" t="s">
        <v>54</v>
      </c>
      <c r="N31" s="9" t="s">
        <v>55</v>
      </c>
      <c r="O31" s="9" t="s">
        <v>56</v>
      </c>
      <c r="P31" s="9" t="s">
        <v>57</v>
      </c>
      <c r="Q31" s="9" t="s">
        <v>58</v>
      </c>
    </row>
    <row r="32" spans="1:17" x14ac:dyDescent="0.25">
      <c r="A32">
        <v>3</v>
      </c>
      <c r="B32" s="1">
        <v>41943</v>
      </c>
      <c r="K32" s="9">
        <v>0</v>
      </c>
      <c r="L32">
        <v>0</v>
      </c>
      <c r="M32" s="9">
        <v>0</v>
      </c>
      <c r="N32" s="9">
        <v>0</v>
      </c>
      <c r="O32" s="9">
        <v>0</v>
      </c>
      <c r="P32" s="9">
        <v>0</v>
      </c>
      <c r="Q32">
        <v>0</v>
      </c>
    </row>
    <row r="33" spans="1:17" x14ac:dyDescent="0.25">
      <c r="A33">
        <v>3</v>
      </c>
      <c r="B33" s="1">
        <v>42004</v>
      </c>
      <c r="C33">
        <v>5330000</v>
      </c>
      <c r="D33">
        <v>155000</v>
      </c>
      <c r="E33" t="s">
        <v>57</v>
      </c>
      <c r="F33">
        <v>155000</v>
      </c>
      <c r="G33">
        <v>3.3906000000000001</v>
      </c>
      <c r="H33">
        <v>3.6229</v>
      </c>
      <c r="I33">
        <v>35697</v>
      </c>
      <c r="J33">
        <f t="shared" ref="J33:J44" si="6">I33*R$2</f>
        <v>24987.899999999998</v>
      </c>
      <c r="K33">
        <f>J33</f>
        <v>24987.899999999998</v>
      </c>
      <c r="L33">
        <f>IF($E33=K$1,IF($E33=$E32,$J33+L32,$J33),0)</f>
        <v>0</v>
      </c>
      <c r="M33">
        <f>IF($E33=L$1,IF($E33=$E32,$J33+M32,$J33),0)</f>
        <v>0</v>
      </c>
      <c r="N33">
        <f>IF($E33=M$1,IF($E33=$E32,$J33+N32,$J33),0)</f>
        <v>0</v>
      </c>
      <c r="O33">
        <f>IF($E33=N$1,IF($E33=$E32,$J33+O32,$J33),0)</f>
        <v>0</v>
      </c>
      <c r="P33">
        <v>0</v>
      </c>
      <c r="Q33" s="9">
        <f t="shared" ref="Q33:Q44" si="7">J33+Q32</f>
        <v>24987.899999999998</v>
      </c>
    </row>
    <row r="34" spans="1:17" x14ac:dyDescent="0.25">
      <c r="A34">
        <v>3</v>
      </c>
      <c r="B34" s="1">
        <v>42035</v>
      </c>
      <c r="C34">
        <v>5330000</v>
      </c>
      <c r="D34">
        <v>155000</v>
      </c>
      <c r="E34" t="s">
        <v>53</v>
      </c>
      <c r="F34">
        <v>155000</v>
      </c>
      <c r="G34">
        <v>3.5198</v>
      </c>
      <c r="H34">
        <v>3.9026000000000001</v>
      </c>
      <c r="I34">
        <v>59024</v>
      </c>
      <c r="J34">
        <f t="shared" si="6"/>
        <v>41316.799999999996</v>
      </c>
      <c r="L34">
        <f>IF($E34=K$1,IF($E34=$E33,$J34+L33,$J34),0)</f>
        <v>41316.799999999996</v>
      </c>
      <c r="M34">
        <f t="shared" ref="M34:P38" si="8">IF($E34=L$1,IF($E34=$E33,$J34+M33,$J34),0)</f>
        <v>0</v>
      </c>
      <c r="N34">
        <f t="shared" si="8"/>
        <v>0</v>
      </c>
      <c r="O34">
        <f t="shared" si="8"/>
        <v>0</v>
      </c>
      <c r="P34">
        <f t="shared" si="8"/>
        <v>0</v>
      </c>
      <c r="Q34" s="9">
        <f t="shared" si="7"/>
        <v>66304.7</v>
      </c>
    </row>
    <row r="35" spans="1:17" x14ac:dyDescent="0.25">
      <c r="A35">
        <v>3</v>
      </c>
      <c r="B35" s="1">
        <v>42063</v>
      </c>
      <c r="C35">
        <v>5330000</v>
      </c>
      <c r="D35">
        <v>155000</v>
      </c>
      <c r="E35" t="s">
        <v>53</v>
      </c>
      <c r="F35">
        <v>155000</v>
      </c>
      <c r="G35">
        <v>3.5198</v>
      </c>
      <c r="H35">
        <v>4.0690999999999997</v>
      </c>
      <c r="I35">
        <v>84832</v>
      </c>
      <c r="J35">
        <f t="shared" si="6"/>
        <v>59382.399999999994</v>
      </c>
      <c r="L35">
        <f>IF($E35=K$1,IF($E35=$E34,$J35+L34,$J35),0)</f>
        <v>100699.19999999998</v>
      </c>
      <c r="M35">
        <f t="shared" si="8"/>
        <v>0</v>
      </c>
      <c r="N35">
        <f t="shared" si="8"/>
        <v>0</v>
      </c>
      <c r="O35">
        <f t="shared" si="8"/>
        <v>0</v>
      </c>
      <c r="P35">
        <f t="shared" si="8"/>
        <v>0</v>
      </c>
      <c r="Q35" s="9">
        <f t="shared" si="7"/>
        <v>125687.09999999999</v>
      </c>
    </row>
    <row r="36" spans="1:17" x14ac:dyDescent="0.25">
      <c r="A36">
        <v>3</v>
      </c>
      <c r="B36" s="1">
        <v>42094</v>
      </c>
      <c r="C36">
        <v>5330000</v>
      </c>
      <c r="D36">
        <v>155000</v>
      </c>
      <c r="E36" t="s">
        <v>53</v>
      </c>
      <c r="F36">
        <v>155000</v>
      </c>
      <c r="G36">
        <v>3.5198</v>
      </c>
      <c r="H36">
        <v>3.766</v>
      </c>
      <c r="I36">
        <v>37851</v>
      </c>
      <c r="J36">
        <f t="shared" si="6"/>
        <v>26495.699999999997</v>
      </c>
      <c r="L36">
        <f>IF($E36=K$1,IF($E36=$E35,$J36+L35,$J36),0)</f>
        <v>127194.89999999998</v>
      </c>
      <c r="M36">
        <f t="shared" si="8"/>
        <v>0</v>
      </c>
      <c r="N36">
        <f t="shared" si="8"/>
        <v>0</v>
      </c>
      <c r="O36">
        <f t="shared" si="8"/>
        <v>0</v>
      </c>
      <c r="P36">
        <f t="shared" si="8"/>
        <v>0</v>
      </c>
      <c r="Q36" s="9">
        <f t="shared" si="7"/>
        <v>152182.79999999999</v>
      </c>
    </row>
    <row r="37" spans="1:17" x14ac:dyDescent="0.25">
      <c r="A37">
        <v>3</v>
      </c>
      <c r="B37" s="1">
        <v>42124</v>
      </c>
      <c r="C37">
        <v>5330000</v>
      </c>
      <c r="D37">
        <v>155000</v>
      </c>
      <c r="E37" t="s">
        <v>54</v>
      </c>
      <c r="F37">
        <v>155000</v>
      </c>
      <c r="G37">
        <v>3.6048</v>
      </c>
      <c r="H37">
        <v>3.8035000000000001</v>
      </c>
      <c r="I37">
        <v>30489</v>
      </c>
      <c r="J37">
        <f t="shared" si="6"/>
        <v>21342.3</v>
      </c>
      <c r="L37" s="13"/>
      <c r="M37">
        <f t="shared" si="8"/>
        <v>21342.3</v>
      </c>
      <c r="N37">
        <f t="shared" si="8"/>
        <v>0</v>
      </c>
      <c r="O37">
        <f t="shared" si="8"/>
        <v>0</v>
      </c>
      <c r="P37">
        <f t="shared" si="8"/>
        <v>0</v>
      </c>
      <c r="Q37" s="9">
        <f t="shared" si="7"/>
        <v>173525.09999999998</v>
      </c>
    </row>
    <row r="38" spans="1:17" x14ac:dyDescent="0.25">
      <c r="A38">
        <v>3</v>
      </c>
      <c r="B38" s="1">
        <v>42155</v>
      </c>
      <c r="C38">
        <v>5330000</v>
      </c>
      <c r="D38">
        <v>155000</v>
      </c>
      <c r="E38" t="s">
        <v>54</v>
      </c>
      <c r="F38">
        <v>155000</v>
      </c>
      <c r="G38">
        <v>3.6025</v>
      </c>
      <c r="H38">
        <v>3.8123</v>
      </c>
      <c r="I38">
        <v>32209</v>
      </c>
      <c r="J38">
        <f t="shared" si="6"/>
        <v>22546.3</v>
      </c>
      <c r="L38"/>
      <c r="M38">
        <f t="shared" si="8"/>
        <v>43888.6</v>
      </c>
      <c r="N38">
        <f t="shared" si="8"/>
        <v>0</v>
      </c>
      <c r="O38">
        <f t="shared" si="8"/>
        <v>0</v>
      </c>
      <c r="P38">
        <f t="shared" si="8"/>
        <v>0</v>
      </c>
      <c r="Q38" s="9">
        <f t="shared" si="7"/>
        <v>196071.39999999997</v>
      </c>
    </row>
    <row r="39" spans="1:17" x14ac:dyDescent="0.25">
      <c r="A39">
        <v>3</v>
      </c>
      <c r="B39" s="1">
        <v>42185</v>
      </c>
      <c r="C39">
        <v>5330000</v>
      </c>
      <c r="D39">
        <v>150000</v>
      </c>
      <c r="E39" t="s">
        <v>55</v>
      </c>
      <c r="F39">
        <v>150000</v>
      </c>
      <c r="G39">
        <v>3.6739999999999999</v>
      </c>
      <c r="H39">
        <v>3.6362999999999999</v>
      </c>
      <c r="I39">
        <v>-5955</v>
      </c>
      <c r="J39">
        <f t="shared" si="6"/>
        <v>-4168.5</v>
      </c>
      <c r="L39"/>
      <c r="N39">
        <f t="shared" ref="N39:P40" si="9">IF($E39=M$1,IF($E39=$E38,$J39+N38,$J39),0)</f>
        <v>-4168.5</v>
      </c>
      <c r="O39">
        <f t="shared" si="9"/>
        <v>0</v>
      </c>
      <c r="P39">
        <f t="shared" si="9"/>
        <v>0</v>
      </c>
      <c r="Q39" s="9">
        <f t="shared" si="7"/>
        <v>191902.89999999997</v>
      </c>
    </row>
    <row r="40" spans="1:17" x14ac:dyDescent="0.25">
      <c r="A40">
        <v>3</v>
      </c>
      <c r="B40" s="1">
        <v>42216</v>
      </c>
      <c r="C40">
        <v>5330000</v>
      </c>
      <c r="D40">
        <v>155000</v>
      </c>
      <c r="E40" t="s">
        <v>55</v>
      </c>
      <c r="F40">
        <v>155000</v>
      </c>
      <c r="G40">
        <v>3.6778</v>
      </c>
      <c r="H40">
        <v>3.5861999999999998</v>
      </c>
      <c r="I40">
        <v>-14508</v>
      </c>
      <c r="J40">
        <f t="shared" si="6"/>
        <v>-10155.599999999999</v>
      </c>
      <c r="L40"/>
      <c r="N40">
        <f t="shared" si="9"/>
        <v>-14324.099999999999</v>
      </c>
      <c r="O40">
        <f t="shared" si="9"/>
        <v>0</v>
      </c>
      <c r="P40">
        <f t="shared" si="9"/>
        <v>0</v>
      </c>
      <c r="Q40" s="9">
        <f t="shared" si="7"/>
        <v>181747.29999999996</v>
      </c>
    </row>
    <row r="41" spans="1:17" x14ac:dyDescent="0.25">
      <c r="A41">
        <v>3</v>
      </c>
      <c r="B41" s="1">
        <v>42247</v>
      </c>
      <c r="C41">
        <v>5330000</v>
      </c>
      <c r="D41">
        <v>155000</v>
      </c>
      <c r="E41" t="s">
        <v>56</v>
      </c>
      <c r="F41">
        <v>155000</v>
      </c>
      <c r="G41">
        <v>3.7538</v>
      </c>
      <c r="H41">
        <v>3.6768999999999998</v>
      </c>
      <c r="I41">
        <v>-12230</v>
      </c>
      <c r="J41">
        <f t="shared" si="6"/>
        <v>-8561</v>
      </c>
      <c r="L41"/>
      <c r="O41">
        <f>IF($E41=N$1,IF($E41=$E40,$J41+O40,$J41),0)</f>
        <v>-8561</v>
      </c>
      <c r="P41">
        <f>IF($E41=O$1,IF($E41=$E40,$J41+P40,$J41),0)</f>
        <v>0</v>
      </c>
      <c r="Q41" s="9">
        <f t="shared" si="7"/>
        <v>173186.29999999996</v>
      </c>
    </row>
    <row r="42" spans="1:17" x14ac:dyDescent="0.25">
      <c r="A42">
        <v>3</v>
      </c>
      <c r="B42" s="1">
        <v>42277</v>
      </c>
      <c r="C42">
        <v>5330000</v>
      </c>
      <c r="D42">
        <v>150000</v>
      </c>
      <c r="E42" t="s">
        <v>56</v>
      </c>
      <c r="F42">
        <v>150000</v>
      </c>
      <c r="G42">
        <v>3.7515000000000001</v>
      </c>
      <c r="H42">
        <v>3.7347999999999999</v>
      </c>
      <c r="I42">
        <v>-2805</v>
      </c>
      <c r="J42">
        <f t="shared" si="6"/>
        <v>-1963.4999999999998</v>
      </c>
      <c r="L42"/>
      <c r="O42">
        <f>IF($E42=N$1,IF($E42=$E41,$J42+O41,$J42),0)</f>
        <v>-10524.5</v>
      </c>
      <c r="P42">
        <f>IF($E42=O$1,IF($E42=$E41,$J42+P41,$J42),0)</f>
        <v>0</v>
      </c>
      <c r="Q42" s="9">
        <f t="shared" si="7"/>
        <v>171222.79999999996</v>
      </c>
    </row>
    <row r="43" spans="1:17" x14ac:dyDescent="0.25">
      <c r="A43">
        <v>3</v>
      </c>
      <c r="B43" s="1">
        <v>42308</v>
      </c>
      <c r="C43">
        <v>5330000</v>
      </c>
      <c r="D43">
        <v>155000</v>
      </c>
      <c r="E43" t="s">
        <v>57</v>
      </c>
      <c r="F43">
        <v>155000</v>
      </c>
      <c r="G43">
        <v>3.8435000000000001</v>
      </c>
      <c r="H43">
        <v>3.7161</v>
      </c>
      <c r="I43">
        <v>-20057</v>
      </c>
      <c r="J43">
        <f t="shared" si="6"/>
        <v>-14039.9</v>
      </c>
      <c r="L43"/>
      <c r="P43">
        <f>IF($E43=O$1,IF($E43=$E42,$J43+P42,$J43),0)</f>
        <v>-14039.9</v>
      </c>
      <c r="Q43" s="9">
        <f t="shared" si="7"/>
        <v>157182.89999999997</v>
      </c>
    </row>
    <row r="44" spans="1:17" x14ac:dyDescent="0.25">
      <c r="A44">
        <v>3</v>
      </c>
      <c r="B44" s="1">
        <v>42338</v>
      </c>
      <c r="C44">
        <v>5330000</v>
      </c>
      <c r="D44">
        <v>150000</v>
      </c>
      <c r="E44" t="s">
        <v>57</v>
      </c>
      <c r="F44">
        <v>150000</v>
      </c>
      <c r="G44">
        <v>3.8414999999999999</v>
      </c>
      <c r="H44">
        <v>3.8170000000000002</v>
      </c>
      <c r="I44">
        <v>-3975</v>
      </c>
      <c r="J44">
        <f t="shared" si="6"/>
        <v>-2782.5</v>
      </c>
      <c r="L44"/>
      <c r="P44">
        <f>IF($E44=O$1,IF($E44=$E43,$J44+P43,$J44),0)</f>
        <v>-16822.400000000001</v>
      </c>
      <c r="Q44" s="9">
        <f t="shared" si="7"/>
        <v>154400.39999999997</v>
      </c>
    </row>
    <row r="45" spans="1:17" x14ac:dyDescent="0.25">
      <c r="B45" s="1"/>
    </row>
    <row r="46" spans="1:17" x14ac:dyDescent="0.25">
      <c r="B46" s="1"/>
      <c r="K46" t="s">
        <v>53</v>
      </c>
      <c r="L46" s="9" t="s">
        <v>54</v>
      </c>
      <c r="M46" s="9" t="s">
        <v>55</v>
      </c>
      <c r="N46" s="9" t="s">
        <v>56</v>
      </c>
      <c r="O46" s="9" t="s">
        <v>57</v>
      </c>
      <c r="P46" s="9" t="s">
        <v>58</v>
      </c>
    </row>
    <row r="47" spans="1:17" x14ac:dyDescent="0.25">
      <c r="A47">
        <v>4</v>
      </c>
      <c r="B47" s="1">
        <v>41943</v>
      </c>
      <c r="K47">
        <v>0</v>
      </c>
      <c r="L47" s="9">
        <v>0</v>
      </c>
      <c r="M47" s="9">
        <v>0</v>
      </c>
      <c r="N47" s="9">
        <v>0</v>
      </c>
      <c r="O47" s="9">
        <v>0</v>
      </c>
      <c r="P47">
        <v>0</v>
      </c>
    </row>
    <row r="48" spans="1:17" x14ac:dyDescent="0.25">
      <c r="A48">
        <v>4</v>
      </c>
      <c r="B48" s="1">
        <v>42035</v>
      </c>
      <c r="C48">
        <v>1600000</v>
      </c>
      <c r="D48">
        <v>50000</v>
      </c>
      <c r="E48" t="s">
        <v>53</v>
      </c>
      <c r="F48">
        <v>50000</v>
      </c>
      <c r="G48">
        <v>3.92</v>
      </c>
      <c r="H48">
        <v>3.9026000000000001</v>
      </c>
      <c r="I48">
        <v>-970</v>
      </c>
      <c r="J48">
        <f t="shared" ref="J48:J59" si="10">I48*R$2</f>
        <v>-679</v>
      </c>
      <c r="K48">
        <f>IF($E48=K$1,IF($E48=$E47,$J48+K47,$J48),0)</f>
        <v>-679</v>
      </c>
      <c r="L48">
        <f t="shared" ref="L48:O59" si="11">IF($E48=L$1,IF($E48=$E47,$J48+L47,$J48),0)</f>
        <v>0</v>
      </c>
      <c r="M48">
        <f t="shared" si="11"/>
        <v>0</v>
      </c>
      <c r="N48">
        <f t="shared" si="11"/>
        <v>0</v>
      </c>
      <c r="O48">
        <f t="shared" si="11"/>
        <v>0</v>
      </c>
      <c r="P48" s="9">
        <f>J48+P47</f>
        <v>-679</v>
      </c>
    </row>
    <row r="49" spans="1:16" x14ac:dyDescent="0.25">
      <c r="A49">
        <v>4</v>
      </c>
      <c r="B49" s="1">
        <v>42063</v>
      </c>
      <c r="C49">
        <v>1600000</v>
      </c>
      <c r="D49">
        <v>50000</v>
      </c>
      <c r="E49" t="s">
        <v>53</v>
      </c>
      <c r="F49">
        <v>50000</v>
      </c>
      <c r="G49">
        <v>3.92</v>
      </c>
      <c r="H49">
        <v>4.0690999999999997</v>
      </c>
      <c r="I49">
        <v>7355</v>
      </c>
      <c r="J49">
        <f t="shared" si="10"/>
        <v>5148.5</v>
      </c>
      <c r="K49">
        <f>IF($E49=K$1,IF($E49=$E48,$J49+K48,$J49),0)</f>
        <v>4469.5</v>
      </c>
      <c r="L49">
        <f t="shared" si="11"/>
        <v>0</v>
      </c>
      <c r="M49">
        <f t="shared" si="11"/>
        <v>0</v>
      </c>
      <c r="N49">
        <f t="shared" si="11"/>
        <v>0</v>
      </c>
      <c r="O49">
        <f t="shared" si="11"/>
        <v>0</v>
      </c>
      <c r="P49" s="9">
        <f>J49+P48</f>
        <v>4469.5</v>
      </c>
    </row>
    <row r="50" spans="1:16" x14ac:dyDescent="0.25">
      <c r="A50">
        <v>4</v>
      </c>
      <c r="B50" s="1">
        <v>42094</v>
      </c>
      <c r="C50">
        <v>1600000</v>
      </c>
      <c r="D50">
        <v>50000</v>
      </c>
      <c r="E50" t="s">
        <v>53</v>
      </c>
      <c r="F50">
        <v>50000</v>
      </c>
      <c r="G50">
        <v>3.92</v>
      </c>
      <c r="H50">
        <v>3.766</v>
      </c>
      <c r="I50">
        <v>-7800</v>
      </c>
      <c r="J50">
        <f t="shared" si="10"/>
        <v>-5460</v>
      </c>
      <c r="K50">
        <f>IF($E50=K$1,IF($E50=$E49,$J50+K49,$J50),0)</f>
        <v>-990.5</v>
      </c>
      <c r="L50">
        <f t="shared" si="11"/>
        <v>0</v>
      </c>
      <c r="M50">
        <f t="shared" si="11"/>
        <v>0</v>
      </c>
      <c r="N50">
        <f t="shared" si="11"/>
        <v>0</v>
      </c>
      <c r="O50">
        <f t="shared" si="11"/>
        <v>0</v>
      </c>
      <c r="P50" s="9">
        <f t="shared" ref="P50:P59" si="12">J50+P49</f>
        <v>-990.5</v>
      </c>
    </row>
    <row r="51" spans="1:16" x14ac:dyDescent="0.25">
      <c r="A51">
        <v>4</v>
      </c>
      <c r="B51" s="1">
        <v>42124</v>
      </c>
      <c r="C51">
        <v>1600000</v>
      </c>
      <c r="D51">
        <v>50000</v>
      </c>
      <c r="E51" t="s">
        <v>54</v>
      </c>
      <c r="F51">
        <v>50000</v>
      </c>
      <c r="G51">
        <v>4</v>
      </c>
      <c r="H51">
        <v>3.8035000000000001</v>
      </c>
      <c r="I51">
        <v>-9925</v>
      </c>
      <c r="J51">
        <f t="shared" si="10"/>
        <v>-6947.5</v>
      </c>
      <c r="K51" s="13"/>
      <c r="L51">
        <f t="shared" si="11"/>
        <v>-6947.5</v>
      </c>
      <c r="M51">
        <f t="shared" si="11"/>
        <v>0</v>
      </c>
      <c r="N51">
        <f t="shared" si="11"/>
        <v>0</v>
      </c>
      <c r="O51">
        <f t="shared" si="11"/>
        <v>0</v>
      </c>
      <c r="P51" s="9">
        <f t="shared" si="12"/>
        <v>-7938</v>
      </c>
    </row>
    <row r="52" spans="1:16" x14ac:dyDescent="0.25">
      <c r="A52">
        <v>4</v>
      </c>
      <c r="B52" s="1">
        <v>42155</v>
      </c>
      <c r="C52">
        <v>1600000</v>
      </c>
      <c r="D52">
        <v>50000</v>
      </c>
      <c r="E52" t="s">
        <v>54</v>
      </c>
      <c r="F52">
        <v>50000</v>
      </c>
      <c r="G52">
        <v>4</v>
      </c>
      <c r="H52">
        <v>3.8123</v>
      </c>
      <c r="I52">
        <v>-9485</v>
      </c>
      <c r="J52">
        <f t="shared" si="10"/>
        <v>-6639.5</v>
      </c>
      <c r="K52" s="13"/>
      <c r="L52">
        <f t="shared" si="11"/>
        <v>-13587</v>
      </c>
      <c r="M52">
        <f t="shared" si="11"/>
        <v>0</v>
      </c>
      <c r="N52">
        <f t="shared" si="11"/>
        <v>0</v>
      </c>
      <c r="O52">
        <f t="shared" si="11"/>
        <v>0</v>
      </c>
      <c r="P52" s="9">
        <f t="shared" si="12"/>
        <v>-14577.5</v>
      </c>
    </row>
    <row r="53" spans="1:16" x14ac:dyDescent="0.25">
      <c r="A53">
        <v>4</v>
      </c>
      <c r="B53" s="1">
        <v>42185</v>
      </c>
      <c r="C53">
        <v>1600000</v>
      </c>
      <c r="D53">
        <v>50000</v>
      </c>
      <c r="E53" t="s">
        <v>55</v>
      </c>
      <c r="F53">
        <v>50000</v>
      </c>
      <c r="G53">
        <v>4.0724999999999998</v>
      </c>
      <c r="H53">
        <v>3.6362999999999999</v>
      </c>
      <c r="I53">
        <v>-21910</v>
      </c>
      <c r="J53">
        <f t="shared" si="10"/>
        <v>-15336.999999999998</v>
      </c>
      <c r="M53">
        <f t="shared" si="11"/>
        <v>-15336.999999999998</v>
      </c>
      <c r="N53">
        <f t="shared" si="11"/>
        <v>0</v>
      </c>
      <c r="O53">
        <f t="shared" si="11"/>
        <v>0</v>
      </c>
      <c r="P53" s="9">
        <f t="shared" si="12"/>
        <v>-29914.5</v>
      </c>
    </row>
    <row r="54" spans="1:16" x14ac:dyDescent="0.25">
      <c r="A54">
        <v>4</v>
      </c>
      <c r="B54" s="1">
        <v>42216</v>
      </c>
      <c r="C54">
        <v>1600000</v>
      </c>
      <c r="D54">
        <v>50000</v>
      </c>
      <c r="E54" t="s">
        <v>55</v>
      </c>
      <c r="F54">
        <v>50000</v>
      </c>
      <c r="G54">
        <v>4.0724999999999998</v>
      </c>
      <c r="H54">
        <v>3.5861999999999998</v>
      </c>
      <c r="I54">
        <v>-24415</v>
      </c>
      <c r="J54">
        <f t="shared" si="10"/>
        <v>-17090.5</v>
      </c>
      <c r="M54">
        <f t="shared" si="11"/>
        <v>-32427.5</v>
      </c>
      <c r="N54">
        <f t="shared" si="11"/>
        <v>0</v>
      </c>
      <c r="O54">
        <f t="shared" si="11"/>
        <v>0</v>
      </c>
      <c r="P54" s="9">
        <f t="shared" si="12"/>
        <v>-47005</v>
      </c>
    </row>
    <row r="55" spans="1:16" x14ac:dyDescent="0.25">
      <c r="A55">
        <v>4</v>
      </c>
      <c r="B55" s="1">
        <v>42247</v>
      </c>
      <c r="C55">
        <v>1600000</v>
      </c>
      <c r="D55">
        <v>50000</v>
      </c>
      <c r="E55" t="s">
        <v>56</v>
      </c>
      <c r="F55">
        <v>50000</v>
      </c>
      <c r="G55">
        <v>4.1275000000000004</v>
      </c>
      <c r="H55">
        <v>3.6768999999999998</v>
      </c>
      <c r="I55">
        <v>-22630</v>
      </c>
      <c r="J55">
        <f t="shared" si="10"/>
        <v>-15840.999999999998</v>
      </c>
      <c r="N55">
        <f t="shared" si="11"/>
        <v>-15840.999999999998</v>
      </c>
      <c r="O55">
        <f t="shared" si="11"/>
        <v>0</v>
      </c>
      <c r="P55" s="9">
        <f t="shared" si="12"/>
        <v>-62846</v>
      </c>
    </row>
    <row r="56" spans="1:16" x14ac:dyDescent="0.25">
      <c r="A56">
        <v>4</v>
      </c>
      <c r="B56" s="1">
        <v>42277</v>
      </c>
      <c r="C56">
        <v>1600000</v>
      </c>
      <c r="D56">
        <v>50000</v>
      </c>
      <c r="E56" t="s">
        <v>56</v>
      </c>
      <c r="F56">
        <v>50000</v>
      </c>
      <c r="G56">
        <v>4.1275000000000004</v>
      </c>
      <c r="H56">
        <v>3.7347999999999999</v>
      </c>
      <c r="I56">
        <v>-19735</v>
      </c>
      <c r="J56">
        <f t="shared" si="10"/>
        <v>-13814.5</v>
      </c>
      <c r="N56">
        <f t="shared" si="11"/>
        <v>-29655.5</v>
      </c>
      <c r="O56">
        <f t="shared" si="11"/>
        <v>0</v>
      </c>
      <c r="P56" s="9">
        <f t="shared" si="12"/>
        <v>-76660.5</v>
      </c>
    </row>
    <row r="57" spans="1:16" x14ac:dyDescent="0.25">
      <c r="A57">
        <v>4</v>
      </c>
      <c r="B57" s="1">
        <v>42308</v>
      </c>
      <c r="C57">
        <v>1600000</v>
      </c>
      <c r="D57">
        <v>50000</v>
      </c>
      <c r="E57" t="s">
        <v>57</v>
      </c>
      <c r="F57">
        <v>50000</v>
      </c>
      <c r="G57">
        <v>4.1974999999999998</v>
      </c>
      <c r="H57">
        <v>3.7161</v>
      </c>
      <c r="I57">
        <v>-24170</v>
      </c>
      <c r="J57">
        <f t="shared" si="10"/>
        <v>-16919</v>
      </c>
      <c r="O57">
        <f t="shared" si="11"/>
        <v>-16919</v>
      </c>
      <c r="P57" s="9">
        <f t="shared" si="12"/>
        <v>-93579.5</v>
      </c>
    </row>
    <row r="58" spans="1:16" x14ac:dyDescent="0.25">
      <c r="A58">
        <v>4</v>
      </c>
      <c r="B58" s="1">
        <v>42338</v>
      </c>
      <c r="C58">
        <v>1600000</v>
      </c>
      <c r="D58">
        <v>50000</v>
      </c>
      <c r="E58" t="s">
        <v>57</v>
      </c>
      <c r="F58">
        <v>50000</v>
      </c>
      <c r="G58">
        <v>4.1974999999999998</v>
      </c>
      <c r="H58">
        <v>3.8170000000000002</v>
      </c>
      <c r="I58">
        <v>-19125</v>
      </c>
      <c r="J58">
        <f t="shared" si="10"/>
        <v>-13387.5</v>
      </c>
      <c r="O58">
        <f t="shared" si="11"/>
        <v>-30306.5</v>
      </c>
      <c r="P58" s="9">
        <f t="shared" si="12"/>
        <v>-106967</v>
      </c>
    </row>
    <row r="59" spans="1:16" x14ac:dyDescent="0.25">
      <c r="A59">
        <v>4</v>
      </c>
      <c r="B59" s="1">
        <v>42339</v>
      </c>
      <c r="C59">
        <v>1600000</v>
      </c>
      <c r="D59">
        <v>50000</v>
      </c>
      <c r="E59" t="s">
        <v>57</v>
      </c>
      <c r="F59">
        <v>50000</v>
      </c>
      <c r="G59">
        <v>4.1974999999999998</v>
      </c>
      <c r="H59">
        <v>3.7202999999999999</v>
      </c>
      <c r="I59">
        <v>-23960</v>
      </c>
      <c r="J59">
        <f t="shared" si="10"/>
        <v>-16772</v>
      </c>
      <c r="O59">
        <f t="shared" si="11"/>
        <v>-47078.5</v>
      </c>
      <c r="P59" s="9">
        <f t="shared" si="12"/>
        <v>-123739</v>
      </c>
    </row>
    <row r="60" spans="1:16" x14ac:dyDescent="0.25">
      <c r="B60" s="1"/>
    </row>
    <row r="61" spans="1:16" x14ac:dyDescent="0.25">
      <c r="B61" s="1"/>
    </row>
    <row r="62" spans="1:16" x14ac:dyDescent="0.25">
      <c r="B62" s="1"/>
      <c r="K62" t="s">
        <v>53</v>
      </c>
      <c r="L62" s="9" t="s">
        <v>54</v>
      </c>
      <c r="M62" s="9" t="s">
        <v>55</v>
      </c>
      <c r="N62" s="9" t="s">
        <v>56</v>
      </c>
      <c r="O62" s="9" t="s">
        <v>57</v>
      </c>
      <c r="P62" s="9" t="s">
        <v>58</v>
      </c>
    </row>
    <row r="63" spans="1:16" x14ac:dyDescent="0.25">
      <c r="A63">
        <v>5</v>
      </c>
      <c r="B63" s="1">
        <v>41943</v>
      </c>
      <c r="K63">
        <v>0</v>
      </c>
      <c r="L63" s="9">
        <v>0</v>
      </c>
      <c r="M63" s="9">
        <v>0</v>
      </c>
      <c r="N63" s="9">
        <v>0</v>
      </c>
      <c r="O63" s="9">
        <v>0</v>
      </c>
      <c r="P63">
        <v>0</v>
      </c>
    </row>
    <row r="64" spans="1:16" x14ac:dyDescent="0.25">
      <c r="A64">
        <v>5</v>
      </c>
      <c r="B64" s="1">
        <v>42035</v>
      </c>
      <c r="C64">
        <v>2250000</v>
      </c>
      <c r="D64">
        <v>70313</v>
      </c>
      <c r="E64" t="s">
        <v>53</v>
      </c>
      <c r="F64">
        <v>0</v>
      </c>
      <c r="G64">
        <v>0</v>
      </c>
      <c r="H64">
        <v>0</v>
      </c>
      <c r="I64">
        <v>0</v>
      </c>
      <c r="J64">
        <f t="shared" ref="J64:J74" si="13">I64*R$2</f>
        <v>0</v>
      </c>
      <c r="K64">
        <f>IF($E64=K$1,IF($E64=$E63,$J64+K63,$J64),0)</f>
        <v>0</v>
      </c>
      <c r="L64">
        <f t="shared" ref="L64:O74" si="14">IF($E64=L$1,IF($E64=$E63,$J64+L63,$J64),0)</f>
        <v>0</v>
      </c>
      <c r="M64">
        <f t="shared" si="14"/>
        <v>0</v>
      </c>
      <c r="N64">
        <f t="shared" si="14"/>
        <v>0</v>
      </c>
      <c r="O64">
        <f t="shared" si="14"/>
        <v>0</v>
      </c>
      <c r="P64" s="9">
        <f>J64+P63</f>
        <v>0</v>
      </c>
    </row>
    <row r="65" spans="1:16" x14ac:dyDescent="0.25">
      <c r="A65">
        <v>5</v>
      </c>
      <c r="B65" s="1">
        <v>42063</v>
      </c>
      <c r="C65">
        <v>2250000</v>
      </c>
      <c r="D65">
        <v>70313</v>
      </c>
      <c r="E65" t="s">
        <v>53</v>
      </c>
      <c r="F65">
        <v>70000</v>
      </c>
      <c r="G65">
        <v>4.1050000000000004</v>
      </c>
      <c r="H65">
        <v>4.0690999999999997</v>
      </c>
      <c r="I65">
        <v>-2653</v>
      </c>
      <c r="J65">
        <f t="shared" si="13"/>
        <v>-1857.1</v>
      </c>
      <c r="K65">
        <f>IF($E65=K$1,IF($E65=$E64,$J65+K64,$J65),0)</f>
        <v>-1857.1</v>
      </c>
      <c r="L65">
        <f t="shared" si="14"/>
        <v>0</v>
      </c>
      <c r="M65">
        <f t="shared" si="14"/>
        <v>0</v>
      </c>
      <c r="N65">
        <f t="shared" si="14"/>
        <v>0</v>
      </c>
      <c r="O65">
        <f t="shared" si="14"/>
        <v>0</v>
      </c>
      <c r="P65" s="9">
        <f>J65+P64</f>
        <v>-1857.1</v>
      </c>
    </row>
    <row r="66" spans="1:16" x14ac:dyDescent="0.25">
      <c r="A66">
        <v>5</v>
      </c>
      <c r="B66" s="1">
        <v>42094</v>
      </c>
      <c r="C66">
        <v>2250000</v>
      </c>
      <c r="D66">
        <v>70313</v>
      </c>
      <c r="E66" t="s">
        <v>53</v>
      </c>
      <c r="F66">
        <v>70000</v>
      </c>
      <c r="G66">
        <v>4.1050000000000004</v>
      </c>
      <c r="H66">
        <v>3.766</v>
      </c>
      <c r="I66">
        <v>-23870</v>
      </c>
      <c r="J66">
        <f t="shared" si="13"/>
        <v>-16709</v>
      </c>
      <c r="K66">
        <f>IF($E66=K$1,IF($E66=$E65,$J66+K65,$J66),0)</f>
        <v>-18566.099999999999</v>
      </c>
      <c r="L66">
        <f t="shared" si="14"/>
        <v>0</v>
      </c>
      <c r="M66">
        <f t="shared" si="14"/>
        <v>0</v>
      </c>
      <c r="N66">
        <f t="shared" si="14"/>
        <v>0</v>
      </c>
      <c r="O66">
        <f t="shared" si="14"/>
        <v>0</v>
      </c>
      <c r="P66" s="9">
        <f t="shared" ref="P66:P74" si="15">J66+P65</f>
        <v>-18566.099999999999</v>
      </c>
    </row>
    <row r="67" spans="1:16" x14ac:dyDescent="0.25">
      <c r="A67">
        <v>5</v>
      </c>
      <c r="B67" s="1">
        <v>42124</v>
      </c>
      <c r="C67">
        <v>2250000</v>
      </c>
      <c r="D67">
        <v>70313</v>
      </c>
      <c r="E67" t="s">
        <v>54</v>
      </c>
      <c r="F67">
        <v>70000</v>
      </c>
      <c r="G67">
        <v>4.1900000000000004</v>
      </c>
      <c r="H67">
        <v>3.8035000000000001</v>
      </c>
      <c r="I67">
        <v>-27195</v>
      </c>
      <c r="J67">
        <f t="shared" si="13"/>
        <v>-19036.5</v>
      </c>
      <c r="K67" s="13"/>
      <c r="L67">
        <f t="shared" si="14"/>
        <v>-19036.5</v>
      </c>
      <c r="M67">
        <f t="shared" si="14"/>
        <v>0</v>
      </c>
      <c r="N67">
        <f t="shared" si="14"/>
        <v>0</v>
      </c>
      <c r="O67">
        <f t="shared" si="14"/>
        <v>0</v>
      </c>
      <c r="P67" s="9">
        <f t="shared" si="15"/>
        <v>-37602.6</v>
      </c>
    </row>
    <row r="68" spans="1:16" x14ac:dyDescent="0.25">
      <c r="A68">
        <v>5</v>
      </c>
      <c r="B68" s="1">
        <v>42155</v>
      </c>
      <c r="C68">
        <v>2250000</v>
      </c>
      <c r="D68">
        <v>70313</v>
      </c>
      <c r="E68" t="s">
        <v>54</v>
      </c>
      <c r="F68">
        <v>70000</v>
      </c>
      <c r="G68">
        <v>4.1900000000000004</v>
      </c>
      <c r="H68">
        <v>3.8123</v>
      </c>
      <c r="I68">
        <v>-26579</v>
      </c>
      <c r="J68">
        <f t="shared" si="13"/>
        <v>-18605.3</v>
      </c>
      <c r="K68" s="13"/>
      <c r="L68">
        <f t="shared" si="14"/>
        <v>-37641.800000000003</v>
      </c>
      <c r="M68">
        <f t="shared" si="14"/>
        <v>0</v>
      </c>
      <c r="N68">
        <f t="shared" si="14"/>
        <v>0</v>
      </c>
      <c r="O68">
        <f t="shared" si="14"/>
        <v>0</v>
      </c>
      <c r="P68" s="9">
        <f t="shared" si="15"/>
        <v>-56207.899999999994</v>
      </c>
    </row>
    <row r="69" spans="1:16" x14ac:dyDescent="0.25">
      <c r="A69">
        <v>5</v>
      </c>
      <c r="B69" s="1">
        <v>42185</v>
      </c>
      <c r="C69">
        <v>2250000</v>
      </c>
      <c r="D69">
        <v>70313</v>
      </c>
      <c r="E69" t="s">
        <v>55</v>
      </c>
      <c r="F69">
        <v>70000</v>
      </c>
      <c r="G69">
        <v>4.2549999999999999</v>
      </c>
      <c r="H69">
        <v>3.6362999999999999</v>
      </c>
      <c r="I69">
        <v>-43449</v>
      </c>
      <c r="J69">
        <f t="shared" si="13"/>
        <v>-30414.3</v>
      </c>
      <c r="M69">
        <f t="shared" si="14"/>
        <v>-30414.3</v>
      </c>
      <c r="N69">
        <f t="shared" si="14"/>
        <v>0</v>
      </c>
      <c r="O69">
        <f t="shared" si="14"/>
        <v>0</v>
      </c>
      <c r="P69" s="9">
        <f t="shared" si="15"/>
        <v>-86622.2</v>
      </c>
    </row>
    <row r="70" spans="1:16" x14ac:dyDescent="0.25">
      <c r="A70">
        <v>5</v>
      </c>
      <c r="B70" s="1">
        <v>42216</v>
      </c>
      <c r="C70">
        <v>2250000</v>
      </c>
      <c r="D70">
        <v>70313</v>
      </c>
      <c r="E70" t="s">
        <v>55</v>
      </c>
      <c r="F70">
        <v>70000</v>
      </c>
      <c r="G70">
        <v>4.2549999999999999</v>
      </c>
      <c r="H70">
        <v>3.5861999999999998</v>
      </c>
      <c r="I70">
        <v>-46956</v>
      </c>
      <c r="J70">
        <f t="shared" si="13"/>
        <v>-32869.199999999997</v>
      </c>
      <c r="M70">
        <f t="shared" si="14"/>
        <v>-63283.5</v>
      </c>
      <c r="N70">
        <f t="shared" si="14"/>
        <v>0</v>
      </c>
      <c r="O70">
        <f t="shared" si="14"/>
        <v>0</v>
      </c>
      <c r="P70" s="9">
        <f t="shared" si="15"/>
        <v>-119491.4</v>
      </c>
    </row>
    <row r="71" spans="1:16" x14ac:dyDescent="0.25">
      <c r="A71">
        <v>5</v>
      </c>
      <c r="B71" s="1">
        <v>42247</v>
      </c>
      <c r="C71">
        <v>2250000</v>
      </c>
      <c r="D71">
        <v>70313</v>
      </c>
      <c r="E71" t="s">
        <v>56</v>
      </c>
      <c r="F71">
        <v>70000</v>
      </c>
      <c r="G71">
        <v>4.2699999999999996</v>
      </c>
      <c r="H71">
        <v>3.6768999999999998</v>
      </c>
      <c r="I71">
        <v>-41657</v>
      </c>
      <c r="J71">
        <f t="shared" si="13"/>
        <v>-29159.899999999998</v>
      </c>
      <c r="N71">
        <f t="shared" si="14"/>
        <v>-29159.899999999998</v>
      </c>
      <c r="O71">
        <f t="shared" si="14"/>
        <v>0</v>
      </c>
      <c r="P71" s="9">
        <f t="shared" si="15"/>
        <v>-148651.29999999999</v>
      </c>
    </row>
    <row r="72" spans="1:16" x14ac:dyDescent="0.25">
      <c r="A72">
        <v>5</v>
      </c>
      <c r="B72" s="1">
        <v>42277</v>
      </c>
      <c r="C72">
        <v>2250000</v>
      </c>
      <c r="D72">
        <v>70313</v>
      </c>
      <c r="E72" t="s">
        <v>56</v>
      </c>
      <c r="F72">
        <v>70000</v>
      </c>
      <c r="G72">
        <v>4.2699999999999996</v>
      </c>
      <c r="H72">
        <v>3.7347999999999999</v>
      </c>
      <c r="I72">
        <v>-37604</v>
      </c>
      <c r="J72">
        <f t="shared" si="13"/>
        <v>-26322.799999999999</v>
      </c>
      <c r="N72">
        <f t="shared" si="14"/>
        <v>-55482.7</v>
      </c>
      <c r="O72">
        <f t="shared" si="14"/>
        <v>0</v>
      </c>
      <c r="P72" s="9">
        <f t="shared" si="15"/>
        <v>-174974.09999999998</v>
      </c>
    </row>
    <row r="73" spans="1:16" x14ac:dyDescent="0.25">
      <c r="A73">
        <v>5</v>
      </c>
      <c r="B73" s="1">
        <v>42308</v>
      </c>
      <c r="C73">
        <v>2250000</v>
      </c>
      <c r="D73">
        <v>70313</v>
      </c>
      <c r="E73" t="s">
        <v>57</v>
      </c>
      <c r="F73">
        <v>70000</v>
      </c>
      <c r="G73">
        <v>4.3449999999999998</v>
      </c>
      <c r="H73">
        <v>3.7161</v>
      </c>
      <c r="I73">
        <v>-44163</v>
      </c>
      <c r="J73">
        <f t="shared" si="13"/>
        <v>-30914.1</v>
      </c>
      <c r="O73">
        <f t="shared" si="14"/>
        <v>-30914.1</v>
      </c>
      <c r="P73" s="9">
        <f t="shared" si="15"/>
        <v>-205888.19999999998</v>
      </c>
    </row>
    <row r="74" spans="1:16" x14ac:dyDescent="0.25">
      <c r="A74">
        <v>5</v>
      </c>
      <c r="B74" s="1">
        <v>42338</v>
      </c>
      <c r="C74">
        <v>2250000</v>
      </c>
      <c r="D74">
        <v>70313</v>
      </c>
      <c r="E74" t="s">
        <v>57</v>
      </c>
      <c r="F74">
        <v>70000</v>
      </c>
      <c r="G74">
        <v>4.3449999999999998</v>
      </c>
      <c r="H74">
        <v>3.8170000000000002</v>
      </c>
      <c r="I74">
        <v>-37100</v>
      </c>
      <c r="J74">
        <f t="shared" si="13"/>
        <v>-25970</v>
      </c>
      <c r="O74">
        <f t="shared" si="14"/>
        <v>-56884.1</v>
      </c>
      <c r="P74" s="9">
        <f t="shared" si="15"/>
        <v>-231858.19999999998</v>
      </c>
    </row>
    <row r="75" spans="1:16" x14ac:dyDescent="0.25">
      <c r="O75"/>
      <c r="P75" s="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/>
  </sheetViews>
  <sheetFormatPr defaultRowHeight="15" x14ac:dyDescent="0.25"/>
  <cols>
    <col min="1" max="1" width="16" bestFit="1" customWidth="1"/>
    <col min="3" max="3" width="11.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41</v>
      </c>
      <c r="D9">
        <v>634</v>
      </c>
    </row>
    <row r="10" spans="1:4" x14ac:dyDescent="0.25">
      <c r="A10" t="s">
        <v>31</v>
      </c>
      <c r="B10">
        <v>185</v>
      </c>
      <c r="C10" t="s">
        <v>43</v>
      </c>
      <c r="D10">
        <v>437</v>
      </c>
    </row>
    <row r="11" spans="1:4" x14ac:dyDescent="0.25">
      <c r="A11" t="s">
        <v>32</v>
      </c>
      <c r="B11">
        <v>178</v>
      </c>
      <c r="C11" t="s">
        <v>44</v>
      </c>
      <c r="D11">
        <v>450</v>
      </c>
    </row>
    <row r="12" spans="1:4" x14ac:dyDescent="0.25">
      <c r="A12" t="s">
        <v>33</v>
      </c>
      <c r="B12">
        <v>180</v>
      </c>
      <c r="C12" t="s">
        <v>35</v>
      </c>
      <c r="D12">
        <v>429</v>
      </c>
    </row>
    <row r="13" spans="1:4" x14ac:dyDescent="0.25">
      <c r="A13" t="s">
        <v>36</v>
      </c>
      <c r="B13">
        <v>175</v>
      </c>
      <c r="C13" t="s">
        <v>20</v>
      </c>
      <c r="D13">
        <v>525</v>
      </c>
    </row>
    <row r="14" spans="1:4" x14ac:dyDescent="0.25">
      <c r="A14" t="s">
        <v>37</v>
      </c>
      <c r="B14">
        <v>209</v>
      </c>
    </row>
    <row r="15" spans="1:4" x14ac:dyDescent="0.25">
      <c r="A15" t="s">
        <v>40</v>
      </c>
      <c r="B15">
        <v>219</v>
      </c>
    </row>
    <row r="16" spans="1:4" x14ac:dyDescent="0.25">
      <c r="A16" t="s">
        <v>43</v>
      </c>
      <c r="B16">
        <v>177</v>
      </c>
    </row>
    <row r="17" spans="1:2" x14ac:dyDescent="0.25">
      <c r="A17" t="s">
        <v>44</v>
      </c>
      <c r="B17">
        <v>176</v>
      </c>
    </row>
    <row r="18" spans="1:2" x14ac:dyDescent="0.25">
      <c r="A18" t="s">
        <v>14</v>
      </c>
      <c r="B18">
        <v>222</v>
      </c>
    </row>
    <row r="19" spans="1:2" x14ac:dyDescent="0.25">
      <c r="A19" t="s">
        <v>15</v>
      </c>
      <c r="B19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Data</vt:lpstr>
      <vt:lpstr>Current Hedge</vt:lpstr>
      <vt:lpstr>Current Hedge (2)</vt:lpstr>
      <vt:lpstr>selectionData</vt:lpstr>
      <vt:lpstr>Long Futures</vt:lpstr>
      <vt:lpstr>Long and Short Futures</vt:lpstr>
      <vt:lpstr>DHP</vt:lpstr>
      <vt:lpstr>DHP and Futures Constant</vt:lpstr>
      <vt:lpstr>DHP and Futures Selling Off</vt:lpstr>
      <vt:lpstr>DHP &amp; Current Hedge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totalMonths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2016-09-29T20:24:59Z</dcterms:modified>
</cp:coreProperties>
</file>